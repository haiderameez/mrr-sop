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Y 25-26" sheetId="1" r:id="rId4"/>
    <sheet state="visible" name="Sheet1" sheetId="2" r:id="rId5"/>
    <sheet state="visible" name="Sheet2" sheetId="3" r:id="rId6"/>
    <sheet state="visible" name="Subscriptions" sheetId="4" r:id="rId7"/>
    <sheet state="visible" name="Subscription Report - 01 Sep 24" sheetId="5" r:id="rId8"/>
    <sheet state="visible" name="Plans" sheetId="6" r:id="rId9"/>
    <sheet state="visible" name="invoices.remaining" sheetId="7" r:id="rId10"/>
  </sheets>
  <definedNames>
    <definedName hidden="1" localSheetId="0" name="_xlnm._FilterDatabase">'FY 25-26'!$A$3:$X$270</definedName>
    <definedName hidden="1" localSheetId="1" name="_xlnm._FilterDatabase">Sheet1!$A$3:$C$190</definedName>
    <definedName hidden="1" localSheetId="3" name="_xlnm._FilterDatabase">Subscriptions!$B$1:$B$1000</definedName>
  </definedNames>
  <calcPr/>
</workbook>
</file>

<file path=xl/sharedStrings.xml><?xml version="1.0" encoding="utf-8"?>
<sst xmlns="http://schemas.openxmlformats.org/spreadsheetml/2006/main" count="6052" uniqueCount="2095">
  <si>
    <t xml:space="preserve">Contracts expiring within </t>
  </si>
  <si>
    <t>S .No.</t>
  </si>
  <si>
    <t>Customer Name</t>
  </si>
  <si>
    <t>Invoice</t>
  </si>
  <si>
    <t>Salesperson</t>
  </si>
  <si>
    <t>Nature of service</t>
  </si>
  <si>
    <t xml:space="preserve">Start Date </t>
  </si>
  <si>
    <t>End Date</t>
  </si>
  <si>
    <t xml:space="preserve">Payment Cycle </t>
  </si>
  <si>
    <t>Contract Amount</t>
  </si>
  <si>
    <t>Invoiced Amount</t>
  </si>
  <si>
    <t>Amount pending for invoicing</t>
  </si>
  <si>
    <t>Next Billing Due Date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</si>
  <si>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</si>
  <si>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</si>
  <si>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</si>
  <si>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</si>
  <si>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</si>
  <si>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</si>
  <si>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</si>
  <si>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</si>
  <si>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</si>
  <si>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</si>
  <si>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</si>
  <si>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</si>
  <si>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SRCO Legal / Salvador Raghav &amp; Co.</t>
  </si>
  <si>
    <t xml:space="preserve">INV-25-26-000080-000149- 000223, 000312,  000390, 000474, </t>
  </si>
  <si>
    <t>subscription based service</t>
  </si>
  <si>
    <t>Annual-Monthly</t>
  </si>
  <si>
    <t>Manish kelker</t>
  </si>
  <si>
    <t>INV-25-26-000078,000111'000180,000256, 000343,  000420,  000505</t>
  </si>
  <si>
    <t>Manas Khandelwal</t>
  </si>
  <si>
    <t>Agama Law Associates</t>
  </si>
  <si>
    <t>INV-25-26- (46-jan),000013,000277, 000483</t>
  </si>
  <si>
    <t xml:space="preserve">3 Quarter- Upfront </t>
  </si>
  <si>
    <t>1-CN ISSUE - 1356.00</t>
  </si>
  <si>
    <t>Venkatesh Dhond</t>
  </si>
  <si>
    <t>INV-25-26-000015</t>
  </si>
  <si>
    <t>6 month-Upfront</t>
  </si>
  <si>
    <t>Harshit Malik</t>
  </si>
  <si>
    <t xml:space="preserve">INV-000111, INV-00016,109,179, </t>
  </si>
  <si>
    <t>2 Months- Upfront</t>
  </si>
  <si>
    <t>2-CN ISSUE - INV-109 &amp; 179</t>
  </si>
  <si>
    <t>Monalisa Kosaria</t>
  </si>
  <si>
    <t>INV-25-26-000188</t>
  </si>
  <si>
    <t>Jayanth</t>
  </si>
  <si>
    <t>Touchstone Partners</t>
  </si>
  <si>
    <t>INV-25-26-000001</t>
  </si>
  <si>
    <t>3 months- Upfront</t>
  </si>
  <si>
    <t>Bimal Rajasekhar</t>
  </si>
  <si>
    <t>LEGALOGIC CONSULTING LLP</t>
  </si>
  <si>
    <t>INV-25-26-000004,000104</t>
  </si>
  <si>
    <t>Tvashta Law</t>
  </si>
  <si>
    <t>INV-25-26-000006</t>
  </si>
  <si>
    <t>One time work</t>
  </si>
  <si>
    <t>1 month-Upfront</t>
  </si>
  <si>
    <t>Veritas Legal Advocates and Solicitors</t>
  </si>
  <si>
    <t>INV-25-26-000003</t>
  </si>
  <si>
    <t>U. S. GANDHI &amp; CO.</t>
  </si>
  <si>
    <t>INV-25-26-000007</t>
  </si>
  <si>
    <t>Utkarsh Joshi</t>
  </si>
  <si>
    <t>INV-25-26-000011</t>
  </si>
  <si>
    <t>Karan Butalia</t>
  </si>
  <si>
    <t>INV-25-26-000012</t>
  </si>
  <si>
    <t>RAJANI ASSOCIATES</t>
  </si>
  <si>
    <t>INV-25-26-000014</t>
  </si>
  <si>
    <t>Swapna Sheshadri</t>
  </si>
  <si>
    <t xml:space="preserve">INV-25-26-000019-000113,000184, 000259
</t>
  </si>
  <si>
    <t>4 month-Upfront</t>
  </si>
  <si>
    <t>Vutts &amp; Associates LLP</t>
  </si>
  <si>
    <t>INV-25-26-000020</t>
  </si>
  <si>
    <t>Miglani Varma &amp; Co.</t>
  </si>
  <si>
    <t>INV-25-26-000023</t>
  </si>
  <si>
    <t>Venkatesh Mohanraj</t>
  </si>
  <si>
    <t>INV-25-26-000024</t>
  </si>
  <si>
    <t>Jade Lex Partners</t>
  </si>
  <si>
    <t>INV-25-26-000025</t>
  </si>
  <si>
    <t>Alankrit Bajpai</t>
  </si>
  <si>
    <t>INV-25-26-000026</t>
  </si>
  <si>
    <t>Badar Durrez</t>
  </si>
  <si>
    <t>INV-25-26-000028</t>
  </si>
  <si>
    <t>1-CN ISSUE Inv-000028</t>
  </si>
  <si>
    <t>Saga Legal</t>
  </si>
  <si>
    <t>INV-25-26-000039</t>
  </si>
  <si>
    <t>TLH, Advocates &amp; Solicitors</t>
  </si>
  <si>
    <t>INV-25-26-000030-000124,000198' , 000533, 000630</t>
  </si>
  <si>
    <t>Shreeyash Lalit</t>
  </si>
  <si>
    <t>INV-25-26-000032</t>
  </si>
  <si>
    <t>Dewani Associates</t>
  </si>
  <si>
    <t>INV-25-26-000033</t>
  </si>
  <si>
    <t>Yash Momaya</t>
  </si>
  <si>
    <t xml:space="preserve">INV-25-26-000035-000127, 000200, </t>
  </si>
  <si>
    <t>2 CN ISUED- INV-127 &amp; 200</t>
  </si>
  <si>
    <t>Chetan Dedhia</t>
  </si>
  <si>
    <t>INV-25-26-000036</t>
  </si>
  <si>
    <t>Aakash Sharma</t>
  </si>
  <si>
    <t>INV-25-26-000038</t>
  </si>
  <si>
    <t>Pranay Chitale</t>
  </si>
  <si>
    <t>INV-25-26-000042-000137-000213</t>
  </si>
  <si>
    <t>2 CN ISUED-  INV- 137&amp;213</t>
  </si>
  <si>
    <t>AP &amp; Partners, Advocates</t>
  </si>
  <si>
    <t>INV-25-26-000041</t>
  </si>
  <si>
    <t>Spark Legal</t>
  </si>
  <si>
    <t>INV-25-26-000043</t>
  </si>
  <si>
    <t>Bathiya Legal</t>
  </si>
  <si>
    <t>INV-25-26-000044</t>
  </si>
  <si>
    <r>
      <rPr>
        <color rgb="FF000000"/>
        <sz val="10.0"/>
        <u/>
      </rPr>
      <t>IC Legal</t>
    </r>
  </si>
  <si>
    <t>INV-25-26-000058</t>
  </si>
  <si>
    <t>Argus Partners</t>
  </si>
  <si>
    <t>INV-25-26-000059</t>
  </si>
  <si>
    <t xml:space="preserve">1-CN ISSUE - INV-059 -  11800
</t>
  </si>
  <si>
    <t>Zoheb Hossain</t>
  </si>
  <si>
    <t>INV-25-26-000116</t>
  </si>
  <si>
    <t>AHUJA VALECHA &amp; ASSOCIATES LLP</t>
  </si>
  <si>
    <t>INV-25-26-000057</t>
  </si>
  <si>
    <t>Centre for Law and Policy Research Trust</t>
  </si>
  <si>
    <t>INV-25-26-000064</t>
  </si>
  <si>
    <t>Kamaljeet Singh</t>
  </si>
  <si>
    <t>INV-25-26-000074</t>
  </si>
  <si>
    <t>Pioneer Legal</t>
  </si>
  <si>
    <t>INV-25-26-000076</t>
  </si>
  <si>
    <t>Saraf and Partners</t>
  </si>
  <si>
    <t>INV-25-26-000075</t>
  </si>
  <si>
    <t>Dua Associates</t>
  </si>
  <si>
    <t>INV-25-26-000077</t>
  </si>
  <si>
    <t>INV-25-26-000100</t>
  </si>
  <si>
    <t>1-CN ISSUE - INV-000100</t>
  </si>
  <si>
    <t>Sarthak Advocates &amp; Solicitors</t>
  </si>
  <si>
    <t>INV-25-26-000096</t>
  </si>
  <si>
    <t>Gupta Law Associates</t>
  </si>
  <si>
    <t>INV-25-26-000097</t>
  </si>
  <si>
    <t>Asahi Legal LLP</t>
  </si>
  <si>
    <t>INV-25-26-000121</t>
  </si>
  <si>
    <t>Vis Legis Law Practice</t>
  </si>
  <si>
    <t>INV-25-26-000123</t>
  </si>
  <si>
    <t>1 Month-Upfront</t>
  </si>
  <si>
    <t>Gera Developments Pvt. Ltd.</t>
  </si>
  <si>
    <t>INV-25-26-000106</t>
  </si>
  <si>
    <t>Rithin Rai</t>
  </si>
  <si>
    <t>INV-25-26-000138</t>
  </si>
  <si>
    <t>Shreshth Tomar</t>
  </si>
  <si>
    <t>Gaurav Mehta</t>
  </si>
  <si>
    <t>INV-25-26-000108</t>
  </si>
  <si>
    <t>MD&amp;T Partners</t>
  </si>
  <si>
    <t>INV-25-26-000110</t>
  </si>
  <si>
    <t>INV-25-26-000192</t>
  </si>
  <si>
    <t>Hamza mir</t>
  </si>
  <si>
    <t>INV-25-26-000103</t>
  </si>
  <si>
    <t>Vritti Law Partners</t>
  </si>
  <si>
    <t>INV-25-26-000118</t>
  </si>
  <si>
    <t>Chambers of Moazzam Khan</t>
  </si>
  <si>
    <t>INV-25-26-000122</t>
  </si>
  <si>
    <t>Vishal Kanade</t>
  </si>
  <si>
    <t>INV-25-26-000117</t>
  </si>
  <si>
    <t>Phoenix Legal</t>
  </si>
  <si>
    <t>INV-25-26-000126</t>
  </si>
  <si>
    <t>Jai Malviya</t>
  </si>
  <si>
    <t>J INFRATECH LIMITED</t>
  </si>
  <si>
    <t>INV-25-26-000129</t>
  </si>
  <si>
    <t>Sankalp</t>
  </si>
  <si>
    <t>Stride Legal</t>
  </si>
  <si>
    <t>INV-25-26-000136,000210, 000292, 000372, 000457</t>
  </si>
  <si>
    <t>1-CN ISSUE -inv-210, 292, 372, 457</t>
  </si>
  <si>
    <t>Meghav Gupta</t>
  </si>
  <si>
    <t>INV-25-26-000141</t>
  </si>
  <si>
    <t>C&amp;S Partners</t>
  </si>
  <si>
    <t>INV-25-26-000120</t>
  </si>
  <si>
    <t>Aquilaw</t>
  </si>
  <si>
    <t>INV-25-26-000147</t>
  </si>
  <si>
    <t>Svarniti Law Offices</t>
  </si>
  <si>
    <t>INV-25-26-000150</t>
  </si>
  <si>
    <t>Khaitan Legal Asscoiates</t>
  </si>
  <si>
    <t>INV-25-26-000152</t>
  </si>
  <si>
    <t>Parakram Legal</t>
  </si>
  <si>
    <t>INV-25-26-000155</t>
  </si>
  <si>
    <t>INV-25-26-000158</t>
  </si>
  <si>
    <t>INV-25-26-000161</t>
  </si>
  <si>
    <t>NKR Law Offices</t>
  </si>
  <si>
    <t>INV-25-26-000160</t>
  </si>
  <si>
    <t>Poovayya &amp; CO</t>
  </si>
  <si>
    <t>INV-25-26-000163</t>
  </si>
  <si>
    <t>Sajan Poovayya</t>
  </si>
  <si>
    <t>INV-25-26-000164</t>
  </si>
  <si>
    <t>INV-25-26-000166</t>
  </si>
  <si>
    <t>Vardharma Chambers</t>
  </si>
  <si>
    <t>INV-25-26-000167</t>
  </si>
  <si>
    <t>IRIS LEGAL</t>
  </si>
  <si>
    <t>INV-25-26-000169</t>
  </si>
  <si>
    <t>Pracheta</t>
  </si>
  <si>
    <t>Yakshay Chheda</t>
  </si>
  <si>
    <t>INV-25-26-000173</t>
  </si>
  <si>
    <t>Tipping Mr Pink Private Limited</t>
  </si>
  <si>
    <t>INV-25-26-000174</t>
  </si>
  <si>
    <t>AJNM LAW INDIA LLP</t>
  </si>
  <si>
    <t>INV-25-26-000176</t>
  </si>
  <si>
    <t>INV-25-26-000269</t>
  </si>
  <si>
    <t>Shreshth</t>
  </si>
  <si>
    <t>45 -Days -Upfront</t>
  </si>
  <si>
    <t>KINJAL CIVILCON LLP</t>
  </si>
  <si>
    <t>INV-25-26-000182</t>
  </si>
  <si>
    <t>1-CN ISSUE - INV-182 - 17700.00</t>
  </si>
  <si>
    <t>INV-25-26-000193</t>
  </si>
  <si>
    <t>DSK Legal</t>
  </si>
  <si>
    <t>INV-25-26-000190</t>
  </si>
  <si>
    <t>INV-25-26-000212</t>
  </si>
  <si>
    <t>S Priya</t>
  </si>
  <si>
    <t>INV-25-26-000196</t>
  </si>
  <si>
    <t>AMS Legal</t>
  </si>
  <si>
    <t>INV-25-26-000204</t>
  </si>
  <si>
    <t>Gauri Puri</t>
  </si>
  <si>
    <t>INV-25-26-000207,</t>
  </si>
  <si>
    <t xml:space="preserve"> INV-25-26-000287,  000367, 000546, 000656</t>
  </si>
  <si>
    <t xml:space="preserve">1-CN ISSUE - INV-000367
</t>
  </si>
  <si>
    <t>Aurtus Consulting LLP</t>
  </si>
  <si>
    <t>INV-25-26-000216</t>
  </si>
  <si>
    <t>INV-25-26-000239</t>
  </si>
  <si>
    <t>Tejeshwar Singh</t>
  </si>
  <si>
    <t>INV-25-26-000220</t>
  </si>
  <si>
    <t>1CN of Amoumt -29500.00</t>
  </si>
  <si>
    <t>Manini Brar</t>
  </si>
  <si>
    <t>INV-25-26-000143</t>
  </si>
  <si>
    <t>ZEUS Law Associates</t>
  </si>
  <si>
    <t>INV-25-26-000215</t>
  </si>
  <si>
    <t>1-CN ISSUE - INV- 215 - 720.00</t>
  </si>
  <si>
    <t>Khaitan Legal Associates</t>
  </si>
  <si>
    <t>INV-25-26-000268</t>
  </si>
  <si>
    <t>B2C</t>
  </si>
  <si>
    <t>INV-25-26-000232</t>
  </si>
  <si>
    <t>ANM Global Inc</t>
  </si>
  <si>
    <t>INV-25-26-000236</t>
  </si>
  <si>
    <t>Jayakar and Partners</t>
  </si>
  <si>
    <t>INV-25-26-000245</t>
  </si>
  <si>
    <t>1CN- ISSUE - INV-245 -23600.00</t>
  </si>
  <si>
    <t>INV-25-26-000242,</t>
  </si>
  <si>
    <t>RUNWAL ENTERPRISES LIMITED</t>
  </si>
  <si>
    <t>INV-25-26-000235</t>
  </si>
  <si>
    <t>Vikas Mehta</t>
  </si>
  <si>
    <t>INV-25-26-000240</t>
  </si>
  <si>
    <t>Rajeev K. Virmani</t>
  </si>
  <si>
    <t>INV-25-26-000255</t>
  </si>
  <si>
    <t>Acuity Law LLP</t>
  </si>
  <si>
    <t>INV-25-26-000258</t>
  </si>
  <si>
    <t>Vaish Associates</t>
  </si>
  <si>
    <t>INV-25-26-000257</t>
  </si>
  <si>
    <t>Jai Malaviya</t>
  </si>
  <si>
    <t>INV-25-26-000265</t>
  </si>
  <si>
    <t>INV-25-26-000270</t>
  </si>
  <si>
    <t>INV-25-26-000271</t>
  </si>
  <si>
    <t>S C Sharada &amp; Associates| Company Secretaries</t>
  </si>
  <si>
    <t>INV-25-26-000276</t>
  </si>
  <si>
    <t>10 -Days -Upfront</t>
  </si>
  <si>
    <t>Roshan Santhalia</t>
  </si>
  <si>
    <t xml:space="preserve"> INV-25-26-000295</t>
  </si>
  <si>
    <t>Parinam Law Associates</t>
  </si>
  <si>
    <t xml:space="preserve"> INV-25-26-000294</t>
  </si>
  <si>
    <t>Ankit Talsania</t>
  </si>
  <si>
    <t xml:space="preserve"> INV-25-26-000300</t>
  </si>
  <si>
    <t>1-CN ISSUE - INV-300 -6000.00</t>
  </si>
  <si>
    <t>Karanjawala &amp; Company Advocates</t>
  </si>
  <si>
    <t xml:space="preserve"> INV-25-26-000303</t>
  </si>
  <si>
    <t>Clavius Legal</t>
  </si>
  <si>
    <t xml:space="preserve"> INV-25-26-000305</t>
  </si>
  <si>
    <t>Gaurav Ray, Advocate on Record</t>
  </si>
  <si>
    <t xml:space="preserve"> INV-25-26-000307</t>
  </si>
  <si>
    <t>1-CN ISSUE -inv-307</t>
  </si>
  <si>
    <t xml:space="preserve"> INV-25-26-000310</t>
  </si>
  <si>
    <t>Ecclesia Advocates and Solicitors</t>
  </si>
  <si>
    <t>INV-25-26-000315</t>
  </si>
  <si>
    <t>Annual Upfront</t>
  </si>
  <si>
    <t>Deep Cover Law- Chirag Narasimiah</t>
  </si>
  <si>
    <t>INV-25-26-000313</t>
  </si>
  <si>
    <t>1 CN- OF -6509.00</t>
  </si>
  <si>
    <t>Devina Sehgal</t>
  </si>
  <si>
    <t>INV-25-26-000318</t>
  </si>
  <si>
    <t>Mukul Sharma and Company</t>
  </si>
  <si>
    <t xml:space="preserve"> INV-25-26-000320</t>
  </si>
  <si>
    <t>1-CN ISSUE - INV-000320</t>
  </si>
  <si>
    <t xml:space="preserve"> INV-25-26-000324</t>
  </si>
  <si>
    <t>TREELIFE VENTURES SERVICES PRIVATE LIMITED</t>
  </si>
  <si>
    <t>INV-25-26-000319</t>
  </si>
  <si>
    <t>Vidhii Partners</t>
  </si>
  <si>
    <t>INV-25-26-000330</t>
  </si>
  <si>
    <t>KATARIYA CONSULTANCY INDIA LLP</t>
  </si>
  <si>
    <t>INV-25-26-000351</t>
  </si>
  <si>
    <t>Foresight Law Offices</t>
  </si>
  <si>
    <t>INV-25-26-000352</t>
  </si>
  <si>
    <t>Diwan Law Associates</t>
  </si>
  <si>
    <t>INV-25-26-000079-000115'000191,  000263, 000346, 000429, 000513,  000612</t>
  </si>
  <si>
    <t>Manas Khandal</t>
  </si>
  <si>
    <t>The Guild | Advocates &amp; Associate Counsel</t>
  </si>
  <si>
    <t xml:space="preserve">INV-000038,INV-25-26-000219
</t>
  </si>
  <si>
    <t>Annual- Half Yearly</t>
  </si>
  <si>
    <t>Abhimanyu Garg / Methodica Legal</t>
  </si>
  <si>
    <t>INV-25-26-00042, 000183, 000218, 000421</t>
  </si>
  <si>
    <t xml:space="preserve">Annual ,Quarterly </t>
  </si>
  <si>
    <t>Saswat Mohanty</t>
  </si>
  <si>
    <t>INV-75 ,INV-25-26-000061-000145</t>
  </si>
  <si>
    <t>Three Installments of 53k</t>
  </si>
  <si>
    <t>Vesta Legal</t>
  </si>
  <si>
    <t>INV-25-26-00081, 000130, 000366</t>
  </si>
  <si>
    <t xml:space="preserve">3-CN-INVNO-107&amp;177-(247-VOID) &amp; 366  -109197.2
</t>
  </si>
  <si>
    <t>Darius J. Khambata</t>
  </si>
  <si>
    <t>INV-25-26-000021 ,  000178, 000248,  000022, 000148, 000337, 000416, 000500, 000600</t>
  </si>
  <si>
    <t>Megha Chandra</t>
  </si>
  <si>
    <t>INV-000099, 000116'000197,  000264, 000347, 000430, 000514, 000613</t>
  </si>
  <si>
    <t>13 month-Monthly</t>
  </si>
  <si>
    <t>Chambers of Aman Vachher</t>
  </si>
  <si>
    <t>INV-25-26-000062</t>
  </si>
  <si>
    <t>SK Singhi and Partners</t>
  </si>
  <si>
    <t>INV-25-26-000063</t>
  </si>
  <si>
    <t>VACUITAS COUNSELLOR LLP</t>
  </si>
  <si>
    <t>INV-25-26-000005</t>
  </si>
  <si>
    <t>Dileep Poolakkot</t>
  </si>
  <si>
    <t>INV-25-26-000010</t>
  </si>
  <si>
    <t>PSN Legal Advocates and Legal Consultants</t>
  </si>
  <si>
    <t>INV-25-26-000017</t>
  </si>
  <si>
    <t>SKR &amp; associates</t>
  </si>
  <si>
    <t>INV-25-26-000065-000114' 000185, 000260, 000344, 000425, 000510, 000607</t>
  </si>
  <si>
    <t>Rashmikant and Partners</t>
  </si>
  <si>
    <t>INV-25-26-000029</t>
  </si>
  <si>
    <t>Advocate Rohit Jaiswal</t>
  </si>
  <si>
    <t xml:space="preserve">INV-25-26-000009,00107,000177,  000247,  </t>
  </si>
  <si>
    <t xml:space="preserve">2-CN-INVNO-107&amp;177-(247-VOID)
</t>
  </si>
  <si>
    <t>R. Vishnu Kumar, Advocate</t>
  </si>
  <si>
    <t>INV-25-26-000034-000125,000199, 000272,  000358, 000432, 000528, 000631</t>
  </si>
  <si>
    <t>RPV LEGAL</t>
  </si>
  <si>
    <t>INV-25-26-000040</t>
  </si>
  <si>
    <t xml:space="preserve">SINHA &amp; COMPANY
</t>
  </si>
  <si>
    <t>INV-25-26-000046</t>
  </si>
  <si>
    <t>Darshit Jain</t>
  </si>
  <si>
    <t>INV-25-26-000047</t>
  </si>
  <si>
    <t>Sagar Ghogre</t>
  </si>
  <si>
    <t>INV-25-26-000048</t>
  </si>
  <si>
    <t>Chetan shah</t>
  </si>
  <si>
    <t>INV-25-26-000049</t>
  </si>
  <si>
    <t>Sneha Phene</t>
  </si>
  <si>
    <t>INV-25-26-000050</t>
  </si>
  <si>
    <t>Gunjan Mangla</t>
  </si>
  <si>
    <t>INV-25-26-000051</t>
  </si>
  <si>
    <t>Zulfiqar Jariwala</t>
  </si>
  <si>
    <t>INV-25-26-000052</t>
  </si>
  <si>
    <t>Manjari Shah</t>
  </si>
  <si>
    <t>INV-25-26-000053</t>
  </si>
  <si>
    <t>Sagar Sheth</t>
  </si>
  <si>
    <t>INV-25-26-000054</t>
  </si>
  <si>
    <t>Mahek Bookwala</t>
  </si>
  <si>
    <t>INV-25-26-000055</t>
  </si>
  <si>
    <t>Pradeep Sancheti</t>
  </si>
  <si>
    <t>INV-25-26-000056</t>
  </si>
  <si>
    <t xml:space="preserve">1-CN ISSUE -inv-00056
</t>
  </si>
  <si>
    <t>Pratik Patnaik</t>
  </si>
  <si>
    <t>INV-25-26-0060, 0144, 0230, , 0333, 0382, 0468, 0558, 0688</t>
  </si>
  <si>
    <t>Justice (Retd.) Kurian Joseph</t>
  </si>
  <si>
    <t>INV-25-26-000045</t>
  </si>
  <si>
    <t>Srivastava &amp; Company</t>
  </si>
  <si>
    <t>INV-25-26-000066, 000564</t>
  </si>
  <si>
    <t>Piyush Raheja</t>
  </si>
  <si>
    <t>INV-25-26-000067</t>
  </si>
  <si>
    <t>⁠Feroze Patel</t>
  </si>
  <si>
    <t>INV-25-26-000068</t>
  </si>
  <si>
    <t>Kazan Shroff</t>
  </si>
  <si>
    <t>INV-25-26-000069</t>
  </si>
  <si>
    <t>Kajol Punjabi</t>
  </si>
  <si>
    <t>INV-25-26-000070</t>
  </si>
  <si>
    <t>Neeta Jain</t>
  </si>
  <si>
    <t>INV-25-26-000071</t>
  </si>
  <si>
    <t>Amrut Joshi</t>
  </si>
  <si>
    <t>INV-25-26-000072</t>
  </si>
  <si>
    <t>Gaurav Joshi</t>
  </si>
  <si>
    <t>INV-25-26-000073</t>
  </si>
  <si>
    <t>NC Legal</t>
  </si>
  <si>
    <t>INV-25-26-000037</t>
  </si>
  <si>
    <t>Kunal Kunango</t>
  </si>
  <si>
    <t>INV-25-26-000101</t>
  </si>
  <si>
    <t>Shrey Lodha</t>
  </si>
  <si>
    <t xml:space="preserve">INV-25-26-000165, 000231, </t>
  </si>
  <si>
    <t>CN ISSUED-INV -165 &amp;  INV-231 VOID</t>
  </si>
  <si>
    <t>Divyanshu Rai</t>
  </si>
  <si>
    <t>INV-25-26-000102</t>
  </si>
  <si>
    <t>Chambers of Ninad Laud</t>
  </si>
  <si>
    <t>INV-25-26-000105,000171, 000246,000332, 000415,  000496, 000596</t>
  </si>
  <si>
    <t xml:space="preserve">Jayanth
</t>
  </si>
  <si>
    <t>11 months subscription, Monthly</t>
  </si>
  <si>
    <t>1-CN ISSUE -inv-000332 of -11800.00</t>
  </si>
  <si>
    <t>Kachwaha &amp; Partners</t>
  </si>
  <si>
    <t>INV-25-26-000112</t>
  </si>
  <si>
    <t>INV-25-26-000209</t>
  </si>
  <si>
    <t>SINHA &amp; COMPANY</t>
  </si>
  <si>
    <t>INV-25-26-000119</t>
  </si>
  <si>
    <t>Nikhil Pai</t>
  </si>
  <si>
    <t>INV-25-26-000128</t>
  </si>
  <si>
    <t>Vyom Shah</t>
  </si>
  <si>
    <t>INV-25-26-000131</t>
  </si>
  <si>
    <t>Zubin Behramkamdin</t>
  </si>
  <si>
    <t>INV-25-26-000132</t>
  </si>
  <si>
    <t>jayanth</t>
  </si>
  <si>
    <t>Jennifer Michael</t>
  </si>
  <si>
    <t>INV-25-26-000133</t>
  </si>
  <si>
    <t>Som Sinha &amp; Associates</t>
  </si>
  <si>
    <t>INV-25-26-000134</t>
  </si>
  <si>
    <t>MZM Legal LLP</t>
  </si>
  <si>
    <t>INV-25-26-000135</t>
  </si>
  <si>
    <t>INV-25-26-000139</t>
  </si>
  <si>
    <t>INV-25-26-000140</t>
  </si>
  <si>
    <t>Shashwat Bajpai</t>
  </si>
  <si>
    <t>INV-25-26-000142</t>
  </si>
  <si>
    <t>Nitish Raj</t>
  </si>
  <si>
    <t>INV-25-26-000146</t>
  </si>
  <si>
    <t>Samya Law Chambers</t>
  </si>
  <si>
    <t>INV-25-26-000153</t>
  </si>
  <si>
    <t>IndusLaw</t>
  </si>
  <si>
    <t>INV-25-26-000156</t>
  </si>
  <si>
    <t>Daswani &amp; Daswani</t>
  </si>
  <si>
    <t>INV-25-26-000151</t>
  </si>
  <si>
    <t>Shri Venkatesh , SKV law offices</t>
  </si>
  <si>
    <t>INV-25-26-000154</t>
  </si>
  <si>
    <t>1-CN ISSUE -INV-000154</t>
  </si>
  <si>
    <t xml:space="preserve">INV-25-26-000157- 000224, </t>
  </si>
  <si>
    <t>Birendra Saraf</t>
  </si>
  <si>
    <t>INV-25-26-000168</t>
  </si>
  <si>
    <t>JYOT-A Public Trust</t>
  </si>
  <si>
    <t>INV-25-26-000172</t>
  </si>
  <si>
    <t>KUAJ LEGAL</t>
  </si>
  <si>
    <t>INV-25-26-000175</t>
  </si>
  <si>
    <t>INV-25-26-000206, 000453</t>
  </si>
  <si>
    <t xml:space="preserve">Annual , Quarterly </t>
  </si>
  <si>
    <t>Agraa Legal</t>
  </si>
  <si>
    <t>INV-25-26-000181</t>
  </si>
  <si>
    <t>Shobit Phutela</t>
  </si>
  <si>
    <t>INV-25-26-000186</t>
  </si>
  <si>
    <t>Narottam  Sharma</t>
  </si>
  <si>
    <t>INV-25-26-000187</t>
  </si>
  <si>
    <t xml:space="preserve">1-CN ISSUE - INV187
</t>
  </si>
  <si>
    <t>Rahul Saboo, Advocate</t>
  </si>
  <si>
    <t>INV-25-26-000189,000262, 000345, 000427, 000512, 000608</t>
  </si>
  <si>
    <t>Joy Baxi &amp; Associates</t>
  </si>
  <si>
    <t>INV-25-26-000201</t>
  </si>
  <si>
    <t>Meghna Talwar</t>
  </si>
  <si>
    <t>INV-25-26-000194</t>
  </si>
  <si>
    <t>INV-25-26-000195</t>
  </si>
  <si>
    <t>INV-25-26-000202</t>
  </si>
  <si>
    <t>Ganesh &amp; Co.</t>
  </si>
  <si>
    <t>INV-25-26-000203</t>
  </si>
  <si>
    <t>Amit Bhagat</t>
  </si>
  <si>
    <t>INV-25-26-000208, 000288, 000368, 000455, 000547, 000657</t>
  </si>
  <si>
    <t>Sundeep Karnik</t>
  </si>
  <si>
    <t>INV-25-26-000211</t>
  </si>
  <si>
    <t>INV-25-26-000205, 000452</t>
  </si>
  <si>
    <t>Rohan Talwar</t>
  </si>
  <si>
    <t>INV-25-26-000214</t>
  </si>
  <si>
    <t>INV-25-26-000217</t>
  </si>
  <si>
    <t>INV-25-26-000225</t>
  </si>
  <si>
    <t>Elixir Legal Services</t>
  </si>
  <si>
    <t>INV-25-26-000222</t>
  </si>
  <si>
    <t xml:space="preserve"> INV-25-26-000298</t>
  </si>
  <si>
    <t>LegaLogic Consulting</t>
  </si>
  <si>
    <t xml:space="preserve"> INV-25-26-000299</t>
  </si>
  <si>
    <t>Apoorv Kurup</t>
  </si>
  <si>
    <t>INV-25-26-000221</t>
  </si>
  <si>
    <t>Solaris Legal</t>
  </si>
  <si>
    <t>INV-25-26-000226, 000481</t>
  </si>
  <si>
    <t>Surel Shah</t>
  </si>
  <si>
    <t>INV-25-26-000227</t>
  </si>
  <si>
    <t>MG Ramachandran</t>
  </si>
  <si>
    <t>INV-25-26-000228, 000482</t>
  </si>
  <si>
    <t>Aanchal Basur</t>
  </si>
  <si>
    <t>INV-25-26-000234, 000485</t>
  </si>
  <si>
    <t>Hamsaanandini Nanduri</t>
  </si>
  <si>
    <t>INV-25-26-000278, 000484</t>
  </si>
  <si>
    <t>INVOICE -000484 -CANCEL- B2C</t>
  </si>
  <si>
    <t>Swapnil Wagh</t>
  </si>
  <si>
    <t>INV-25-26-000243</t>
  </si>
  <si>
    <t>Arpit Gupta</t>
  </si>
  <si>
    <t>INV-25-26-000244</t>
  </si>
  <si>
    <t>INV-25-26-000237</t>
  </si>
  <si>
    <t>INV-25-26-000233</t>
  </si>
  <si>
    <t>INV-25-26-000238</t>
  </si>
  <si>
    <t>INV-25-26-000250</t>
  </si>
  <si>
    <t>INV-25-26-000251</t>
  </si>
  <si>
    <t>1-CN ISSUE - INV-000251</t>
  </si>
  <si>
    <t>Rohan Shah</t>
  </si>
  <si>
    <t>INV-25-26-000252</t>
  </si>
  <si>
    <t>GM Legal</t>
  </si>
  <si>
    <t>INV-25-26-000253</t>
  </si>
  <si>
    <t>INV-25-26-000254</t>
  </si>
  <si>
    <t>Philips India Limited</t>
  </si>
  <si>
    <t xml:space="preserve"> INV-25-26-000286</t>
  </si>
  <si>
    <t>Priyanshi Kholia</t>
  </si>
  <si>
    <t>INV-25-26-000267</t>
  </si>
  <si>
    <t>Bishwajit Dubey</t>
  </si>
  <si>
    <t>INV-25-26-000273, 000643</t>
  </si>
  <si>
    <t>Krati Gupta</t>
  </si>
  <si>
    <t>INV-25-26-000274</t>
  </si>
  <si>
    <t>INV-25-26-000279</t>
  </si>
  <si>
    <t>INV-25-26-000280</t>
  </si>
  <si>
    <t>INV-25-26-000281</t>
  </si>
  <si>
    <t>INV-25-26-000283,  000360, 000435 , 000538, 000634</t>
  </si>
  <si>
    <t>GC Legal</t>
  </si>
  <si>
    <t>INV-25-26-000284,  000361, 000436, 000539, 000635</t>
  </si>
  <si>
    <t>Krishnan Venugopal</t>
  </si>
  <si>
    <t>INV-25-26-000282</t>
  </si>
  <si>
    <t>Anush Raajan</t>
  </si>
  <si>
    <t xml:space="preserve"> INV-25-26-000285</t>
  </si>
  <si>
    <t>Nayana Tara BG</t>
  </si>
  <si>
    <t xml:space="preserve"> INV-25-26-000289</t>
  </si>
  <si>
    <t>Akshay Srivastava</t>
  </si>
  <si>
    <t xml:space="preserve"> INV-25-26-000290</t>
  </si>
  <si>
    <t>ICL CORPORATE ADVISORY PRIVATE LIMITED</t>
  </si>
  <si>
    <t xml:space="preserve"> INV-25-26-000291</t>
  </si>
  <si>
    <t>RHP Partners</t>
  </si>
  <si>
    <t xml:space="preserve"> INV-25-26-000296</t>
  </si>
  <si>
    <t>INV-25-26-000297,  000373, 000458,  000550, 000666</t>
  </si>
  <si>
    <t>2-CN ISSUE -inv-297 &amp; 373</t>
  </si>
  <si>
    <t>ASV Legal LLP</t>
  </si>
  <si>
    <t xml:space="preserve"> INV-25-26-000301</t>
  </si>
  <si>
    <t>Tarun G Reddy</t>
  </si>
  <si>
    <t xml:space="preserve"> INV-25-26-000302</t>
  </si>
  <si>
    <t xml:space="preserve"> INV-25-26-000304, 000376,000459, 000551, 000673</t>
  </si>
  <si>
    <t>9 month-Monthly</t>
  </si>
  <si>
    <t>Vivek Anand Anthony Britto</t>
  </si>
  <si>
    <t xml:space="preserve"> INV-25-26-000293</t>
  </si>
  <si>
    <t>2 Year- Upfront</t>
  </si>
  <si>
    <t>Krishna Dev Jagarlamudi</t>
  </si>
  <si>
    <t xml:space="preserve"> INV-25-26-000306</t>
  </si>
  <si>
    <t>R. Ginodia &amp; Co. LLP</t>
  </si>
  <si>
    <t xml:space="preserve"> INV-25-26-000311</t>
  </si>
  <si>
    <t xml:space="preserve"> INV-25-26-000321</t>
  </si>
  <si>
    <t>Saurabh Prakash</t>
  </si>
  <si>
    <t>INV-25-26-000314</t>
  </si>
  <si>
    <t>Jaiveer Shergil</t>
  </si>
  <si>
    <t>INV-25-26-000317</t>
  </si>
  <si>
    <t>Ujjwal Sharma</t>
  </si>
  <si>
    <t>INV-25-26-000261</t>
  </si>
  <si>
    <t>Dhruve Liladhar &amp; Co</t>
  </si>
  <si>
    <t xml:space="preserve"> INV-25-26-000308</t>
  </si>
  <si>
    <t>INV-25-26-000316</t>
  </si>
  <si>
    <t>Brijesh Oberoi</t>
  </si>
  <si>
    <t>INV-25-26-000322</t>
  </si>
  <si>
    <t>Pranav Badheka</t>
  </si>
  <si>
    <t xml:space="preserve"> INV-25-26-000326</t>
  </si>
  <si>
    <t>TRILOK POWER AND CABLES PRIVATE  LIMITED</t>
  </si>
  <si>
    <t xml:space="preserve"> INV-25-26-000327</t>
  </si>
  <si>
    <t xml:space="preserve"> INV-25-26-000328, 000609</t>
  </si>
  <si>
    <t>Chirag shah, Advocate</t>
  </si>
  <si>
    <t>INV-25-26-000329</t>
  </si>
  <si>
    <t>Dharma Law Partners</t>
  </si>
  <si>
    <t>INV-25-26-000331, 592</t>
  </si>
  <si>
    <t xml:space="preserve"> INV-25-26-000325</t>
  </si>
  <si>
    <t>1-CN ISSUE - INV- 325 - 1608.00</t>
  </si>
  <si>
    <t>Kevic Setalvad</t>
  </si>
  <si>
    <t>INV-25-26-000334</t>
  </si>
  <si>
    <t>Giriraj Subramanium</t>
  </si>
  <si>
    <t>INV-25-26-000335</t>
  </si>
  <si>
    <t>INV-25-26-000339</t>
  </si>
  <si>
    <t>Trust Law</t>
  </si>
  <si>
    <t>INV-25-26-000266</t>
  </si>
  <si>
    <t>Malak Bhatt</t>
  </si>
  <si>
    <t xml:space="preserve"> INV-25-26-000340</t>
  </si>
  <si>
    <t xml:space="preserve"> INV-25-26-000341</t>
  </si>
  <si>
    <t xml:space="preserve"> INV-25-26-000342</t>
  </si>
  <si>
    <t>Parul Sharma</t>
  </si>
  <si>
    <t>INV-25-26-000348</t>
  </si>
  <si>
    <t>Tushar Jarwal</t>
  </si>
  <si>
    <t>INV-25-26-000349</t>
  </si>
  <si>
    <t>1-CN ISSUE - INV-349 -41300.00</t>
  </si>
  <si>
    <t>Kushagra Shah</t>
  </si>
  <si>
    <t>INV-25-26-000353</t>
  </si>
  <si>
    <t>Virmani &amp; Virmani</t>
  </si>
  <si>
    <t>INV-25-26-000350</t>
  </si>
  <si>
    <t>INV-25-26-000354</t>
  </si>
  <si>
    <t>SAGA LEGAL</t>
  </si>
  <si>
    <t>INV-25-26-000355</t>
  </si>
  <si>
    <t>Jain and Talukdar</t>
  </si>
  <si>
    <t>INV-25-26-000356</t>
  </si>
  <si>
    <t xml:space="preserve"> INV-25-26-000357, 000431</t>
  </si>
  <si>
    <t>8 month-Monthly</t>
  </si>
  <si>
    <t xml:space="preserve">1-CN ISSUE - INV-357
</t>
  </si>
  <si>
    <t>Bharat Chugh</t>
  </si>
  <si>
    <t>INV-25-26-000362</t>
  </si>
  <si>
    <t>Tuli &amp; Co.</t>
  </si>
  <si>
    <t>INV-25-26-000363</t>
  </si>
  <si>
    <t>Karthik Sundar</t>
  </si>
  <si>
    <t>INV-25-26-000364</t>
  </si>
  <si>
    <t>INV-25-26-000365</t>
  </si>
  <si>
    <t>Akkash Bhadana</t>
  </si>
  <si>
    <t>INV-25-26-000369</t>
  </si>
  <si>
    <t>Gaurav Gupta</t>
  </si>
  <si>
    <t>INV-25-26-000370</t>
  </si>
  <si>
    <t>INV-25-26-000371, 593</t>
  </si>
  <si>
    <t>varun</t>
  </si>
  <si>
    <t>Reliance Corporate Advisors (R)</t>
  </si>
  <si>
    <t>INV-25-26-000375</t>
  </si>
  <si>
    <t>Amrit Grewal</t>
  </si>
  <si>
    <t>INV-25-26-000377</t>
  </si>
  <si>
    <t>INV-25-26-000378</t>
  </si>
  <si>
    <t>J.R. LADDHA FINANCIAL SERVICES PRIVATE LIMITED</t>
  </si>
  <si>
    <t>INV-25-26-000379</t>
  </si>
  <si>
    <t>Talha Abdul Rahman</t>
  </si>
  <si>
    <t>INV-25-26-000380</t>
  </si>
  <si>
    <t>CONVERTED</t>
  </si>
  <si>
    <t>INV-25-26-000381</t>
  </si>
  <si>
    <t>Shreya Desai</t>
  </si>
  <si>
    <t>INV-25-26-000383</t>
  </si>
  <si>
    <t>1-CN ISSUE -inv-383 VOID</t>
  </si>
  <si>
    <t>INV-25-26-000384</t>
  </si>
  <si>
    <t>5 month-Upfront</t>
  </si>
  <si>
    <t>INV-25-26-000385</t>
  </si>
  <si>
    <t xml:space="preserve"> INV-25-26-000386, 578</t>
  </si>
  <si>
    <t>KRISH HOMES</t>
  </si>
  <si>
    <t xml:space="preserve"> INV-25-26-000387</t>
  </si>
  <si>
    <t>Saqeb Mahbub</t>
  </si>
  <si>
    <t xml:space="preserve"> INV-25-26-000389</t>
  </si>
  <si>
    <t>JSM Law Partners</t>
  </si>
  <si>
    <t xml:space="preserve"> INV-25-26-000391</t>
  </si>
  <si>
    <t xml:space="preserve">Manas Khandelwal
</t>
  </si>
  <si>
    <t>29/02/2026</t>
  </si>
  <si>
    <t xml:space="preserve"> INV-25-26-000392</t>
  </si>
  <si>
    <t xml:space="preserve"> INV-25-26-000393</t>
  </si>
  <si>
    <t>Justice S. Ravindra Bhat</t>
  </si>
  <si>
    <t>INV-25-26-000394</t>
  </si>
  <si>
    <t>INV-25-26-000395</t>
  </si>
  <si>
    <t xml:space="preserve">1111-CN ISSUE -inv-395  VOID
</t>
  </si>
  <si>
    <t>MEESHO LIMITED</t>
  </si>
  <si>
    <t>INV-25-26-000396</t>
  </si>
  <si>
    <t>INV-25-26-000398</t>
  </si>
  <si>
    <t>19 -Days -Upfront</t>
  </si>
  <si>
    <t>INV-25-26-000399</t>
  </si>
  <si>
    <t>Consera Legal LLP</t>
  </si>
  <si>
    <t>INV-25-26-000400</t>
  </si>
  <si>
    <t xml:space="preserve">Jai Malaviya
</t>
  </si>
  <si>
    <t>15 -Days -Upfront</t>
  </si>
  <si>
    <t>Udai V. S. Rathore</t>
  </si>
  <si>
    <t>INV-25-26-000401</t>
  </si>
  <si>
    <t>INV-25-26-000402</t>
  </si>
  <si>
    <t>INV-25-26-000403</t>
  </si>
  <si>
    <t>MV Law Partners</t>
  </si>
  <si>
    <t>INV-25-26-000404</t>
  </si>
  <si>
    <t>MDP Legal</t>
  </si>
  <si>
    <t>INV-25-26-000405</t>
  </si>
  <si>
    <t xml:space="preserve">1-CN ISSUE -1652.00
</t>
  </si>
  <si>
    <t>RRG &amp; Associates</t>
  </si>
  <si>
    <t>INV-25-26-000406</t>
  </si>
  <si>
    <t>INV-25-26-000407</t>
  </si>
  <si>
    <t>13 -Days -Upfront</t>
  </si>
  <si>
    <t xml:space="preserve">INV-25-26- 000388, 000409, 000488, </t>
  </si>
  <si>
    <t xml:space="preserve"> month-Upfront</t>
  </si>
  <si>
    <t>Dhru &amp; Co</t>
  </si>
  <si>
    <t>INV-25-26-000411</t>
  </si>
  <si>
    <t>INV-25-26-000412</t>
  </si>
  <si>
    <t>Anintika Bagla</t>
  </si>
  <si>
    <t>Hiren Kamod</t>
  </si>
  <si>
    <t xml:space="preserve">INV-25-26-000413,  </t>
  </si>
  <si>
    <t>494-594-B2C  closed</t>
  </si>
  <si>
    <t>Pravah Law</t>
  </si>
  <si>
    <t xml:space="preserve">INV-25-26-000414, </t>
  </si>
  <si>
    <t>495-595-B2C  closed</t>
  </si>
  <si>
    <t>INV-25-26-000417</t>
  </si>
  <si>
    <t>Varun</t>
  </si>
  <si>
    <t>Annual- Half Yearly ( 8 month 23days)</t>
  </si>
  <si>
    <t>INV-25-26-000418</t>
  </si>
  <si>
    <t>Ajinkya Kurdukar</t>
  </si>
  <si>
    <t>INV-25-26-000419</t>
  </si>
  <si>
    <t>INV-25-26-000422</t>
  </si>
  <si>
    <t>Vijay Manjreka</t>
  </si>
  <si>
    <t>INV-25-26-000423</t>
  </si>
  <si>
    <t>INV-25-26-000424, 000486, 579</t>
  </si>
  <si>
    <t>Ankur Mahindro</t>
  </si>
  <si>
    <t>INV-25-26-000426</t>
  </si>
  <si>
    <t>Pragati Law Chambers</t>
  </si>
  <si>
    <t>INV-25-26-000428</t>
  </si>
  <si>
    <t>INV-25-26-000433</t>
  </si>
  <si>
    <t>INV-25-26-000434</t>
  </si>
  <si>
    <t>KK &amp; Co</t>
  </si>
  <si>
    <t xml:space="preserve"> INV-25-26-000437</t>
  </si>
  <si>
    <t xml:space="preserve"> INV-25-26-000438</t>
  </si>
  <si>
    <t xml:space="preserve"> INV-25-26-000439</t>
  </si>
  <si>
    <t>Aditya Narayan Mahajan</t>
  </si>
  <si>
    <t xml:space="preserve"> INV-25-26-000440</t>
  </si>
  <si>
    <t xml:space="preserve">Shreshth Tomar
</t>
  </si>
  <si>
    <t>Prateek Rath</t>
  </si>
  <si>
    <t>INV-25-26-000441, 000540, 000636</t>
  </si>
  <si>
    <t>INV-25-26-000442</t>
  </si>
  <si>
    <t>OASIS REALTY</t>
  </si>
  <si>
    <t>INV-25-26-000443</t>
  </si>
  <si>
    <t>Jehangir Jeejeebhoy</t>
  </si>
  <si>
    <t>INV-25-26-000444</t>
  </si>
  <si>
    <t>3 month-Upfront</t>
  </si>
  <si>
    <t>Samar Bansal</t>
  </si>
  <si>
    <t>INV-25-26-000445</t>
  </si>
  <si>
    <t>INV-25-26-000446' 000542</t>
  </si>
  <si>
    <t xml:space="preserve">Jai Malaviya
</t>
  </si>
  <si>
    <t xml:space="preserve">2-CN ISSUE - INV-446 &amp;542 -33040 each
</t>
  </si>
  <si>
    <t>Law office of Amrita Sarkar</t>
  </si>
  <si>
    <t>INV-25-26-000447, 000543, 000648</t>
  </si>
  <si>
    <t>INV-25-26-000448</t>
  </si>
  <si>
    <t>INV-25-26-000449, 000544, 000649</t>
  </si>
  <si>
    <t>Harshita Agarwal</t>
  </si>
  <si>
    <t>Ankita Sharma</t>
  </si>
  <si>
    <t>INV-25-26-000450</t>
  </si>
  <si>
    <t>Mihir Desai</t>
  </si>
  <si>
    <t>INV-25-26-000451</t>
  </si>
  <si>
    <t>Kunal Vaishnav</t>
  </si>
  <si>
    <t>INV-25-26-000456, 000548, 000662</t>
  </si>
  <si>
    <t xml:space="preserve">Manas Khandelwal
</t>
  </si>
  <si>
    <t>AKS Advocates</t>
  </si>
  <si>
    <t>INV-25-26-000460</t>
  </si>
  <si>
    <t>Rajdeep Panda</t>
  </si>
  <si>
    <t xml:space="preserve"> INV-25-26-000461</t>
  </si>
  <si>
    <t>Hammurabi &amp; Solomon Partner</t>
  </si>
  <si>
    <t>INV-25-26-000462</t>
  </si>
  <si>
    <t>INV-25-26-000463</t>
  </si>
  <si>
    <t>Prerit Goyal</t>
  </si>
  <si>
    <t>INV-25-26-000464</t>
  </si>
  <si>
    <t>S Arjun Suresh</t>
  </si>
  <si>
    <t>INV-25-26-000465, 557, 682</t>
  </si>
  <si>
    <t>Shamik Sanjanwala</t>
  </si>
  <si>
    <t>INV-25-26-000466</t>
  </si>
  <si>
    <t>Adarsh Ramakrishnan</t>
  </si>
  <si>
    <t>INV-25-26-000467</t>
  </si>
  <si>
    <t xml:space="preserve">$125.00
</t>
  </si>
  <si>
    <t>Aditya S Puar</t>
  </si>
  <si>
    <t>INV-25-26-000470</t>
  </si>
  <si>
    <t>Debopriyo Moulik</t>
  </si>
  <si>
    <t>INV-25-26-000471</t>
  </si>
  <si>
    <t>REMFRY &amp; SAGAR CONSULTANT PVT LTD</t>
  </si>
  <si>
    <t>INV-25-26-000472</t>
  </si>
  <si>
    <t>Anirban Bhattacharya</t>
  </si>
  <si>
    <t>INV-25-26-000473</t>
  </si>
  <si>
    <t xml:space="preserve">Jayant Mehta
</t>
  </si>
  <si>
    <t>INV-25-26-000475</t>
  </si>
  <si>
    <t>Rohit Sharma</t>
  </si>
  <si>
    <t>INV-25-26-000476</t>
  </si>
  <si>
    <t>13 month-Upfront</t>
  </si>
  <si>
    <t>1-CN ISSUE - 99120  INV-476</t>
  </si>
  <si>
    <t>Sourish Roy</t>
  </si>
  <si>
    <t>INV-25-26-000477</t>
  </si>
  <si>
    <t>INV-25-26-000478</t>
  </si>
  <si>
    <t>Rohit Gupta</t>
  </si>
  <si>
    <t>INV-25-26-000479</t>
  </si>
  <si>
    <t>18 month-Half Yearly</t>
  </si>
  <si>
    <t>Sarvottam Law Offices</t>
  </si>
  <si>
    <t>INV-25-26-000480</t>
  </si>
  <si>
    <t>INV-25-26-000487</t>
  </si>
  <si>
    <t>SACH &amp; THARAAS ADVOCATES</t>
  </si>
  <si>
    <t>INV-25-26-000489</t>
  </si>
  <si>
    <t xml:space="preserve"> INV-25-26-000490</t>
  </si>
  <si>
    <t>Udyam Law Practice</t>
  </si>
  <si>
    <t xml:space="preserve"> INV-25-26-000491</t>
  </si>
  <si>
    <t xml:space="preserve"> INV-25-26-000492</t>
  </si>
  <si>
    <t xml:space="preserve">Manas Khandelwal
</t>
  </si>
  <si>
    <t>Lzafeer Ahmad B F</t>
  </si>
  <si>
    <t xml:space="preserve"> INV-25-26-000493</t>
  </si>
  <si>
    <t>Puneet Rathsharma</t>
  </si>
  <si>
    <t xml:space="preserve"> INV-25-26-000497</t>
  </si>
  <si>
    <t>Aarna Law LLP</t>
  </si>
  <si>
    <t xml:space="preserve"> INV-25-26-000498</t>
  </si>
  <si>
    <t xml:space="preserve"> INV-25-26-000499</t>
  </si>
  <si>
    <t>9 month-Upfront</t>
  </si>
  <si>
    <t>Singularity Legal LLP</t>
  </si>
  <si>
    <t xml:space="preserve"> INV-25-26-000501</t>
  </si>
  <si>
    <t>Sir Sobha Singh &amp; Sons Pvt Ltd</t>
  </si>
  <si>
    <t xml:space="preserve"> INV-25-26-000502</t>
  </si>
  <si>
    <t>Laksha Kalappa B</t>
  </si>
  <si>
    <t>INV-25-26-000504</t>
  </si>
  <si>
    <t>INV-25-26-000507</t>
  </si>
  <si>
    <t>9 months &amp; 23 days subscription, Upfront</t>
  </si>
  <si>
    <t>INV-25-26-000508</t>
  </si>
  <si>
    <t>INV-25-26-000511</t>
  </si>
  <si>
    <t xml:space="preserve">Varun
</t>
  </si>
  <si>
    <t>2 month&amp; 13 Days-Upfront</t>
  </si>
  <si>
    <t>NINE PILLARS INFRATECH LLP</t>
  </si>
  <si>
    <t>INV-25-26-000515</t>
  </si>
  <si>
    <t>Dr Sanjay Jain</t>
  </si>
  <si>
    <t>INV-25-26-000516</t>
  </si>
  <si>
    <t>Arun Kumar P</t>
  </si>
  <si>
    <t>INV-25-26-000517</t>
  </si>
  <si>
    <t>Ahan Gadkari</t>
  </si>
  <si>
    <t>INV-25-26-000518</t>
  </si>
  <si>
    <t>ASREC India Ltd</t>
  </si>
  <si>
    <t>INV-25-26-000519</t>
  </si>
  <si>
    <t>Chavi V Jain</t>
  </si>
  <si>
    <t>INV-25-26-000520, 000621</t>
  </si>
  <si>
    <t>Mahadeshwara. D</t>
  </si>
  <si>
    <t>INV-25-26-000521</t>
  </si>
  <si>
    <t>Pramit Mohanty</t>
  </si>
  <si>
    <t>INV-25-26-000522</t>
  </si>
  <si>
    <t>Manaswi Agrawal</t>
  </si>
  <si>
    <t>INV-25-26-000523, 000622</t>
  </si>
  <si>
    <t>Pratap Venugopal, Senior Advocate</t>
  </si>
  <si>
    <t>INV-25-26-000524</t>
  </si>
  <si>
    <t>Parekh Legal Proprieter Ami Parekh</t>
  </si>
  <si>
    <t>INV-25-26-000525, 000623</t>
  </si>
  <si>
    <t>AKS LAW ASSOCIATES</t>
  </si>
  <si>
    <t>INV-25-26-000526, 000624</t>
  </si>
  <si>
    <t>Aravindakshan Nair</t>
  </si>
  <si>
    <t xml:space="preserve"> INV-25-26-000529</t>
  </si>
  <si>
    <t>Nyayosh Bharucha</t>
  </si>
  <si>
    <t>INV-25-26-000530, 000667</t>
  </si>
  <si>
    <t xml:space="preserve">Shreshth Tomar
</t>
  </si>
  <si>
    <t>Sahil Singh</t>
  </si>
  <si>
    <t xml:space="preserve"> INV-25-26-000531</t>
  </si>
  <si>
    <t>Mohammed Moin</t>
  </si>
  <si>
    <t xml:space="preserve"> INV-25-26-000532</t>
  </si>
  <si>
    <t>Amicus Lex &amp; Associates</t>
  </si>
  <si>
    <t xml:space="preserve"> INV-25-26-000535, 000632</t>
  </si>
  <si>
    <t xml:space="preserve"> INV-25-26-000534</t>
  </si>
  <si>
    <t>Athena Legal</t>
  </si>
  <si>
    <t>INV-25-26-000536</t>
  </si>
  <si>
    <t>Arvind Menon</t>
  </si>
  <si>
    <t>INV-25-26-000537, 000633</t>
  </si>
  <si>
    <t>1-CN ISSUE - INV-537 -5310.00</t>
  </si>
  <si>
    <t>Kaizen Law</t>
  </si>
  <si>
    <t>INV-25-26-000541</t>
  </si>
  <si>
    <t>Vrinda Taneja</t>
  </si>
  <si>
    <t xml:space="preserve"> INV-25-26-000545, 000650</t>
  </si>
  <si>
    <t>1-CN ISSUE - INV- 545 - 6000.00</t>
  </si>
  <si>
    <t>Precinct Legal</t>
  </si>
  <si>
    <t>INV-25-26-000552</t>
  </si>
  <si>
    <t>Major Nirvikar Singh (Retd.)</t>
  </si>
  <si>
    <t>INV-25-26-000553</t>
  </si>
  <si>
    <t>INV-25-26-000554</t>
  </si>
  <si>
    <t>31/10/0256</t>
  </si>
  <si>
    <t>INV-25-26-000555</t>
  </si>
  <si>
    <t>$125.00</t>
  </si>
  <si>
    <t>1 USD = 87.765491</t>
  </si>
  <si>
    <t>Sandip Agarwal and Co.</t>
  </si>
  <si>
    <t xml:space="preserve"> INV-25-26-000556</t>
  </si>
  <si>
    <t>Vinayak Sharma</t>
  </si>
  <si>
    <t xml:space="preserve"> INV-25-26-000559</t>
  </si>
  <si>
    <t>Mohammed Yasir</t>
  </si>
  <si>
    <t>INV-25-26-000560</t>
  </si>
  <si>
    <t>INV-25-26-000561</t>
  </si>
  <si>
    <t>10 months-</t>
  </si>
  <si>
    <t>Lighthouse Legal</t>
  </si>
  <si>
    <t>INV-25-26-000562</t>
  </si>
  <si>
    <t>AL- Fanar Closed Joint Stock Company</t>
  </si>
  <si>
    <t>INV-25-26-000563</t>
  </si>
  <si>
    <t>$400.00</t>
  </si>
  <si>
    <t>1 USD = 88.28463 INR</t>
  </si>
  <si>
    <t>Kochhar &amp; Co.</t>
  </si>
  <si>
    <t xml:space="preserve"> INV-25-26-000566</t>
  </si>
  <si>
    <t>Diya Kapur</t>
  </si>
  <si>
    <t>INV-25-26-000567</t>
  </si>
  <si>
    <t>INV-25-26-000568</t>
  </si>
  <si>
    <t>INV-25-26-000569</t>
  </si>
  <si>
    <t>K R Prasad Advocates</t>
  </si>
  <si>
    <t>INV-25-26-000570</t>
  </si>
  <si>
    <t>Optimus Legal</t>
  </si>
  <si>
    <t>INV-25-26-000571</t>
  </si>
  <si>
    <t>Vidhittas Legal</t>
  </si>
  <si>
    <t>INV-25-26-000572</t>
  </si>
  <si>
    <t xml:space="preserve">Jai Malaviya
</t>
  </si>
  <si>
    <t>Solicitors India Law Offices</t>
  </si>
  <si>
    <t>INV-25-26-000573</t>
  </si>
  <si>
    <t>Jani &amp; Parikh, Advocates and Solicitors</t>
  </si>
  <si>
    <t>INV-25-26-000574</t>
  </si>
  <si>
    <t>Siddhant Makkar</t>
  </si>
  <si>
    <t>INV-25-26-000575</t>
  </si>
  <si>
    <t>Astik Vaid</t>
  </si>
  <si>
    <t xml:space="preserve">INV-25-26-000576
</t>
  </si>
  <si>
    <t>Anand and Anand</t>
  </si>
  <si>
    <t xml:space="preserve">INV-25-26-000577
</t>
  </si>
  <si>
    <t>INV-25-26-000580</t>
  </si>
  <si>
    <t>shreshth</t>
  </si>
  <si>
    <t>13 months- monthly</t>
  </si>
  <si>
    <t>INV-25-26-000582</t>
  </si>
  <si>
    <t>INV-25-26-000583</t>
  </si>
  <si>
    <t>INV-25-26-000584</t>
  </si>
  <si>
    <t>Fox &amp;  Mandal LLP- WB</t>
  </si>
  <si>
    <t xml:space="preserve"> INV-25-26-000585 </t>
  </si>
  <si>
    <t>Shaunak Kothekar</t>
  </si>
  <si>
    <t xml:space="preserve"> INV-25-26-000586 </t>
  </si>
  <si>
    <t>CK Juris</t>
  </si>
  <si>
    <t>INV-25-26-000587</t>
  </si>
  <si>
    <t xml:space="preserve"> INV-25-26-000588</t>
  </si>
  <si>
    <t xml:space="preserve"> INV-25-26-000589</t>
  </si>
  <si>
    <t>PB&amp;MT ASSOCIATES LLP</t>
  </si>
  <si>
    <t>INV-25-26-000590</t>
  </si>
  <si>
    <t>Pranay Mohan</t>
  </si>
  <si>
    <t>INV-25-26-000591</t>
  </si>
  <si>
    <t>Scimplify</t>
  </si>
  <si>
    <t>INV-25-26-000597</t>
  </si>
  <si>
    <t>INV-25-26-000598</t>
  </si>
  <si>
    <t>Nikhilesh Koundinya</t>
  </si>
  <si>
    <t>INV-25-26-000599</t>
  </si>
  <si>
    <t>Abhishek Kothari</t>
  </si>
  <si>
    <t>INV-25-26-000600</t>
  </si>
  <si>
    <t>Manasi Bhushan</t>
  </si>
  <si>
    <t>INV-25-26-000602</t>
  </si>
  <si>
    <t>Nishant Awanna</t>
  </si>
  <si>
    <t>INV-25-26-000603</t>
  </si>
  <si>
    <t>Niharika Ahluwalia</t>
  </si>
  <si>
    <t>INV-25-26-000604</t>
  </si>
  <si>
    <t>INV-25-26-000606</t>
  </si>
  <si>
    <t>Mustafa Bohra</t>
  </si>
  <si>
    <t>INV-25-26-000610</t>
  </si>
  <si>
    <t>Ajay Abhay Monga</t>
  </si>
  <si>
    <t xml:space="preserve"> INV-25-26-000611</t>
  </si>
  <si>
    <t>SB PARTNERS</t>
  </si>
  <si>
    <t xml:space="preserve"> INV-25-26-000614</t>
  </si>
  <si>
    <t xml:space="preserve"> INV-25-26-000581</t>
  </si>
  <si>
    <t>9 months- monthly</t>
  </si>
  <si>
    <t>Khushboo Vyas</t>
  </si>
  <si>
    <t>INV-25-26-000615</t>
  </si>
  <si>
    <t>TRD Associates</t>
  </si>
  <si>
    <t>INV-25-26-000616</t>
  </si>
  <si>
    <t>INV-25-26-000617</t>
  </si>
  <si>
    <t>Bureau of Indian Standards</t>
  </si>
  <si>
    <t>INV-25-26-000618</t>
  </si>
  <si>
    <t>Varsha Kriplani</t>
  </si>
  <si>
    <t>INV-25-26-000619</t>
  </si>
  <si>
    <t>INV-25-26-000620</t>
  </si>
  <si>
    <t>D. M. Narang &amp; Co.</t>
  </si>
  <si>
    <t xml:space="preserve"> INV-25-26-000625</t>
  </si>
  <si>
    <t>Naira Jeejebhoy</t>
  </si>
  <si>
    <t>INV-25-26-000626</t>
  </si>
  <si>
    <t>INV-25-26-000627</t>
  </si>
  <si>
    <t>Haaris Moosa</t>
  </si>
  <si>
    <t>INV-25-26-000628</t>
  </si>
  <si>
    <t>Unum Law</t>
  </si>
  <si>
    <t>INV-25-26-000629</t>
  </si>
  <si>
    <t>INV-25-26-000637</t>
  </si>
  <si>
    <t xml:space="preserve">varun
</t>
  </si>
  <si>
    <t>Harshil Manchanda</t>
  </si>
  <si>
    <t>INV-25-26-000638</t>
  </si>
  <si>
    <t>INV-25-26-000639</t>
  </si>
  <si>
    <t xml:space="preserve"> INV-25-26-000640</t>
  </si>
  <si>
    <t>Ashish Narang</t>
  </si>
  <si>
    <t xml:space="preserve"> INV-25-26-000641</t>
  </si>
  <si>
    <t>Harshita Rai</t>
  </si>
  <si>
    <t xml:space="preserve"> INV-25-26-000642</t>
  </si>
  <si>
    <t xml:space="preserve"> INV-25-26-000644</t>
  </si>
  <si>
    <t>Patanjali Pamidighantam</t>
  </si>
  <si>
    <t xml:space="preserve"> INV-25-26-000645</t>
  </si>
  <si>
    <t>Ankit Malhotra</t>
  </si>
  <si>
    <t>INV-25-26-000646</t>
  </si>
  <si>
    <t>saac &amp; Jacob</t>
  </si>
  <si>
    <t>INV-25-26-000647</t>
  </si>
  <si>
    <t>Nayan Mittal</t>
  </si>
  <si>
    <t>INV-25-26-000651</t>
  </si>
  <si>
    <t>Ruchika Verma</t>
  </si>
  <si>
    <t>INV-25-26-000652</t>
  </si>
  <si>
    <t>Xander Law</t>
  </si>
  <si>
    <t>INV-25-26-000653</t>
  </si>
  <si>
    <t>Chambers of Justice Mohit S Shah (Retd.), Former Chief Justice of Bombay and Calcutta High Courts</t>
  </si>
  <si>
    <t>INV-25-26-000654</t>
  </si>
  <si>
    <t>INV-25-26-000658</t>
  </si>
  <si>
    <t>7 Month-Monthly</t>
  </si>
  <si>
    <t>Sana Raees Khan</t>
  </si>
  <si>
    <t>INV-25-26-000659</t>
  </si>
  <si>
    <t>INV-25-26-000660</t>
  </si>
  <si>
    <t>Pakhiddey &amp; Gill</t>
  </si>
  <si>
    <t>INV-25-26-000661</t>
  </si>
  <si>
    <t>Kings &amp; Alliance LLP</t>
  </si>
  <si>
    <t>INV-25-26-000663</t>
  </si>
  <si>
    <t>Tushhar Kishor Jaddhav</t>
  </si>
  <si>
    <t xml:space="preserve"> INV-25-26-000664</t>
  </si>
  <si>
    <t>Aatish Sanghvi</t>
  </si>
  <si>
    <t>INV-25-26-000668</t>
  </si>
  <si>
    <t>INV-25-26-000670</t>
  </si>
  <si>
    <t>Priyanka Sinha</t>
  </si>
  <si>
    <t>INV-25-26-000671</t>
  </si>
  <si>
    <t>Gandhi Law Associates</t>
  </si>
  <si>
    <t>INV-25-26-000672</t>
  </si>
  <si>
    <t>Hindustan Unilever Limited</t>
  </si>
  <si>
    <t>INV-25-26-000676</t>
  </si>
  <si>
    <t>2 Months &amp; 7 days--Upfront</t>
  </si>
  <si>
    <t>INV-25-26-000677</t>
  </si>
  <si>
    <t>Daksh Kadian</t>
  </si>
  <si>
    <t>INV-25-26-000678</t>
  </si>
  <si>
    <t>Mohammad Sadique.</t>
  </si>
  <si>
    <t>INV-25-26-000680</t>
  </si>
  <si>
    <t>$245.00</t>
  </si>
  <si>
    <t>BTG Advaya</t>
  </si>
  <si>
    <t>INV-25-26-000681</t>
  </si>
  <si>
    <t>1 Months &amp; 7 days--Upfront</t>
  </si>
  <si>
    <t>Kayara Legal</t>
  </si>
  <si>
    <t>INV-25-26-000683</t>
  </si>
  <si>
    <t xml:space="preserve"> INV-25-26-000685</t>
  </si>
  <si>
    <t>EQUILEX</t>
  </si>
  <si>
    <t xml:space="preserve"> INV-25-26-000686</t>
  </si>
  <si>
    <t>J​ayanth Venkatram</t>
  </si>
  <si>
    <t>INV-25-26-000687</t>
  </si>
  <si>
    <t>Mulani Law Associates - Malav Mulani</t>
  </si>
  <si>
    <t>INV-25-26-000689</t>
  </si>
  <si>
    <t>Dharmaprabhas Law Associates</t>
  </si>
  <si>
    <t>INV-25-26-000690</t>
  </si>
  <si>
    <t>Simranjit H. Virk</t>
  </si>
  <si>
    <t>INV-25-26-000691</t>
  </si>
  <si>
    <t xml:space="preserve"> INV-25-26-000684</t>
  </si>
  <si>
    <t>1 USD = 89.190153</t>
  </si>
  <si>
    <t>Manoj Sinsinwar</t>
  </si>
  <si>
    <t>INV-25-26-000692</t>
  </si>
  <si>
    <t>Row Labels</t>
  </si>
  <si>
    <t>Sum of Start Date</t>
  </si>
  <si>
    <t>Sum of End Date</t>
  </si>
  <si>
    <t>INV- 46, INV-25-26-000013</t>
  </si>
  <si>
    <t>INV-000018</t>
  </si>
  <si>
    <t>INV-000028</t>
  </si>
  <si>
    <t>INV-000033</t>
  </si>
  <si>
    <t>INV-000035</t>
  </si>
  <si>
    <t>INV-000037</t>
  </si>
  <si>
    <t>INV-000038</t>
  </si>
  <si>
    <t>INV-000042, 000183</t>
  </si>
  <si>
    <t>INV-000046, 000013</t>
  </si>
  <si>
    <t>INV-000048</t>
  </si>
  <si>
    <t>INV-000050</t>
  </si>
  <si>
    <t>INV-000051</t>
  </si>
  <si>
    <t>INV-000055</t>
  </si>
  <si>
    <t>INV-000057</t>
  </si>
  <si>
    <t>INV-000058</t>
  </si>
  <si>
    <t>INV-000060</t>
  </si>
  <si>
    <t>INV-000064</t>
  </si>
  <si>
    <t>INV-000065</t>
  </si>
  <si>
    <t>INV-000068</t>
  </si>
  <si>
    <t>INV-000070,INV-000103, 146</t>
  </si>
  <si>
    <t>INV-000071</t>
  </si>
  <si>
    <t>INV-000072</t>
  </si>
  <si>
    <t>INV-000077, 080</t>
  </si>
  <si>
    <t>INV-000079</t>
  </si>
  <si>
    <t>INV-000083</t>
  </si>
  <si>
    <t>INV-000085, INV-25-26-000021,INV-25-26-000022, 148</t>
  </si>
  <si>
    <t>INV-000088, 0112, INV-25-26-000078, 111</t>
  </si>
  <si>
    <t>INV-000090</t>
  </si>
  <si>
    <t>INV-000091, 0114, INV-25-26-000079, 115</t>
  </si>
  <si>
    <t>INV-000093</t>
  </si>
  <si>
    <t>INV-000095</t>
  </si>
  <si>
    <t>INV-000096</t>
  </si>
  <si>
    <t>INV-000097</t>
  </si>
  <si>
    <t>INV-000098</t>
  </si>
  <si>
    <t>INV-000099</t>
  </si>
  <si>
    <t>INV-000101</t>
  </si>
  <si>
    <t>INV-000102</t>
  </si>
  <si>
    <t>INV-000105</t>
  </si>
  <si>
    <t>INV-000109</t>
  </si>
  <si>
    <t>INV-000111, INV-25-26-000016, 0109</t>
  </si>
  <si>
    <t>INV-000115</t>
  </si>
  <si>
    <t>INV-000116, INV-25-26-000099</t>
  </si>
  <si>
    <t>INV-000118</t>
  </si>
  <si>
    <t>INV-000120</t>
  </si>
  <si>
    <t>INV-000121</t>
  </si>
  <si>
    <t>INV-000123</t>
  </si>
  <si>
    <t>INV-000124</t>
  </si>
  <si>
    <t>INV-000125</t>
  </si>
  <si>
    <t>INV-000126</t>
  </si>
  <si>
    <t>INV-000127</t>
  </si>
  <si>
    <t>INV-000128</t>
  </si>
  <si>
    <t>INV-000129</t>
  </si>
  <si>
    <t>INV-000131</t>
  </si>
  <si>
    <t>INV-000132</t>
  </si>
  <si>
    <t>INV-000134</t>
  </si>
  <si>
    <t>INV-000135</t>
  </si>
  <si>
    <t>INV-000136</t>
  </si>
  <si>
    <t>INV-000138</t>
  </si>
  <si>
    <t>INV-000139</t>
  </si>
  <si>
    <t>INV-000141</t>
  </si>
  <si>
    <t>INV-000142</t>
  </si>
  <si>
    <t>INV-000144</t>
  </si>
  <si>
    <t>INV-000145,INV-25-26-000080,0106,</t>
  </si>
  <si>
    <t>INV-000147</t>
  </si>
  <si>
    <t>INV-000148</t>
  </si>
  <si>
    <t>INV-000149</t>
  </si>
  <si>
    <t>INV-25-26-000002</t>
  </si>
  <si>
    <t>INV-25-26-000004,104</t>
  </si>
  <si>
    <t>INV-25-26-000009,00107</t>
  </si>
  <si>
    <t>INV-25-26-000019, 113</t>
  </si>
  <si>
    <t>INV-25-26-000030, 124</t>
  </si>
  <si>
    <t>INV-25-26-000034, 125</t>
  </si>
  <si>
    <t>INV-25-26-000035, 0127</t>
  </si>
  <si>
    <t>INV-25-26-000042, 137</t>
  </si>
  <si>
    <t>INV-25-26-000060</t>
  </si>
  <si>
    <t>INV-25-26-000061, 145</t>
  </si>
  <si>
    <t>INV-25-26-000065,114</t>
  </si>
  <si>
    <t>INV-25-26-000066</t>
  </si>
  <si>
    <t>INV-25-26-000098</t>
  </si>
  <si>
    <t>INV-25-26-000105</t>
  </si>
  <si>
    <t>INV-25-26-000130, INV-000081</t>
  </si>
  <si>
    <t>INV-25-26-000136</t>
  </si>
  <si>
    <t>INV-25-26-000144</t>
  </si>
  <si>
    <t>INV-25-26-000157</t>
  </si>
  <si>
    <t>INV-25-26-000159</t>
  </si>
  <si>
    <t>(blank)</t>
  </si>
  <si>
    <t>Grand Total</t>
  </si>
  <si>
    <t>###############</t>
  </si>
  <si>
    <t>##############</t>
  </si>
  <si>
    <t>Invoice Number</t>
  </si>
  <si>
    <t>Sales Person</t>
  </si>
  <si>
    <t>INV-25-26-000320</t>
  </si>
  <si>
    <t>INV-25-26-000321</t>
  </si>
  <si>
    <t>INV-25-26-000323</t>
  </si>
  <si>
    <t>INV-25-26-000324</t>
  </si>
  <si>
    <t>INV-25-26-000325</t>
  </si>
  <si>
    <t>INV-25-26-000326</t>
  </si>
  <si>
    <t>INV-25-26-000327</t>
  </si>
  <si>
    <t>INV-25-26-000328</t>
  </si>
  <si>
    <t>INV-25-26-000331</t>
  </si>
  <si>
    <t>INV-25-26-000332</t>
  </si>
  <si>
    <t>INV-25-26-000333</t>
  </si>
  <si>
    <t>INV-25-26-000336</t>
  </si>
  <si>
    <t>INV-25-26-000337</t>
  </si>
  <si>
    <t>INV-25-26-000338</t>
  </si>
  <si>
    <t>INV-25-26-000340</t>
  </si>
  <si>
    <t>INV-25-26-000341</t>
  </si>
  <si>
    <t>INV-25-26-000342</t>
  </si>
  <si>
    <t>INV-25-26-000343</t>
  </si>
  <si>
    <t>INV-25-26-000344</t>
  </si>
  <si>
    <t>INV-25-26-000345</t>
  </si>
  <si>
    <t>INV-25-26-000346</t>
  </si>
  <si>
    <t>INV-25-26-000347</t>
  </si>
  <si>
    <t>INV-25-26-000357</t>
  </si>
  <si>
    <t>INV-25-26-000358</t>
  </si>
  <si>
    <t>INV-25-26-000359</t>
  </si>
  <si>
    <t>INV-25-26-000360</t>
  </si>
  <si>
    <t>INV-25-26-000361</t>
  </si>
  <si>
    <t>INV-25-26-000366</t>
  </si>
  <si>
    <t>INV-25-26-000367</t>
  </si>
  <si>
    <t>INV-25-26-000368</t>
  </si>
  <si>
    <t>INV-25-26-000371</t>
  </si>
  <si>
    <t>INV-25-26-000372</t>
  </si>
  <si>
    <t>INV-25-26-000373</t>
  </si>
  <si>
    <t>INV-25-26-000374</t>
  </si>
  <si>
    <t>INV-25-26-000376</t>
  </si>
  <si>
    <t>INV-25-26-000382</t>
  </si>
  <si>
    <t>INV-25-26-000386</t>
  </si>
  <si>
    <t>INV-25-26-000387</t>
  </si>
  <si>
    <t>INV-25-26-000388</t>
  </si>
  <si>
    <t>INV-25-26-000389</t>
  </si>
  <si>
    <t>INV-25-26-000390</t>
  </si>
  <si>
    <t>INV-25-26-000391</t>
  </si>
  <si>
    <t>INV-25-26-000392</t>
  </si>
  <si>
    <t>INV-25-26-000393</t>
  </si>
  <si>
    <t>INV-25-26-000397</t>
  </si>
  <si>
    <t>CN-00012</t>
  </si>
  <si>
    <t>CN-00013</t>
  </si>
  <si>
    <t>Subscription Id</t>
  </si>
  <si>
    <t>Plan Id</t>
  </si>
  <si>
    <t>Subscription Link</t>
  </si>
  <si>
    <t>Customer Id</t>
  </si>
  <si>
    <t>Next Due on</t>
  </si>
  <si>
    <t>Created At</t>
  </si>
  <si>
    <t>Status</t>
  </si>
  <si>
    <t>Link</t>
  </si>
  <si>
    <t>sub_PzCFzzQ58yO6EQ</t>
  </si>
  <si>
    <t>plan_PrXo4k77vz12S5</t>
  </si>
  <si>
    <t>https://rzp.io/rzp/TMKqPzncopy https://rzp.io/rzp/TMKqPzn</t>
  </si>
  <si>
    <t>Active</t>
  </si>
  <si>
    <t>https://rzp.io/rzp/TMKqPzn</t>
  </si>
  <si>
    <t>sub_PyOuYIHUVDM4E2</t>
  </si>
  <si>
    <t>plan_PyOu28g7zuoAwM</t>
  </si>
  <si>
    <t>https://rzp.io/rzp/NHM6XHjQcopy https://rzp.io/rzp/NHM6XHjQ</t>
  </si>
  <si>
    <t>https://rzp.io/rzp/NHM6XHjQ</t>
  </si>
  <si>
    <t>sub_PtyMVvjesLduLz</t>
  </si>
  <si>
    <t>plan_PoVz2UUEjA2Lwe</t>
  </si>
  <si>
    <t>https://rzp.io/rzp/wfimIOQacopy https://rzp.io/rzp/wfimIOQa</t>
  </si>
  <si>
    <t>https://rzp.io/rzp/wfimIOQa</t>
  </si>
  <si>
    <t>sub_PtG1BvyQgahNo6</t>
  </si>
  <si>
    <t>https://rzp.io/rzp/1tBssLOcopy https://rzp.io/rzp/1tBssLO</t>
  </si>
  <si>
    <t>cust_PtG2mIYjNIXdaw</t>
  </si>
  <si>
    <t>https://rzp.io/rzp/1tBssLO</t>
  </si>
  <si>
    <t>sub_PsXNpTpoAOxHMI</t>
  </si>
  <si>
    <t>https://rzp.io/rzp/QRaWmteqcopy https://rzp.io/rzp/QRaWmteq</t>
  </si>
  <si>
    <t>https://rzp.io/rzp/QRaWmteq</t>
  </si>
  <si>
    <t>sub_PpuqHkMKlzNRG6</t>
  </si>
  <si>
    <t>https://rzp.io/rzp/TqXOIShzcopy https://rzp.io/rzp/TqXOIShz</t>
  </si>
  <si>
    <t>https://rzp.io/rzp/TqXOIShz</t>
  </si>
  <si>
    <t>sub_PpEFqbvBeqSpif</t>
  </si>
  <si>
    <t>plan_OyFii7eFsGaGLC</t>
  </si>
  <si>
    <t>https://rzp.io/rzp/7FCGVc23copy https://rzp.io/rzp/7FCGVc23</t>
  </si>
  <si>
    <t>https://rzp.io/rzp/7FCGVc23</t>
  </si>
  <si>
    <t>sub_PmtqW6SpxGAvaD</t>
  </si>
  <si>
    <t>https://rzp.io/rzp/4As8b1Ecopy https://rzp.io/rzp/4As8b1E</t>
  </si>
  <si>
    <t>https://rzp.io/rzp/4As8b1E</t>
  </si>
  <si>
    <t>sub_PmtV7n4mJKCOsY</t>
  </si>
  <si>
    <t>https://rzp.io/rzp/aJ5yklUcopy https://rzp.io/rzp/aJ5yklU</t>
  </si>
  <si>
    <t>https://rzp.io/rzp/aJ5yklU</t>
  </si>
  <si>
    <t>sub_PmSte80rUgQz8s</t>
  </si>
  <si>
    <t>plan_PmSt4hyb5kDgwF</t>
  </si>
  <si>
    <t>https://rzp.io/rzp/TfiUJqn7copy https://rzp.io/rzp/TfiUJqn7</t>
  </si>
  <si>
    <t>cust_PmWsgONNkefWiJ</t>
  </si>
  <si>
    <t>https://rzp.io/rzp/TfiUJqn7</t>
  </si>
  <si>
    <t>sub_PkRpFN8xPSD1Wk</t>
  </si>
  <si>
    <t>https://rzp.io/rzp/943nYwWIcopy https://rzp.io/rzp/943nYwWI</t>
  </si>
  <si>
    <t>https://rzp.io/rzp/943nYwWI</t>
  </si>
  <si>
    <t>sub_PkPTDi3iwnodqJ</t>
  </si>
  <si>
    <t>https://rzp.io/rzp/MMNF8q0copy https://rzp.io/rzp/MMNF8q0</t>
  </si>
  <si>
    <t>https://rzp.io/rzp/MMNF8q0</t>
  </si>
  <si>
    <t>sub_PjgGmkUJisa5PL</t>
  </si>
  <si>
    <t>https://rzp.io/rzp/Mkzu6bGCcopy https://rzp.io/rzp/Mkzu6bGC</t>
  </si>
  <si>
    <t>https://rzp.io/rzp/Mkzu6bGC</t>
  </si>
  <si>
    <t>sub_Piu9l1aajzPvjD</t>
  </si>
  <si>
    <t>https://rzp.io/rzp/1eH975VGcopy https://rzp.io/rzp/1eH975VG</t>
  </si>
  <si>
    <t>https://rzp.io/rzp/1eH975VG</t>
  </si>
  <si>
    <t>sub_PhjSDhNaITEUIK</t>
  </si>
  <si>
    <t>https://rzp.io/rzp/oUSBN5p8copy https://rzp.io/rzp/oUSBN5p8</t>
  </si>
  <si>
    <t>https://rzp.io/rzp/oUSBN5p8</t>
  </si>
  <si>
    <t>sub_PgkfmSpVEoBvpC</t>
  </si>
  <si>
    <t>https://rzp.io/rzp/ZcKqmfocopy https://rzp.io/rzp/ZcKqmfo</t>
  </si>
  <si>
    <t>https://rzp.io/rzp/ZcKqmfo</t>
  </si>
  <si>
    <t>sub_PeecWXZKQIqKY1</t>
  </si>
  <si>
    <t>https://rzp.io/rzp/xX9JKumdcopy https://rzp.io/rzp/xX9JKumd</t>
  </si>
  <si>
    <t>https://rzp.io/rzp/xX9JKumd</t>
  </si>
  <si>
    <t>sub_PeVVFqeFcZSYIe</t>
  </si>
  <si>
    <t>https://rzp.io/rzp/7dxSXAjcopy https://rzp.io/rzp/7dxSXAj</t>
  </si>
  <si>
    <t>https://rzp.io/rzp/7dxSXAj</t>
  </si>
  <si>
    <t>sub_PdRMHwQiVtngD5</t>
  </si>
  <si>
    <t>https://rzp.io/rzp/uPPieWkcopy https://rzp.io/rzp/uPPieWk</t>
  </si>
  <si>
    <t>https://rzp.io/rzp/uPPieWk</t>
  </si>
  <si>
    <t>sub_PbMpLbQtnhlA9L</t>
  </si>
  <si>
    <t>plan_PbMnOhYADhz1In</t>
  </si>
  <si>
    <t>https://rzp.io/rzp/WR7fd0Ncopy https://rzp.io/rzp/WR7fd0N</t>
  </si>
  <si>
    <t>cust_PbovN4ERdm6ImZ</t>
  </si>
  <si>
    <t>https://rzp.io/rzp/WR7fd0N</t>
  </si>
  <si>
    <t>sub_PZVDSjvRoCs83z</t>
  </si>
  <si>
    <t>plan_PZVCp0v2GrZorx</t>
  </si>
  <si>
    <t>https://rzp.io/rzp/rmy5gKgcopy https://rzp.io/rzp/rmy5gKg</t>
  </si>
  <si>
    <t>cust_Pdk7tvRZNt4ofj</t>
  </si>
  <si>
    <t>https://rzp.io/rzp/rmy5gKg</t>
  </si>
  <si>
    <t>sub_PZPiFXEnicCI2h</t>
  </si>
  <si>
    <t>https://rzp.io/rzp/qmYDzEbcopy https://rzp.io/rzp/qmYDzEb</t>
  </si>
  <si>
    <t>https://rzp.io/rzp/qmYDzEb</t>
  </si>
  <si>
    <t>sub_PYHAexcH54k2M3</t>
  </si>
  <si>
    <t>https://rzp.io/rzp/DntJcNqfcopy https://rzp.io/rzp/DntJcNqf</t>
  </si>
  <si>
    <t>https://rzp.io/rzp/DntJcNqf</t>
  </si>
  <si>
    <t>sub_PYEYsEiPVXmLxw</t>
  </si>
  <si>
    <t>plan_PYEY0EbUQ9bmvY</t>
  </si>
  <si>
    <t>https://rzp.io/rzp/oVEZTHYcopy https://rzp.io/rzp/oVEZTHY</t>
  </si>
  <si>
    <t>https://rzp.io/rzp/oVEZTHY</t>
  </si>
  <si>
    <t>sub_PVmvaQqk1MCUbd</t>
  </si>
  <si>
    <t>plan_PVmuQefVrbzf36</t>
  </si>
  <si>
    <t>https://rzp.io/rzp/69WOWFI8copy https://rzp.io/rzp/69WOWFI8</t>
  </si>
  <si>
    <t>https://rzp.io/rzp/69WOWFI8</t>
  </si>
  <si>
    <t>sub_PV2dVbQfCQOd9I</t>
  </si>
  <si>
    <t>plan_PV2cux3PhwXQfJ</t>
  </si>
  <si>
    <t>https://rzp.io/rzp/yMZDNcmcopy https://rzp.io/rzp/yMZDNcm</t>
  </si>
  <si>
    <t>cust_PYZl14cxFpig3m</t>
  </si>
  <si>
    <t>https://rzp.io/rzp/yMZDNcm</t>
  </si>
  <si>
    <t>sub_PS1byEqY7CgZHd</t>
  </si>
  <si>
    <t>https://rzp.io/rzp/pgd6sI5Ucopy https://rzp.io/rzp/pgd6sI5U</t>
  </si>
  <si>
    <t>https://rzp.io/rzp/pgd6sI5U</t>
  </si>
  <si>
    <t>sub_PQIjWo08ZfRdwO</t>
  </si>
  <si>
    <t>https://rzp.io/rzp/4Crt4f4rcopy https://rzp.io/rzp/4Crt4f4r</t>
  </si>
  <si>
    <t>https://rzp.io/rzp/4Crt4f4r</t>
  </si>
  <si>
    <t>sub_PPAq3gQ2qESGfJ</t>
  </si>
  <si>
    <t>plan_PPApbJaPlyb97S</t>
  </si>
  <si>
    <t>https://rzp.io/rzp/FFJ9Bzecopy https://rzp.io/rzp/FFJ9Bze</t>
  </si>
  <si>
    <t>https://rzp.io/rzp/FFJ9Bze</t>
  </si>
  <si>
    <t>sub_PJVwuXwuihFNEw</t>
  </si>
  <si>
    <t>https://rzp.io/rzp/i3qChWoQcopy https://rzp.io/rzp/i3qChWoQ</t>
  </si>
  <si>
    <t>https://rzp.io/rzp/i3qChWoQ</t>
  </si>
  <si>
    <t>sub_PJ9hoEJMug3mWz</t>
  </si>
  <si>
    <t>plan_PJ9hG5bfnXXaUI</t>
  </si>
  <si>
    <t>https://rzp.io/rzp/BcOkOh6copy https://rzp.io/rzp/BcOkOh6</t>
  </si>
  <si>
    <t>https://rzp.io/rzp/BcOkOh6</t>
  </si>
  <si>
    <t>sub_PEr7M4QZahPBJn</t>
  </si>
  <si>
    <t>plan_PEr6cu6DZUgDtN</t>
  </si>
  <si>
    <t>https://rzp.io/rzp/CreQF2zDcopy https://rzp.io/rzp/CreQF2zD</t>
  </si>
  <si>
    <t>cust_PEr9l5rm0WhYpF</t>
  </si>
  <si>
    <t>https://rzp.io/rzp/CreQF2zD</t>
  </si>
  <si>
    <t>sub_PA0owwskNbfxxx</t>
  </si>
  <si>
    <t>https://rzp.io/rzp/gArDQ6jVcopy https://rzp.io/rzp/gArDQ6jV</t>
  </si>
  <si>
    <t>https://rzp.io/rzp/gArDQ6jV</t>
  </si>
  <si>
    <t>sub_P9YdUjW4TL7yKk</t>
  </si>
  <si>
    <t>https://rzp.io/rzp/9TBbJtWcopy https://rzp.io/rzp/9TBbJtW</t>
  </si>
  <si>
    <t>https://rzp.io/rzp/9TBbJtW</t>
  </si>
  <si>
    <t>sub_P8WWPk3wGbbK0K</t>
  </si>
  <si>
    <t>https://rzp.io/rzp/yotpblRVcopy https://rzp.io/rzp/yotpblRV</t>
  </si>
  <si>
    <t>cust_P8WXooXTZchJa5</t>
  </si>
  <si>
    <t>https://rzp.io/rzp/yotpblRV</t>
  </si>
  <si>
    <t>sub_P7i3BI2chhswRf</t>
  </si>
  <si>
    <t>https://rzp.io/rzp/URjDBFTcopy https://rzp.io/rzp/URjDBFT</t>
  </si>
  <si>
    <t>https://rzp.io/rzp/URjDBFT</t>
  </si>
  <si>
    <t>sub_P7f7KsrV5jxr5e</t>
  </si>
  <si>
    <t>https://rzp.io/rzp/ZP9DQRTcopy https://rzp.io/rzp/ZP9DQRT</t>
  </si>
  <si>
    <t>https://rzp.io/rzp/ZP9DQRT</t>
  </si>
  <si>
    <t>sub_P4VO3qVFI6uHhh</t>
  </si>
  <si>
    <t>https://rzp.io/rzp/jB3lNNMcopy https://rzp.io/rzp/jB3lNNM</t>
  </si>
  <si>
    <t>https://rzp.io/rzp/jB3lNNM</t>
  </si>
  <si>
    <t>sub_P4VMryxnDtD52Q</t>
  </si>
  <si>
    <t>https://rzp.io/rzp/60y771Ykcopy https://rzp.io/rzp/60y771Yk</t>
  </si>
  <si>
    <t>https://rzp.io/rzp/60y771Yk</t>
  </si>
  <si>
    <t>sub_P3pNF74VRXbwkI</t>
  </si>
  <si>
    <t>https://rzp.io/rzp/df7N6Mgncopy https://rzp.io/rzp/df7N6Mgn</t>
  </si>
  <si>
    <t>https://rzp.io/rzp/df7N6Mgn</t>
  </si>
  <si>
    <t>sub_P3N2ekcPGMs6AB</t>
  </si>
  <si>
    <t>https://rzp.io/rzp/MUTxegef4acopy https://rzp.io/rzp/MUTxegef4a</t>
  </si>
  <si>
    <t>https://rzp.io/rzp/MUTxegef4a</t>
  </si>
  <si>
    <t>sub_P25mg8jqhAfR5H</t>
  </si>
  <si>
    <t>https://rzp.io/i/XBMnublF67copy https://rzp.io/i/XBMnublF67</t>
  </si>
  <si>
    <t>https://rzp.io/i/XBMnublF67</t>
  </si>
  <si>
    <t>sub_P1LXaUHn86vWTW</t>
  </si>
  <si>
    <t>https://rzp.io/i/56PgQUNXcopy https://rzp.io/i/56PgQUNX</t>
  </si>
  <si>
    <t>https://rzp.io/i/56PgQUNX</t>
  </si>
  <si>
    <t>sub_P11RPj8qPA4fzL</t>
  </si>
  <si>
    <t>https://rzp.io/i/IiR9GSBccopy https://rzp.io/i/IiR9GSBc</t>
  </si>
  <si>
    <t>https://rzp.io/i/IiR9GSBc</t>
  </si>
  <si>
    <t>sub_Ozr3UVOaRRh4RI</t>
  </si>
  <si>
    <t>https://rzp.io/i/uLVz32jBMcopy https://rzp.io/i/uLVz32jBM</t>
  </si>
  <si>
    <t>https://rzp.io/i/uLVz32jBM</t>
  </si>
  <si>
    <t>sub_OyvPBlCZMtubzA</t>
  </si>
  <si>
    <t>https://rzp.io/i/8grA1Itcopy https://rzp.io/i/8grA1It</t>
  </si>
  <si>
    <t>https://rzp.io/i/8grA1It</t>
  </si>
  <si>
    <t>sub_OyIZcsHKYEG3SI</t>
  </si>
  <si>
    <t>https://rzp.io/i/lWfyeN1copy https://rzp.io/i/lWfyeN1</t>
  </si>
  <si>
    <t>https://rzp.io/i/lWfyeN1</t>
  </si>
  <si>
    <t>subscription_id</t>
  </si>
  <si>
    <t>status</t>
  </si>
  <si>
    <t>plan_id</t>
  </si>
  <si>
    <t>plan_name</t>
  </si>
  <si>
    <t>plan_description</t>
  </si>
  <si>
    <t>plan_amount</t>
  </si>
  <si>
    <t>plan_period</t>
  </si>
  <si>
    <t>plan_interval</t>
  </si>
  <si>
    <t>quantity</t>
  </si>
  <si>
    <t>total_count</t>
  </si>
  <si>
    <t>paid_count</t>
  </si>
  <si>
    <t>customer_notify</t>
  </si>
  <si>
    <t>customer_id</t>
  </si>
  <si>
    <t>customer_name</t>
  </si>
  <si>
    <t>customer_email</t>
  </si>
  <si>
    <t>customer_contact</t>
  </si>
  <si>
    <t>start_at</t>
  </si>
  <si>
    <t>end_at</t>
  </si>
  <si>
    <t>authenticated_at</t>
  </si>
  <si>
    <t>activated_at</t>
  </si>
  <si>
    <t>cancelled_at</t>
  </si>
  <si>
    <t>created_at</t>
  </si>
  <si>
    <t>notes</t>
  </si>
  <si>
    <t>sub_OrvTlF9wgfn2Zl</t>
  </si>
  <si>
    <t>created</t>
  </si>
  <si>
    <t>plan_Op4MOOvvYDvjN5</t>
  </si>
  <si>
    <t>Jurisphere Monthly Subscription</t>
  </si>
  <si>
    <t>monthly</t>
  </si>
  <si>
    <t>{}</t>
  </si>
  <si>
    <t>sub_OrvWlRfPL2zNG4</t>
  </si>
  <si>
    <t>sub_OrvYM755icklxx</t>
  </si>
  <si>
    <t>sub_OrvgozoRFDZaRD</t>
  </si>
  <si>
    <t>sub_Orvj5IkZeKsZCa</t>
  </si>
  <si>
    <t>sub_OrvkT7l5XBoFLL</t>
  </si>
  <si>
    <t>sub_OrvvhfOxSWZYT3</t>
  </si>
  <si>
    <t>sub_Orw8MLbM7ZIUjA</t>
  </si>
  <si>
    <t>active</t>
  </si>
  <si>
    <t>Full Access for 30 Days</t>
  </si>
  <si>
    <t>chaitanyavaidya43@gmail.com</t>
  </si>
  <si>
    <t>sub_P487FlbYOBJEIz</t>
  </si>
  <si>
    <t>sub_P4Dnnb1iPLnZ73</t>
  </si>
  <si>
    <t>sub_P4DpM7AOApcnpU</t>
  </si>
  <si>
    <t>sub_P4F9GqzrYbDgcR</t>
  </si>
  <si>
    <t>sub_P4FBW3KbyOdobO</t>
  </si>
  <si>
    <t>sub_P4FCZtNnrZOXwc</t>
  </si>
  <si>
    <t>sub_P4FHNTRA3Y5OLk</t>
  </si>
  <si>
    <t>halted</t>
  </si>
  <si>
    <t>cust_P4FGjPOMDFz5dU</t>
  </si>
  <si>
    <t>nirjard@gmail.com</t>
  </si>
  <si>
    <t>sub_P4FwXRPLpkGvnv</t>
  </si>
  <si>
    <t>sub_P4FxHz4WkhacKl</t>
  </si>
  <si>
    <t>sub_P4FyjibMXo45ao</t>
  </si>
  <si>
    <t>sub_P4FzIvGRI3IynP</t>
  </si>
  <si>
    <t>rajsriharsh22@gmail.com</t>
  </si>
  <si>
    <t>sakshamsikdar@gmail.com</t>
  </si>
  <si>
    <t>sub_P4VXgBvrWQEGmB</t>
  </si>
  <si>
    <t>paused</t>
  </si>
  <si>
    <t>llb223072@nujs.edu</t>
  </si>
  <si>
    <t>sub_P4XSUwXF23wbb7</t>
  </si>
  <si>
    <t>sub_PGhTIZUEwWswHK</t>
  </si>
  <si>
    <t>sub_PGrheqb47hJKt7</t>
  </si>
  <si>
    <t>cust_PGrjza3NX045Cj</t>
  </si>
  <si>
    <t>samarthshandilyaism@gmail.com</t>
  </si>
  <si>
    <t>sub_P52vB4bWkVpyto</t>
  </si>
  <si>
    <t>sub_P52x2e1r4Ly3ie</t>
  </si>
  <si>
    <t>cancelled</t>
  </si>
  <si>
    <t>rosejobysebas@gmail.com</t>
  </si>
  <si>
    <t>sub_PH5UD0FolEsT3x</t>
  </si>
  <si>
    <t>sub_PHBWowzqSQ4Y0M</t>
  </si>
  <si>
    <t>sub_PHBXJewt426kNP</t>
  </si>
  <si>
    <t>kaushik.narayanan@law.christuniversity.in</t>
  </si>
  <si>
    <t>sub_PHCtq4i4htp53J</t>
  </si>
  <si>
    <t>sub_PHDNqAhxTeeum8</t>
  </si>
  <si>
    <t>sami47288@gmail.com</t>
  </si>
  <si>
    <t>sub_PHGY6fPtPnCTag</t>
  </si>
  <si>
    <t>sub_PHIXyQGLa9taiA</t>
  </si>
  <si>
    <t>tushar.patidar111@gmail.com</t>
  </si>
  <si>
    <t>sub_PHJUUvAHx7YRg8</t>
  </si>
  <si>
    <t>sub_P5E6pZGfoSWrd7</t>
  </si>
  <si>
    <t>bmishrasarthak@gmail.com</t>
  </si>
  <si>
    <t>sub_PHvYntUhTkKNgc</t>
  </si>
  <si>
    <t>sub_PHvgLAAZuD3zSH</t>
  </si>
  <si>
    <t>gandharv.garg04@gmail.com</t>
  </si>
  <si>
    <t>sub_PI14JKTUk0w4j8</t>
  </si>
  <si>
    <t>sub_P5u5s1M4FSpnLu</t>
  </si>
  <si>
    <t>sub_P65GI2mTKuNIPS</t>
  </si>
  <si>
    <t>sub_P65VtgRYKtcaYi</t>
  </si>
  <si>
    <t>sub_P65X8iBtEcYkiD</t>
  </si>
  <si>
    <t>sub_P65eIFUsLMfoeK</t>
  </si>
  <si>
    <t>sub_P66EfLJHgarhGt</t>
  </si>
  <si>
    <t>sub_P66HocKNgYZH8v</t>
  </si>
  <si>
    <t>wagle221053@nujs.edu</t>
  </si>
  <si>
    <t>sub_P66PTtsfLOG8mO</t>
  </si>
  <si>
    <t>sub_P67LuHOmSmlfH9</t>
  </si>
  <si>
    <t>cont.asadsaeed@gmail.com</t>
  </si>
  <si>
    <t>sub_PI8zlNSia0GEGm</t>
  </si>
  <si>
    <t>mdhanya973@gmail.com</t>
  </si>
  <si>
    <t>sub_PIIgXlx8UDcIGT</t>
  </si>
  <si>
    <t>singhnikita152002@gmail.com</t>
  </si>
  <si>
    <t>sub_PIUQi0ZZSXK7QU</t>
  </si>
  <si>
    <t>urjajoshi20@gmail.com</t>
  </si>
  <si>
    <t>sub_P6SrfWBryhQKYS</t>
  </si>
  <si>
    <t>sub_P6TB9zAGFTtoWs</t>
  </si>
  <si>
    <t>xylixis123@gmail.com</t>
  </si>
  <si>
    <t>sub_P6UKLuKa1gMyVr</t>
  </si>
  <si>
    <t>sub_P6UUaghy65WQEl</t>
  </si>
  <si>
    <t>sub_P6UVdaVRUCAwmd</t>
  </si>
  <si>
    <t>sub_P6Vf3GcObPrgO6</t>
  </si>
  <si>
    <t>sub_P6VfTRGDka2eFS</t>
  </si>
  <si>
    <t>vigyanverma5@gmail.com</t>
  </si>
  <si>
    <t>sub_P6YRgXF4beRmrQ</t>
  </si>
  <si>
    <t>sub_PIgPL4gDvxNOs2</t>
  </si>
  <si>
    <t>johnisnotnoble@gmail.com</t>
  </si>
  <si>
    <t>sub_P6pKB9t8OzHycH</t>
  </si>
  <si>
    <t>sub_P6pOuResfX5nYQ</t>
  </si>
  <si>
    <t>cust_P6UYnExBE4NIRI</t>
  </si>
  <si>
    <t>avantika00000@gmail.com</t>
  </si>
  <si>
    <t>sub_P6qHubP2dqWy9k</t>
  </si>
  <si>
    <t>Jurisphere Enterprise Subscription (2 Users)</t>
  </si>
  <si>
    <t>adv.manishkelkar@gmail.com</t>
  </si>
  <si>
    <t>sub_PJDLom1V443vAv</t>
  </si>
  <si>
    <t>sub_P7D3Ba0eC04t4E</t>
  </si>
  <si>
    <t>anshuomp@gmail.com</t>
  </si>
  <si>
    <t>sub_P7MUMV9wn9rpUp</t>
  </si>
  <si>
    <t>nipung4984@gmail.com</t>
  </si>
  <si>
    <t>advocatesanyaarora@gmail.com</t>
  </si>
  <si>
    <t>aamir.attari@dlco.in</t>
  </si>
  <si>
    <t>sub_PJvtalrfj5k6IQ</t>
  </si>
  <si>
    <t>sub_PJvwTkLTxOBvfT</t>
  </si>
  <si>
    <t>sub_PKOMasDnNcYYsJ</t>
  </si>
  <si>
    <t>copus206@gmail.com</t>
  </si>
  <si>
    <t>sub_PKTaJ84mWotAZu</t>
  </si>
  <si>
    <t>cust_PKTaSIfuOQAPYk</t>
  </si>
  <si>
    <t>ajandial2001@gmail.com</t>
  </si>
  <si>
    <t>sub_P8OeJFoCphQ5sg</t>
  </si>
  <si>
    <t>sub_P8Ogx8jQzxrtcQ</t>
  </si>
  <si>
    <t>sub_P8SstjBbiP0Xhp</t>
  </si>
  <si>
    <t>sub_P8TaxYMnjFjq5s</t>
  </si>
  <si>
    <t>sub_P8TiLNzSGyq9Oy</t>
  </si>
  <si>
    <t>sub_P8Vsppq1XjedXz</t>
  </si>
  <si>
    <t>sub_P8Vu8rROecnWFo</t>
  </si>
  <si>
    <t>sub_P8VwghqlAOjY1a</t>
  </si>
  <si>
    <t>sub_P8WDLjbaHCgQXh</t>
  </si>
  <si>
    <t>aditya.narendranath1999@gmail.com</t>
  </si>
  <si>
    <t>sub_P8ZZAC0QkcZLsh</t>
  </si>
  <si>
    <t>riju.duttabiswas219@gmail.com</t>
  </si>
  <si>
    <t>sub_PKfzKoAKiZxVel</t>
  </si>
  <si>
    <t>cust_PKg0mxB0MabBsx</t>
  </si>
  <si>
    <t>akshar420@gmail.com</t>
  </si>
  <si>
    <t>sub_P8lSGVXrPCGejK</t>
  </si>
  <si>
    <t>sub_PL8aSYF3p9UNGj</t>
  </si>
  <si>
    <t>sub_PL8b0Tm9yjIVQH</t>
  </si>
  <si>
    <t>sub_PL9ZwbnvCVfaqd</t>
  </si>
  <si>
    <t>sub_PLBN8QvICgKrXt</t>
  </si>
  <si>
    <t>nitish.192179@hnlu.ac.in</t>
  </si>
  <si>
    <t>sub_PLByFjawBgujBR</t>
  </si>
  <si>
    <t>sub_P9Ajw9XTtTpD0I</t>
  </si>
  <si>
    <t>chitranshcharu24@gmail.com</t>
  </si>
  <si>
    <t>sub_P9GcdzX0oxKMoq</t>
  </si>
  <si>
    <t>sub_P9HWKNvK8PpTPr</t>
  </si>
  <si>
    <t>nirmal@kingandpartridge.in</t>
  </si>
  <si>
    <t>sub_PLXjmKWVMN7hGE</t>
  </si>
  <si>
    <t>sub_PLXmjoc7QyVsqB</t>
  </si>
  <si>
    <t>sub_PLXn6sU3jdMlTd</t>
  </si>
  <si>
    <t>sub_PLXoSBahI2e28I</t>
  </si>
  <si>
    <t>sub_PLXse9WBGGt3NF</t>
  </si>
  <si>
    <t>sub_PLXxVZYCLiMSti</t>
  </si>
  <si>
    <t>sub_PLY2sRzeLRtQLD</t>
  </si>
  <si>
    <t>sub_PLY4Ka5d7oqxQW</t>
  </si>
  <si>
    <t>sub_PLYlrkGLfHe1GE</t>
  </si>
  <si>
    <t>sub_P9PkcXp7pkEZqA</t>
  </si>
  <si>
    <t>wadeovrat@gmail.com</t>
  </si>
  <si>
    <t>navtaleja@gmail.com</t>
  </si>
  <si>
    <t>sub_P9fxdtjILbFqvM</t>
  </si>
  <si>
    <t>greendabre@gmail.com</t>
  </si>
  <si>
    <t>sub_P9iP9QP0adILwQ</t>
  </si>
  <si>
    <t>cust_P9iPxBzIAInG6X</t>
  </si>
  <si>
    <t>aadityamapara@gmail.com</t>
  </si>
  <si>
    <t>sub_P9lNxgJIlGwEKn</t>
  </si>
  <si>
    <t>sub_OyIIHE1p7bUtRb</t>
  </si>
  <si>
    <t>contact@jurisphere.ai</t>
  </si>
  <si>
    <t>sub_PA0nnlplxnCfEL</t>
  </si>
  <si>
    <t>prajjwalkaul@gmail.com</t>
  </si>
  <si>
    <t>sub_PA0qu0gEukhCZZ</t>
  </si>
  <si>
    <t>sub_PA2iskdLOvGdn4</t>
  </si>
  <si>
    <t>stanay.nusrl@gmail.com</t>
  </si>
  <si>
    <t>sub_PA4MOPNe2RZjRS</t>
  </si>
  <si>
    <t>sakshimanitripathi123@gmail.com</t>
  </si>
  <si>
    <t>sub_PA6nZnHs8epMio</t>
  </si>
  <si>
    <t>kyra.212562@hnlu.ac.in</t>
  </si>
  <si>
    <t>sub_PA8CcONGYOlSox</t>
  </si>
  <si>
    <t>gj0227@myamu.ac.in</t>
  </si>
  <si>
    <t>sub_OyPuV6rbfGtmAx</t>
  </si>
  <si>
    <t>sub_OyWYKkZ91OAExQ</t>
  </si>
  <si>
    <t>expired</t>
  </si>
  <si>
    <t>plan_OyWUuWIpAV96m8</t>
  </si>
  <si>
    <t>Jurisphere Enterprise Subscription</t>
  </si>
  <si>
    <t>sub_OyYZua6IKDvcqz</t>
  </si>
  <si>
    <t>iamaryanasthana3108@gmail.com</t>
  </si>
  <si>
    <t>sub_Oycl4ygL6F23ha</t>
  </si>
  <si>
    <t>viraj.j.parikh@gmail.com</t>
  </si>
  <si>
    <t>sub_Oyh3xe3xkg3TsV</t>
  </si>
  <si>
    <t>plan_Oyh3HQKwCAE2lT</t>
  </si>
  <si>
    <t>Test</t>
  </si>
  <si>
    <t>dadnkanjkdna
 ndjkanbdkankjd
 \dbajhbdkabdkab
 bdjkabdkjabdkja</t>
  </si>
  <si>
    <t>sub_OyhMoFOS3s3cFa</t>
  </si>
  <si>
    <t>sub_OyhOd0v2I9UyeB</t>
  </si>
  <si>
    <t>sub_OyhQeSHfjfjsfe</t>
  </si>
  <si>
    <t>sub_OyhsGBJa51BBkU</t>
  </si>
  <si>
    <t>cust_OrvmW5lOVECDde</t>
  </si>
  <si>
    <t>varunkhandelwal100@gmail.com</t>
  </si>
  <si>
    <t>sub_PAD6xNcvNNBCDW</t>
  </si>
  <si>
    <t>plan_Oz2Ev44SCCarPI</t>
  </si>
  <si>
    <t>ABC</t>
  </si>
  <si>
    <t>cksncmksncksncks
 dinwdmnwkjnd
 ncwcnownxodwdow</t>
  </si>
  <si>
    <t>sub_PADHgQYNndfRMB</t>
  </si>
  <si>
    <t>plan_PADEt59i4hHXUK</t>
  </si>
  <si>
    <t>Custom Offer for ANG Partners (2 Logins)</t>
  </si>
  <si>
    <t>1. Monthly Payments 
 2. Cancel Anytime, with pro-rated refund</t>
  </si>
  <si>
    <t>sub_PADLf1ogQcDBQG</t>
  </si>
  <si>
    <t>plan_PADKYSjnTiWNuM</t>
  </si>
  <si>
    <t>1. Monthly Payments 2. Flexible Cancellation, with pro-rated refund</t>
  </si>
  <si>
    <t>sub_PADVXBF2Sg8No7</t>
  </si>
  <si>
    <t>plan_PADT3q1xnNJPyt</t>
  </si>
  <si>
    <t>Custom Offer for ANG Partners (1 Login)</t>
  </si>
  <si>
    <t>sub_PMefcAUFATBvOZ</t>
  </si>
  <si>
    <t>sub_PMfuvLGrnxOJsF</t>
  </si>
  <si>
    <t>completed</t>
  </si>
  <si>
    <t>plan_PMftU6xtNZU0xT</t>
  </si>
  <si>
    <t>Jurisphere Enterprise Subscription (Mr. Rahman)</t>
  </si>
  <si>
    <t>cust_PNXmiLmqzmcWi8</t>
  </si>
  <si>
    <t>talha.ar.tab@gmail.com</t>
  </si>
  <si>
    <t>sub_PMl3YGhjhPjDC9</t>
  </si>
  <si>
    <t>plan_PMl2K1OYJZQNBG</t>
  </si>
  <si>
    <t>Jurisphere Enterprise Subscription (Mr. Ratan Singh)</t>
  </si>
  <si>
    <t>sub_Oytplr0n9f3Z2j</t>
  </si>
  <si>
    <t>bournvitakid@gmail.com</t>
  </si>
  <si>
    <t>sub_Oz2FahgoZ3XdHB</t>
  </si>
  <si>
    <t>sub_PAoCOXJde9w11d</t>
  </si>
  <si>
    <t>sub_PAoD5HSjdyrzIy</t>
  </si>
  <si>
    <t>sub_PAsQTpzP3FQ164</t>
  </si>
  <si>
    <t>sub_PAvSnDliNccL0w</t>
  </si>
  <si>
    <t>sub_PAvczckd195ECz</t>
  </si>
  <si>
    <t>sub_OzG04wfma5xSsP</t>
  </si>
  <si>
    <t>sub_PBFs7vGjyqkcs5</t>
  </si>
  <si>
    <t>plan_PBFqoU5HWt89bn</t>
  </si>
  <si>
    <t>ANG Partners - Final</t>
  </si>
  <si>
    <t>cust_PBeyo4pL8rMMkJ</t>
  </si>
  <si>
    <t>sub_PNVJCf5ZE6gLj0</t>
  </si>
  <si>
    <t>sub_PNYj2jgt4CZOyX</t>
  </si>
  <si>
    <t>sub_OzXvFpYT0R6jYY</t>
  </si>
  <si>
    <t>sub_OzjTnKBdL6keOC</t>
  </si>
  <si>
    <t>cust_OyhPJibuWWGCtK</t>
  </si>
  <si>
    <t>ganesh4321kumar@gmail.com</t>
  </si>
  <si>
    <t>sub_OzkJudOjCC2bo6</t>
  </si>
  <si>
    <t>sub_OzkSEAUx16aIdk</t>
  </si>
  <si>
    <t>kunalkanungo@gmail.com</t>
  </si>
  <si>
    <t>sikaprdp@gmail.com</t>
  </si>
  <si>
    <t>sub_OzrRCcQxKlIWs1</t>
  </si>
  <si>
    <t>sub_OzrTGi2RjsArbw</t>
  </si>
  <si>
    <t>sub_OzrZHORoiFOlFv</t>
  </si>
  <si>
    <t>sub_Ozrb7PBKqLvY1A</t>
  </si>
  <si>
    <t>sub_OzsTJ1ml8c1yzp</t>
  </si>
  <si>
    <t>sub_OzuRougX21cRYu</t>
  </si>
  <si>
    <t>sub_PBd5RX0Xp7roXC</t>
  </si>
  <si>
    <t>plan_PBd4Ubsy55guZV</t>
  </si>
  <si>
    <t>Jurisphere Enterprise Subscription (Chambers of Adit Subramaniam Pujari)</t>
  </si>
  <si>
    <t>1. Monthly Payments
 2. Flexible Cancellations, with pro-rated refund</t>
  </si>
  <si>
    <t>aditpujari@gmail.com</t>
  </si>
  <si>
    <t>sub_PNroZHt8TM2Crz</t>
  </si>
  <si>
    <t>sub_PNuXrg7scQv3GQ</t>
  </si>
  <si>
    <t>adityalachhwani@gmail.com</t>
  </si>
  <si>
    <t>sub_PNusKmhrxItKhp</t>
  </si>
  <si>
    <t>avim5515@gmail.com</t>
  </si>
  <si>
    <t>sub_P0HJfnsrr2Mu5T</t>
  </si>
  <si>
    <t>sub_PByN4CXfIkv4RM</t>
  </si>
  <si>
    <t>khanshayan3@gmail.com</t>
  </si>
  <si>
    <t>sub_PC49CENSDerU6D</t>
  </si>
  <si>
    <t>sub_PC59I2BIVacj2s</t>
  </si>
  <si>
    <t>sub_PCA9dxmBcyflJV</t>
  </si>
  <si>
    <t>sub_PCAAJWCUHEnblv</t>
  </si>
  <si>
    <t>sub_POEmECOQgPdg4K</t>
  </si>
  <si>
    <t>sub_POEoK085t0oTIN</t>
  </si>
  <si>
    <t>sub_POEozvPRmlPJiH</t>
  </si>
  <si>
    <t>sub_POF4v4aq4h0Utt</t>
  </si>
  <si>
    <t>sub_POF7d3Ic2yRRRD</t>
  </si>
  <si>
    <t>sub_P0KQ6xOvj9r9uv</t>
  </si>
  <si>
    <t>sub_P0KR4AnsvPlAFN</t>
  </si>
  <si>
    <t>sub_P0KTftfTUGJiUn</t>
  </si>
  <si>
    <t>sub_P0Ke7fhFjQUbjs</t>
  </si>
  <si>
    <t>anand7835@gmail.com</t>
  </si>
  <si>
    <t>sub_P0UEXc5CPORt27</t>
  </si>
  <si>
    <t>tvshdesai@gmail.com</t>
  </si>
  <si>
    <t>sub_P0WmwyxaXI4DhM</t>
  </si>
  <si>
    <t>sub_PCP7yyXVVqomzM</t>
  </si>
  <si>
    <t>sub_PCVXHHIsfm10Y7</t>
  </si>
  <si>
    <t>kanavchandra1@gmail.com</t>
  </si>
  <si>
    <t>sub_PCjzF4RPFAn9aT</t>
  </si>
  <si>
    <t>sub_PCk0tK3vN1SKOC</t>
  </si>
  <si>
    <t>sub_PP7tKD80mMlhmz</t>
  </si>
  <si>
    <t>Jurisphere Enterprise Subscription (ANG Partners)</t>
  </si>
  <si>
    <t>angpartnerslawyers@gmail.com</t>
  </si>
  <si>
    <t>natasha29singh@gmail.com</t>
  </si>
  <si>
    <t>sub_PDFgwyDASwn5xL</t>
  </si>
  <si>
    <t>sub_PPFYZBlr5ujIDs</t>
  </si>
  <si>
    <t>void@razorpay.com</t>
  </si>
  <si>
    <t>sub_PPSLW2JTjRD5Rj</t>
  </si>
  <si>
    <t>sub_PPTCMrNrKVk8yf</t>
  </si>
  <si>
    <t>sub_P1cPRZb1jCGaO0</t>
  </si>
  <si>
    <t>sub_P1nGcX7SOET8k2</t>
  </si>
  <si>
    <t>sub_PDYofM92TTCyVY</t>
  </si>
  <si>
    <t>ambareenkhatri@elp-in.com</t>
  </si>
  <si>
    <t>sub_P24AJwwjENCdyR</t>
  </si>
  <si>
    <t>sub_P24G3K2RnN2VNI</t>
  </si>
  <si>
    <t>vinodinisrinivasan@gmail.com</t>
  </si>
  <si>
    <t>sub_P2CMLRrI96FiQD</t>
  </si>
  <si>
    <t>saurabhsood.dbz@gmail.com</t>
  </si>
  <si>
    <t>sub_P2Dye5BYz0f3Kp</t>
  </si>
  <si>
    <t>mohan.adityamohan@gmail.com</t>
  </si>
  <si>
    <t>thesuprianair@gmail.com</t>
  </si>
  <si>
    <t>sub_PQPTMZ6mFJmIK6</t>
  </si>
  <si>
    <t>agrawalmahi1423@gmail.com</t>
  </si>
  <si>
    <t>sub_P2Wo99lmLlOgs4</t>
  </si>
  <si>
    <t>harshitadixit@rgnul.ac.in</t>
  </si>
  <si>
    <t>sub_PEMzbSXepSVYHp</t>
  </si>
  <si>
    <t>plan_PAvSedfwciQfhi</t>
  </si>
  <si>
    <t>ANG Partners</t>
  </si>
  <si>
    <t>Custom Offer for ANG Partners</t>
  </si>
  <si>
    <t>sub_PEPq4lMnhzyo1x</t>
  </si>
  <si>
    <t>sub_PEPuGBbiXSWvNQ</t>
  </si>
  <si>
    <t>ishanjha25@gmail.com</t>
  </si>
  <si>
    <t>sub_PEULTlA6meU4az</t>
  </si>
  <si>
    <t>sub_PEULu2sYblW2fj</t>
  </si>
  <si>
    <t>sub_PQcNCGRy4sY7rA</t>
  </si>
  <si>
    <t>plan_PQcMTS0mG1KdQH</t>
  </si>
  <si>
    <t>Anshul Gupta (ANG Partners)</t>
  </si>
  <si>
    <t>11 month plan - Anytime Cancellation. Pro rated refund.</t>
  </si>
  <si>
    <t>sub_PQcPGio8pxKgaN</t>
  </si>
  <si>
    <t>plan_PQcOvUMsT0UiFo</t>
  </si>
  <si>
    <t>Varun test plan</t>
  </si>
  <si>
    <t>sub_PQghkfeBweSr0V</t>
  </si>
  <si>
    <t>sub_PEr3RBO8a7vA5r</t>
  </si>
  <si>
    <t>plan_PEr2b1gGbZLx70</t>
  </si>
  <si>
    <t>Enterprise Plan for Salvador Raghav &amp; Co.</t>
  </si>
  <si>
    <t>Monthly Subscription, Flexible Cancellation Anytime, 24/7 Customer Support</t>
  </si>
  <si>
    <t>Enterprise Plan for Salvador Raghav &amp; Co. (2 Logins)</t>
  </si>
  <si>
    <t>Monthly Subscription, Flexible Cancellation Anytime &amp; 24/7 Customer Support</t>
  </si>
  <si>
    <t>advraghavsharma19@gmail.com</t>
  </si>
  <si>
    <t>sub_PQx9yTWQRnGisr</t>
  </si>
  <si>
    <t>sub_PR8BTq8KNJxtaX</t>
  </si>
  <si>
    <t>arjunvarma976@gmail.com</t>
  </si>
  <si>
    <t>sub_P35DOBRgh55FSd</t>
  </si>
  <si>
    <t>gaurivikram045@gmail.com</t>
  </si>
  <si>
    <t>sub_P3KNGRl690sGly</t>
  </si>
  <si>
    <t>delofficenv@gmail.com</t>
  </si>
  <si>
    <t>sub_P3NWkBIQlZUVUT</t>
  </si>
  <si>
    <t>sub_P3NYFeDt6zh4Sf</t>
  </si>
  <si>
    <t>suyash.u.shanker@gmail.com</t>
  </si>
  <si>
    <t>sub_PFBfFlenvo7tYV</t>
  </si>
  <si>
    <t>plan_PFBePruUEN18rn</t>
  </si>
  <si>
    <t>Enterprise Plan for Office of ASG (N. Venkataraman)</t>
  </si>
  <si>
    <t>Monthly Subscription. Flexible Cancellation Anytime. 24/7 Customer Support.</t>
  </si>
  <si>
    <t>sub_PRRbosMPWDvCtD</t>
  </si>
  <si>
    <t>ishanigary@gmail.com</t>
  </si>
  <si>
    <t>sub_PS1NmFL2jSwOWm</t>
  </si>
  <si>
    <t>[]</t>
  </si>
  <si>
    <t>sub_PS1blkgCocFqDO</t>
  </si>
  <si>
    <t>vidushidubey65@gmail.com</t>
  </si>
  <si>
    <t>sub_PS6mry61OO42hK</t>
  </si>
  <si>
    <t>sub_PS6qR8dSMbBrps</t>
  </si>
  <si>
    <t>sub_PSeaNe3ZaeLUs1</t>
  </si>
  <si>
    <t>sub_PSf3xwJKOO6RXK</t>
  </si>
  <si>
    <t>sub_PSzgbgJNJbdcm6</t>
  </si>
  <si>
    <t>sub_PT1IJskz59nRdn</t>
  </si>
  <si>
    <t>sub_PT2vRZcDWmd5iQ</t>
  </si>
  <si>
    <t>sub_PT3z6ZkiSN5Z2h</t>
  </si>
  <si>
    <t>deepakgupta1313@gmail.com</t>
  </si>
  <si>
    <t>sub_PT7DJPze1ke0kY</t>
  </si>
  <si>
    <t>rapolu.srinidhi@student.slsh.edu.in</t>
  </si>
  <si>
    <t>sub_PTNbHSvTkhH0EA</t>
  </si>
  <si>
    <t>plan_PTNaDEhqKiQsGd</t>
  </si>
  <si>
    <t>Jurisphere Enterprise Subscription (Khare Legal Chambers)</t>
  </si>
  <si>
    <t>sub_PTS34XfUcHfZAI</t>
  </si>
  <si>
    <t>bhuvikapoor06@gmail.com</t>
  </si>
  <si>
    <t>sub_PTlT5Y20IIydJR</t>
  </si>
  <si>
    <t>sub_PTlZ2TF5ge6Vwu</t>
  </si>
  <si>
    <t>sub_PTpXILOe0zfdjQ</t>
  </si>
  <si>
    <t>sub_PTpanB4nNSnoGf</t>
  </si>
  <si>
    <t>disha66waghela@gmail.com</t>
  </si>
  <si>
    <t>sub_PUA91dPNXmdgVU</t>
  </si>
  <si>
    <t>sub_PUbRZW9alcNDiG</t>
  </si>
  <si>
    <t>cust_PUbSvshJK8uU6V</t>
  </si>
  <si>
    <t>god_devil_yamraj@yahoo.co.in</t>
  </si>
  <si>
    <t>sub_PUlUHrTvJkoX1k</t>
  </si>
  <si>
    <t>ruchirajoshi1429@gmail.com</t>
  </si>
  <si>
    <t>sub_PUyd0InZn0WQVT</t>
  </si>
  <si>
    <t>geetuloki@gmail.com</t>
  </si>
  <si>
    <t>Jurisphere Basic Plan (Enterprise Subscription)</t>
  </si>
  <si>
    <t>1. Unlimited Logins 
 2. Flexible Cancellations</t>
  </si>
  <si>
    <t>ishjain1987@gmail.com</t>
  </si>
  <si>
    <t>sub_PV6lAORVC88SCV</t>
  </si>
  <si>
    <t>nikita.mohapatra98@gmail.com</t>
  </si>
  <si>
    <t>sub_PVhkm4bncxOfKk</t>
  </si>
  <si>
    <t>gautham.11c2@gmail.com</t>
  </si>
  <si>
    <t>Jurisphere Enterprise Subscription (Basic Plan)</t>
  </si>
  <si>
    <t>1. Monthly Billing 
 2. Flexible Cancellation</t>
  </si>
  <si>
    <t>contact@diwanlawassociates.com</t>
  </si>
  <si>
    <t>sub_PVrPx0Ass6sZ3z</t>
  </si>
  <si>
    <t>darshan@maiz.in</t>
  </si>
  <si>
    <t>sub_PWH5fZYSXyqS9V</t>
  </si>
  <si>
    <t>sub_PWaT8rYaA1g0g4</t>
  </si>
  <si>
    <t>sub_PXGkvbjOQJ3GL9</t>
  </si>
  <si>
    <t>Jurisphere Enterprise Subscription - The Guild</t>
  </si>
  <si>
    <t>1. Flexible Cancellation, pro-rated refund. 
 2. Unlimited Sign-Ups</t>
  </si>
  <si>
    <t>kavishri.28@gmail.com</t>
  </si>
  <si>
    <t>vinayekmehra24@gmail.com</t>
  </si>
  <si>
    <t>sub_PYZp354Ubs2pMx</t>
  </si>
  <si>
    <t>sid.lal005@gmail.com</t>
  </si>
  <si>
    <t>sub_PZ1wX1FZAWkAwo</t>
  </si>
  <si>
    <t>sub_PZ6Ma5agGdo0m8</t>
  </si>
  <si>
    <t>sub_PZJWJHq3hMfv7t</t>
  </si>
  <si>
    <t>john219080@nujs.edu</t>
  </si>
  <si>
    <t>raghavkumar.9594@gmail.com</t>
  </si>
  <si>
    <t>sub_PZUWYoaKURkcUV</t>
  </si>
  <si>
    <t>plan_PZUVZrvsdfaPsV</t>
  </si>
  <si>
    <t>Jurisphere Enterprise Subscription (Agama Law Associates)</t>
  </si>
  <si>
    <t>sub_PZUZpK5uYlH9s6</t>
  </si>
  <si>
    <t>nitin@agamalaw.com</t>
  </si>
  <si>
    <t>sub_PaczOcFRPb1qEG</t>
  </si>
  <si>
    <t>mjkartik99@gmail.com</t>
  </si>
  <si>
    <t>sub_PasKXFQZ3Iuu1u</t>
  </si>
  <si>
    <t>cust_PasL2r49O4joNY</t>
  </si>
  <si>
    <t>Jurisphere Enterprise Subscription (Methodica Legal)</t>
  </si>
  <si>
    <t>1. Flexible Cancellation, with a pro-rated refund 
 2. Unlimited Logins</t>
  </si>
  <si>
    <t>abhimanyu.legal@gmail.com</t>
  </si>
  <si>
    <t>sub_Pbhfk3vBmZwImG</t>
  </si>
  <si>
    <t>sub_PbhizFjgrX1rUZ</t>
  </si>
  <si>
    <t>sub_Pbl0yukiOLu3Gn</t>
  </si>
  <si>
    <t>sub_PbooNsYTuvgVVo</t>
  </si>
  <si>
    <t>sub_Pc8c871pDKWhyL</t>
  </si>
  <si>
    <t>thespectacledlion@gmail.com</t>
  </si>
  <si>
    <t>sub_Pc8pDohsuSUHYu</t>
  </si>
  <si>
    <t>sub_PcWZlkRXM3ik3z</t>
  </si>
  <si>
    <t>sub_Pcw2iL7YcBfrFa</t>
  </si>
  <si>
    <t>2023091@mnlumumbai.edu.in</t>
  </si>
  <si>
    <t>sub_PdRIIfbN4P2RvF</t>
  </si>
  <si>
    <t>akshaybr48@gmail.com</t>
  </si>
  <si>
    <t>sub_PdkImcK6bY8qrd</t>
  </si>
  <si>
    <t>syedmujadid@gmail.com</t>
  </si>
  <si>
    <t>sub_Pe7vdtuckOjXHY</t>
  </si>
  <si>
    <t>sub_PeZwtyYD9AdXih</t>
  </si>
  <si>
    <t>sub_PebGiJkh80lzYG</t>
  </si>
  <si>
    <t>anujabhansali94@gmail.com</t>
  </si>
  <si>
    <t>sub_PeqFISQmyqDrYz</t>
  </si>
  <si>
    <t>sub_PeuDxBAWiyeNb4</t>
  </si>
  <si>
    <t>utsavadvocate@gmail.com</t>
  </si>
  <si>
    <t>sub_Pewj4H0MFouPM6</t>
  </si>
  <si>
    <t>sub_PeyFaF6pgAaHv4</t>
  </si>
  <si>
    <t>sub_PfHQbvr4D5p4vc</t>
  </si>
  <si>
    <t>sub_PfHhpZ5tXyo7rQ</t>
  </si>
  <si>
    <t>priyanshijaisinghani57@gmail.com</t>
  </si>
  <si>
    <t>sub_PfKWr3sOTW3rpe</t>
  </si>
  <si>
    <t>sub_PfKWzruv9j2fsi</t>
  </si>
  <si>
    <t>sub_PfKeQemYMFzeeZ</t>
  </si>
  <si>
    <t>sub_Pg7MLoiTcNRLKS</t>
  </si>
  <si>
    <t>sub_PgGKOPohqw7Tq6</t>
  </si>
  <si>
    <t>sub_PggRd2NGvX9BnW</t>
  </si>
  <si>
    <t>darklord2381@gmail.com</t>
  </si>
  <si>
    <t>sub_PggVIdTqFcSO3j</t>
  </si>
  <si>
    <t>sub_PggZWoFJZZSOnx</t>
  </si>
  <si>
    <t>jamdarrajesh@gmail.com</t>
  </si>
  <si>
    <t>sub_Pgso5xPIRrkxpT</t>
  </si>
  <si>
    <t>sub_PhDtByT0fcoDUd</t>
  </si>
  <si>
    <t>khansaba9555@gmail.com</t>
  </si>
  <si>
    <t>sub_PhHcQUbAfBFIlI</t>
  </si>
  <si>
    <t>ananyabhargava852@gmail.com</t>
  </si>
  <si>
    <t>sub_PhMTLVrMydh6uo</t>
  </si>
  <si>
    <t>cust_PhMTgxufqIV5P5</t>
  </si>
  <si>
    <t>vaibhav.binayke@gmail.com</t>
  </si>
  <si>
    <t>sub_PhfzubeEEWP4OL</t>
  </si>
  <si>
    <t>paarijatdey.official@gmail.com</t>
  </si>
  <si>
    <t>meghna2002saraff@gmail.com</t>
  </si>
  <si>
    <t>sub_PiHPVvQCJKMwOf</t>
  </si>
  <si>
    <t>sub_PiprsZDO2YGDH5</t>
  </si>
  <si>
    <t>arunima220076@nujs.edu</t>
  </si>
  <si>
    <t>sub_PjMEVLkBnzvo1T</t>
  </si>
  <si>
    <t>sub_PjZZCVWXS6JhqG</t>
  </si>
  <si>
    <t>sub_PjdJ0cHmpiQ8Q6</t>
  </si>
  <si>
    <t>sub_PjdLAkPXKOoKXD</t>
  </si>
  <si>
    <t>sub_PjdLKzDzrPJXXP</t>
  </si>
  <si>
    <t>raffine.in@gmail.com</t>
  </si>
  <si>
    <t>sub_Pje7ICQ95pZ6c1</t>
  </si>
  <si>
    <t>sub_PjgD6hJxaze7JT</t>
  </si>
  <si>
    <t>karthikeya01shrotriya@gmail.com</t>
  </si>
  <si>
    <t>adv.kritagya@gmail.com</t>
  </si>
  <si>
    <t>sub_Pk8u56DsBvLFJy</t>
  </si>
  <si>
    <t>azraa795@gmail.com</t>
  </si>
  <si>
    <t>mahaseth.venamra@gmail.com</t>
  </si>
  <si>
    <t>sub_PkZrjTaDesbIxf</t>
  </si>
  <si>
    <t>sub_PkZu1qEaZ2LeWi</t>
  </si>
  <si>
    <t>sub_PlhAMT4nyWXRwo</t>
  </si>
  <si>
    <t>sub_PlhAvw6mciT5fr</t>
  </si>
  <si>
    <t>cust_PlhCXbZarBJB7E</t>
  </si>
  <si>
    <t>jasmine.nannavan@gmail.com</t>
  </si>
  <si>
    <t>sub_PljBPtN3Firf4s</t>
  </si>
  <si>
    <t>sub_Pm0oTxiKZABUzP</t>
  </si>
  <si>
    <t>abhishekgupta180294@gmail.com</t>
  </si>
  <si>
    <t>sub_PmLxmbi4y6hvgB</t>
  </si>
  <si>
    <t>bhatnagar.mortalkombat.aayush@gmail.com</t>
  </si>
  <si>
    <t>sub_PmSoeMcewyms3B</t>
  </si>
  <si>
    <t>plan_PmSoBL5OcU9wDC</t>
  </si>
  <si>
    <t>Jurisphere Enterprise Subscription (10 Logins)</t>
  </si>
  <si>
    <t>gaushi@gmail.com</t>
  </si>
  <si>
    <t>sub_PmsJN1a4KWfxyR</t>
  </si>
  <si>
    <t>plan_PmsIfL0AXBBmOA</t>
  </si>
  <si>
    <t>Annual Subscription Plan for Mr. Venkatesh Dhond</t>
  </si>
  <si>
    <t>sahaj219090@nujs.edu</t>
  </si>
  <si>
    <t>sub_PmvGjbV36sGFDe</t>
  </si>
  <si>
    <t>eeswarjr@gmail.com</t>
  </si>
  <si>
    <t>sub_PnbaDCbFNJDyE0</t>
  </si>
  <si>
    <t>cust_PnbbN3nLvByRYE</t>
  </si>
  <si>
    <t>naikchirag2014@gmail.com</t>
  </si>
  <si>
    <t>sub_PoQpnaq3lVhtdh</t>
  </si>
  <si>
    <t>sub_PoRC1GEeF0SPDF</t>
  </si>
  <si>
    <t>sub_PoRIw8l4jWFovX</t>
  </si>
  <si>
    <t>sub_Powyj41fOzMsOF</t>
  </si>
  <si>
    <t>aditya.shaurya@gmail.com</t>
  </si>
  <si>
    <t>klaasyasarojini@gmail.com</t>
  </si>
  <si>
    <t>rohit@brasdesa.net</t>
  </si>
  <si>
    <t>sub_Pq9qosO2RzsUQ6</t>
  </si>
  <si>
    <t>sub_Pr5JCFKHiFVzJF</t>
  </si>
  <si>
    <t>cust_Pr5K9sZqfWVNPh</t>
  </si>
  <si>
    <t>sjaydev@gmail.com</t>
  </si>
  <si>
    <t>sub_Pr7jDmytqnbsze</t>
  </si>
  <si>
    <t>sub_Pr9qaI2KuArM7R</t>
  </si>
  <si>
    <t>sub_PrFfq0ixJdmMlK</t>
  </si>
  <si>
    <t>plan_PrFeWvvb1Bsyzx</t>
  </si>
  <si>
    <t>Quarterly Subscription Plan for Jehangir Jeejeebhoy</t>
  </si>
  <si>
    <t>sub_PrXoaTj2PmWiaj</t>
  </si>
  <si>
    <t>Jurisphere Enterprise Subscription (Ms. Monalisa Kosaria)</t>
  </si>
  <si>
    <t>monalisakosaria@gmail.com</t>
  </si>
  <si>
    <t>sub_Prb9b7Q1weo0DE</t>
  </si>
  <si>
    <t>sub_PrhbSmZqmFDEOB</t>
  </si>
  <si>
    <t>sub_Prhc74Tu2KjUlS</t>
  </si>
  <si>
    <t>sub_PrjfrdCYZLHaAf</t>
  </si>
  <si>
    <t>sub_Prjg3nfIxztthp</t>
  </si>
  <si>
    <t>sub_Ps2o2eRWUPCYkz</t>
  </si>
  <si>
    <t>plan_Ps2mKBkRg3SSFJ</t>
  </si>
  <si>
    <t>Jurisphere Enterprise Subscription (Darius Khambata)</t>
  </si>
  <si>
    <t>aniket.aggarwal@jsalaw.com</t>
  </si>
  <si>
    <t>sub_PsuX6x7MatNvRH</t>
  </si>
  <si>
    <t>samarthlakra@gmail.com</t>
  </si>
  <si>
    <t>kumar2204ram@gmail.com</t>
  </si>
  <si>
    <t>sub_Pv8H8dWTKRCD2N</t>
  </si>
  <si>
    <t>sub_PyOeL3kAhCLWlE</t>
  </si>
  <si>
    <t>plan_PyOdbTqtrAyaAy</t>
  </si>
  <si>
    <t>Jurisphere Enterprise Subscription (Eternity Legal)</t>
  </si>
  <si>
    <t>Jurisphere Enterprise Subscription (Eternity Legal))</t>
  </si>
  <si>
    <t>dipali@eternitylegal.com</t>
  </si>
  <si>
    <t>sub_PzpLJSk7K1UNY3</t>
  </si>
  <si>
    <t>plan_PzpKsZKO7N3JOT</t>
  </si>
  <si>
    <t>Jurisphere Enterprise Subscription (Mr. Dedhia)</t>
  </si>
  <si>
    <t>sub_Q0mNaLxVzKNMSD</t>
  </si>
  <si>
    <t>plan_Q0mMeGgYRTw52q</t>
  </si>
  <si>
    <t>Jurisphere Enterprise Subscription (#2)</t>
  </si>
  <si>
    <t>Plan Name</t>
  </si>
  <si>
    <t>Amount/Unit</t>
  </si>
  <si>
    <t>Billing Cycle</t>
  </si>
  <si>
    <r>
      <rPr>
        <rFont val="Arial"/>
        <color rgb="FF1155CC"/>
        <sz val="10.0"/>
        <u/>
      </rPr>
      <t>plan_Q0mMeGgYRTw52q</t>
    </r>
  </si>
  <si>
    <t>₹ 17,700.00
₹ - Indian Rupee (INR)</t>
  </si>
  <si>
    <t>Every Month</t>
  </si>
  <si>
    <r>
      <rPr>
        <rFont val="Arial"/>
        <color rgb="FF1155CC"/>
        <sz val="10.0"/>
        <u/>
      </rPr>
      <t>plan_Q0mMWPZl0MVj5e</t>
    </r>
  </si>
  <si>
    <r>
      <rPr>
        <rFont val="Arial"/>
        <color rgb="FF1155CC"/>
        <sz val="10.0"/>
        <u/>
      </rPr>
      <t>plan_Q0mHOvihdDW4v2</t>
    </r>
  </si>
  <si>
    <t>₹ 15,000.00
₹ - Indian Rupee (INR)</t>
  </si>
  <si>
    <r>
      <rPr>
        <rFont val="Arial"/>
        <color rgb="FF1155CC"/>
        <sz val="10.0"/>
        <u/>
      </rPr>
      <t>plan_PzpKsZKO7N3JOT</t>
    </r>
  </si>
  <si>
    <r>
      <rPr>
        <rFont val="Arial"/>
        <color rgb="FF1155CC"/>
        <sz val="10.0"/>
        <u/>
      </rPr>
      <t>plan_PzpKraK0JnEJf0</t>
    </r>
  </si>
  <si>
    <r>
      <rPr>
        <rFont val="Arial"/>
        <color rgb="FF1155CC"/>
        <sz val="10.0"/>
        <u/>
      </rPr>
      <t>plan_PzpKlQunUPyTys</t>
    </r>
  </si>
  <si>
    <r>
      <rPr>
        <rFont val="Arial"/>
        <color rgb="FF1155CC"/>
        <sz val="10.0"/>
        <u/>
      </rPr>
      <t>plan_PyOu28g7zuoAwM</t>
    </r>
  </si>
  <si>
    <t>₹ 11,798.82
₹ - Indian Rupee (INR)</t>
  </si>
  <si>
    <r>
      <rPr>
        <rFont val="Arial"/>
        <color rgb="FF1155CC"/>
        <sz val="10.0"/>
        <u/>
      </rPr>
      <t>plan_PyOdbTqtrAyaAy</t>
    </r>
  </si>
  <si>
    <t>₹ 9,999.00
₹ - Indian Rupee (INR)</t>
  </si>
  <si>
    <r>
      <rPr>
        <rFont val="Arial"/>
        <color rgb="FF1155CC"/>
        <sz val="10.0"/>
        <u/>
      </rPr>
      <t>plan_PyOdaWWcPrvLuI</t>
    </r>
  </si>
  <si>
    <r>
      <rPr>
        <rFont val="Arial"/>
        <color rgb="FF1155CC"/>
        <sz val="10.0"/>
        <u/>
      </rPr>
      <t>plan_PyOdTyszoD0Xa5</t>
    </r>
  </si>
  <si>
    <r>
      <rPr>
        <rFont val="Arial"/>
        <color rgb="FF1155CC"/>
        <sz val="10.0"/>
        <u/>
      </rPr>
      <t>plan_Ps2mKBkRg3SSFJ</t>
    </r>
  </si>
  <si>
    <t>₹ 20,000.00
₹ - Indian Rupee (INR)</t>
  </si>
  <si>
    <r>
      <rPr>
        <rFont val="Arial"/>
        <color rgb="FF1155CC"/>
        <sz val="10.0"/>
        <u/>
      </rPr>
      <t>plan_PrXo4k77vz12S5</t>
    </r>
  </si>
  <si>
    <t>₹ 22,500.00
₹ - Indian Rupee (INR)</t>
  </si>
  <si>
    <r>
      <rPr>
        <rFont val="Arial"/>
        <color rgb="FF1155CC"/>
        <sz val="10.0"/>
        <u/>
      </rPr>
      <t>plan_PrXn4Lgun5HmqL</t>
    </r>
  </si>
  <si>
    <t>Jurisphere Enterprise Subscription (Ms. Monalisa Kosaria))</t>
  </si>
  <si>
    <r>
      <rPr>
        <rFont val="Arial"/>
        <color rgb="FF1155CC"/>
        <sz val="10.0"/>
        <u/>
      </rPr>
      <t>plan_PrFeWvvb1Bsyzx</t>
    </r>
  </si>
  <si>
    <t>₹ 32,000.00
₹ - Indian Rupee (INR)</t>
  </si>
  <si>
    <t>Once in 3 Months</t>
  </si>
  <si>
    <r>
      <rPr>
        <rFont val="Arial"/>
        <color rgb="FF1155CC"/>
        <sz val="10.0"/>
        <u/>
      </rPr>
      <t>plan_PoVz2UUEjA2Lwe</t>
    </r>
  </si>
  <si>
    <t>₹ 2,499.00
₹ - Indian Rupee (INR)</t>
  </si>
  <si>
    <r>
      <rPr>
        <rFont val="Arial"/>
        <color rgb="FF1155CC"/>
        <sz val="10.0"/>
        <u/>
      </rPr>
      <t>plan_PmsIfL0AXBBmOA</t>
    </r>
  </si>
  <si>
    <r>
      <rPr>
        <rFont val="Arial"/>
        <color rgb="FF1155CC"/>
        <sz val="10.0"/>
        <u/>
      </rPr>
      <t>plan_PmSt4hyb5kDgwF</t>
    </r>
  </si>
  <si>
    <t>₹ 54,000.00
₹ - Indian Rupee (INR)</t>
  </si>
  <si>
    <r>
      <rPr>
        <rFont val="Arial"/>
        <color rgb="FF1155CC"/>
        <sz val="10.0"/>
        <u/>
      </rPr>
      <t>plan_PmSoBL5OcU9wDC</t>
    </r>
  </si>
  <si>
    <t>₹ 18,000.00
₹ - Indian Rupee (INR)</t>
  </si>
  <si>
    <r>
      <rPr>
        <rFont val="Arial"/>
        <color rgb="FF1155CC"/>
        <sz val="10.0"/>
        <u/>
      </rPr>
      <t>plan_PbMnOhYADhz1In</t>
    </r>
  </si>
  <si>
    <t>₹ 36,900.00
₹ - Indian Rupee (INR)</t>
  </si>
  <si>
    <r>
      <rPr>
        <rFont val="Arial"/>
        <color rgb="FF1155CC"/>
        <sz val="10.0"/>
        <u/>
      </rPr>
      <t>plan_PZVCp0v2GrZorx</t>
    </r>
  </si>
  <si>
    <t>₹ 80,000.00
₹ - Indian Rupee (INR)</t>
  </si>
  <si>
    <r>
      <rPr>
        <rFont val="Arial"/>
        <color rgb="FF1155CC"/>
        <sz val="10.0"/>
        <u/>
      </rPr>
      <t>plan_PZUVZrvsdfaPsV</t>
    </r>
  </si>
  <si>
    <t>₹ 81,000.00
₹ - Indian Rupee (INR)</t>
  </si>
  <si>
    <r>
      <rPr>
        <rFont val="Arial"/>
        <color rgb="FF1155CC"/>
        <sz val="10.0"/>
        <u/>
      </rPr>
      <t>plan_PZUTRwunza0NQq</t>
    </r>
  </si>
  <si>
    <t>₹ 3,24,000.00
₹ - Indian Rupee (INR)</t>
  </si>
  <si>
    <t>Once in 4 Years</t>
  </si>
  <si>
    <r>
      <rPr>
        <rFont val="Arial"/>
        <color rgb="FF1155CC"/>
        <sz val="10.0"/>
        <u/>
      </rPr>
      <t>plan_PYEY0EbUQ9bmvY</t>
    </r>
  </si>
  <si>
    <t>₹ 60,000.00
₹ - Indian Rupee (INR)</t>
  </si>
  <si>
    <t>Once in 6 Months</t>
  </si>
  <si>
    <r>
      <rPr>
        <rFont val="Arial"/>
        <color rgb="FF1155CC"/>
        <sz val="10.0"/>
        <u/>
      </rPr>
      <t>plan_PVmuQefVrbzf36</t>
    </r>
  </si>
  <si>
    <t>₹ 5,000.00
₹ - Indian Rupee (INR)</t>
  </si>
  <si>
    <r>
      <rPr>
        <rFont val="Arial"/>
        <color rgb="FF1155CC"/>
        <sz val="10.0"/>
        <u/>
      </rPr>
      <t>plan_PV2cux3PhwXQfJ</t>
    </r>
  </si>
  <si>
    <t>₹ 1,46,994.00
₹ - Indian Rupee (INR)</t>
  </si>
  <si>
    <r>
      <rPr>
        <rFont val="Arial"/>
        <color rgb="FF1155CC"/>
        <sz val="10.0"/>
        <u/>
      </rPr>
      <t>plan_PTNaDEhqKiQsGd</t>
    </r>
  </si>
  <si>
    <t>₹ 4,999.00
₹ - Indian Rupee (INR)</t>
  </si>
  <si>
    <r>
      <rPr>
        <rFont val="Arial"/>
        <color rgb="FF1155CC"/>
        <sz val="10.0"/>
        <u/>
      </rPr>
      <t>plan_PQcOvUMsT0UiFo</t>
    </r>
  </si>
  <si>
    <r>
      <rPr>
        <rFont val="Arial"/>
        <color rgb="FF1155CC"/>
        <sz val="10.0"/>
        <u/>
      </rPr>
      <t>plan_PQcMTS0mG1KdQH</t>
    </r>
  </si>
  <si>
    <r>
      <rPr>
        <rFont val="Arial"/>
        <color rgb="FF1155CC"/>
        <sz val="10.0"/>
        <u/>
      </rPr>
      <t>plan_PPApbJaPlyb97S</t>
    </r>
  </si>
  <si>
    <r>
      <rPr>
        <rFont val="Arial"/>
        <color rgb="FF1155CC"/>
        <sz val="10.0"/>
        <u/>
      </rPr>
      <t>plan_PPAoAPgVXdJtBC</t>
    </r>
  </si>
  <si>
    <t>Once in 11 Months</t>
  </si>
  <si>
    <r>
      <rPr>
        <rFont val="Arial"/>
        <color rgb="FF1155CC"/>
        <sz val="10.0"/>
        <u/>
      </rPr>
      <t>plan_PMl2K1OYJZQNBG</t>
    </r>
  </si>
  <si>
    <t>₹ 1,20,000.00
₹ - Indian Rupee (INR)</t>
  </si>
  <si>
    <r>
      <rPr>
        <rFont val="Arial"/>
        <color rgb="FF1155CC"/>
        <sz val="10.0"/>
        <u/>
      </rPr>
      <t>plan_PMftU6xtNZU0xT</t>
    </r>
  </si>
  <si>
    <r>
      <rPr>
        <rFont val="Arial"/>
        <color rgb="FF1155CC"/>
        <sz val="10.0"/>
        <u/>
      </rPr>
      <t>plan_PJ9hG5bfnXXaUI</t>
    </r>
  </si>
  <si>
    <t>₹ 3,999.00
₹ - Indian Rupee (INR)</t>
  </si>
  <si>
    <r>
      <rPr>
        <rFont val="Arial"/>
        <color rgb="FF1155CC"/>
        <sz val="10.0"/>
        <u/>
      </rPr>
      <t>plan_PFBePruUEN18rn</t>
    </r>
  </si>
  <si>
    <r>
      <rPr>
        <rFont val="Arial"/>
        <color rgb="FF1155CC"/>
        <sz val="10.0"/>
        <u/>
      </rPr>
      <t>plan_PEr6cu6DZUgDtN</t>
    </r>
  </si>
  <si>
    <t>₹ 8,000.00
₹ - Indian Rupee (INR)</t>
  </si>
  <si>
    <r>
      <rPr>
        <rFont val="Arial"/>
        <color rgb="FF1155CC"/>
        <sz val="10.0"/>
        <u/>
      </rPr>
      <t>plan_PEr2b1gGbZLx70</t>
    </r>
  </si>
  <si>
    <r>
      <rPr>
        <rFont val="Arial"/>
        <color rgb="FF1155CC"/>
        <sz val="10.0"/>
        <u/>
      </rPr>
      <t>plan_PEr0LpgCrQeb3Y</t>
    </r>
  </si>
  <si>
    <t>Plan for Salvador Raghav &amp; Co.</t>
  </si>
  <si>
    <r>
      <rPr>
        <rFont val="Arial"/>
        <color rgb="FF1155CC"/>
        <sz val="10.0"/>
        <u/>
      </rPr>
      <t>plan_PBd4Ubsy55guZV</t>
    </r>
  </si>
  <si>
    <r>
      <rPr>
        <rFont val="Arial"/>
        <color rgb="FF1155CC"/>
        <sz val="10.0"/>
        <u/>
      </rPr>
      <t>plan_PBd1MZSqciKiRE</t>
    </r>
  </si>
  <si>
    <t>Chambers of Adit Subramaniam Pujari</t>
  </si>
  <si>
    <t>Once in 12 Months</t>
  </si>
  <si>
    <r>
      <rPr>
        <rFont val="Arial"/>
        <color rgb="FF1155CC"/>
        <sz val="10.0"/>
        <u/>
      </rPr>
      <t>plan_PBFqoU5HWt89bn</t>
    </r>
  </si>
  <si>
    <r>
      <rPr>
        <rFont val="Arial"/>
        <color rgb="FF1155CC"/>
        <sz val="10.0"/>
        <u/>
      </rPr>
      <t>plan_PAvSedfwciQfhi</t>
    </r>
  </si>
  <si>
    <r>
      <rPr>
        <rFont val="Arial"/>
        <color rgb="FF1155CC"/>
        <sz val="10.0"/>
        <u/>
      </rPr>
      <t>plan_PADi3pLtgkW29g</t>
    </r>
  </si>
  <si>
    <t>ANG Partners - Custom Offer</t>
  </si>
  <si>
    <t>₹ 1,999.50
₹ - Indian Rupee (INR)</t>
  </si>
  <si>
    <r>
      <rPr>
        <rFont val="Arial"/>
        <color rgb="FF1155CC"/>
        <sz val="10.0"/>
        <u/>
      </rPr>
      <t>plan_PADT3q1xnNJPyt</t>
    </r>
  </si>
  <si>
    <r>
      <rPr>
        <rFont val="Arial"/>
        <color rgb="FF1155CC"/>
        <sz val="10.0"/>
        <u/>
      </rPr>
      <t>plan_PADKYSjnTiWNuM</t>
    </r>
  </si>
  <si>
    <r>
      <rPr>
        <rFont val="Arial"/>
        <color rgb="FF1155CC"/>
        <sz val="10.0"/>
        <u/>
      </rPr>
      <t>plan_PADEt59i4hHXUK</t>
    </r>
  </si>
  <si>
    <r>
      <rPr>
        <rFont val="Arial"/>
        <color rgb="FF1155CC"/>
        <sz val="10.0"/>
        <u/>
      </rPr>
      <t>plan_P8Tjm0yB6EurJv</t>
    </r>
  </si>
  <si>
    <t>Keystone Test</t>
  </si>
  <si>
    <t>₹ 25,000.00
₹ - Indian Rupee (INR)</t>
  </si>
  <si>
    <r>
      <rPr>
        <rFont val="Arial"/>
        <color rgb="FF1155CC"/>
        <sz val="10.0"/>
        <u/>
      </rPr>
      <t>plan_Oz2Ev44SCCarPI</t>
    </r>
  </si>
  <si>
    <r>
      <rPr>
        <rFont val="Arial"/>
        <color rgb="FF1155CC"/>
        <sz val="10.0"/>
        <u/>
      </rPr>
      <t>plan_Oyh3HQKwCAE2lT</t>
    </r>
  </si>
  <si>
    <t>₹ 100.00
₹ - Indian Rupee (INR)</t>
  </si>
  <si>
    <r>
      <rPr>
        <rFont val="Arial"/>
        <color rgb="FF1155CC"/>
        <sz val="10.0"/>
        <u/>
      </rPr>
      <t>plan_OyWUuWIpAV96m8</t>
    </r>
  </si>
  <si>
    <r>
      <rPr>
        <rFont val="Arial"/>
        <color rgb="FF1155CC"/>
        <sz val="10.0"/>
        <u/>
      </rPr>
      <t>plan_OyFii7eFsGaGLC</t>
    </r>
  </si>
  <si>
    <t>₹ 499.00
₹ - Indian Rupee (INR)</t>
  </si>
  <si>
    <r>
      <rPr>
        <rFont val="Arial"/>
        <color rgb="FF1155CC"/>
        <sz val="10.0"/>
        <u/>
      </rPr>
      <t>plan_Op4MOOvvYDvjN5</t>
    </r>
  </si>
  <si>
    <t>₹ 2,399.00
₹ - Indian Rupee (INR)</t>
  </si>
  <si>
    <t>All Client Names</t>
  </si>
  <si>
    <t>Invoices Recieved (for match function)</t>
  </si>
  <si>
    <t>Match Function</t>
  </si>
  <si>
    <t>Missing Invoices</t>
  </si>
  <si>
    <t xml:space="preserve">Kanungo &amp; Co. </t>
  </si>
  <si>
    <t>Invoices Received from Shreshth</t>
  </si>
  <si>
    <t>Invoices Recieved From Shreshth</t>
  </si>
  <si>
    <t>Ang Partners</t>
  </si>
  <si>
    <t>::- MV Law Partners::</t>
  </si>
  <si>
    <t>Chambers of Pujari</t>
  </si>
  <si>
    <t>::- Mr Sajal Awasthi::</t>
  </si>
  <si>
    <t>Scrolegal</t>
  </si>
  <si>
    <t>Newton School</t>
  </si>
  <si>
    <t>Mr. Sajal Awasthi</t>
  </si>
  <si>
    <t>::- Dipankar Mazumdar::</t>
  </si>
  <si>
    <t>Prantar</t>
  </si>
  <si>
    <t>Kelkar</t>
  </si>
  <si>
    <t>ASG</t>
  </si>
  <si>
    <t>Dipankar Mazumdar</t>
  </si>
  <si>
    <t>Invoices Recieved From Jayanth</t>
  </si>
  <si>
    <t>Invoices Received from Jayanth</t>
  </si>
  <si>
    <t>Jurisphere Invoice - Mr. Naushad Engineer</t>
  </si>
  <si>
    <t>Diwan</t>
  </si>
  <si>
    <t>Sent to me, !find</t>
  </si>
  <si>
    <t>Jurisphere Invoice - Ms. Monalisa Kosaria</t>
  </si>
  <si>
    <t>Regius</t>
  </si>
  <si>
    <t>Ratan Kumar Singh</t>
  </si>
  <si>
    <t>Keystone Partners - Jurisphere Invoice</t>
  </si>
  <si>
    <t>ADP Chambers</t>
  </si>
  <si>
    <t>Amrita Panda</t>
  </si>
  <si>
    <t>Prompt Legal Invoice with GST - there's another invoice to prompt legal but contained in an email to chambers of dr sujay kantawala</t>
  </si>
  <si>
    <t>Mr. Nitin Jain / Agama Law Associates</t>
  </si>
  <si>
    <t>Eternity Legal Invoice (GST Included) (1)</t>
  </si>
  <si>
    <t>Aditya Sikka / Tvashta Law</t>
  </si>
  <si>
    <t>Invoice for Vesta Legal - there's another invoice to vesta legal forwarded by manas on email with different end dates and different amounts</t>
  </si>
  <si>
    <t>Pawan Raley</t>
  </si>
  <si>
    <t>Cash deal, no invoice needed</t>
  </si>
  <si>
    <t>Jurisphere Invoice - Adv Farhan Dubash</t>
  </si>
  <si>
    <t>Venky</t>
  </si>
  <si>
    <t>The Guild</t>
  </si>
  <si>
    <t>Jurisphere Invoice - Jejeebhoy</t>
  </si>
  <si>
    <t>Vectoram Legal</t>
  </si>
  <si>
    <t xml:space="preserve">Abhimanyu Garg / Methodica Legal </t>
  </si>
  <si>
    <t>Prompt Legal Invoice with GST</t>
  </si>
  <si>
    <t>Jurisphere Invoice - Mr. Mustafa S. Doctor</t>
  </si>
  <si>
    <t>Shiraz Rustomjee</t>
  </si>
  <si>
    <t>Argus</t>
  </si>
  <si>
    <t>Gourab Banerji</t>
  </si>
  <si>
    <t>Eternity Legal Invoice (GST Included)</t>
  </si>
  <si>
    <t>Invoices Recieved From Manas on Email</t>
  </si>
  <si>
    <t>Wadia Gandhy</t>
  </si>
  <si>
    <t>- MZM</t>
  </si>
  <si>
    <t>Dedhia</t>
  </si>
  <si>
    <t>Invoice for Vesta Legal</t>
  </si>
  <si>
    <t>- Sanjay Udeshi and Co</t>
  </si>
  <si>
    <t>- Chambers of Dr. Sujay Kantawala</t>
  </si>
  <si>
    <t>Mustafa S Doctor</t>
  </si>
  <si>
    <t>Jurisphere Invoice - Adv. Farhan Dubash</t>
  </si>
  <si>
    <t>- Tvashta Law</t>
  </si>
  <si>
    <t>Naushad Engineer</t>
  </si>
  <si>
    <t>- Office of ASG (N. Venkatraman) - email only had a payment request screenshot - no invoice</t>
  </si>
  <si>
    <t>Keystone Partners</t>
  </si>
  <si>
    <t>- Chambers of Mustafa S. Doctor</t>
  </si>
  <si>
    <t xml:space="preserve">Farhan Dubash </t>
  </si>
  <si>
    <t>- Chambers of Naushad Engineer &lt;&gt; Jurisphere | Onboarding</t>
  </si>
  <si>
    <t>- MV Law Partners x Jurisphere</t>
  </si>
  <si>
    <t>Shyam Kapadia</t>
  </si>
  <si>
    <t>Invoices Received from Manas on Email</t>
  </si>
  <si>
    <t>- Abhimanyu &amp; Preety</t>
  </si>
  <si>
    <t>- Agama Law</t>
  </si>
  <si>
    <t>Dipankar Majumdar</t>
  </si>
  <si>
    <t>MZM</t>
  </si>
  <si>
    <t>- Keystone Partners</t>
  </si>
  <si>
    <t>- The Guild | Advocates &amp; Associate Counsel</t>
  </si>
  <si>
    <t>Sanjay Udeshi and Co.</t>
  </si>
  <si>
    <t>- Darius Khambata - Subscription term must be wrong</t>
  </si>
  <si>
    <t xml:space="preserve">Saswat Mohanty </t>
  </si>
  <si>
    <t>- Vesta Legal</t>
  </si>
  <si>
    <t>Chambers of Dr. Sujay Kantawala</t>
  </si>
  <si>
    <t>Invoices Recieved From Manas on Whatsapp</t>
  </si>
  <si>
    <t>Vesta Legal (shared by Jayanth)</t>
  </si>
  <si>
    <t>::Juripshere Invoice - Mr. Gaurav Joshi (1)::</t>
  </si>
  <si>
    <t>::Jurisphere Invoice - Asahi legal::</t>
  </si>
  <si>
    <t>Office of ASG (N. Venkatraman)</t>
  </si>
  <si>
    <t>::Jurisphere Invoice - Mr. Abel Tom Benny::</t>
  </si>
  <si>
    <t>Sanjay Udeshi &amp; Co.</t>
  </si>
  <si>
    <t>::Jurisphere Invoice - Mr. Saswat Mohanty::</t>
  </si>
  <si>
    <t>Eternity Legal</t>
  </si>
  <si>
    <t>Chambers of Mustafa S. Doctor</t>
  </si>
  <si>
    <t>::Jurisphere Invoice - Mr. Venkatesh Dhond (1)::</t>
  </si>
  <si>
    <t xml:space="preserve">Wadia Gandhy </t>
  </si>
  <si>
    <t>::Jurisphere Invoice - Shyam Kapadia::</t>
  </si>
  <si>
    <t>Chambers of Naushad Engineer</t>
  </si>
  <si>
    <t>::Jurisphere Invoice (Mr. Ratan Singh)::</t>
  </si>
  <si>
    <t>Tejas Bhide</t>
  </si>
  <si>
    <t>Jurisphere Invoice for Chambers of Gourab Banerji - there's two invoices for Gourab Banerji, same amount and same invoice number, for a 2 month subscription - but one of the invoices has a year long subscription term</t>
  </si>
  <si>
    <t>Abel Tom Benny // Thomas and Thomas Advocates</t>
  </si>
  <si>
    <t>MV Law Partners x Jurisphere</t>
  </si>
  <si>
    <t>Jurisphere Invoice for Gourab Banerji - this one has a year long subscription term but says 2 month subscription</t>
  </si>
  <si>
    <t>::Jurisphere Invoice„ (Dipankar Majumdar)::</t>
  </si>
  <si>
    <t xml:space="preserve">Dedhia </t>
  </si>
  <si>
    <t>Abhimanyu &amp; Preety</t>
  </si>
  <si>
    <t>Kanungo &amp; Co. _ Jurisphere - Invoice doesn't have date</t>
  </si>
  <si>
    <t>::Methodica Legal - Invoice::</t>
  </si>
  <si>
    <t>Prompt Legal</t>
  </si>
  <si>
    <t>Agama Law</t>
  </si>
  <si>
    <t>::Mr Sajal Awasthi::</t>
  </si>
  <si>
    <t>Prompt Legal (Shared by Jayanth)</t>
  </si>
  <si>
    <t>::Newton School (Coresphere100 Technologies Pvt Ltd) (Incancus)::</t>
  </si>
  <si>
    <t xml:space="preserve">Rithin Rai </t>
  </si>
  <si>
    <t>::Tejas Bhide - Jurisphere Invoice::</t>
  </si>
  <si>
    <t>Mr. Venkatesh Dhond</t>
  </si>
  <si>
    <t>The Guild Advocates &amp; Associate Counsel</t>
  </si>
  <si>
    <t>Incanus Technologies Private Limited</t>
  </si>
  <si>
    <t>Mr. Jehangir Jejeebhoy</t>
  </si>
  <si>
    <t>Darius Khambata</t>
  </si>
  <si>
    <t>Ratan Singh</t>
  </si>
  <si>
    <t>Tvashta</t>
  </si>
  <si>
    <t>Guild</t>
  </si>
  <si>
    <t>Invoices Received from Manas on WhatsApp</t>
  </si>
  <si>
    <t xml:space="preserve">Methodica </t>
  </si>
  <si>
    <t>Jurisphere Invoice - Mr. Gaurav Joshi</t>
  </si>
  <si>
    <t>Mustafa Doctor</t>
  </si>
  <si>
    <t>Jurisphere Invoice - Asahi Legal</t>
  </si>
  <si>
    <t xml:space="preserve">Shahswat Mohanty </t>
  </si>
  <si>
    <t>Jurisphere Invoice - Mr. Abel Tom Benny</t>
  </si>
  <si>
    <t>Jurisphere Invoice - Mr. Saswat Mohanty</t>
  </si>
  <si>
    <t>Jurisphere Invoice - Mr. Venkatesh Dhond</t>
  </si>
  <si>
    <t>Jurisphere Invoice - Shyam Kapadia</t>
  </si>
  <si>
    <t>Jurisphere Invoice - Mr. Ratan Singh</t>
  </si>
  <si>
    <t>Jurisphere Invoice - Chambers of Gourab Banerji</t>
  </si>
  <si>
    <t>Kanungo &amp; Co. Jurisphere</t>
  </si>
  <si>
    <t>Methodica Legal Invoice</t>
  </si>
  <si>
    <t>Newton School (Coresphere100 Technologies Pvt. Ltd.)</t>
  </si>
  <si>
    <t>Tejas Bhide - Jurisphere Invoice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</si>
</sst>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/m/yyyy"/>
    <numFmt numFmtId="165" formatCode="D/M/YYYY"/>
    <numFmt numFmtId="166" formatCode="dd/mm/yyyy"/>
    <numFmt numFmtId="167" formatCode="dd-mm-yyyy"/>
    <numFmt numFmtId="168" formatCode="d/mmmm/yyyy"/>
    <numFmt numFmtId="169" formatCode="d/m/yy"/>
    <numFmt numFmtId="170" formatCode="d-m-yyyy"/>
    <numFmt numFmtId="171" formatCode="mmm\ d\ yyyy"/>
    <numFmt numFmtId="172" formatCode="d\ mmm\ yyyy\,\ hh:mm:ss"/>
    <numFmt numFmtId="173" formatCode="mmm\ dd\ yyyy"/>
    <numFmt numFmtId="174" formatCode="dd\ mmm\ yyyy\,\ hh:mm:ss"/>
    <numFmt numFmtId="175" formatCode="dd/mm/yyyy\ hh:mm:ss"/>
    <numFmt numFmtId="176" formatCode="d/m/yyyy\ hh:mm:ss"/>
  </numFmts>
  <fonts count="24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u/>
      <sz val="10.0"/>
      <color rgb="FF000000"/>
      <name val="Roboto"/>
    </font>
    <font>
      <color rgb="FF000000"/>
      <name val="Arial"/>
    </font>
    <font>
      <color theme="1"/>
      <name val="Arial"/>
      <scheme val="minor"/>
    </font>
    <font>
      <color rgb="FF000000"/>
      <name val="Calibri"/>
    </font>
    <font>
      <color rgb="FF000000"/>
      <name val="Inter"/>
    </font>
    <font>
      <b/>
      <sz val="9.0"/>
      <color rgb="FF000000"/>
      <name val="Ubuntu"/>
    </font>
    <font>
      <sz val="11.0"/>
      <color rgb="FF000000"/>
      <name val="Inter"/>
    </font>
    <font>
      <sz val="9.0"/>
      <color rgb="FF000000"/>
      <name val="Arial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b/>
      <color theme="1"/>
      <name val="Arial"/>
    </font>
    <font>
      <color theme="1"/>
      <name val="Arial"/>
    </font>
    <font>
      <sz val="11.0"/>
      <color rgb="FF000000"/>
      <name val="&quot;Aptos Narrow&quot;"/>
    </font>
    <font>
      <u/>
      <sz val="11.0"/>
      <color rgb="FF467886"/>
      <name val="&quot;Aptos Narrow&quot;"/>
    </font>
    <font>
      <b/>
      <sz val="10.0"/>
      <color theme="1"/>
      <name val="Arial"/>
    </font>
    <font>
      <u/>
      <sz val="10.0"/>
      <color rgb="FF0000FF"/>
      <name val="Arial"/>
    </font>
    <font>
      <sz val="10.0"/>
      <color theme="1"/>
      <name val="Arial"/>
    </font>
    <font>
      <sz val="12.0"/>
      <color theme="1"/>
      <name val="Inherit"/>
    </font>
    <font>
      <sz val="12.0"/>
      <color theme="1"/>
      <name val="FkGroteskNeue"/>
    </font>
  </fonts>
  <fills count="10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6F8F9"/>
        <bgColor rgb="FFF6F8F9"/>
      </patternFill>
    </fill>
    <fill>
      <patternFill patternType="solid">
        <fgColor rgb="FFFF0000"/>
        <bgColor rgb="FFFF0000"/>
      </patternFill>
    </fill>
    <fill>
      <patternFill patternType="solid">
        <fgColor rgb="FFD9E1F2"/>
        <bgColor rgb="FFD9E1F2"/>
      </patternFill>
    </fill>
    <fill>
      <patternFill patternType="solid">
        <fgColor rgb="FF434343"/>
        <bgColor rgb="FF434343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E9E9E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8EA9DB"/>
      </bottom>
    </border>
    <border>
      <top style="thin">
        <color rgb="FF8EA9DB"/>
      </top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6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Alignment="1" applyFont="1" applyNumberFormat="1">
      <alignment readingOrder="0"/>
    </xf>
    <xf borderId="0" fillId="0" fontId="1" numFmtId="3" xfId="0" applyAlignment="1" applyFont="1" applyNumberFormat="1">
      <alignment horizontal="left" readingOrder="0"/>
    </xf>
    <xf borderId="0" fillId="0" fontId="2" numFmtId="0" xfId="0" applyAlignment="1" applyFont="1">
      <alignment horizontal="center" shrinkToFit="0" vertical="center" wrapText="1"/>
    </xf>
    <xf borderId="0" fillId="2" fontId="2" numFmtId="0" xfId="0" applyAlignment="1" applyFill="1" applyFont="1">
      <alignment horizontal="center" readingOrder="0" vertical="center"/>
    </xf>
    <xf borderId="0" fillId="0" fontId="0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3" numFmtId="3" xfId="0" applyAlignment="1" applyFont="1" applyNumberFormat="1">
      <alignment horizontal="left"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3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righ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1" fillId="0" fontId="0" numFmtId="0" xfId="0" applyAlignment="1" applyBorder="1" applyFont="1">
      <alignment horizontal="center" readingOrder="0" shrinkToFit="0" vertical="center" wrapText="0"/>
    </xf>
    <xf borderId="1" fillId="0" fontId="0" numFmtId="0" xfId="0" applyAlignment="1" applyBorder="1" applyFont="1">
      <alignment readingOrder="0" shrinkToFit="0" vertical="center" wrapText="0"/>
    </xf>
    <xf borderId="1" fillId="0" fontId="0" numFmtId="0" xfId="0" applyAlignment="1" applyBorder="1" applyFont="1">
      <alignment horizontal="left" shrinkToFit="0" vertical="center" wrapText="0"/>
    </xf>
    <xf borderId="1" fillId="0" fontId="0" numFmtId="0" xfId="0" applyAlignment="1" applyBorder="1" applyFont="1">
      <alignment readingOrder="0" shrinkToFit="0" vertical="center" wrapText="0"/>
    </xf>
    <xf borderId="1" fillId="0" fontId="0" numFmtId="164" xfId="0" applyAlignment="1" applyBorder="1" applyFont="1" applyNumberFormat="1">
      <alignment readingOrder="0" shrinkToFit="0" vertical="center" wrapText="0"/>
    </xf>
    <xf borderId="1" fillId="0" fontId="0" numFmtId="165" xfId="0" applyAlignment="1" applyBorder="1" applyFont="1" applyNumberFormat="1">
      <alignment readingOrder="0" shrinkToFit="0" vertical="center" wrapText="0"/>
    </xf>
    <xf borderId="1" fillId="3" fontId="0" numFmtId="0" xfId="0" applyAlignment="1" applyBorder="1" applyFill="1" applyFont="1">
      <alignment readingOrder="0" shrinkToFit="0" vertical="center" wrapText="0"/>
    </xf>
    <xf borderId="1" fillId="0" fontId="0" numFmtId="4" xfId="0" applyAlignment="1" applyBorder="1" applyFont="1" applyNumberFormat="1">
      <alignment shrinkToFit="0" vertical="center" wrapText="0"/>
    </xf>
    <xf borderId="1" fillId="0" fontId="0" numFmtId="166" xfId="0" applyAlignment="1" applyBorder="1" applyFont="1" applyNumberFormat="1">
      <alignment horizontal="right" readingOrder="0" shrinkToFit="0" vertical="center" wrapText="0"/>
    </xf>
    <xf borderId="0" fillId="0" fontId="0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1" fillId="0" fontId="0" numFmtId="0" xfId="0" applyAlignment="1" applyBorder="1" applyFont="1">
      <alignment horizontal="left" readingOrder="0" shrinkToFit="0" vertical="bottom" wrapText="0"/>
    </xf>
    <xf borderId="1" fillId="0" fontId="0" numFmtId="166" xfId="0" applyAlignment="1" applyBorder="1" applyFont="1" applyNumberFormat="1">
      <alignment readingOrder="0" shrinkToFit="0" vertical="center" wrapText="0"/>
    </xf>
    <xf borderId="1" fillId="0" fontId="0" numFmtId="4" xfId="0" applyAlignment="1" applyBorder="1" applyFont="1" applyNumberFormat="1">
      <alignment readingOrder="0" shrinkToFit="0" vertical="center" wrapText="0"/>
    </xf>
    <xf borderId="1" fillId="0" fontId="0" numFmtId="0" xfId="0" applyAlignment="1" applyBorder="1" applyFont="1">
      <alignment shrinkToFit="0" vertical="center" wrapText="0"/>
    </xf>
    <xf borderId="1" fillId="0" fontId="0" numFmtId="0" xfId="0" applyAlignment="1" applyBorder="1" applyFont="1">
      <alignment shrinkToFit="0" vertical="center" wrapText="0"/>
    </xf>
    <xf borderId="1" fillId="0" fontId="0" numFmtId="167" xfId="0" applyAlignment="1" applyBorder="1" applyFont="1" applyNumberFormat="1">
      <alignment readingOrder="0" shrinkToFit="0" vertical="center" wrapText="0"/>
    </xf>
    <xf borderId="1" fillId="0" fontId="0" numFmtId="0" xfId="0" applyAlignment="1" applyBorder="1" applyFont="1">
      <alignment horizontal="left"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1" fillId="0" fontId="0" numFmtId="165" xfId="0" applyAlignment="1" applyBorder="1" applyFont="1" applyNumberFormat="1">
      <alignment shrinkToFit="0" vertical="center" wrapText="0"/>
    </xf>
    <xf borderId="1" fillId="3" fontId="0" numFmtId="0" xfId="0" applyAlignment="1" applyBorder="1" applyFont="1">
      <alignment readingOrder="0" shrinkToFit="0" vertical="bottom" wrapText="0"/>
    </xf>
    <xf borderId="1" fillId="0" fontId="0" numFmtId="0" xfId="0" applyAlignment="1" applyBorder="1" applyFont="1">
      <alignment horizontal="right" shrinkToFit="0" vertical="center" wrapText="0"/>
    </xf>
    <xf borderId="1" fillId="0" fontId="0" numFmtId="0" xfId="0" applyAlignment="1" applyBorder="1" applyFont="1">
      <alignment readingOrder="0" shrinkToFit="0" vertical="bottom" wrapText="0"/>
    </xf>
    <xf borderId="1" fillId="0" fontId="0" numFmtId="165" xfId="0" applyAlignment="1" applyBorder="1" applyFont="1" applyNumberFormat="1">
      <alignment horizontal="right" readingOrder="0" shrinkToFit="0" vertical="center" wrapText="0"/>
    </xf>
    <xf borderId="1" fillId="0" fontId="0" numFmtId="0" xfId="0" applyAlignment="1" applyBorder="1" applyFont="1">
      <alignment horizontal="left" readingOrder="0" shrinkToFit="0" vertical="center" wrapText="0"/>
    </xf>
    <xf borderId="1" fillId="0" fontId="0" numFmtId="0" xfId="0" applyAlignment="1" applyBorder="1" applyFont="1">
      <alignment horizontal="right" shrinkToFit="0" vertical="center" wrapText="0"/>
    </xf>
    <xf borderId="1" fillId="0" fontId="0" numFmtId="3" xfId="0" applyAlignment="1" applyBorder="1" applyFont="1" applyNumberFormat="1">
      <alignment shrinkToFit="0" vertical="center" wrapText="0"/>
    </xf>
    <xf borderId="1" fillId="4" fontId="0" numFmtId="0" xfId="0" applyAlignment="1" applyBorder="1" applyFill="1" applyFont="1">
      <alignment readingOrder="0" shrinkToFit="0" vertical="center" wrapText="0"/>
    </xf>
    <xf borderId="1" fillId="4" fontId="0" numFmtId="0" xfId="0" applyAlignment="1" applyBorder="1" applyFont="1">
      <alignment readingOrder="0" shrinkToFit="0" vertical="center" wrapText="0"/>
    </xf>
    <xf borderId="1" fillId="0" fontId="0" numFmtId="165" xfId="0" applyAlignment="1" applyBorder="1" applyFont="1" applyNumberFormat="1">
      <alignment horizontal="right" readingOrder="0" shrinkToFit="0" vertical="bottom" wrapText="0"/>
    </xf>
    <xf borderId="1" fillId="0" fontId="0" numFmtId="0" xfId="0" applyAlignment="1" applyBorder="1" applyFont="1">
      <alignment shrinkToFit="0" vertical="center" wrapText="1"/>
    </xf>
    <xf borderId="1" fillId="0" fontId="0" numFmtId="0" xfId="0" applyAlignment="1" applyBorder="1" applyFont="1">
      <alignment shrinkToFit="0" vertical="center" wrapText="0"/>
    </xf>
    <xf borderId="1" fillId="0" fontId="0" numFmtId="0" xfId="0" applyAlignment="1" applyBorder="1" applyFont="1">
      <alignment horizontal="right" readingOrder="0" shrinkToFit="0" vertical="center" wrapText="0"/>
    </xf>
    <xf borderId="1" fillId="3" fontId="4" numFmtId="0" xfId="0" applyAlignment="1" applyBorder="1" applyFont="1">
      <alignment readingOrder="0" shrinkToFit="0" vertical="center" wrapText="0"/>
    </xf>
    <xf borderId="0" fillId="0" fontId="0" numFmtId="0" xfId="0" applyAlignment="1" applyFont="1">
      <alignment horizontal="left" readingOrder="0" shrinkToFit="0" vertical="bottom" wrapText="0"/>
    </xf>
    <xf borderId="1" fillId="0" fontId="0" numFmtId="2" xfId="0" applyAlignment="1" applyBorder="1" applyFont="1" applyNumberFormat="1">
      <alignment readingOrder="0" shrinkToFit="0" vertical="center" wrapText="0"/>
    </xf>
    <xf borderId="1" fillId="3" fontId="0" numFmtId="4" xfId="0" applyAlignment="1" applyBorder="1" applyFont="1" applyNumberFormat="1">
      <alignment horizontal="right" readingOrder="0" shrinkToFit="0" vertical="center" wrapText="0"/>
    </xf>
    <xf borderId="1" fillId="0" fontId="0" numFmtId="166" xfId="0" applyAlignment="1" applyBorder="1" applyFont="1" applyNumberFormat="1">
      <alignment horizontal="right" readingOrder="0" shrinkToFit="0" vertical="center" wrapText="0"/>
    </xf>
    <xf borderId="1" fillId="0" fontId="0" numFmtId="165" xfId="0" applyAlignment="1" applyBorder="1" applyFont="1" applyNumberFormat="1">
      <alignment horizontal="right" readingOrder="0" shrinkToFit="0" vertical="center" wrapText="0"/>
    </xf>
    <xf borderId="1" fillId="0" fontId="0" numFmtId="4" xfId="0" applyAlignment="1" applyBorder="1" applyFont="1" applyNumberFormat="1">
      <alignment horizontal="right" readingOrder="0" shrinkToFit="0" vertical="center" wrapText="0"/>
    </xf>
    <xf borderId="1" fillId="5" fontId="0" numFmtId="0" xfId="0" applyAlignment="1" applyBorder="1" applyFill="1" applyFont="1">
      <alignment readingOrder="0" shrinkToFit="0" vertical="center" wrapText="0"/>
    </xf>
    <xf borderId="0" fillId="5" fontId="5" numFmtId="0" xfId="0" applyAlignment="1" applyFont="1">
      <alignment readingOrder="0" shrinkToFit="0" vertical="bottom" wrapText="0"/>
    </xf>
    <xf borderId="1" fillId="4" fontId="0" numFmtId="4" xfId="0" applyAlignment="1" applyBorder="1" applyFont="1" applyNumberFormat="1">
      <alignment horizontal="right" readingOrder="0" shrinkToFit="0" vertical="bottom" wrapText="0"/>
    </xf>
    <xf borderId="1" fillId="0" fontId="0" numFmtId="0" xfId="0" applyAlignment="1" applyBorder="1" applyFont="1">
      <alignment horizontal="left" shrinkToFit="0" vertical="bottom" wrapText="0"/>
    </xf>
    <xf borderId="0" fillId="6" fontId="0" numFmtId="0" xfId="0" applyAlignment="1" applyFill="1" applyFont="1">
      <alignment readingOrder="0" shrinkToFit="0" vertical="top" wrapText="0"/>
    </xf>
    <xf borderId="0" fillId="0" fontId="1" numFmtId="0" xfId="0" applyAlignment="1" applyFont="1">
      <alignment readingOrder="0" shrinkToFit="0" vertical="center" wrapText="0"/>
    </xf>
    <xf borderId="1" fillId="0" fontId="0" numFmtId="4" xfId="0" applyAlignment="1" applyBorder="1" applyFont="1" applyNumberFormat="1">
      <alignment horizontal="right" readingOrder="0" shrinkToFit="0" vertical="bottom" wrapText="0"/>
    </xf>
    <xf borderId="0" fillId="0" fontId="0" numFmtId="4" xfId="0" applyAlignment="1" applyFont="1" applyNumberFormat="1">
      <alignment readingOrder="0" shrinkToFit="0" vertical="center" wrapText="0"/>
    </xf>
    <xf borderId="0" fillId="0" fontId="3" numFmtId="4" xfId="0" applyAlignment="1" applyFont="1" applyNumberFormat="1">
      <alignment shrinkToFit="0" vertical="center" wrapText="0"/>
    </xf>
    <xf borderId="1" fillId="0" fontId="0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horizontal="left" readingOrder="0" shrinkToFit="0" vertical="bottom" wrapText="0"/>
    </xf>
    <xf borderId="1" fillId="0" fontId="0" numFmtId="164" xfId="0" applyAlignment="1" applyBorder="1" applyFont="1" applyNumberFormat="1">
      <alignment horizontal="right" readingOrder="0" shrinkToFit="0" vertical="center" wrapText="0"/>
    </xf>
    <xf borderId="1" fillId="0" fontId="0" numFmtId="167" xfId="0" applyAlignment="1" applyBorder="1" applyFont="1" applyNumberFormat="1">
      <alignment horizontal="right" readingOrder="0" shrinkToFit="0" vertical="center" wrapText="0"/>
    </xf>
    <xf borderId="1" fillId="0" fontId="0" numFmtId="0" xfId="0" applyAlignment="1" applyBorder="1" applyFont="1">
      <alignment horizontal="right" readingOrder="0" shrinkToFit="0" vertical="bottom" wrapText="0"/>
    </xf>
    <xf borderId="0" fillId="0" fontId="0" numFmtId="0" xfId="0" applyAlignment="1" applyFont="1">
      <alignment horizontal="right" readingOrder="0" shrinkToFit="0" vertical="bottom" wrapText="0"/>
    </xf>
    <xf borderId="1" fillId="0" fontId="0" numFmtId="2" xfId="0" applyAlignment="1" applyBorder="1" applyFont="1" applyNumberFormat="1">
      <alignment shrinkToFit="0" vertical="center" wrapText="0"/>
    </xf>
    <xf borderId="1" fillId="4" fontId="0" numFmtId="0" xfId="0" applyAlignment="1" applyBorder="1" applyFont="1">
      <alignment shrinkToFit="0" vertical="center" wrapText="0"/>
    </xf>
    <xf borderId="1" fillId="0" fontId="0" numFmtId="168" xfId="0" applyAlignment="1" applyBorder="1" applyFont="1" applyNumberFormat="1">
      <alignment horizontal="right" readingOrder="0" shrinkToFit="0" vertical="center" wrapText="0"/>
    </xf>
    <xf borderId="1" fillId="6" fontId="0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center" wrapText="0"/>
    </xf>
    <xf borderId="1" fillId="0" fontId="0" numFmtId="166" xfId="0" applyAlignment="1" applyBorder="1" applyFont="1" applyNumberFormat="1">
      <alignment horizontal="right" readingOrder="0" shrinkToFit="0" vertical="center" wrapText="0"/>
    </xf>
    <xf borderId="1" fillId="0" fontId="0" numFmtId="0" xfId="0" applyAlignment="1" applyBorder="1" applyFont="1">
      <alignment readingOrder="0" shrinkToFit="0" vertical="top" wrapText="0"/>
    </xf>
    <xf borderId="0" fillId="0" fontId="0" numFmtId="0" xfId="0" applyAlignment="1" applyFont="1">
      <alignment horizontal="left" readingOrder="0" shrinkToFit="0" vertical="center" wrapText="0"/>
    </xf>
    <xf borderId="0" fillId="0" fontId="1" numFmtId="4" xfId="0" applyAlignment="1" applyFont="1" applyNumberFormat="1">
      <alignment shrinkToFit="0" vertical="center" wrapText="0"/>
    </xf>
    <xf borderId="1" fillId="0" fontId="0" numFmtId="4" xfId="0" applyAlignment="1" applyBorder="1" applyFont="1" applyNumberFormat="1">
      <alignment readingOrder="0" shrinkToFit="0" vertical="bottom" wrapText="0"/>
    </xf>
    <xf borderId="2" fillId="0" fontId="0" numFmtId="0" xfId="0" applyAlignment="1" applyBorder="1" applyFont="1">
      <alignment shrinkToFit="0" vertical="center" wrapText="0"/>
    </xf>
    <xf borderId="0" fillId="0" fontId="0" numFmtId="4" xfId="0" applyAlignment="1" applyFont="1" applyNumberFormat="1">
      <alignment horizontal="right" readingOrder="0" shrinkToFit="0" vertical="center" wrapText="0"/>
    </xf>
    <xf borderId="0" fillId="0" fontId="0" numFmtId="0" xfId="0" applyAlignment="1" applyFont="1">
      <alignment horizontal="right" readingOrder="0" shrinkToFit="0" vertical="center" wrapText="0"/>
    </xf>
    <xf borderId="1" fillId="0" fontId="0" numFmtId="166" xfId="0" applyAlignment="1" applyBorder="1" applyFont="1" applyNumberFormat="1">
      <alignment horizontal="right" readingOrder="0" shrinkToFit="0" vertical="top" wrapText="0"/>
    </xf>
    <xf borderId="1" fillId="0" fontId="0" numFmtId="165" xfId="0" applyAlignment="1" applyBorder="1" applyFont="1" applyNumberFormat="1">
      <alignment horizontal="right" readingOrder="0" shrinkToFit="0" vertical="top" wrapText="0"/>
    </xf>
    <xf borderId="1" fillId="0" fontId="0" numFmtId="169" xfId="0" applyAlignment="1" applyBorder="1" applyFont="1" applyNumberFormat="1">
      <alignment horizontal="right" readingOrder="0" shrinkToFit="0" vertical="center" wrapText="0"/>
    </xf>
    <xf borderId="0" fillId="3" fontId="0" numFmtId="4" xfId="0" applyAlignment="1" applyFont="1" applyNumberFormat="1">
      <alignment horizontal="right" readingOrder="0" shrinkToFit="0" vertical="center" wrapText="0"/>
    </xf>
    <xf borderId="1" fillId="0" fontId="0" numFmtId="0" xfId="0" applyAlignment="1" applyBorder="1" applyFont="1">
      <alignment readingOrder="0"/>
    </xf>
    <xf borderId="1" fillId="0" fontId="0" numFmtId="0" xfId="0" applyAlignment="1" applyBorder="1" applyFont="1">
      <alignment horizontal="left"/>
    </xf>
    <xf borderId="1" fillId="0" fontId="0" numFmtId="166" xfId="0" applyAlignment="1" applyBorder="1" applyFont="1" applyNumberFormat="1">
      <alignment readingOrder="0"/>
    </xf>
    <xf borderId="1" fillId="0" fontId="0" numFmtId="165" xfId="0" applyAlignment="1" applyBorder="1" applyFont="1" applyNumberFormat="1">
      <alignment readingOrder="0"/>
    </xf>
    <xf borderId="1" fillId="3" fontId="0" numFmtId="0" xfId="0" applyAlignment="1" applyBorder="1" applyFont="1">
      <alignment readingOrder="0"/>
    </xf>
    <xf borderId="1" fillId="0" fontId="0" numFmtId="4" xfId="0" applyAlignment="1" applyBorder="1" applyFont="1" applyNumberFormat="1">
      <alignment readingOrder="0"/>
    </xf>
    <xf borderId="1" fillId="0" fontId="0" numFmtId="4" xfId="0" applyBorder="1" applyFont="1" applyNumberFormat="1"/>
    <xf borderId="1" fillId="0" fontId="0" numFmtId="0" xfId="0" applyAlignment="1" applyBorder="1" applyFont="1">
      <alignment horizontal="right"/>
    </xf>
    <xf borderId="0" fillId="0" fontId="0" numFmtId="0" xfId="0" applyFont="1"/>
    <xf borderId="1" fillId="0" fontId="0" numFmtId="0" xfId="0" applyAlignment="1" applyBorder="1" applyFont="1">
      <alignment horizontal="left" readingOrder="0" shrinkToFit="0" vertical="bottom" wrapText="0"/>
    </xf>
    <xf borderId="1" fillId="3" fontId="0" numFmtId="0" xfId="0" applyAlignment="1" applyBorder="1" applyFont="1">
      <alignment readingOrder="0" shrinkToFit="0" vertical="bottom" wrapText="0"/>
    </xf>
    <xf borderId="3" fillId="0" fontId="0" numFmtId="4" xfId="0" applyAlignment="1" applyBorder="1" applyFont="1" applyNumberFormat="1">
      <alignment horizontal="right" readingOrder="0" vertical="top"/>
    </xf>
    <xf borderId="1" fillId="0" fontId="0" numFmtId="169" xfId="0" applyAlignment="1" applyBorder="1" applyFont="1" applyNumberFormat="1">
      <alignment horizontal="right" readingOrder="0"/>
    </xf>
    <xf borderId="0" fillId="0" fontId="0" numFmtId="4" xfId="0" applyAlignment="1" applyFont="1" applyNumberFormat="1">
      <alignment readingOrder="0"/>
    </xf>
    <xf borderId="0" fillId="0" fontId="0" numFmtId="0" xfId="0" applyFont="1"/>
    <xf borderId="1" fillId="0" fontId="0" numFmtId="0" xfId="0" applyAlignment="1" applyBorder="1" applyFont="1">
      <alignment horizontal="right"/>
    </xf>
    <xf borderId="1" fillId="0" fontId="0" numFmtId="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0" numFmtId="4" xfId="0" applyBorder="1" applyFont="1" applyNumberFormat="1"/>
    <xf borderId="1" fillId="0" fontId="0" numFmtId="0" xfId="0" applyAlignment="1" applyBorder="1" applyFont="1">
      <alignment horizontal="right" readingOrder="0"/>
    </xf>
    <xf borderId="0" fillId="0" fontId="0" numFmtId="0" xfId="0" applyAlignment="1" applyFont="1">
      <alignment readingOrder="0"/>
    </xf>
    <xf borderId="1" fillId="0" fontId="0" numFmtId="0" xfId="0" applyAlignment="1" applyBorder="1" applyFont="1">
      <alignment horizontal="left" readingOrder="0"/>
    </xf>
    <xf borderId="1" fillId="0" fontId="0" numFmtId="166" xfId="0" applyAlignment="1" applyBorder="1" applyFont="1" applyNumberFormat="1">
      <alignment horizontal="right" readingOrder="0"/>
    </xf>
    <xf borderId="0" fillId="3" fontId="0" numFmtId="4" xfId="0" applyAlignment="1" applyFont="1" applyNumberFormat="1">
      <alignment horizontal="right" readingOrder="0"/>
    </xf>
    <xf borderId="0" fillId="0" fontId="3" numFmtId="0" xfId="0" applyFont="1"/>
    <xf borderId="0" fillId="0" fontId="0" numFmtId="0" xfId="0" applyAlignment="1" applyFont="1">
      <alignment readingOrder="0"/>
    </xf>
    <xf borderId="0" fillId="3" fontId="0" numFmtId="0" xfId="0" applyAlignment="1" applyFont="1">
      <alignment horizontal="right" readingOrder="0"/>
    </xf>
    <xf borderId="0" fillId="3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1" fillId="0" fontId="0" numFmtId="166" xfId="0" applyAlignment="1" applyBorder="1" applyFont="1" applyNumberFormat="1">
      <alignment readingOrder="0"/>
    </xf>
    <xf borderId="1" fillId="3" fontId="0" numFmtId="2" xfId="0" applyAlignment="1" applyBorder="1" applyFont="1" applyNumberFormat="1">
      <alignment horizontal="right" readingOrder="0"/>
    </xf>
    <xf borderId="1" fillId="0" fontId="0" numFmtId="164" xfId="0" applyAlignment="1" applyBorder="1" applyFont="1" applyNumberFormat="1">
      <alignment horizontal="right" readingOrder="0"/>
    </xf>
    <xf borderId="1" fillId="0" fontId="0" numFmtId="0" xfId="0" applyAlignment="1" applyBorder="1" applyFont="1">
      <alignment horizontal="left" shrinkToFit="0" vertical="bottom" wrapText="0"/>
    </xf>
    <xf borderId="0" fillId="3" fontId="2" numFmtId="2" xfId="0" applyAlignment="1" applyFont="1" applyNumberFormat="1">
      <alignment horizontal="right" readingOrder="0"/>
    </xf>
    <xf borderId="0" fillId="3" fontId="0" numFmtId="0" xfId="0" applyAlignment="1" applyFont="1">
      <alignment horizontal="left" readingOrder="0"/>
    </xf>
    <xf borderId="0" fillId="3" fontId="2" numFmtId="0" xfId="0" applyAlignment="1" applyFont="1">
      <alignment horizontal="left" readingOrder="0"/>
    </xf>
    <xf borderId="1" fillId="0" fontId="0" numFmtId="0" xfId="0" applyAlignment="1" applyBorder="1" applyFont="1">
      <alignment horizontal="right" readingOrder="0"/>
    </xf>
    <xf borderId="1" fillId="0" fontId="0" numFmtId="166" xfId="0" applyAlignment="1" applyBorder="1" applyFont="1" applyNumberFormat="1">
      <alignment horizontal="right" readingOrder="0"/>
    </xf>
    <xf borderId="0" fillId="0" fontId="0" numFmtId="4" xfId="0" applyAlignment="1" applyFont="1" applyNumberFormat="1">
      <alignment horizontal="right" readingOrder="0" shrinkToFit="0" vertical="top" wrapText="0"/>
    </xf>
    <xf borderId="0" fillId="0" fontId="0" numFmtId="0" xfId="0" applyAlignment="1" applyFont="1">
      <alignment horizontal="right" readingOrder="0" shrinkToFit="0" vertical="top" wrapText="0"/>
    </xf>
    <xf borderId="1" fillId="0" fontId="1" numFmtId="0" xfId="0" applyAlignment="1" applyBorder="1" applyFont="1">
      <alignment horizontal="left"/>
    </xf>
    <xf borderId="1" fillId="0" fontId="0" numFmtId="166" xfId="0" applyAlignment="1" applyBorder="1" applyFont="1" applyNumberFormat="1">
      <alignment horizontal="right" readingOrder="0" vertical="top"/>
    </xf>
    <xf borderId="1" fillId="0" fontId="0" numFmtId="165" xfId="0" applyAlignment="1" applyBorder="1" applyFont="1" applyNumberFormat="1">
      <alignment horizontal="right" readingOrder="0" vertical="top"/>
    </xf>
    <xf borderId="1" fillId="0" fontId="0" numFmtId="0" xfId="0" applyAlignment="1" applyBorder="1" applyFont="1">
      <alignment readingOrder="0" shrinkToFit="0" vertical="top" wrapText="0"/>
    </xf>
    <xf borderId="1" fillId="0" fontId="0" numFmtId="0" xfId="0" applyAlignment="1" applyBorder="1" applyFont="1">
      <alignment horizontal="left" readingOrder="0" shrinkToFit="0" vertical="top" wrapText="0"/>
    </xf>
    <xf borderId="1" fillId="0" fontId="0" numFmtId="166" xfId="0" applyAlignment="1" applyBorder="1" applyFont="1" applyNumberFormat="1">
      <alignment horizontal="right" readingOrder="0" shrinkToFit="0" vertical="top" wrapText="0"/>
    </xf>
    <xf borderId="1" fillId="0" fontId="0" numFmtId="165" xfId="0" applyAlignment="1" applyBorder="1" applyFont="1" applyNumberFormat="1">
      <alignment horizontal="right" readingOrder="0" shrinkToFit="0" vertical="top" wrapText="0"/>
    </xf>
    <xf borderId="1" fillId="3" fontId="0" numFmtId="4" xfId="0" applyAlignment="1" applyBorder="1" applyFont="1" applyNumberFormat="1">
      <alignment horizontal="right" readingOrder="0" shrinkToFit="0" vertical="top" wrapText="0"/>
    </xf>
    <xf borderId="1" fillId="6" fontId="1" numFmtId="166" xfId="0" applyAlignment="1" applyBorder="1" applyFont="1" applyNumberFormat="1">
      <alignment horizontal="right" readingOrder="0"/>
    </xf>
    <xf borderId="0" fillId="6" fontId="1" numFmtId="0" xfId="0" applyAlignment="1" applyFont="1">
      <alignment readingOrder="0"/>
    </xf>
    <xf borderId="0" fillId="6" fontId="1" numFmtId="0" xfId="0" applyFont="1"/>
    <xf borderId="1" fillId="7" fontId="1" numFmtId="0" xfId="0" applyAlignment="1" applyBorder="1" applyFill="1" applyFont="1">
      <alignment readingOrder="0"/>
    </xf>
    <xf borderId="1" fillId="7" fontId="1" numFmtId="0" xfId="0" applyAlignment="1" applyBorder="1" applyFont="1">
      <alignment horizontal="left" shrinkToFit="0" vertical="bottom" wrapText="0"/>
    </xf>
    <xf borderId="1" fillId="7" fontId="1" numFmtId="166" xfId="0" applyAlignment="1" applyBorder="1" applyFont="1" applyNumberFormat="1">
      <alignment readingOrder="0"/>
    </xf>
    <xf borderId="1" fillId="7" fontId="1" numFmtId="165" xfId="0" applyAlignment="1" applyBorder="1" applyFont="1" applyNumberFormat="1">
      <alignment readingOrder="0"/>
    </xf>
    <xf borderId="1" fillId="7" fontId="1" numFmtId="4" xfId="0" applyAlignment="1" applyBorder="1" applyFont="1" applyNumberFormat="1">
      <alignment readingOrder="0"/>
    </xf>
    <xf borderId="1" fillId="7" fontId="1" numFmtId="4" xfId="0" applyBorder="1" applyFont="1" applyNumberFormat="1"/>
    <xf borderId="1" fillId="7" fontId="1" numFmtId="166" xfId="0" applyAlignment="1" applyBorder="1" applyFont="1" applyNumberFormat="1">
      <alignment horizontal="right" readingOrder="0"/>
    </xf>
    <xf borderId="0" fillId="7" fontId="1" numFmtId="0" xfId="0" applyAlignment="1" applyFont="1">
      <alignment readingOrder="0"/>
    </xf>
    <xf borderId="0" fillId="7" fontId="1" numFmtId="0" xfId="0" applyFont="1"/>
    <xf borderId="1" fillId="3" fontId="0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3" fontId="5" numFmtId="166" xfId="0" applyAlignment="1" applyBorder="1" applyFont="1" applyNumberFormat="1">
      <alignment horizontal="right" readingOrder="0" vertical="bottom"/>
    </xf>
    <xf borderId="4" fillId="3" fontId="5" numFmtId="165" xfId="0" applyAlignment="1" applyBorder="1" applyFont="1" applyNumberFormat="1">
      <alignment horizontal="right" readingOrder="0" vertical="bottom"/>
    </xf>
    <xf borderId="1" fillId="0" fontId="7" numFmtId="0" xfId="0" applyAlignment="1" applyBorder="1" applyFont="1">
      <alignment readingOrder="0" shrinkToFit="0" vertical="bottom" wrapText="0"/>
    </xf>
    <xf borderId="1" fillId="0" fontId="0" numFmtId="0" xfId="0" applyAlignment="1" applyBorder="1" applyFont="1">
      <alignment readingOrder="0"/>
    </xf>
    <xf borderId="4" fillId="0" fontId="0" numFmtId="0" xfId="0" applyAlignment="1" applyBorder="1" applyFont="1">
      <alignment horizontal="left" readingOrder="0" shrinkToFit="0" vertical="top" wrapText="0"/>
    </xf>
    <xf borderId="1" fillId="6" fontId="1" numFmtId="0" xfId="0" applyAlignment="1" applyBorder="1" applyFont="1">
      <alignment readingOrder="0"/>
    </xf>
    <xf borderId="1" fillId="6" fontId="0" numFmtId="0" xfId="0" applyAlignment="1" applyBorder="1" applyFont="1">
      <alignment horizontal="left" shrinkToFit="0" vertical="bottom" wrapText="0"/>
    </xf>
    <xf borderId="1" fillId="6" fontId="0" numFmtId="166" xfId="0" applyAlignment="1" applyBorder="1" applyFont="1" applyNumberFormat="1">
      <alignment readingOrder="0"/>
    </xf>
    <xf borderId="1" fillId="6" fontId="0" numFmtId="165" xfId="0" applyAlignment="1" applyBorder="1" applyFont="1" applyNumberFormat="1">
      <alignment readingOrder="0"/>
    </xf>
    <xf borderId="1" fillId="6" fontId="0" numFmtId="0" xfId="0" applyAlignment="1" applyBorder="1" applyFont="1">
      <alignment readingOrder="0" shrinkToFit="0" vertical="bottom" wrapText="0"/>
    </xf>
    <xf borderId="1" fillId="6" fontId="0" numFmtId="4" xfId="0" applyAlignment="1" applyBorder="1" applyFont="1" applyNumberFormat="1">
      <alignment readingOrder="0"/>
    </xf>
    <xf borderId="1" fillId="6" fontId="0" numFmtId="4" xfId="0" applyBorder="1" applyFont="1" applyNumberFormat="1"/>
    <xf borderId="1" fillId="6" fontId="0" numFmtId="0" xfId="0" applyAlignment="1" applyBorder="1" applyFont="1">
      <alignment horizontal="right" readingOrder="0"/>
    </xf>
    <xf borderId="0" fillId="6" fontId="0" numFmtId="0" xfId="0" applyAlignment="1" applyFont="1">
      <alignment readingOrder="0"/>
    </xf>
    <xf borderId="1" fillId="6" fontId="0" numFmtId="0" xfId="0" applyAlignment="1" applyBorder="1" applyFont="1">
      <alignment horizontal="left" readingOrder="0" shrinkToFit="0" vertical="top" wrapText="0"/>
    </xf>
    <xf borderId="1" fillId="6" fontId="1" numFmtId="0" xfId="0" applyAlignment="1" applyBorder="1" applyFont="1">
      <alignment horizontal="left" readingOrder="0"/>
    </xf>
    <xf borderId="1" fillId="6" fontId="0" numFmtId="0" xfId="0" applyAlignment="1" applyBorder="1" applyFont="1">
      <alignment horizontal="left" readingOrder="0" shrinkToFit="0" vertical="bottom" wrapText="0"/>
    </xf>
    <xf borderId="1" fillId="6" fontId="0" numFmtId="169" xfId="0" applyAlignment="1" applyBorder="1" applyFont="1" applyNumberFormat="1">
      <alignment horizontal="right" readingOrder="0"/>
    </xf>
    <xf borderId="1" fillId="6" fontId="0" numFmtId="0" xfId="0" applyAlignment="1" applyBorder="1" applyFont="1">
      <alignment readingOrder="0"/>
    </xf>
    <xf borderId="1" fillId="6" fontId="0" numFmtId="4" xfId="0" applyAlignment="1" applyBorder="1" applyFont="1" applyNumberFormat="1">
      <alignment horizontal="right" readingOrder="0" shrinkToFit="0" vertical="top" wrapText="0"/>
    </xf>
    <xf borderId="0" fillId="6" fontId="0" numFmtId="0" xfId="0" applyAlignment="1" applyFont="1">
      <alignment horizontal="left" readingOrder="0" shrinkToFit="0" vertical="top" wrapText="0"/>
    </xf>
    <xf borderId="4" fillId="6" fontId="0" numFmtId="166" xfId="0" applyAlignment="1" applyBorder="1" applyFont="1" applyNumberFormat="1">
      <alignment horizontal="right" readingOrder="0" shrinkToFit="0" vertical="bottom" wrapText="0"/>
    </xf>
    <xf borderId="4" fillId="6" fontId="0" numFmtId="165" xfId="0" applyAlignment="1" applyBorder="1" applyFont="1" applyNumberFormat="1">
      <alignment horizontal="right" readingOrder="0" shrinkToFit="0" vertical="bottom" wrapText="0"/>
    </xf>
    <xf borderId="0" fillId="6" fontId="0" numFmtId="4" xfId="0" applyAlignment="1" applyFont="1" applyNumberFormat="1">
      <alignment horizontal="right" readingOrder="0" vertical="top"/>
    </xf>
    <xf borderId="1" fillId="5" fontId="7" numFmtId="166" xfId="0" applyAlignment="1" applyBorder="1" applyFont="1" applyNumberFormat="1">
      <alignment horizontal="right" readingOrder="0" shrinkToFit="0" vertical="bottom" wrapText="0"/>
    </xf>
    <xf borderId="1" fillId="5" fontId="7" numFmtId="165" xfId="0" applyAlignment="1" applyBorder="1" applyFont="1" applyNumberFormat="1">
      <alignment horizontal="right" readingOrder="0" shrinkToFit="0" vertical="bottom" wrapText="0"/>
    </xf>
    <xf borderId="0" fillId="6" fontId="2" numFmtId="4" xfId="0" applyAlignment="1" applyFont="1" applyNumberFormat="1">
      <alignment horizontal="right" readingOrder="0"/>
    </xf>
    <xf borderId="0" fillId="6" fontId="5" numFmtId="0" xfId="0" applyAlignment="1" applyFont="1">
      <alignment readingOrder="0" shrinkToFit="0" vertical="bottom" wrapText="0"/>
    </xf>
    <xf borderId="0" fillId="6" fontId="0" numFmtId="0" xfId="0" applyAlignment="1" applyFont="1">
      <alignment readingOrder="0"/>
    </xf>
    <xf borderId="1" fillId="6" fontId="7" numFmtId="166" xfId="0" applyAlignment="1" applyBorder="1" applyFont="1" applyNumberFormat="1">
      <alignment horizontal="right" readingOrder="0" shrinkToFit="0" vertical="top" wrapText="0"/>
    </xf>
    <xf borderId="1" fillId="6" fontId="7" numFmtId="165" xfId="0" applyAlignment="1" applyBorder="1" applyFont="1" applyNumberFormat="1">
      <alignment horizontal="right" readingOrder="0" shrinkToFit="0" vertical="top" wrapText="0"/>
    </xf>
    <xf borderId="0" fillId="6" fontId="0" numFmtId="0" xfId="0" applyAlignment="1" applyFont="1">
      <alignment horizontal="right" readingOrder="0" shrinkToFit="0" vertical="top" wrapText="0"/>
    </xf>
    <xf borderId="0" fillId="6" fontId="2" numFmtId="0" xfId="0" applyAlignment="1" applyFont="1">
      <alignment readingOrder="0" shrinkToFit="0" vertical="top" wrapText="0"/>
    </xf>
    <xf borderId="0" fillId="6" fontId="0" numFmtId="2" xfId="0" applyAlignment="1" applyFont="1" applyNumberFormat="1">
      <alignment horizontal="right" readingOrder="0" shrinkToFit="0" vertical="top" wrapText="0"/>
    </xf>
    <xf borderId="0" fillId="6" fontId="0" numFmtId="0" xfId="0" applyAlignment="1" applyFont="1">
      <alignment readingOrder="0" shrinkToFit="0" vertical="top" wrapText="0"/>
    </xf>
    <xf borderId="0" fillId="6" fontId="0" numFmtId="4" xfId="0" applyAlignment="1" applyFont="1" applyNumberFormat="1">
      <alignment horizontal="right" readingOrder="0" shrinkToFit="0" vertical="top" wrapText="0"/>
    </xf>
    <xf borderId="0" fillId="6" fontId="2" numFmtId="0" xfId="0" applyAlignment="1" applyFont="1">
      <alignment readingOrder="0" shrinkToFit="0" vertical="bottom" wrapText="0"/>
    </xf>
    <xf borderId="0" fillId="6" fontId="1" numFmtId="2" xfId="0" applyFont="1" applyNumberFormat="1"/>
    <xf borderId="0" fillId="6" fontId="0" numFmtId="0" xfId="0" applyAlignment="1" applyFont="1">
      <alignment horizontal="left" readingOrder="0" shrinkToFit="0" vertical="bottom" wrapText="0"/>
    </xf>
    <xf borderId="0" fillId="6" fontId="0" numFmtId="0" xfId="0" applyAlignment="1" applyFont="1">
      <alignment horizontal="left" readingOrder="0"/>
    </xf>
    <xf borderId="5" fillId="6" fontId="0" numFmtId="0" xfId="0" applyAlignment="1" applyBorder="1" applyFont="1">
      <alignment horizontal="left" readingOrder="0" vertical="top"/>
    </xf>
    <xf borderId="1" fillId="6" fontId="0" numFmtId="166" xfId="0" applyAlignment="1" applyBorder="1" applyFont="1" applyNumberFormat="1">
      <alignment horizontal="right" readingOrder="0"/>
    </xf>
    <xf borderId="1" fillId="6" fontId="0" numFmtId="164" xfId="0" applyAlignment="1" applyBorder="1" applyFont="1" applyNumberFormat="1">
      <alignment horizontal="right" readingOrder="0"/>
    </xf>
    <xf borderId="1" fillId="6" fontId="0" numFmtId="164" xfId="0" applyAlignment="1" applyBorder="1" applyFont="1" applyNumberFormat="1">
      <alignment readingOrder="0"/>
    </xf>
    <xf borderId="1" fillId="0" fontId="0" numFmtId="165" xfId="0" applyAlignment="1" applyBorder="1" applyFont="1" applyNumberFormat="1">
      <alignment horizontal="right" readingOrder="0"/>
    </xf>
    <xf borderId="1" fillId="3" fontId="0" numFmtId="0" xfId="0" applyAlignment="1" applyBorder="1" applyFont="1">
      <alignment horizontal="left" readingOrder="0"/>
    </xf>
    <xf borderId="4" fillId="0" fontId="0" numFmtId="166" xfId="0" applyAlignment="1" applyBorder="1" applyFont="1" applyNumberFormat="1">
      <alignment horizontal="right" readingOrder="0" shrinkToFit="0" vertical="top" wrapText="0"/>
    </xf>
    <xf borderId="1" fillId="3" fontId="0" numFmtId="0" xfId="0" applyAlignment="1" applyBorder="1" applyFont="1">
      <alignment horizontal="left" readingOrder="0" shrinkToFit="0" vertical="bottom" wrapText="0"/>
    </xf>
    <xf borderId="0" fillId="3" fontId="8" numFmtId="0" xfId="0" applyAlignment="1" applyFont="1">
      <alignment horizontal="left" readingOrder="0"/>
    </xf>
    <xf borderId="1" fillId="0" fontId="0" numFmtId="0" xfId="0" applyAlignment="1" applyBorder="1" applyFont="1">
      <alignment readingOrder="0" shrinkToFit="0" vertical="bottom" wrapText="0"/>
    </xf>
    <xf borderId="1" fillId="5" fontId="0" numFmtId="0" xfId="0" applyAlignment="1" applyBorder="1" applyFont="1">
      <alignment horizontal="left" readingOrder="0" shrinkToFit="0" vertical="bottom" wrapText="0"/>
    </xf>
    <xf borderId="0" fillId="3" fontId="8" numFmtId="0" xfId="0" applyAlignment="1" applyFont="1">
      <alignment readingOrder="0"/>
    </xf>
    <xf borderId="0" fillId="3" fontId="9" numFmtId="0" xfId="0" applyAlignment="1" applyFont="1">
      <alignment horizontal="left" readingOrder="0"/>
    </xf>
    <xf borderId="0" fillId="3" fontId="10" numFmtId="0" xfId="0" applyAlignment="1" applyFont="1">
      <alignment readingOrder="0"/>
    </xf>
    <xf borderId="0" fillId="0" fontId="11" numFmtId="0" xfId="0" applyAlignment="1" applyFont="1">
      <alignment horizontal="right" readingOrder="0" vertical="top"/>
    </xf>
    <xf borderId="0" fillId="0" fontId="12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/>
    </xf>
    <xf borderId="0" fillId="0" fontId="12" numFmtId="0" xfId="0" applyAlignment="1" applyFont="1">
      <alignment shrinkToFit="0" vertical="bottom" wrapText="0"/>
    </xf>
    <xf borderId="6" fillId="8" fontId="13" numFmtId="0" xfId="0" applyAlignment="1" applyBorder="1" applyFill="1" applyFont="1">
      <alignment readingOrder="0" shrinkToFit="0" vertical="bottom" wrapText="0"/>
    </xf>
    <xf borderId="0" fillId="0" fontId="12" numFmtId="0" xfId="0" applyAlignment="1" applyFont="1">
      <alignment horizontal="left" readingOrder="0" shrinkToFit="0" vertical="bottom" wrapText="0"/>
    </xf>
    <xf borderId="0" fillId="0" fontId="12" numFmtId="167" xfId="0" applyAlignment="1" applyFont="1" applyNumberFormat="1">
      <alignment horizontal="right" readingOrder="0" shrinkToFit="0" vertical="bottom" wrapText="0"/>
    </xf>
    <xf borderId="0" fillId="0" fontId="12" numFmtId="170" xfId="0" applyAlignment="1" applyFont="1" applyNumberFormat="1">
      <alignment horizontal="right" readingOrder="0" shrinkToFit="0" vertical="bottom" wrapText="0"/>
    </xf>
    <xf borderId="0" fillId="7" fontId="12" numFmtId="0" xfId="0" applyAlignment="1" applyFont="1">
      <alignment horizontal="left" readingOrder="0" shrinkToFit="0" vertical="bottom" wrapText="0"/>
    </xf>
    <xf borderId="0" fillId="7" fontId="12" numFmtId="167" xfId="0" applyAlignment="1" applyFont="1" applyNumberFormat="1">
      <alignment horizontal="right" readingOrder="0" shrinkToFit="0" vertical="bottom" wrapText="0"/>
    </xf>
    <xf borderId="0" fillId="7" fontId="6" numFmtId="0" xfId="0" applyFont="1"/>
    <xf borderId="7" fillId="8" fontId="13" numFmtId="0" xfId="0" applyAlignment="1" applyBorder="1" applyFont="1">
      <alignment horizontal="left" readingOrder="0" shrinkToFit="0" vertical="bottom" wrapText="0"/>
    </xf>
    <xf borderId="7" fillId="8" fontId="13" numFmtId="0" xfId="0" applyAlignment="1" applyBorder="1" applyFont="1">
      <alignment horizontal="center" readingOrder="0" shrinkToFit="0" vertical="bottom" wrapText="0"/>
    </xf>
    <xf borderId="1" fillId="0" fontId="14" numFmtId="0" xfId="0" applyAlignment="1" applyBorder="1" applyFont="1">
      <alignment horizontal="center" vertical="bottom"/>
    </xf>
    <xf borderId="0" fillId="0" fontId="15" numFmtId="0" xfId="0" applyAlignment="1" applyFont="1">
      <alignment vertical="bottom"/>
    </xf>
    <xf borderId="1" fillId="0" fontId="16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0" fillId="0" fontId="17" numFmtId="0" xfId="0" applyFont="1"/>
    <xf borderId="0" fillId="0" fontId="17" numFmtId="171" xfId="0" applyFont="1" applyNumberFormat="1"/>
    <xf borderId="0" fillId="0" fontId="17" numFmtId="172" xfId="0" applyFont="1" applyNumberFormat="1"/>
    <xf borderId="0" fillId="0" fontId="18" numFmtId="0" xfId="0" applyFont="1"/>
    <xf borderId="0" fillId="0" fontId="17" numFmtId="173" xfId="0" applyFont="1" applyNumberFormat="1"/>
    <xf borderId="0" fillId="0" fontId="17" numFmtId="174" xfId="0" applyFont="1" applyNumberFormat="1"/>
    <xf borderId="8" fillId="0" fontId="14" numFmtId="0" xfId="0" applyAlignment="1" applyBorder="1" applyFont="1">
      <alignment horizontal="left"/>
    </xf>
    <xf borderId="9" fillId="0" fontId="14" numFmtId="0" xfId="0" applyAlignment="1" applyBorder="1" applyFont="1">
      <alignment horizontal="left"/>
    </xf>
    <xf borderId="10" fillId="0" fontId="14" numFmtId="0" xfId="0" applyAlignment="1" applyBorder="1" applyFont="1">
      <alignment horizontal="left"/>
    </xf>
    <xf borderId="11" fillId="0" fontId="12" numFmtId="0" xfId="0" applyBorder="1" applyFont="1"/>
    <xf borderId="12" fillId="0" fontId="12" numFmtId="0" xfId="0" applyBorder="1" applyFont="1"/>
    <xf borderId="12" fillId="0" fontId="12" numFmtId="0" xfId="0" applyAlignment="1" applyBorder="1" applyFont="1">
      <alignment horizontal="right"/>
    </xf>
    <xf borderId="12" fillId="0" fontId="12" numFmtId="175" xfId="0" applyBorder="1" applyFont="1" applyNumberFormat="1"/>
    <xf borderId="13" fillId="0" fontId="12" numFmtId="0" xfId="0" applyBorder="1" applyFont="1"/>
    <xf borderId="14" fillId="0" fontId="12" numFmtId="0" xfId="0" applyBorder="1" applyFont="1"/>
    <xf borderId="15" fillId="0" fontId="12" numFmtId="0" xfId="0" applyBorder="1" applyFont="1"/>
    <xf borderId="15" fillId="0" fontId="12" numFmtId="0" xfId="0" applyAlignment="1" applyBorder="1" applyFont="1">
      <alignment horizontal="right"/>
    </xf>
    <xf borderId="15" fillId="0" fontId="12" numFmtId="175" xfId="0" applyBorder="1" applyFont="1" applyNumberFormat="1"/>
    <xf borderId="16" fillId="0" fontId="12" numFmtId="0" xfId="0" applyBorder="1" applyFont="1"/>
    <xf borderId="12" fillId="0" fontId="12" numFmtId="176" xfId="0" applyBorder="1" applyFont="1" applyNumberFormat="1"/>
    <xf borderId="15" fillId="0" fontId="12" numFmtId="176" xfId="0" applyBorder="1" applyFont="1" applyNumberFormat="1"/>
    <xf borderId="17" fillId="0" fontId="12" numFmtId="0" xfId="0" applyBorder="1" applyFont="1"/>
    <xf borderId="18" fillId="0" fontId="12" numFmtId="0" xfId="0" applyBorder="1" applyFont="1"/>
    <xf borderId="18" fillId="0" fontId="12" numFmtId="175" xfId="0" applyBorder="1" applyFont="1" applyNumberFormat="1"/>
    <xf borderId="19" fillId="0" fontId="12" numFmtId="0" xfId="0" applyBorder="1" applyFont="1"/>
    <xf borderId="0" fillId="0" fontId="19" numFmtId="0" xfId="0" applyAlignment="1" applyFont="1">
      <alignment horizontal="center"/>
    </xf>
    <xf borderId="0" fillId="0" fontId="20" numFmtId="0" xfId="0" applyFont="1"/>
    <xf borderId="0" fillId="0" fontId="21" numFmtId="0" xfId="0" applyFont="1"/>
    <xf borderId="0" fillId="0" fontId="21" numFmtId="172" xfId="0" applyFont="1" applyNumberFormat="1"/>
    <xf borderId="0" fillId="0" fontId="21" numFmtId="174" xfId="0" applyFont="1" applyNumberFormat="1"/>
    <xf borderId="0" fillId="0" fontId="19" numFmtId="0" xfId="0" applyFont="1"/>
    <xf borderId="0" fillId="0" fontId="19" numFmtId="0" xfId="0" applyAlignment="1" applyFont="1">
      <alignment shrinkToFit="0" wrapText="1"/>
    </xf>
    <xf borderId="0" fillId="0" fontId="22" numFmtId="0" xfId="0" applyAlignment="1" applyFont="1">
      <alignment horizontal="left"/>
    </xf>
    <xf borderId="20" fillId="9" fontId="21" numFmtId="0" xfId="0" applyBorder="1" applyFill="1" applyFont="1"/>
    <xf borderId="0" fillId="0" fontId="23" numFmtId="0" xfId="0" applyFont="1"/>
  </cellXfs>
  <cellStyles count="1">
    <cellStyle xfId="0" name="Normal" builtinId="0"/>
  </cellStyles>
  <dxfs count="9">
    <dxf>
      <font/>
      <fill>
        <patternFill patternType="solid">
          <fgColor rgb="FFF28E85"/>
          <bgColor rgb="FFF28E85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none"/>
      </fill>
      <border/>
    </dxf>
    <dxf>
      <font/>
      <fill>
        <patternFill patternType="solid">
          <fgColor rgb="FFF28E85"/>
          <bgColor rgb="FFF28E85"/>
        </patternFill>
      </fill>
      <border/>
    </dxf>
  </dxfs>
  <tableStyles count="3">
    <tableStyle count="4" pivot="0" name="FY 25-26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2" pivot="0" name="FY 25-26-style 2">
      <tableStyleElement dxfId="4" type="firstRowStripe"/>
      <tableStyleElement dxfId="5" type="secondRowStripe"/>
    </tableStyle>
    <tableStyle count="3" pivot="0" name="Subscription Report - 01 Sep 24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X270" displayName="Table1" name="Table1" id="1">
  <autoFilter ref="$A$3:$X$270"/>
  <tableColumns count="24">
    <tableColumn name="S .No." id="1"/>
    <tableColumn name="Customer Name" id="2"/>
    <tableColumn name="Invoice" id="3"/>
    <tableColumn name="Salesperson" id="4"/>
    <tableColumn name="Nature of service" id="5"/>
    <tableColumn name="Start Date " id="6"/>
    <tableColumn name="End Date" id="7"/>
    <tableColumn name="Payment Cycle " id="8"/>
    <tableColumn name="Contract Amount" id="9"/>
    <tableColumn name="Invoiced Amount" id="10"/>
    <tableColumn name="Amount pending for invoicing" id="11"/>
    <tableColumn name="Next Billing Due Date" id="12"/>
    <tableColumn name="Column 1" id="13"/>
    <tableColumn name="Column 2" id="14"/>
    <tableColumn name="Column 3" id="15"/>
    <tableColumn name="Column 4" id="16"/>
    <tableColumn name="Column 5" id="17"/>
    <tableColumn name="Column 6" id="18"/>
    <tableColumn name="Column 7" id="19"/>
    <tableColumn name="Column 8" id="20"/>
    <tableColumn name="Column 9" id="21"/>
    <tableColumn name="Column 10" id="22"/>
    <tableColumn name="Column 11" id="23"/>
    <tableColumn name="Column 12" id="24"/>
  </tableColumns>
  <tableStyleInfo name="FY 25-26-style" showColumnStripes="0" showFirstColumn="1" showLastColumn="1" showRowStripes="1"/>
</table>
</file>

<file path=xl/tables/table2.xml><?xml version="1.0" encoding="utf-8"?>
<table xmlns="http://schemas.openxmlformats.org/spreadsheetml/2006/main" headerRowCount="0" ref="F273:Q415" displayName="Table_1" name="Table_1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FY 25-26-style 2" showColumnStripes="0" showFirstColumn="1" showLastColumn="1" showRowStripes="1"/>
</table>
</file>

<file path=xl/tables/table3.xml><?xml version="1.0" encoding="utf-8"?>
<table xmlns="http://schemas.openxmlformats.org/spreadsheetml/2006/main" ref="A1:W358" displayName="Table_2" name="Table_2" id="3">
  <tableColumns count="23">
    <tableColumn name="subscription_id" id="1"/>
    <tableColumn name="status" id="2"/>
    <tableColumn name="plan_id" id="3"/>
    <tableColumn name="plan_name" id="4"/>
    <tableColumn name="plan_description" id="5"/>
    <tableColumn name="plan_amount" id="6"/>
    <tableColumn name="plan_period" id="7"/>
    <tableColumn name="plan_interval" id="8"/>
    <tableColumn name="quantity" id="9"/>
    <tableColumn name="total_count" id="10"/>
    <tableColumn name="paid_count" id="11"/>
    <tableColumn name="customer_notify" id="12"/>
    <tableColumn name="customer_id" id="13"/>
    <tableColumn name="customer_name" id="14"/>
    <tableColumn name="customer_email" id="15"/>
    <tableColumn name="customer_contact" id="16"/>
    <tableColumn name="start_at" id="17"/>
    <tableColumn name="end_at" id="18"/>
    <tableColumn name="authenticated_at" id="19"/>
    <tableColumn name="activated_at" id="20"/>
    <tableColumn name="cancelled_at" id="21"/>
    <tableColumn name="created_at" id="22"/>
    <tableColumn name="notes" id="23"/>
  </tableColumns>
  <tableStyleInfo name="Subscription Report - 01 Sep 2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ooks.zoho.in/app/60027787976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rzp.io/rzp/df7N6Mgn" TargetMode="External"/><Relationship Id="rId20" Type="http://schemas.openxmlformats.org/officeDocument/2006/relationships/hyperlink" Target="https://rzp.io/rzp/WR7fd0N" TargetMode="External"/><Relationship Id="rId42" Type="http://schemas.openxmlformats.org/officeDocument/2006/relationships/hyperlink" Target="https://rzp.io/i/XBMnublF67" TargetMode="External"/><Relationship Id="rId41" Type="http://schemas.openxmlformats.org/officeDocument/2006/relationships/hyperlink" Target="https://rzp.io/rzp/MUTxegef4a" TargetMode="External"/><Relationship Id="rId22" Type="http://schemas.openxmlformats.org/officeDocument/2006/relationships/hyperlink" Target="https://rzp.io/rzp/qmYDzEb" TargetMode="External"/><Relationship Id="rId44" Type="http://schemas.openxmlformats.org/officeDocument/2006/relationships/hyperlink" Target="https://rzp.io/i/IiR9GSBc" TargetMode="External"/><Relationship Id="rId21" Type="http://schemas.openxmlformats.org/officeDocument/2006/relationships/hyperlink" Target="https://rzp.io/rzp/rmy5gKg" TargetMode="External"/><Relationship Id="rId43" Type="http://schemas.openxmlformats.org/officeDocument/2006/relationships/hyperlink" Target="https://rzp.io/i/56PgQUNX" TargetMode="External"/><Relationship Id="rId24" Type="http://schemas.openxmlformats.org/officeDocument/2006/relationships/hyperlink" Target="https://rzp.io/rzp/oVEZTHY" TargetMode="External"/><Relationship Id="rId46" Type="http://schemas.openxmlformats.org/officeDocument/2006/relationships/hyperlink" Target="https://rzp.io/i/8grA1It" TargetMode="External"/><Relationship Id="rId23" Type="http://schemas.openxmlformats.org/officeDocument/2006/relationships/hyperlink" Target="https://rzp.io/rzp/DntJcNqf" TargetMode="External"/><Relationship Id="rId45" Type="http://schemas.openxmlformats.org/officeDocument/2006/relationships/hyperlink" Target="https://rzp.io/i/uLVz32jBM" TargetMode="External"/><Relationship Id="rId1" Type="http://schemas.openxmlformats.org/officeDocument/2006/relationships/hyperlink" Target="https://rzp.io/rzp/TMKqPzn" TargetMode="External"/><Relationship Id="rId2" Type="http://schemas.openxmlformats.org/officeDocument/2006/relationships/hyperlink" Target="https://rzp.io/rzp/NHM6XHjQ" TargetMode="External"/><Relationship Id="rId3" Type="http://schemas.openxmlformats.org/officeDocument/2006/relationships/hyperlink" Target="https://rzp.io/rzp/wfimIOQa" TargetMode="External"/><Relationship Id="rId4" Type="http://schemas.openxmlformats.org/officeDocument/2006/relationships/hyperlink" Target="https://rzp.io/rzp/1tBssLO" TargetMode="External"/><Relationship Id="rId9" Type="http://schemas.openxmlformats.org/officeDocument/2006/relationships/hyperlink" Target="https://rzp.io/rzp/aJ5yklU" TargetMode="External"/><Relationship Id="rId26" Type="http://schemas.openxmlformats.org/officeDocument/2006/relationships/hyperlink" Target="https://rzp.io/rzp/yMZDNcm" TargetMode="External"/><Relationship Id="rId48" Type="http://schemas.openxmlformats.org/officeDocument/2006/relationships/drawing" Target="../drawings/drawing4.xml"/><Relationship Id="rId25" Type="http://schemas.openxmlformats.org/officeDocument/2006/relationships/hyperlink" Target="https://rzp.io/rzp/69WOWFI8" TargetMode="External"/><Relationship Id="rId47" Type="http://schemas.openxmlformats.org/officeDocument/2006/relationships/hyperlink" Target="https://rzp.io/i/lWfyeN1" TargetMode="External"/><Relationship Id="rId28" Type="http://schemas.openxmlformats.org/officeDocument/2006/relationships/hyperlink" Target="https://rzp.io/rzp/4Crt4f4r" TargetMode="External"/><Relationship Id="rId27" Type="http://schemas.openxmlformats.org/officeDocument/2006/relationships/hyperlink" Target="https://rzp.io/rzp/pgd6sI5U" TargetMode="External"/><Relationship Id="rId5" Type="http://schemas.openxmlformats.org/officeDocument/2006/relationships/hyperlink" Target="https://rzp.io/rzp/QRaWmteq" TargetMode="External"/><Relationship Id="rId6" Type="http://schemas.openxmlformats.org/officeDocument/2006/relationships/hyperlink" Target="https://rzp.io/rzp/TqXOIShz" TargetMode="External"/><Relationship Id="rId29" Type="http://schemas.openxmlformats.org/officeDocument/2006/relationships/hyperlink" Target="https://rzp.io/rzp/FFJ9Bze" TargetMode="External"/><Relationship Id="rId7" Type="http://schemas.openxmlformats.org/officeDocument/2006/relationships/hyperlink" Target="https://rzp.io/rzp/7FCGVc23" TargetMode="External"/><Relationship Id="rId8" Type="http://schemas.openxmlformats.org/officeDocument/2006/relationships/hyperlink" Target="https://rzp.io/rzp/4As8b1E" TargetMode="External"/><Relationship Id="rId31" Type="http://schemas.openxmlformats.org/officeDocument/2006/relationships/hyperlink" Target="https://rzp.io/rzp/BcOkOh6" TargetMode="External"/><Relationship Id="rId30" Type="http://schemas.openxmlformats.org/officeDocument/2006/relationships/hyperlink" Target="https://rzp.io/rzp/i3qChWoQ" TargetMode="External"/><Relationship Id="rId11" Type="http://schemas.openxmlformats.org/officeDocument/2006/relationships/hyperlink" Target="https://rzp.io/rzp/943nYwWI" TargetMode="External"/><Relationship Id="rId33" Type="http://schemas.openxmlformats.org/officeDocument/2006/relationships/hyperlink" Target="https://rzp.io/rzp/gArDQ6jV" TargetMode="External"/><Relationship Id="rId10" Type="http://schemas.openxmlformats.org/officeDocument/2006/relationships/hyperlink" Target="https://rzp.io/rzp/TfiUJqn7" TargetMode="External"/><Relationship Id="rId32" Type="http://schemas.openxmlformats.org/officeDocument/2006/relationships/hyperlink" Target="https://rzp.io/rzp/CreQF2zD" TargetMode="External"/><Relationship Id="rId13" Type="http://schemas.openxmlformats.org/officeDocument/2006/relationships/hyperlink" Target="https://rzp.io/rzp/Mkzu6bGC" TargetMode="External"/><Relationship Id="rId35" Type="http://schemas.openxmlformats.org/officeDocument/2006/relationships/hyperlink" Target="https://rzp.io/rzp/yotpblRV" TargetMode="External"/><Relationship Id="rId12" Type="http://schemas.openxmlformats.org/officeDocument/2006/relationships/hyperlink" Target="https://rzp.io/rzp/MMNF8q0" TargetMode="External"/><Relationship Id="rId34" Type="http://schemas.openxmlformats.org/officeDocument/2006/relationships/hyperlink" Target="https://rzp.io/rzp/9TBbJtW" TargetMode="External"/><Relationship Id="rId15" Type="http://schemas.openxmlformats.org/officeDocument/2006/relationships/hyperlink" Target="https://rzp.io/rzp/oUSBN5p8" TargetMode="External"/><Relationship Id="rId37" Type="http://schemas.openxmlformats.org/officeDocument/2006/relationships/hyperlink" Target="https://rzp.io/rzp/ZP9DQRT" TargetMode="External"/><Relationship Id="rId14" Type="http://schemas.openxmlformats.org/officeDocument/2006/relationships/hyperlink" Target="https://rzp.io/rzp/1eH975VG" TargetMode="External"/><Relationship Id="rId36" Type="http://schemas.openxmlformats.org/officeDocument/2006/relationships/hyperlink" Target="https://rzp.io/rzp/URjDBFT" TargetMode="External"/><Relationship Id="rId17" Type="http://schemas.openxmlformats.org/officeDocument/2006/relationships/hyperlink" Target="https://rzp.io/rzp/xX9JKumd" TargetMode="External"/><Relationship Id="rId39" Type="http://schemas.openxmlformats.org/officeDocument/2006/relationships/hyperlink" Target="https://rzp.io/rzp/60y771Yk" TargetMode="External"/><Relationship Id="rId16" Type="http://schemas.openxmlformats.org/officeDocument/2006/relationships/hyperlink" Target="https://rzp.io/rzp/ZcKqmfo" TargetMode="External"/><Relationship Id="rId38" Type="http://schemas.openxmlformats.org/officeDocument/2006/relationships/hyperlink" Target="https://rzp.io/rzp/jB3lNNM" TargetMode="External"/><Relationship Id="rId19" Type="http://schemas.openxmlformats.org/officeDocument/2006/relationships/hyperlink" Target="https://rzp.io/rzp/uPPieWk" TargetMode="External"/><Relationship Id="rId18" Type="http://schemas.openxmlformats.org/officeDocument/2006/relationships/hyperlink" Target="https://rzp.io/rzp/7dxSXAj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ashboard.razorpay.com/app/plans/plan_PBFqoU5HWt89bn" TargetMode="External"/><Relationship Id="rId42" Type="http://schemas.openxmlformats.org/officeDocument/2006/relationships/hyperlink" Target="https://dashboard.razorpay.com/app/plans/plan_PADi3pLtgkW29g" TargetMode="External"/><Relationship Id="rId41" Type="http://schemas.openxmlformats.org/officeDocument/2006/relationships/hyperlink" Target="https://dashboard.razorpay.com/app/plans/plan_PAvSedfwciQfhi" TargetMode="External"/><Relationship Id="rId44" Type="http://schemas.openxmlformats.org/officeDocument/2006/relationships/hyperlink" Target="https://dashboard.razorpay.com/app/plans/plan_PADKYSjnTiWNuM" TargetMode="External"/><Relationship Id="rId43" Type="http://schemas.openxmlformats.org/officeDocument/2006/relationships/hyperlink" Target="https://dashboard.razorpay.com/app/plans/plan_PADT3q1xnNJPyt" TargetMode="External"/><Relationship Id="rId46" Type="http://schemas.openxmlformats.org/officeDocument/2006/relationships/hyperlink" Target="https://dashboard.razorpay.com/app/plans/plan_P8Tjm0yB6EurJv" TargetMode="External"/><Relationship Id="rId45" Type="http://schemas.openxmlformats.org/officeDocument/2006/relationships/hyperlink" Target="https://dashboard.razorpay.com/app/plans/plan_PADEt59i4hHXUK" TargetMode="External"/><Relationship Id="rId1" Type="http://schemas.openxmlformats.org/officeDocument/2006/relationships/hyperlink" Target="https://dashboard.razorpay.com/app/plans/plan_Q0mMeGgYRTw52q" TargetMode="External"/><Relationship Id="rId2" Type="http://schemas.openxmlformats.org/officeDocument/2006/relationships/hyperlink" Target="https://dashboard.razorpay.com/app/plans/plan_Q0mMWPZl0MVj5e" TargetMode="External"/><Relationship Id="rId3" Type="http://schemas.openxmlformats.org/officeDocument/2006/relationships/hyperlink" Target="https://dashboard.razorpay.com/app/plans/plan_Q0mHOvihdDW4v2" TargetMode="External"/><Relationship Id="rId4" Type="http://schemas.openxmlformats.org/officeDocument/2006/relationships/hyperlink" Target="https://dashboard.razorpay.com/app/plans/plan_PzpKsZKO7N3JOT" TargetMode="External"/><Relationship Id="rId9" Type="http://schemas.openxmlformats.org/officeDocument/2006/relationships/hyperlink" Target="https://dashboard.razorpay.com/app/plans/plan_PyOdaWWcPrvLuI" TargetMode="External"/><Relationship Id="rId48" Type="http://schemas.openxmlformats.org/officeDocument/2006/relationships/hyperlink" Target="https://dashboard.razorpay.com/app/plans/plan_Oyh3HQKwCAE2lT" TargetMode="External"/><Relationship Id="rId47" Type="http://schemas.openxmlformats.org/officeDocument/2006/relationships/hyperlink" Target="https://dashboard.razorpay.com/app/plans/plan_Oz2Ev44SCCarPI" TargetMode="External"/><Relationship Id="rId49" Type="http://schemas.openxmlformats.org/officeDocument/2006/relationships/hyperlink" Target="https://dashboard.razorpay.com/app/plans/plan_OyWUuWIpAV96m8" TargetMode="External"/><Relationship Id="rId5" Type="http://schemas.openxmlformats.org/officeDocument/2006/relationships/hyperlink" Target="https://dashboard.razorpay.com/app/plans/plan_PzpKraK0JnEJf0" TargetMode="External"/><Relationship Id="rId6" Type="http://schemas.openxmlformats.org/officeDocument/2006/relationships/hyperlink" Target="https://dashboard.razorpay.com/app/plans/plan_PzpKlQunUPyTys" TargetMode="External"/><Relationship Id="rId7" Type="http://schemas.openxmlformats.org/officeDocument/2006/relationships/hyperlink" Target="https://dashboard.razorpay.com/app/plans/plan_PyOu28g7zuoAwM" TargetMode="External"/><Relationship Id="rId8" Type="http://schemas.openxmlformats.org/officeDocument/2006/relationships/hyperlink" Target="https://dashboard.razorpay.com/app/plans/plan_PyOdbTqtrAyaAy" TargetMode="External"/><Relationship Id="rId31" Type="http://schemas.openxmlformats.org/officeDocument/2006/relationships/hyperlink" Target="https://dashboard.razorpay.com/app/plans/plan_PMl2K1OYJZQNBG" TargetMode="External"/><Relationship Id="rId30" Type="http://schemas.openxmlformats.org/officeDocument/2006/relationships/hyperlink" Target="https://dashboard.razorpay.com/app/plans/plan_PPAoAPgVXdJtBC" TargetMode="External"/><Relationship Id="rId33" Type="http://schemas.openxmlformats.org/officeDocument/2006/relationships/hyperlink" Target="https://dashboard.razorpay.com/app/plans/plan_PJ9hG5bfnXXaUI" TargetMode="External"/><Relationship Id="rId32" Type="http://schemas.openxmlformats.org/officeDocument/2006/relationships/hyperlink" Target="https://dashboard.razorpay.com/app/plans/plan_PMftU6xtNZU0xT" TargetMode="External"/><Relationship Id="rId35" Type="http://schemas.openxmlformats.org/officeDocument/2006/relationships/hyperlink" Target="https://dashboard.razorpay.com/app/plans/plan_PEr6cu6DZUgDtN" TargetMode="External"/><Relationship Id="rId34" Type="http://schemas.openxmlformats.org/officeDocument/2006/relationships/hyperlink" Target="https://dashboard.razorpay.com/app/plans/plan_PFBePruUEN18rn" TargetMode="External"/><Relationship Id="rId37" Type="http://schemas.openxmlformats.org/officeDocument/2006/relationships/hyperlink" Target="https://dashboard.razorpay.com/app/plans/plan_PEr0LpgCrQeb3Y" TargetMode="External"/><Relationship Id="rId36" Type="http://schemas.openxmlformats.org/officeDocument/2006/relationships/hyperlink" Target="https://dashboard.razorpay.com/app/plans/plan_PEr2b1gGbZLx70" TargetMode="External"/><Relationship Id="rId39" Type="http://schemas.openxmlformats.org/officeDocument/2006/relationships/hyperlink" Target="https://dashboard.razorpay.com/app/plans/plan_PBd1MZSqciKiRE" TargetMode="External"/><Relationship Id="rId38" Type="http://schemas.openxmlformats.org/officeDocument/2006/relationships/hyperlink" Target="https://dashboard.razorpay.com/app/plans/plan_PBd4Ubsy55guZV" TargetMode="External"/><Relationship Id="rId20" Type="http://schemas.openxmlformats.org/officeDocument/2006/relationships/hyperlink" Target="https://dashboard.razorpay.com/app/plans/plan_PZVCp0v2GrZorx" TargetMode="External"/><Relationship Id="rId22" Type="http://schemas.openxmlformats.org/officeDocument/2006/relationships/hyperlink" Target="https://dashboard.razorpay.com/app/plans/plan_PZUTRwunza0NQq" TargetMode="External"/><Relationship Id="rId21" Type="http://schemas.openxmlformats.org/officeDocument/2006/relationships/hyperlink" Target="https://dashboard.razorpay.com/app/plans/plan_PZUVZrvsdfaPsV" TargetMode="External"/><Relationship Id="rId24" Type="http://schemas.openxmlformats.org/officeDocument/2006/relationships/hyperlink" Target="https://dashboard.razorpay.com/app/plans/plan_PVmuQefVrbzf36" TargetMode="External"/><Relationship Id="rId23" Type="http://schemas.openxmlformats.org/officeDocument/2006/relationships/hyperlink" Target="https://dashboard.razorpay.com/app/plans/plan_PYEY0EbUQ9bmvY" TargetMode="External"/><Relationship Id="rId26" Type="http://schemas.openxmlformats.org/officeDocument/2006/relationships/hyperlink" Target="https://dashboard.razorpay.com/app/plans/plan_PTNaDEhqKiQsGd" TargetMode="External"/><Relationship Id="rId25" Type="http://schemas.openxmlformats.org/officeDocument/2006/relationships/hyperlink" Target="https://dashboard.razorpay.com/app/plans/plan_PV2cux3PhwXQfJ" TargetMode="External"/><Relationship Id="rId28" Type="http://schemas.openxmlformats.org/officeDocument/2006/relationships/hyperlink" Target="https://dashboard.razorpay.com/app/plans/plan_PQcMTS0mG1KdQH" TargetMode="External"/><Relationship Id="rId27" Type="http://schemas.openxmlformats.org/officeDocument/2006/relationships/hyperlink" Target="https://dashboard.razorpay.com/app/plans/plan_PQcOvUMsT0UiFo" TargetMode="External"/><Relationship Id="rId29" Type="http://schemas.openxmlformats.org/officeDocument/2006/relationships/hyperlink" Target="https://dashboard.razorpay.com/app/plans/plan_PPApbJaPlyb97S" TargetMode="External"/><Relationship Id="rId51" Type="http://schemas.openxmlformats.org/officeDocument/2006/relationships/hyperlink" Target="https://dashboard.razorpay.com/app/plans/plan_Op4MOOvvYDvjN5" TargetMode="External"/><Relationship Id="rId50" Type="http://schemas.openxmlformats.org/officeDocument/2006/relationships/hyperlink" Target="https://dashboard.razorpay.com/app/plans/plan_OyFii7eFsGaGLC" TargetMode="External"/><Relationship Id="rId52" Type="http://schemas.openxmlformats.org/officeDocument/2006/relationships/drawing" Target="../drawings/drawing6.xml"/><Relationship Id="rId11" Type="http://schemas.openxmlformats.org/officeDocument/2006/relationships/hyperlink" Target="https://dashboard.razorpay.com/app/plans/plan_Ps2mKBkRg3SSFJ" TargetMode="External"/><Relationship Id="rId10" Type="http://schemas.openxmlformats.org/officeDocument/2006/relationships/hyperlink" Target="https://dashboard.razorpay.com/app/plans/plan_PyOdTyszoD0Xa5" TargetMode="External"/><Relationship Id="rId13" Type="http://schemas.openxmlformats.org/officeDocument/2006/relationships/hyperlink" Target="https://dashboard.razorpay.com/app/plans/plan_PrXn4Lgun5HmqL" TargetMode="External"/><Relationship Id="rId12" Type="http://schemas.openxmlformats.org/officeDocument/2006/relationships/hyperlink" Target="https://dashboard.razorpay.com/app/plans/plan_PrXo4k77vz12S5" TargetMode="External"/><Relationship Id="rId15" Type="http://schemas.openxmlformats.org/officeDocument/2006/relationships/hyperlink" Target="https://dashboard.razorpay.com/app/plans/plan_PoVz2UUEjA2Lwe" TargetMode="External"/><Relationship Id="rId14" Type="http://schemas.openxmlformats.org/officeDocument/2006/relationships/hyperlink" Target="https://dashboard.razorpay.com/app/plans/plan_PrFeWvvb1Bsyzx" TargetMode="External"/><Relationship Id="rId17" Type="http://schemas.openxmlformats.org/officeDocument/2006/relationships/hyperlink" Target="https://dashboard.razorpay.com/app/plans/plan_PmSt4hyb5kDgwF" TargetMode="External"/><Relationship Id="rId16" Type="http://schemas.openxmlformats.org/officeDocument/2006/relationships/hyperlink" Target="https://dashboard.razorpay.com/app/plans/plan_PmsIfL0AXBBmOA" TargetMode="External"/><Relationship Id="rId19" Type="http://schemas.openxmlformats.org/officeDocument/2006/relationships/hyperlink" Target="https://dashboard.razorpay.com/app/plans/plan_PbMnOhYADhz1In" TargetMode="External"/><Relationship Id="rId18" Type="http://schemas.openxmlformats.org/officeDocument/2006/relationships/hyperlink" Target="https://dashboard.razorpay.com/app/plans/plan_PmSoBL5OcU9wDC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/>
  <cols>
    <col customWidth="1" min="1" max="1" width="10.13"/>
    <col customWidth="1" min="2" max="2" width="32.13"/>
    <col customWidth="1" min="3" max="3" width="22.38"/>
    <col customWidth="1" min="4" max="4" width="18.13"/>
    <col customWidth="1" min="5" max="5" width="24.5"/>
    <col customWidth="1" min="6" max="6" width="12.5"/>
    <col customWidth="1" min="7" max="7" width="10.63"/>
    <col customWidth="1" min="8" max="8" width="17.5"/>
    <col customWidth="1" min="9" max="9" width="13.38"/>
    <col customWidth="1" min="10" max="10" width="18.63"/>
    <col customWidth="1" min="11" max="11" width="13.75"/>
    <col customWidth="1" min="12" max="12" width="19.5"/>
    <col customWidth="1" min="13" max="13" width="11.75"/>
    <col customWidth="1" min="14" max="14" width="12.63"/>
    <col customWidth="1" min="15" max="15" width="10.38"/>
    <col customWidth="1" min="16" max="21" width="12.63"/>
    <col customWidth="1" min="22" max="24" width="13.63"/>
  </cols>
  <sheetData>
    <row r="1" ht="39.0" customHeight="1">
      <c r="A1" s="1"/>
      <c r="B1" s="1"/>
      <c r="C1" s="2"/>
      <c r="D1" s="3"/>
      <c r="E1" s="1"/>
      <c r="F1" s="4" t="s">
        <v>0</v>
      </c>
      <c r="G1" s="5">
        <v>30.0</v>
      </c>
      <c r="H1" s="1"/>
      <c r="I1" s="6"/>
      <c r="J1" s="1"/>
      <c r="K1" s="1"/>
      <c r="L1" s="7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8.75" customHeight="1">
      <c r="A2" s="8"/>
      <c r="B2" s="8"/>
      <c r="C2" s="9"/>
      <c r="D2" s="10"/>
      <c r="E2" s="11"/>
      <c r="F2" s="11"/>
      <c r="G2" s="11"/>
      <c r="H2" s="11"/>
      <c r="I2" s="12"/>
      <c r="J2" s="12"/>
      <c r="K2" s="13"/>
      <c r="L2" s="14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ht="58.5" customHeight="1">
      <c r="A3" s="16" t="s">
        <v>1</v>
      </c>
      <c r="B3" s="16" t="s">
        <v>2</v>
      </c>
      <c r="C3" s="17" t="s">
        <v>3</v>
      </c>
      <c r="D3" s="18" t="s">
        <v>4</v>
      </c>
      <c r="E3" s="19" t="s">
        <v>5</v>
      </c>
      <c r="F3" s="19" t="s">
        <v>6</v>
      </c>
      <c r="G3" s="19" t="s">
        <v>7</v>
      </c>
      <c r="H3" s="19" t="s">
        <v>8</v>
      </c>
      <c r="I3" s="20" t="s">
        <v>9</v>
      </c>
      <c r="J3" s="20" t="s">
        <v>10</v>
      </c>
      <c r="K3" s="21" t="s">
        <v>11</v>
      </c>
      <c r="L3" s="22" t="s">
        <v>12</v>
      </c>
      <c r="M3" s="23" t="s">
        <v>13</v>
      </c>
      <c r="N3" s="23" t="s">
        <v>14</v>
      </c>
      <c r="O3" s="23" t="s">
        <v>15</v>
      </c>
      <c r="P3" s="23" t="s">
        <v>16</v>
      </c>
      <c r="Q3" s="23" t="s">
        <v>17</v>
      </c>
      <c r="R3" s="23" t="s">
        <v>18</v>
      </c>
      <c r="S3" s="23" t="s">
        <v>19</v>
      </c>
      <c r="T3" s="23" t="s">
        <v>20</v>
      </c>
      <c r="U3" s="23" t="s">
        <v>21</v>
      </c>
      <c r="V3" s="23" t="s">
        <v>22</v>
      </c>
      <c r="W3" s="23" t="s">
        <v>23</v>
      </c>
      <c r="X3" s="23" t="s">
        <v>24</v>
      </c>
    </row>
    <row r="4" ht="18.75" customHeight="1">
      <c r="A4" s="24">
        <v>1.0</v>
      </c>
      <c r="B4" s="25" t="s">
        <v>25</v>
      </c>
      <c r="C4" s="25" t="s">
        <v>26</v>
      </c>
      <c r="D4" s="26"/>
      <c r="E4" s="27" t="s">
        <v>27</v>
      </c>
      <c r="F4" s="28">
        <v>45594.0</v>
      </c>
      <c r="G4" s="29">
        <v>45959.0</v>
      </c>
      <c r="H4" s="30" t="s">
        <v>28</v>
      </c>
      <c r="I4" s="25">
        <f t="shared" ref="I4:J4" si="1">8000*12</f>
        <v>96000</v>
      </c>
      <c r="J4" s="25">
        <f t="shared" si="1"/>
        <v>96000</v>
      </c>
      <c r="K4" s="31">
        <f t="shared" ref="K4:K61" si="3">I4-J4</f>
        <v>0</v>
      </c>
      <c r="L4" s="32"/>
      <c r="M4" s="33"/>
      <c r="N4" s="33"/>
      <c r="O4" s="34">
        <f t="shared" ref="O4:O121" si="4">M4+N4</f>
        <v>0</v>
      </c>
      <c r="P4" s="34"/>
      <c r="Q4" s="34"/>
      <c r="R4" s="34"/>
      <c r="S4" s="34"/>
      <c r="T4" s="34"/>
      <c r="U4" s="34"/>
      <c r="V4" s="34"/>
      <c r="W4" s="34"/>
      <c r="X4" s="34"/>
    </row>
    <row r="5" ht="18.75" customHeight="1">
      <c r="A5" s="17">
        <f t="shared" ref="A5:A504" si="5">A4+1</f>
        <v>2</v>
      </c>
      <c r="B5" s="25" t="s">
        <v>29</v>
      </c>
      <c r="C5" s="25" t="s">
        <v>30</v>
      </c>
      <c r="D5" s="35" t="s">
        <v>31</v>
      </c>
      <c r="E5" s="27" t="s">
        <v>27</v>
      </c>
      <c r="F5" s="36">
        <v>45605.0</v>
      </c>
      <c r="G5" s="29">
        <v>45970.0</v>
      </c>
      <c r="H5" s="30" t="s">
        <v>28</v>
      </c>
      <c r="I5" s="37">
        <f t="shared" ref="I5:J5" si="2">3999*12</f>
        <v>47988</v>
      </c>
      <c r="J5" s="37">
        <f t="shared" si="2"/>
        <v>47988</v>
      </c>
      <c r="K5" s="31">
        <f t="shared" si="3"/>
        <v>0</v>
      </c>
      <c r="L5" s="32"/>
      <c r="M5" s="33"/>
      <c r="N5" s="33"/>
      <c r="O5" s="34">
        <f t="shared" si="4"/>
        <v>0</v>
      </c>
      <c r="P5" s="34"/>
      <c r="Q5" s="34"/>
      <c r="R5" s="34"/>
      <c r="S5" s="34"/>
      <c r="T5" s="34"/>
      <c r="U5" s="34"/>
      <c r="V5" s="34"/>
      <c r="W5" s="34"/>
      <c r="X5" s="34"/>
    </row>
    <row r="6" ht="18.75" customHeight="1">
      <c r="A6" s="17">
        <f t="shared" si="5"/>
        <v>3</v>
      </c>
      <c r="B6" s="38" t="s">
        <v>32</v>
      </c>
      <c r="C6" s="25" t="s">
        <v>33</v>
      </c>
      <c r="D6" s="26"/>
      <c r="E6" s="39" t="s">
        <v>27</v>
      </c>
      <c r="F6" s="40">
        <v>45658.0</v>
      </c>
      <c r="G6" s="29">
        <v>45930.0</v>
      </c>
      <c r="H6" s="41" t="s">
        <v>34</v>
      </c>
      <c r="I6" s="38">
        <f t="shared" ref="I6:J6" si="6">80000*4-1356</f>
        <v>318644</v>
      </c>
      <c r="J6" s="38">
        <f t="shared" si="6"/>
        <v>318644</v>
      </c>
      <c r="K6" s="38">
        <f t="shared" si="3"/>
        <v>0</v>
      </c>
      <c r="L6" s="32"/>
      <c r="M6" s="42" t="s">
        <v>35</v>
      </c>
      <c r="N6" s="33"/>
      <c r="O6" s="34" t="str">
        <f t="shared" si="4"/>
        <v>#VALUE!</v>
      </c>
      <c r="P6" s="34"/>
      <c r="Q6" s="34"/>
      <c r="R6" s="34"/>
      <c r="S6" s="34"/>
      <c r="T6" s="34"/>
      <c r="U6" s="34"/>
      <c r="V6" s="34"/>
      <c r="W6" s="34"/>
      <c r="X6" s="34"/>
    </row>
    <row r="7" ht="18.75" customHeight="1">
      <c r="A7" s="17">
        <f t="shared" si="5"/>
        <v>4</v>
      </c>
      <c r="B7" s="38" t="s">
        <v>36</v>
      </c>
      <c r="C7" s="25" t="s">
        <v>37</v>
      </c>
      <c r="D7" s="26"/>
      <c r="E7" s="39" t="s">
        <v>27</v>
      </c>
      <c r="F7" s="43">
        <v>45716.0</v>
      </c>
      <c r="G7" s="29">
        <v>45896.0</v>
      </c>
      <c r="H7" s="44" t="s">
        <v>38</v>
      </c>
      <c r="I7" s="38">
        <v>100890.0</v>
      </c>
      <c r="J7" s="38">
        <f>I7</f>
        <v>100890</v>
      </c>
      <c r="K7" s="38">
        <f t="shared" si="3"/>
        <v>0</v>
      </c>
      <c r="L7" s="45"/>
      <c r="M7" s="33"/>
      <c r="N7" s="33"/>
      <c r="O7" s="34">
        <f t="shared" si="4"/>
        <v>0</v>
      </c>
      <c r="P7" s="34"/>
      <c r="Q7" s="34"/>
      <c r="R7" s="34"/>
      <c r="S7" s="34"/>
      <c r="T7" s="34"/>
      <c r="U7" s="34"/>
      <c r="V7" s="34"/>
      <c r="W7" s="34"/>
      <c r="X7" s="34"/>
    </row>
    <row r="8" ht="18.75" customHeight="1">
      <c r="A8" s="17">
        <f t="shared" si="5"/>
        <v>5</v>
      </c>
      <c r="B8" s="38" t="s">
        <v>39</v>
      </c>
      <c r="C8" s="46" t="s">
        <v>40</v>
      </c>
      <c r="D8" s="26"/>
      <c r="E8" s="39" t="s">
        <v>27</v>
      </c>
      <c r="F8" s="40">
        <v>45725.0</v>
      </c>
      <c r="G8" s="29">
        <v>45786.0</v>
      </c>
      <c r="H8" s="44" t="s">
        <v>41</v>
      </c>
      <c r="I8" s="38">
        <f t="shared" ref="I8:J8" si="7">11800*2</f>
        <v>23600</v>
      </c>
      <c r="J8" s="38">
        <f t="shared" si="7"/>
        <v>23600</v>
      </c>
      <c r="K8" s="38">
        <f t="shared" si="3"/>
        <v>0</v>
      </c>
      <c r="L8" s="47"/>
      <c r="M8" s="42" t="s">
        <v>42</v>
      </c>
      <c r="N8" s="33"/>
      <c r="O8" s="34" t="str">
        <f t="shared" si="4"/>
        <v>#VALUE!</v>
      </c>
      <c r="P8" s="34"/>
      <c r="Q8" s="34"/>
      <c r="R8" s="34"/>
      <c r="S8" s="34"/>
      <c r="T8" s="34"/>
      <c r="U8" s="34"/>
      <c r="V8" s="34"/>
      <c r="W8" s="34"/>
      <c r="X8" s="34"/>
    </row>
    <row r="9" ht="18.75" customHeight="1">
      <c r="A9" s="17">
        <f t="shared" si="5"/>
        <v>6</v>
      </c>
      <c r="B9" s="25" t="s">
        <v>43</v>
      </c>
      <c r="C9" s="25" t="s">
        <v>44</v>
      </c>
      <c r="D9" s="48" t="s">
        <v>45</v>
      </c>
      <c r="E9" s="27" t="s">
        <v>27</v>
      </c>
      <c r="F9" s="36">
        <v>45739.0</v>
      </c>
      <c r="G9" s="29">
        <v>45800.0</v>
      </c>
      <c r="H9" s="44" t="s">
        <v>41</v>
      </c>
      <c r="I9" s="37">
        <v>35400.0</v>
      </c>
      <c r="J9" s="37">
        <v>35400.0</v>
      </c>
      <c r="K9" s="31">
        <f t="shared" si="3"/>
        <v>0</v>
      </c>
      <c r="L9" s="49"/>
      <c r="M9" s="33"/>
      <c r="N9" s="33"/>
      <c r="O9" s="34">
        <f t="shared" si="4"/>
        <v>0</v>
      </c>
      <c r="P9" s="34"/>
      <c r="Q9" s="34"/>
      <c r="R9" s="34"/>
      <c r="S9" s="34"/>
      <c r="T9" s="34"/>
      <c r="U9" s="34"/>
      <c r="V9" s="34"/>
      <c r="W9" s="34"/>
      <c r="X9" s="34"/>
    </row>
    <row r="10" ht="18.75" customHeight="1">
      <c r="A10" s="17">
        <f t="shared" si="5"/>
        <v>7</v>
      </c>
      <c r="B10" s="38" t="s">
        <v>46</v>
      </c>
      <c r="C10" s="25" t="s">
        <v>47</v>
      </c>
      <c r="D10" s="48" t="s">
        <v>45</v>
      </c>
      <c r="E10" s="39" t="s">
        <v>27</v>
      </c>
      <c r="F10" s="43">
        <v>45748.0</v>
      </c>
      <c r="G10" s="29">
        <v>45838.0</v>
      </c>
      <c r="H10" s="44" t="s">
        <v>48</v>
      </c>
      <c r="I10" s="38">
        <f>60000+10800</f>
        <v>70800</v>
      </c>
      <c r="J10" s="38">
        <f>I10</f>
        <v>70800</v>
      </c>
      <c r="K10" s="38">
        <f t="shared" si="3"/>
        <v>0</v>
      </c>
      <c r="L10" s="45"/>
      <c r="M10" s="33"/>
      <c r="N10" s="33"/>
      <c r="O10" s="34">
        <f t="shared" si="4"/>
        <v>0</v>
      </c>
      <c r="P10" s="34"/>
      <c r="Q10" s="34"/>
      <c r="R10" s="34"/>
      <c r="S10" s="34"/>
      <c r="T10" s="34"/>
      <c r="U10" s="34"/>
      <c r="V10" s="34"/>
      <c r="W10" s="34"/>
      <c r="X10" s="34"/>
    </row>
    <row r="11" ht="18.75" customHeight="1">
      <c r="A11" s="17">
        <f t="shared" si="5"/>
        <v>8</v>
      </c>
      <c r="B11" s="38" t="s">
        <v>49</v>
      </c>
      <c r="C11" s="25"/>
      <c r="D11" s="26"/>
      <c r="E11" s="39" t="s">
        <v>27</v>
      </c>
      <c r="F11" s="43">
        <v>45748.0</v>
      </c>
      <c r="G11" s="29">
        <v>45808.0</v>
      </c>
      <c r="H11" s="44" t="s">
        <v>41</v>
      </c>
      <c r="I11" s="38">
        <v>35400.0</v>
      </c>
      <c r="J11" s="38">
        <v>35400.0</v>
      </c>
      <c r="K11" s="38">
        <f t="shared" si="3"/>
        <v>0</v>
      </c>
      <c r="L11" s="45"/>
      <c r="M11" s="33"/>
      <c r="N11" s="33"/>
      <c r="O11" s="34">
        <f t="shared" si="4"/>
        <v>0</v>
      </c>
      <c r="P11" s="34"/>
      <c r="Q11" s="34"/>
      <c r="R11" s="34"/>
      <c r="S11" s="34"/>
      <c r="T11" s="34"/>
      <c r="U11" s="34"/>
      <c r="V11" s="34"/>
      <c r="W11" s="34"/>
      <c r="X11" s="34"/>
    </row>
    <row r="12" ht="18.75" customHeight="1">
      <c r="A12" s="17">
        <f t="shared" si="5"/>
        <v>9</v>
      </c>
      <c r="B12" s="38" t="s">
        <v>50</v>
      </c>
      <c r="C12" s="25" t="s">
        <v>51</v>
      </c>
      <c r="D12" s="26"/>
      <c r="E12" s="39" t="s">
        <v>27</v>
      </c>
      <c r="F12" s="43">
        <v>45748.0</v>
      </c>
      <c r="G12" s="29">
        <v>45808.0</v>
      </c>
      <c r="H12" s="44" t="s">
        <v>41</v>
      </c>
      <c r="I12" s="38">
        <f>35400*2</f>
        <v>70800</v>
      </c>
      <c r="J12" s="38">
        <f>35400+35400</f>
        <v>70800</v>
      </c>
      <c r="K12" s="38">
        <f t="shared" si="3"/>
        <v>0</v>
      </c>
      <c r="L12" s="47"/>
      <c r="M12" s="33"/>
      <c r="N12" s="33"/>
      <c r="O12" s="34">
        <f t="shared" si="4"/>
        <v>0</v>
      </c>
      <c r="P12" s="34"/>
      <c r="Q12" s="34"/>
      <c r="R12" s="34"/>
      <c r="S12" s="34"/>
      <c r="T12" s="34"/>
      <c r="U12" s="34"/>
      <c r="V12" s="34"/>
      <c r="W12" s="34"/>
      <c r="X12" s="34"/>
    </row>
    <row r="13" ht="18.75" customHeight="1">
      <c r="A13" s="17">
        <f t="shared" si="5"/>
        <v>10</v>
      </c>
      <c r="B13" s="38" t="s">
        <v>52</v>
      </c>
      <c r="C13" s="25" t="s">
        <v>53</v>
      </c>
      <c r="D13" s="26"/>
      <c r="E13" s="39" t="s">
        <v>54</v>
      </c>
      <c r="F13" s="40">
        <v>45748.0</v>
      </c>
      <c r="G13" s="29">
        <v>45777.0</v>
      </c>
      <c r="H13" s="44" t="s">
        <v>55</v>
      </c>
      <c r="I13" s="31">
        <v>2360.0</v>
      </c>
      <c r="J13" s="31">
        <f t="shared" ref="J13:J18" si="8">I13</f>
        <v>2360</v>
      </c>
      <c r="K13" s="31">
        <f t="shared" si="3"/>
        <v>0</v>
      </c>
      <c r="L13" s="45"/>
      <c r="M13" s="33"/>
      <c r="N13" s="33"/>
      <c r="O13" s="34">
        <f t="shared" si="4"/>
        <v>0</v>
      </c>
      <c r="P13" s="34"/>
      <c r="Q13" s="34"/>
      <c r="R13" s="34"/>
      <c r="S13" s="34"/>
      <c r="T13" s="34"/>
      <c r="U13" s="34"/>
      <c r="V13" s="34"/>
      <c r="W13" s="34"/>
      <c r="X13" s="34"/>
    </row>
    <row r="14" ht="18.75" customHeight="1">
      <c r="A14" s="17">
        <f t="shared" si="5"/>
        <v>11</v>
      </c>
      <c r="B14" s="38" t="s">
        <v>56</v>
      </c>
      <c r="C14" s="25" t="s">
        <v>57</v>
      </c>
      <c r="D14" s="48" t="s">
        <v>31</v>
      </c>
      <c r="E14" s="39" t="s">
        <v>27</v>
      </c>
      <c r="F14" s="43">
        <v>45749.0</v>
      </c>
      <c r="G14" s="29">
        <v>45932.0</v>
      </c>
      <c r="H14" s="44" t="s">
        <v>38</v>
      </c>
      <c r="I14" s="37">
        <v>1172448.0</v>
      </c>
      <c r="J14" s="31">
        <f t="shared" si="8"/>
        <v>1172448</v>
      </c>
      <c r="K14" s="50">
        <f t="shared" si="3"/>
        <v>0</v>
      </c>
      <c r="L14" s="45"/>
      <c r="M14" s="33"/>
      <c r="N14" s="33"/>
      <c r="O14" s="34">
        <f t="shared" si="4"/>
        <v>0</v>
      </c>
      <c r="P14" s="34"/>
      <c r="Q14" s="34"/>
      <c r="R14" s="34"/>
      <c r="S14" s="34"/>
      <c r="T14" s="34"/>
      <c r="U14" s="34"/>
      <c r="V14" s="34"/>
      <c r="W14" s="34"/>
      <c r="X14" s="34"/>
    </row>
    <row r="15" ht="18.75" customHeight="1">
      <c r="A15" s="17">
        <f t="shared" si="5"/>
        <v>12</v>
      </c>
      <c r="B15" s="38" t="s">
        <v>58</v>
      </c>
      <c r="C15" s="25" t="s">
        <v>59</v>
      </c>
      <c r="D15" s="26"/>
      <c r="E15" s="39" t="s">
        <v>27</v>
      </c>
      <c r="F15" s="43">
        <v>45754.0</v>
      </c>
      <c r="G15" s="29">
        <v>45814.0</v>
      </c>
      <c r="H15" s="44" t="s">
        <v>41</v>
      </c>
      <c r="I15" s="38">
        <v>9440.0</v>
      </c>
      <c r="J15" s="38">
        <f t="shared" si="8"/>
        <v>9440</v>
      </c>
      <c r="K15" s="38">
        <f t="shared" si="3"/>
        <v>0</v>
      </c>
      <c r="L15" s="45"/>
      <c r="M15" s="33"/>
      <c r="N15" s="33"/>
      <c r="O15" s="34">
        <f t="shared" si="4"/>
        <v>0</v>
      </c>
      <c r="P15" s="34"/>
      <c r="Q15" s="34"/>
      <c r="R15" s="34"/>
      <c r="S15" s="34"/>
      <c r="T15" s="34"/>
      <c r="U15" s="34"/>
      <c r="V15" s="34"/>
      <c r="W15" s="34"/>
      <c r="X15" s="34"/>
    </row>
    <row r="16" ht="18.75" customHeight="1">
      <c r="A16" s="17">
        <f t="shared" si="5"/>
        <v>13</v>
      </c>
      <c r="B16" s="38" t="s">
        <v>60</v>
      </c>
      <c r="C16" s="25" t="s">
        <v>61</v>
      </c>
      <c r="D16" s="26"/>
      <c r="E16" s="39" t="s">
        <v>27</v>
      </c>
      <c r="F16" s="43">
        <v>45755.0</v>
      </c>
      <c r="G16" s="29">
        <v>45815.0</v>
      </c>
      <c r="H16" s="44" t="s">
        <v>41</v>
      </c>
      <c r="I16" s="38">
        <v>7080.0</v>
      </c>
      <c r="J16" s="38">
        <f t="shared" si="8"/>
        <v>7080</v>
      </c>
      <c r="K16" s="38">
        <f t="shared" si="3"/>
        <v>0</v>
      </c>
      <c r="L16" s="45"/>
      <c r="M16" s="33"/>
      <c r="N16" s="33"/>
      <c r="O16" s="34">
        <f t="shared" si="4"/>
        <v>0</v>
      </c>
      <c r="P16" s="34"/>
      <c r="Q16" s="34"/>
      <c r="R16" s="34"/>
      <c r="S16" s="34"/>
      <c r="T16" s="34"/>
      <c r="U16" s="34"/>
      <c r="V16" s="34"/>
      <c r="W16" s="34"/>
      <c r="X16" s="34"/>
    </row>
    <row r="17" ht="18.75" customHeight="1">
      <c r="A17" s="17">
        <f t="shared" si="5"/>
        <v>14</v>
      </c>
      <c r="B17" s="38" t="s">
        <v>62</v>
      </c>
      <c r="C17" s="25" t="s">
        <v>63</v>
      </c>
      <c r="D17" s="26"/>
      <c r="E17" s="39" t="s">
        <v>27</v>
      </c>
      <c r="F17" s="43">
        <v>45755.0</v>
      </c>
      <c r="G17" s="29">
        <v>45815.0</v>
      </c>
      <c r="H17" s="44" t="s">
        <v>41</v>
      </c>
      <c r="I17" s="38">
        <v>4720.0</v>
      </c>
      <c r="J17" s="38">
        <f t="shared" si="8"/>
        <v>4720</v>
      </c>
      <c r="K17" s="38">
        <f t="shared" si="3"/>
        <v>0</v>
      </c>
      <c r="L17" s="45"/>
      <c r="M17" s="33"/>
      <c r="N17" s="33"/>
      <c r="O17" s="34">
        <f t="shared" si="4"/>
        <v>0</v>
      </c>
      <c r="P17" s="34"/>
      <c r="Q17" s="34"/>
      <c r="R17" s="34"/>
      <c r="S17" s="34"/>
      <c r="T17" s="34"/>
      <c r="U17" s="34"/>
      <c r="V17" s="34"/>
      <c r="W17" s="34"/>
      <c r="X17" s="34"/>
    </row>
    <row r="18" ht="18.75" customHeight="1">
      <c r="A18" s="17">
        <f t="shared" si="5"/>
        <v>15</v>
      </c>
      <c r="B18" s="38" t="s">
        <v>64</v>
      </c>
      <c r="C18" s="25" t="s">
        <v>65</v>
      </c>
      <c r="D18" s="26"/>
      <c r="E18" s="27" t="s">
        <v>54</v>
      </c>
      <c r="F18" s="43">
        <v>45757.0</v>
      </c>
      <c r="G18" s="29">
        <v>45786.0</v>
      </c>
      <c r="H18" s="44" t="s">
        <v>55</v>
      </c>
      <c r="I18" s="38">
        <v>24780.0</v>
      </c>
      <c r="J18" s="38">
        <f t="shared" si="8"/>
        <v>24780</v>
      </c>
      <c r="K18" s="38">
        <f t="shared" si="3"/>
        <v>0</v>
      </c>
      <c r="L18" s="45"/>
      <c r="M18" s="33"/>
      <c r="N18" s="33"/>
      <c r="O18" s="34">
        <f t="shared" si="4"/>
        <v>0</v>
      </c>
      <c r="P18" s="34"/>
      <c r="Q18" s="34"/>
      <c r="R18" s="34"/>
      <c r="S18" s="34"/>
      <c r="T18" s="34"/>
      <c r="U18" s="34"/>
      <c r="V18" s="34"/>
      <c r="W18" s="34"/>
      <c r="X18" s="34"/>
    </row>
    <row r="19" ht="18.75" customHeight="1">
      <c r="A19" s="17">
        <f t="shared" si="5"/>
        <v>16</v>
      </c>
      <c r="B19" s="38" t="s">
        <v>66</v>
      </c>
      <c r="C19" s="25" t="s">
        <v>67</v>
      </c>
      <c r="D19" s="26"/>
      <c r="E19" s="39" t="s">
        <v>27</v>
      </c>
      <c r="F19" s="43">
        <v>45757.0</v>
      </c>
      <c r="G19" s="29">
        <v>45878.0</v>
      </c>
      <c r="H19" s="44" t="s">
        <v>68</v>
      </c>
      <c r="I19" s="38">
        <f t="shared" ref="I19:J19" si="9">11800*4</f>
        <v>47200</v>
      </c>
      <c r="J19" s="38">
        <f t="shared" si="9"/>
        <v>47200</v>
      </c>
      <c r="K19" s="38">
        <f t="shared" si="3"/>
        <v>0</v>
      </c>
      <c r="L19" s="32"/>
      <c r="M19" s="33"/>
      <c r="N19" s="33"/>
      <c r="O19" s="34">
        <f t="shared" si="4"/>
        <v>0</v>
      </c>
      <c r="P19" s="34"/>
      <c r="Q19" s="34"/>
      <c r="R19" s="34"/>
      <c r="S19" s="34"/>
      <c r="T19" s="34"/>
      <c r="U19" s="34"/>
      <c r="V19" s="34"/>
      <c r="W19" s="34"/>
      <c r="X19" s="34"/>
    </row>
    <row r="20" ht="18.75" customHeight="1">
      <c r="A20" s="17">
        <f t="shared" si="5"/>
        <v>17</v>
      </c>
      <c r="B20" s="38" t="s">
        <v>69</v>
      </c>
      <c r="C20" s="25" t="s">
        <v>70</v>
      </c>
      <c r="D20" s="26"/>
      <c r="E20" s="39" t="s">
        <v>27</v>
      </c>
      <c r="F20" s="43">
        <v>45758.0</v>
      </c>
      <c r="G20" s="29">
        <v>45818.0</v>
      </c>
      <c r="H20" s="44" t="s">
        <v>41</v>
      </c>
      <c r="I20" s="25">
        <v>35400.0</v>
      </c>
      <c r="J20" s="38">
        <f t="shared" ref="J20:J24" si="10">I20</f>
        <v>35400</v>
      </c>
      <c r="K20" s="38">
        <f t="shared" si="3"/>
        <v>0</v>
      </c>
      <c r="L20" s="32"/>
      <c r="M20" s="33"/>
      <c r="N20" s="33"/>
      <c r="O20" s="34">
        <f t="shared" si="4"/>
        <v>0</v>
      </c>
      <c r="P20" s="34"/>
      <c r="Q20" s="34"/>
      <c r="R20" s="34"/>
      <c r="S20" s="34"/>
      <c r="T20" s="34"/>
      <c r="U20" s="34"/>
      <c r="V20" s="34"/>
      <c r="W20" s="34"/>
      <c r="X20" s="34"/>
    </row>
    <row r="21" ht="18.75" customHeight="1">
      <c r="A21" s="17">
        <f t="shared" si="5"/>
        <v>18</v>
      </c>
      <c r="B21" s="38" t="s">
        <v>71</v>
      </c>
      <c r="C21" s="25" t="s">
        <v>72</v>
      </c>
      <c r="D21" s="26"/>
      <c r="E21" s="39" t="s">
        <v>27</v>
      </c>
      <c r="F21" s="43">
        <v>45758.0</v>
      </c>
      <c r="G21" s="29">
        <v>45818.0</v>
      </c>
      <c r="H21" s="44" t="s">
        <v>41</v>
      </c>
      <c r="I21" s="38">
        <v>17700.0</v>
      </c>
      <c r="J21" s="38">
        <f t="shared" si="10"/>
        <v>17700</v>
      </c>
      <c r="K21" s="38">
        <f t="shared" si="3"/>
        <v>0</v>
      </c>
      <c r="L21" s="45"/>
      <c r="M21" s="33"/>
      <c r="N21" s="33"/>
      <c r="O21" s="34">
        <f t="shared" si="4"/>
        <v>0</v>
      </c>
      <c r="P21" s="34"/>
      <c r="Q21" s="34"/>
      <c r="R21" s="34"/>
      <c r="S21" s="34"/>
      <c r="T21" s="34"/>
      <c r="U21" s="34"/>
      <c r="V21" s="34"/>
      <c r="W21" s="34"/>
      <c r="X21" s="34"/>
    </row>
    <row r="22" ht="18.75" customHeight="1">
      <c r="A22" s="17">
        <f t="shared" si="5"/>
        <v>19</v>
      </c>
      <c r="B22" s="38" t="s">
        <v>73</v>
      </c>
      <c r="C22" s="25" t="s">
        <v>74</v>
      </c>
      <c r="D22" s="26"/>
      <c r="E22" s="39" t="s">
        <v>54</v>
      </c>
      <c r="F22" s="43">
        <v>45759.0</v>
      </c>
      <c r="G22" s="29">
        <v>45788.0</v>
      </c>
      <c r="H22" s="44" t="s">
        <v>55</v>
      </c>
      <c r="I22" s="38">
        <v>5900.0</v>
      </c>
      <c r="J22" s="38">
        <f t="shared" si="10"/>
        <v>5900</v>
      </c>
      <c r="K22" s="38">
        <f t="shared" si="3"/>
        <v>0</v>
      </c>
      <c r="L22" s="45"/>
      <c r="M22" s="33"/>
      <c r="N22" s="33"/>
      <c r="O22" s="34">
        <f t="shared" si="4"/>
        <v>0</v>
      </c>
      <c r="P22" s="34"/>
      <c r="Q22" s="34"/>
      <c r="R22" s="34"/>
      <c r="S22" s="34"/>
      <c r="T22" s="34"/>
      <c r="U22" s="34"/>
      <c r="V22" s="34"/>
      <c r="W22" s="34"/>
      <c r="X22" s="34"/>
    </row>
    <row r="23" ht="18.75" customHeight="1">
      <c r="A23" s="17">
        <f t="shared" si="5"/>
        <v>20</v>
      </c>
      <c r="B23" s="38" t="s">
        <v>75</v>
      </c>
      <c r="C23" s="25" t="s">
        <v>76</v>
      </c>
      <c r="D23" s="26"/>
      <c r="E23" s="39" t="s">
        <v>54</v>
      </c>
      <c r="F23" s="43">
        <v>45759.0</v>
      </c>
      <c r="G23" s="29">
        <v>45788.0</v>
      </c>
      <c r="H23" s="44" t="s">
        <v>55</v>
      </c>
      <c r="I23" s="38">
        <v>7080.0</v>
      </c>
      <c r="J23" s="38">
        <f t="shared" si="10"/>
        <v>7080</v>
      </c>
      <c r="K23" s="38">
        <f t="shared" si="3"/>
        <v>0</v>
      </c>
      <c r="L23" s="45"/>
      <c r="M23" s="33"/>
      <c r="N23" s="33"/>
      <c r="O23" s="34">
        <f t="shared" si="4"/>
        <v>0</v>
      </c>
      <c r="P23" s="34"/>
      <c r="Q23" s="34"/>
      <c r="R23" s="34"/>
      <c r="S23" s="34"/>
      <c r="T23" s="34"/>
      <c r="U23" s="34"/>
      <c r="V23" s="34"/>
      <c r="W23" s="34"/>
      <c r="X23" s="34"/>
    </row>
    <row r="24" ht="18.75" customHeight="1">
      <c r="A24" s="17">
        <f t="shared" si="5"/>
        <v>21</v>
      </c>
      <c r="B24" s="38" t="s">
        <v>77</v>
      </c>
      <c r="C24" s="25" t="s">
        <v>78</v>
      </c>
      <c r="D24" s="26"/>
      <c r="E24" s="39" t="s">
        <v>54</v>
      </c>
      <c r="F24" s="43">
        <v>45759.0</v>
      </c>
      <c r="G24" s="29">
        <v>45788.0</v>
      </c>
      <c r="H24" s="44" t="s">
        <v>55</v>
      </c>
      <c r="I24" s="38">
        <v>5900.0</v>
      </c>
      <c r="J24" s="38">
        <f t="shared" si="10"/>
        <v>5900</v>
      </c>
      <c r="K24" s="38">
        <f t="shared" si="3"/>
        <v>0</v>
      </c>
      <c r="L24" s="45"/>
      <c r="M24" s="33"/>
      <c r="N24" s="33"/>
      <c r="O24" s="34">
        <f t="shared" si="4"/>
        <v>0</v>
      </c>
      <c r="P24" s="34"/>
      <c r="Q24" s="34"/>
      <c r="R24" s="34"/>
      <c r="S24" s="34"/>
      <c r="T24" s="34"/>
      <c r="U24" s="34"/>
      <c r="V24" s="34"/>
      <c r="W24" s="34"/>
      <c r="X24" s="34"/>
    </row>
    <row r="25" ht="18.75" customHeight="1">
      <c r="A25" s="17">
        <f t="shared" si="5"/>
        <v>22</v>
      </c>
      <c r="B25" s="38" t="s">
        <v>79</v>
      </c>
      <c r="C25" s="25" t="s">
        <v>80</v>
      </c>
      <c r="D25" s="26"/>
      <c r="E25" s="39" t="s">
        <v>54</v>
      </c>
      <c r="F25" s="43">
        <v>45760.0</v>
      </c>
      <c r="G25" s="29"/>
      <c r="H25" s="44" t="s">
        <v>55</v>
      </c>
      <c r="I25" s="38">
        <f t="shared" ref="I25:J25" si="11">5900-5900</f>
        <v>0</v>
      </c>
      <c r="J25" s="38">
        <f t="shared" si="11"/>
        <v>0</v>
      </c>
      <c r="K25" s="38">
        <f t="shared" si="3"/>
        <v>0</v>
      </c>
      <c r="L25" s="45"/>
      <c r="M25" s="42" t="s">
        <v>81</v>
      </c>
      <c r="N25" s="33"/>
      <c r="O25" s="34" t="str">
        <f t="shared" si="4"/>
        <v>#VALUE!</v>
      </c>
      <c r="P25" s="34"/>
      <c r="Q25" s="34"/>
      <c r="R25" s="34"/>
      <c r="S25" s="34"/>
      <c r="T25" s="34"/>
      <c r="U25" s="34"/>
      <c r="V25" s="34"/>
      <c r="W25" s="34"/>
      <c r="X25" s="34"/>
    </row>
    <row r="26" ht="18.75" customHeight="1">
      <c r="A26" s="17">
        <f t="shared" si="5"/>
        <v>23</v>
      </c>
      <c r="B26" s="25" t="s">
        <v>82</v>
      </c>
      <c r="C26" s="51" t="s">
        <v>83</v>
      </c>
      <c r="D26" s="26"/>
      <c r="E26" s="52" t="s">
        <v>54</v>
      </c>
      <c r="F26" s="28">
        <v>45761.0</v>
      </c>
      <c r="G26" s="29">
        <v>45791.0</v>
      </c>
      <c r="H26" s="44" t="s">
        <v>55</v>
      </c>
      <c r="I26" s="25">
        <v>23600.0</v>
      </c>
      <c r="J26" s="25">
        <v>23600.0</v>
      </c>
      <c r="K26" s="38">
        <f t="shared" si="3"/>
        <v>0</v>
      </c>
      <c r="L26" s="49"/>
      <c r="M26" s="33"/>
      <c r="N26" s="33"/>
      <c r="O26" s="34">
        <f t="shared" si="4"/>
        <v>0</v>
      </c>
      <c r="P26" s="34"/>
      <c r="Q26" s="34"/>
      <c r="R26" s="34"/>
      <c r="S26" s="34"/>
      <c r="T26" s="34"/>
      <c r="U26" s="34"/>
      <c r="V26" s="34"/>
      <c r="W26" s="34"/>
      <c r="X26" s="34"/>
    </row>
    <row r="27" ht="18.75" customHeight="1">
      <c r="A27" s="17">
        <f t="shared" si="5"/>
        <v>24</v>
      </c>
      <c r="B27" s="25" t="s">
        <v>84</v>
      </c>
      <c r="C27" s="25" t="s">
        <v>85</v>
      </c>
      <c r="D27" s="48" t="s">
        <v>31</v>
      </c>
      <c r="E27" s="39" t="s">
        <v>27</v>
      </c>
      <c r="F27" s="53">
        <v>45762.0</v>
      </c>
      <c r="G27" s="29">
        <v>46126.0</v>
      </c>
      <c r="H27" s="44" t="s">
        <v>28</v>
      </c>
      <c r="I27" s="38">
        <f>177000*12</f>
        <v>2124000</v>
      </c>
      <c r="J27" s="25">
        <f>177000*5</f>
        <v>885000</v>
      </c>
      <c r="K27" s="38">
        <f t="shared" si="3"/>
        <v>1239000</v>
      </c>
      <c r="L27" s="32">
        <v>46006.0</v>
      </c>
      <c r="M27" s="33"/>
      <c r="N27" s="33"/>
      <c r="O27" s="34">
        <f t="shared" si="4"/>
        <v>0</v>
      </c>
      <c r="P27" s="34"/>
      <c r="Q27" s="34"/>
      <c r="R27" s="34"/>
      <c r="S27" s="34"/>
      <c r="T27" s="34"/>
      <c r="U27" s="34"/>
      <c r="V27" s="34"/>
      <c r="W27" s="34"/>
      <c r="X27" s="34"/>
    </row>
    <row r="28" ht="18.75" customHeight="1">
      <c r="A28" s="17">
        <f t="shared" si="5"/>
        <v>25</v>
      </c>
      <c r="B28" s="38" t="s">
        <v>86</v>
      </c>
      <c r="C28" s="25" t="s">
        <v>87</v>
      </c>
      <c r="D28" s="26"/>
      <c r="E28" s="39" t="s">
        <v>27</v>
      </c>
      <c r="F28" s="43">
        <v>45762.0</v>
      </c>
      <c r="G28" s="29">
        <v>45944.0</v>
      </c>
      <c r="H28" s="44" t="s">
        <v>38</v>
      </c>
      <c r="I28" s="38">
        <v>42480.0</v>
      </c>
      <c r="J28" s="38">
        <f t="shared" ref="J28:J29" si="12">I28</f>
        <v>42480</v>
      </c>
      <c r="K28" s="38">
        <f t="shared" si="3"/>
        <v>0</v>
      </c>
      <c r="L28" s="45"/>
      <c r="M28" s="33"/>
      <c r="N28" s="33"/>
      <c r="O28" s="34">
        <f t="shared" si="4"/>
        <v>0</v>
      </c>
      <c r="P28" s="34"/>
      <c r="Q28" s="34"/>
      <c r="R28" s="34"/>
      <c r="S28" s="34"/>
      <c r="T28" s="34"/>
      <c r="U28" s="34"/>
      <c r="V28" s="34"/>
      <c r="W28" s="34"/>
      <c r="X28" s="34"/>
    </row>
    <row r="29" ht="18.75" customHeight="1">
      <c r="A29" s="17">
        <f t="shared" si="5"/>
        <v>26</v>
      </c>
      <c r="B29" s="25" t="s">
        <v>88</v>
      </c>
      <c r="C29" s="25" t="s">
        <v>89</v>
      </c>
      <c r="D29" s="26"/>
      <c r="E29" s="39" t="s">
        <v>27</v>
      </c>
      <c r="F29" s="43">
        <v>45762.0</v>
      </c>
      <c r="G29" s="29">
        <v>45822.0</v>
      </c>
      <c r="H29" s="44" t="s">
        <v>41</v>
      </c>
      <c r="I29" s="38">
        <v>23600.0</v>
      </c>
      <c r="J29" s="38">
        <f t="shared" si="12"/>
        <v>23600</v>
      </c>
      <c r="K29" s="38">
        <f t="shared" si="3"/>
        <v>0</v>
      </c>
      <c r="L29" s="45"/>
      <c r="M29" s="33"/>
      <c r="N29" s="33"/>
      <c r="O29" s="34">
        <f t="shared" si="4"/>
        <v>0</v>
      </c>
      <c r="P29" s="34"/>
      <c r="Q29" s="34"/>
      <c r="R29" s="34"/>
      <c r="S29" s="34"/>
      <c r="T29" s="34"/>
      <c r="U29" s="34"/>
      <c r="V29" s="34"/>
      <c r="W29" s="34"/>
      <c r="X29" s="34"/>
    </row>
    <row r="30" ht="18.75" customHeight="1">
      <c r="A30" s="17">
        <f t="shared" si="5"/>
        <v>27</v>
      </c>
      <c r="B30" s="54" t="s">
        <v>90</v>
      </c>
      <c r="C30" s="25" t="s">
        <v>91</v>
      </c>
      <c r="D30" s="26"/>
      <c r="E30" s="39" t="s">
        <v>27</v>
      </c>
      <c r="F30" s="43">
        <v>45763.0</v>
      </c>
      <c r="G30" s="29">
        <v>45792.0</v>
      </c>
      <c r="H30" s="44" t="s">
        <v>55</v>
      </c>
      <c r="I30" s="38">
        <f t="shared" ref="I30:J30" si="13">11800*3-11800*2</f>
        <v>11800</v>
      </c>
      <c r="J30" s="38">
        <f t="shared" si="13"/>
        <v>11800</v>
      </c>
      <c r="K30" s="38">
        <f t="shared" si="3"/>
        <v>0</v>
      </c>
      <c r="L30" s="32"/>
      <c r="M30" s="42" t="s">
        <v>92</v>
      </c>
      <c r="N30" s="33"/>
      <c r="O30" s="34" t="str">
        <f t="shared" si="4"/>
        <v>#VALUE!</v>
      </c>
      <c r="P30" s="34"/>
      <c r="Q30" s="34"/>
      <c r="R30" s="34"/>
      <c r="S30" s="34"/>
      <c r="T30" s="34"/>
      <c r="U30" s="34"/>
      <c r="V30" s="34"/>
      <c r="W30" s="34"/>
      <c r="X30" s="34"/>
    </row>
    <row r="31" ht="18.75" customHeight="1">
      <c r="A31" s="17">
        <f t="shared" si="5"/>
        <v>28</v>
      </c>
      <c r="B31" s="38" t="s">
        <v>93</v>
      </c>
      <c r="C31" s="25" t="s">
        <v>94</v>
      </c>
      <c r="D31" s="26"/>
      <c r="E31" s="39" t="s">
        <v>54</v>
      </c>
      <c r="F31" s="43">
        <v>45763.0</v>
      </c>
      <c r="G31" s="29">
        <v>45792.0</v>
      </c>
      <c r="H31" s="44" t="s">
        <v>55</v>
      </c>
      <c r="I31" s="38">
        <v>17700.0</v>
      </c>
      <c r="J31" s="38">
        <f>I31</f>
        <v>17700</v>
      </c>
      <c r="K31" s="38">
        <f t="shared" si="3"/>
        <v>0</v>
      </c>
      <c r="L31" s="45"/>
      <c r="M31" s="33"/>
      <c r="N31" s="33"/>
      <c r="O31" s="34">
        <f t="shared" si="4"/>
        <v>0</v>
      </c>
      <c r="P31" s="34"/>
      <c r="Q31" s="34"/>
      <c r="R31" s="34"/>
      <c r="S31" s="34"/>
      <c r="T31" s="34"/>
      <c r="U31" s="34"/>
      <c r="V31" s="34"/>
      <c r="W31" s="34"/>
      <c r="X31" s="34"/>
    </row>
    <row r="32" ht="18.75" customHeight="1">
      <c r="A32" s="17">
        <f t="shared" si="5"/>
        <v>29</v>
      </c>
      <c r="B32" s="25" t="s">
        <v>95</v>
      </c>
      <c r="C32" s="51" t="s">
        <v>96</v>
      </c>
      <c r="D32" s="26"/>
      <c r="E32" s="52" t="s">
        <v>54</v>
      </c>
      <c r="F32" s="28">
        <v>45765.0</v>
      </c>
      <c r="G32" s="29">
        <v>45795.0</v>
      </c>
      <c r="H32" s="44" t="s">
        <v>55</v>
      </c>
      <c r="I32" s="25">
        <v>5900.0</v>
      </c>
      <c r="J32" s="25">
        <v>5900.0</v>
      </c>
      <c r="K32" s="38">
        <f t="shared" si="3"/>
        <v>0</v>
      </c>
      <c r="L32" s="45"/>
      <c r="M32" s="33"/>
      <c r="N32" s="33"/>
      <c r="O32" s="34">
        <f t="shared" si="4"/>
        <v>0</v>
      </c>
      <c r="P32" s="34"/>
      <c r="Q32" s="34"/>
      <c r="R32" s="34"/>
      <c r="S32" s="34"/>
      <c r="T32" s="34"/>
      <c r="U32" s="34"/>
      <c r="V32" s="34"/>
      <c r="W32" s="34"/>
      <c r="X32" s="34"/>
    </row>
    <row r="33" ht="18.75" customHeight="1">
      <c r="A33" s="17">
        <f t="shared" si="5"/>
        <v>30</v>
      </c>
      <c r="B33" s="25" t="s">
        <v>97</v>
      </c>
      <c r="C33" s="25" t="s">
        <v>98</v>
      </c>
      <c r="D33" s="26"/>
      <c r="E33" s="27" t="s">
        <v>27</v>
      </c>
      <c r="F33" s="28">
        <v>45770.0</v>
      </c>
      <c r="G33" s="29">
        <v>45769.0</v>
      </c>
      <c r="H33" s="44" t="s">
        <v>55</v>
      </c>
      <c r="I33" s="55">
        <f t="shared" ref="I33:J33" si="14">17700*3-17700*2</f>
        <v>17700</v>
      </c>
      <c r="J33" s="25">
        <f t="shared" si="14"/>
        <v>17700</v>
      </c>
      <c r="K33" s="38">
        <f t="shared" si="3"/>
        <v>0</v>
      </c>
      <c r="L33" s="56">
        <v>0.0</v>
      </c>
      <c r="M33" s="42" t="s">
        <v>99</v>
      </c>
      <c r="N33" s="33"/>
      <c r="O33" s="34" t="str">
        <f t="shared" si="4"/>
        <v>#VALUE!</v>
      </c>
      <c r="P33" s="34"/>
      <c r="Q33" s="34"/>
      <c r="R33" s="34"/>
      <c r="S33" s="34"/>
      <c r="T33" s="34"/>
      <c r="U33" s="34"/>
      <c r="V33" s="34"/>
      <c r="W33" s="34"/>
      <c r="X33" s="34"/>
    </row>
    <row r="34" ht="18.75" customHeight="1">
      <c r="A34" s="17">
        <f t="shared" si="5"/>
        <v>31</v>
      </c>
      <c r="B34" s="25" t="s">
        <v>100</v>
      </c>
      <c r="C34" s="51" t="s">
        <v>101</v>
      </c>
      <c r="D34" s="26"/>
      <c r="E34" s="52" t="s">
        <v>27</v>
      </c>
      <c r="F34" s="28">
        <v>45771.0</v>
      </c>
      <c r="G34" s="29">
        <v>45860.0</v>
      </c>
      <c r="H34" s="44" t="s">
        <v>48</v>
      </c>
      <c r="I34" s="25">
        <v>28320.0</v>
      </c>
      <c r="J34" s="55">
        <f t="shared" ref="J34:J35" si="15">I34</f>
        <v>28320</v>
      </c>
      <c r="K34" s="38">
        <f t="shared" si="3"/>
        <v>0</v>
      </c>
      <c r="L34" s="49"/>
      <c r="M34" s="33"/>
      <c r="N34" s="33"/>
      <c r="O34" s="34">
        <f t="shared" si="4"/>
        <v>0</v>
      </c>
      <c r="P34" s="34"/>
      <c r="Q34" s="34"/>
      <c r="R34" s="34"/>
      <c r="S34" s="34"/>
      <c r="T34" s="34"/>
      <c r="U34" s="34"/>
      <c r="V34" s="34"/>
      <c r="W34" s="34"/>
      <c r="X34" s="34"/>
    </row>
    <row r="35" ht="18.75" customHeight="1">
      <c r="A35" s="17">
        <f t="shared" si="5"/>
        <v>32</v>
      </c>
      <c r="B35" s="25" t="s">
        <v>102</v>
      </c>
      <c r="C35" s="25" t="s">
        <v>103</v>
      </c>
      <c r="D35" s="26"/>
      <c r="E35" s="27" t="s">
        <v>54</v>
      </c>
      <c r="F35" s="28">
        <v>45771.0</v>
      </c>
      <c r="G35" s="29">
        <v>45800.0</v>
      </c>
      <c r="H35" s="44" t="s">
        <v>55</v>
      </c>
      <c r="I35" s="25">
        <v>11800.0</v>
      </c>
      <c r="J35" s="55">
        <f t="shared" si="15"/>
        <v>11800</v>
      </c>
      <c r="K35" s="38">
        <f t="shared" si="3"/>
        <v>0</v>
      </c>
      <c r="L35" s="49"/>
      <c r="M35" s="33"/>
      <c r="N35" s="33"/>
      <c r="O35" s="34">
        <f t="shared" si="4"/>
        <v>0</v>
      </c>
      <c r="P35" s="34"/>
      <c r="Q35" s="34"/>
      <c r="R35" s="34"/>
      <c r="S35" s="34"/>
      <c r="T35" s="34"/>
      <c r="U35" s="34"/>
      <c r="V35" s="34"/>
      <c r="W35" s="34"/>
      <c r="X35" s="34"/>
    </row>
    <row r="36" ht="18.75" customHeight="1">
      <c r="A36" s="17">
        <f t="shared" si="5"/>
        <v>33</v>
      </c>
      <c r="B36" s="25" t="s">
        <v>104</v>
      </c>
      <c r="C36" s="25" t="s">
        <v>105</v>
      </c>
      <c r="D36" s="26"/>
      <c r="E36" s="27" t="s">
        <v>54</v>
      </c>
      <c r="F36" s="28">
        <v>45771.0</v>
      </c>
      <c r="G36" s="29">
        <v>45862.0</v>
      </c>
      <c r="H36" s="44" t="s">
        <v>48</v>
      </c>
      <c r="I36" s="25">
        <f>35400</f>
        <v>35400</v>
      </c>
      <c r="J36" s="25">
        <v>35400.0</v>
      </c>
      <c r="K36" s="38">
        <f t="shared" si="3"/>
        <v>0</v>
      </c>
      <c r="L36" s="32"/>
      <c r="M36" s="33"/>
      <c r="N36" s="33"/>
      <c r="O36" s="34">
        <f t="shared" si="4"/>
        <v>0</v>
      </c>
      <c r="P36" s="34"/>
      <c r="Q36" s="34"/>
      <c r="R36" s="34"/>
      <c r="S36" s="34"/>
      <c r="T36" s="34"/>
      <c r="U36" s="34"/>
      <c r="V36" s="34"/>
      <c r="W36" s="34"/>
      <c r="X36" s="34"/>
    </row>
    <row r="37" ht="18.75" customHeight="1">
      <c r="A37" s="17">
        <f t="shared" si="5"/>
        <v>34</v>
      </c>
      <c r="B37" s="57" t="s">
        <v>106</v>
      </c>
      <c r="C37" s="25" t="s">
        <v>107</v>
      </c>
      <c r="D37" s="26"/>
      <c r="E37" s="27" t="s">
        <v>27</v>
      </c>
      <c r="F37" s="36">
        <v>45772.0</v>
      </c>
      <c r="G37" s="29">
        <v>45801.0</v>
      </c>
      <c r="H37" s="44" t="s">
        <v>41</v>
      </c>
      <c r="I37" s="25">
        <v>47200.0</v>
      </c>
      <c r="J37" s="25">
        <v>47200.0</v>
      </c>
      <c r="K37" s="31">
        <f t="shared" si="3"/>
        <v>0</v>
      </c>
      <c r="L37" s="49"/>
      <c r="M37" s="33"/>
      <c r="N37" s="33"/>
      <c r="O37" s="34">
        <f t="shared" si="4"/>
        <v>0</v>
      </c>
      <c r="P37" s="34"/>
      <c r="Q37" s="34"/>
      <c r="R37" s="34"/>
      <c r="S37" s="34"/>
      <c r="T37" s="34"/>
      <c r="U37" s="34"/>
      <c r="V37" s="34"/>
      <c r="W37" s="34"/>
      <c r="X37" s="34"/>
    </row>
    <row r="38" ht="18.75" customHeight="1">
      <c r="A38" s="17">
        <f t="shared" si="5"/>
        <v>35</v>
      </c>
      <c r="B38" s="25" t="s">
        <v>108</v>
      </c>
      <c r="C38" s="25" t="s">
        <v>109</v>
      </c>
      <c r="D38" s="26"/>
      <c r="E38" s="27" t="s">
        <v>54</v>
      </c>
      <c r="F38" s="28">
        <v>45773.0</v>
      </c>
      <c r="G38" s="29">
        <v>45803.0</v>
      </c>
      <c r="H38" s="44" t="s">
        <v>55</v>
      </c>
      <c r="I38" s="37">
        <f t="shared" ref="I38:J38" si="16">11800-11800</f>
        <v>0</v>
      </c>
      <c r="J38" s="37">
        <f t="shared" si="16"/>
        <v>0</v>
      </c>
      <c r="K38" s="31">
        <f t="shared" si="3"/>
        <v>0</v>
      </c>
      <c r="L38" s="49"/>
      <c r="M38" s="42" t="s">
        <v>110</v>
      </c>
      <c r="N38" s="33"/>
      <c r="O38" s="34" t="str">
        <f t="shared" si="4"/>
        <v>#VALUE!</v>
      </c>
      <c r="P38" s="34"/>
      <c r="Q38" s="34"/>
      <c r="R38" s="34"/>
      <c r="S38" s="34"/>
      <c r="T38" s="34"/>
      <c r="U38" s="34"/>
      <c r="V38" s="34"/>
      <c r="W38" s="34"/>
      <c r="X38" s="34"/>
    </row>
    <row r="39" ht="18.75" customHeight="1">
      <c r="A39" s="17">
        <f t="shared" si="5"/>
        <v>36</v>
      </c>
      <c r="B39" s="25" t="s">
        <v>111</v>
      </c>
      <c r="C39" s="25" t="s">
        <v>112</v>
      </c>
      <c r="D39" s="26"/>
      <c r="E39" s="27" t="s">
        <v>54</v>
      </c>
      <c r="F39" s="36">
        <v>45773.0</v>
      </c>
      <c r="G39" s="29">
        <v>45802.0</v>
      </c>
      <c r="H39" s="44" t="s">
        <v>55</v>
      </c>
      <c r="I39" s="37">
        <v>15000.0</v>
      </c>
      <c r="J39" s="37">
        <v>15000.0</v>
      </c>
      <c r="K39" s="31">
        <f t="shared" si="3"/>
        <v>0</v>
      </c>
      <c r="L39" s="49"/>
      <c r="M39" s="33"/>
      <c r="N39" s="33"/>
      <c r="O39" s="34">
        <f t="shared" si="4"/>
        <v>0</v>
      </c>
      <c r="P39" s="34"/>
      <c r="Q39" s="34"/>
      <c r="R39" s="34"/>
      <c r="S39" s="34"/>
      <c r="T39" s="34"/>
      <c r="U39" s="34"/>
      <c r="V39" s="34"/>
      <c r="W39" s="34"/>
      <c r="X39" s="34"/>
    </row>
    <row r="40" ht="18.75" customHeight="1">
      <c r="A40" s="17">
        <f t="shared" si="5"/>
        <v>37</v>
      </c>
      <c r="B40" s="25" t="s">
        <v>113</v>
      </c>
      <c r="C40" s="25" t="s">
        <v>114</v>
      </c>
      <c r="D40" s="26"/>
      <c r="E40" s="27" t="s">
        <v>27</v>
      </c>
      <c r="F40" s="36">
        <v>45775.0</v>
      </c>
      <c r="G40" s="29">
        <v>45865.0</v>
      </c>
      <c r="H40" s="44" t="s">
        <v>48</v>
      </c>
      <c r="I40" s="37">
        <v>88500.0</v>
      </c>
      <c r="J40" s="37">
        <v>88500.0</v>
      </c>
      <c r="K40" s="31">
        <f t="shared" si="3"/>
        <v>0</v>
      </c>
      <c r="L40" s="49"/>
      <c r="M40" s="33"/>
      <c r="N40" s="33"/>
      <c r="O40" s="34">
        <f t="shared" si="4"/>
        <v>0</v>
      </c>
      <c r="P40" s="34"/>
      <c r="Q40" s="34"/>
      <c r="R40" s="34"/>
      <c r="S40" s="34"/>
      <c r="T40" s="34"/>
      <c r="U40" s="34"/>
      <c r="V40" s="34"/>
      <c r="W40" s="34"/>
      <c r="X40" s="34"/>
    </row>
    <row r="41" ht="18.75" customHeight="1">
      <c r="A41" s="17">
        <f t="shared" si="5"/>
        <v>38</v>
      </c>
      <c r="B41" s="25" t="s">
        <v>115</v>
      </c>
      <c r="C41" s="25" t="s">
        <v>116</v>
      </c>
      <c r="D41" s="26"/>
      <c r="E41" s="27" t="s">
        <v>27</v>
      </c>
      <c r="F41" s="36">
        <v>45776.0</v>
      </c>
      <c r="G41" s="29">
        <v>45805.0</v>
      </c>
      <c r="H41" s="44" t="s">
        <v>55</v>
      </c>
      <c r="I41" s="37">
        <v>4720.0</v>
      </c>
      <c r="J41" s="37">
        <v>4720.0</v>
      </c>
      <c r="K41" s="31">
        <f t="shared" si="3"/>
        <v>0</v>
      </c>
      <c r="L41" s="49"/>
      <c r="M41" s="33"/>
      <c r="N41" s="33"/>
      <c r="O41" s="34">
        <f t="shared" si="4"/>
        <v>0</v>
      </c>
      <c r="P41" s="34"/>
      <c r="Q41" s="34"/>
      <c r="R41" s="34"/>
      <c r="S41" s="34"/>
      <c r="T41" s="34"/>
      <c r="U41" s="34"/>
      <c r="V41" s="34"/>
      <c r="W41" s="34"/>
      <c r="X41" s="34"/>
    </row>
    <row r="42" ht="18.75" customHeight="1">
      <c r="A42" s="17">
        <f t="shared" si="5"/>
        <v>39</v>
      </c>
      <c r="B42" s="25" t="s">
        <v>117</v>
      </c>
      <c r="C42" s="25" t="s">
        <v>118</v>
      </c>
      <c r="D42" s="26"/>
      <c r="E42" s="27" t="s">
        <v>27</v>
      </c>
      <c r="F42" s="36">
        <v>45776.0</v>
      </c>
      <c r="G42" s="29">
        <v>45958.0</v>
      </c>
      <c r="H42" s="44" t="s">
        <v>38</v>
      </c>
      <c r="I42" s="37">
        <v>42480.0</v>
      </c>
      <c r="J42" s="37">
        <v>42480.0</v>
      </c>
      <c r="K42" s="31">
        <f t="shared" si="3"/>
        <v>0</v>
      </c>
      <c r="L42" s="49"/>
      <c r="M42" s="33"/>
      <c r="N42" s="33"/>
      <c r="O42" s="34">
        <f t="shared" si="4"/>
        <v>0</v>
      </c>
      <c r="P42" s="34"/>
      <c r="Q42" s="34"/>
      <c r="R42" s="34"/>
      <c r="S42" s="34"/>
      <c r="T42" s="34"/>
      <c r="U42" s="34"/>
      <c r="V42" s="34"/>
      <c r="W42" s="34"/>
      <c r="X42" s="34"/>
    </row>
    <row r="43" ht="18.75" customHeight="1">
      <c r="A43" s="17">
        <f t="shared" si="5"/>
        <v>40</v>
      </c>
      <c r="B43" s="25" t="s">
        <v>119</v>
      </c>
      <c r="C43" s="25" t="s">
        <v>120</v>
      </c>
      <c r="D43" s="26"/>
      <c r="E43" s="27" t="s">
        <v>27</v>
      </c>
      <c r="F43" s="36">
        <v>45776.0</v>
      </c>
      <c r="G43" s="29">
        <v>45808.0</v>
      </c>
      <c r="H43" s="44" t="s">
        <v>55</v>
      </c>
      <c r="I43" s="37">
        <v>17700.0</v>
      </c>
      <c r="J43" s="37">
        <v>17700.0</v>
      </c>
      <c r="K43" s="31">
        <f t="shared" si="3"/>
        <v>0</v>
      </c>
      <c r="L43" s="49"/>
      <c r="M43" s="33"/>
      <c r="N43" s="33"/>
      <c r="O43" s="34">
        <f t="shared" si="4"/>
        <v>0</v>
      </c>
      <c r="P43" s="34"/>
      <c r="Q43" s="34"/>
      <c r="R43" s="34"/>
      <c r="S43" s="34"/>
      <c r="T43" s="34"/>
      <c r="U43" s="34"/>
      <c r="V43" s="34"/>
      <c r="W43" s="34"/>
      <c r="X43" s="34"/>
    </row>
    <row r="44" ht="18.75" customHeight="1">
      <c r="A44" s="17">
        <f t="shared" si="5"/>
        <v>41</v>
      </c>
      <c r="B44" s="25" t="s">
        <v>121</v>
      </c>
      <c r="C44" s="25" t="s">
        <v>122</v>
      </c>
      <c r="D44" s="26"/>
      <c r="E44" s="27" t="s">
        <v>27</v>
      </c>
      <c r="F44" s="36">
        <v>45778.0</v>
      </c>
      <c r="G44" s="29">
        <v>45808.0</v>
      </c>
      <c r="H44" s="44" t="s">
        <v>55</v>
      </c>
      <c r="I44" s="37">
        <v>50150.0</v>
      </c>
      <c r="J44" s="37">
        <v>50150.0</v>
      </c>
      <c r="K44" s="31">
        <f t="shared" si="3"/>
        <v>0</v>
      </c>
      <c r="L44" s="49"/>
      <c r="M44" s="33"/>
      <c r="N44" s="33"/>
      <c r="O44" s="34">
        <f t="shared" si="4"/>
        <v>0</v>
      </c>
      <c r="P44" s="34"/>
      <c r="Q44" s="34"/>
      <c r="R44" s="34"/>
      <c r="S44" s="34"/>
      <c r="T44" s="34"/>
      <c r="U44" s="34"/>
      <c r="V44" s="34"/>
      <c r="W44" s="34"/>
      <c r="X44" s="34"/>
    </row>
    <row r="45" ht="18.75" customHeight="1">
      <c r="A45" s="17">
        <f t="shared" si="5"/>
        <v>42</v>
      </c>
      <c r="B45" s="25" t="s">
        <v>123</v>
      </c>
      <c r="C45" s="25" t="s">
        <v>124</v>
      </c>
      <c r="D45" s="26"/>
      <c r="E45" s="27" t="s">
        <v>27</v>
      </c>
      <c r="F45" s="36">
        <v>45778.0</v>
      </c>
      <c r="G45" s="29">
        <v>45838.0</v>
      </c>
      <c r="H45" s="44" t="s">
        <v>41</v>
      </c>
      <c r="I45" s="37">
        <v>18880.0</v>
      </c>
      <c r="J45" s="37">
        <v>18880.0</v>
      </c>
      <c r="K45" s="31">
        <f t="shared" si="3"/>
        <v>0</v>
      </c>
      <c r="L45" s="49"/>
      <c r="M45" s="33"/>
      <c r="N45" s="33"/>
      <c r="O45" s="34">
        <f t="shared" si="4"/>
        <v>0</v>
      </c>
      <c r="P45" s="34"/>
      <c r="Q45" s="34"/>
      <c r="R45" s="34"/>
      <c r="S45" s="34"/>
      <c r="T45" s="34"/>
      <c r="U45" s="34"/>
      <c r="V45" s="34"/>
      <c r="W45" s="34"/>
      <c r="X45" s="34"/>
    </row>
    <row r="46" ht="18.75" customHeight="1">
      <c r="A46" s="17">
        <f t="shared" si="5"/>
        <v>43</v>
      </c>
      <c r="B46" s="25" t="s">
        <v>121</v>
      </c>
      <c r="C46" s="25" t="s">
        <v>125</v>
      </c>
      <c r="D46" s="26"/>
      <c r="E46" s="27" t="s">
        <v>54</v>
      </c>
      <c r="F46" s="36">
        <v>45778.0</v>
      </c>
      <c r="G46" s="29">
        <v>45808.0</v>
      </c>
      <c r="H46" s="44"/>
      <c r="I46" s="37">
        <f t="shared" ref="I46:J46" si="17">11800-11800</f>
        <v>0</v>
      </c>
      <c r="J46" s="37">
        <f t="shared" si="17"/>
        <v>0</v>
      </c>
      <c r="K46" s="31">
        <f t="shared" si="3"/>
        <v>0</v>
      </c>
      <c r="L46" s="49"/>
      <c r="M46" s="58" t="s">
        <v>126</v>
      </c>
      <c r="N46" s="33"/>
      <c r="O46" s="34" t="str">
        <f t="shared" si="4"/>
        <v>#VALUE!</v>
      </c>
      <c r="P46" s="34"/>
      <c r="Q46" s="34"/>
      <c r="R46" s="34"/>
      <c r="S46" s="34"/>
      <c r="T46" s="34"/>
      <c r="U46" s="34"/>
      <c r="V46" s="34"/>
      <c r="W46" s="34"/>
      <c r="X46" s="34"/>
    </row>
    <row r="47" ht="18.75" customHeight="1">
      <c r="A47" s="17">
        <f t="shared" si="5"/>
        <v>44</v>
      </c>
      <c r="B47" s="25" t="s">
        <v>127</v>
      </c>
      <c r="C47" s="25" t="s">
        <v>128</v>
      </c>
      <c r="D47" s="26"/>
      <c r="E47" s="27" t="s">
        <v>54</v>
      </c>
      <c r="F47" s="36">
        <v>45779.0</v>
      </c>
      <c r="G47" s="29">
        <v>45809.0</v>
      </c>
      <c r="H47" s="44" t="s">
        <v>55</v>
      </c>
      <c r="I47" s="59">
        <v>11800.0</v>
      </c>
      <c r="J47" s="59">
        <v>11800.0</v>
      </c>
      <c r="K47" s="31">
        <f t="shared" si="3"/>
        <v>0</v>
      </c>
      <c r="L47" s="49"/>
      <c r="M47" s="33"/>
      <c r="N47" s="33"/>
      <c r="O47" s="34">
        <f t="shared" si="4"/>
        <v>0</v>
      </c>
      <c r="P47" s="34"/>
      <c r="Q47" s="34"/>
      <c r="R47" s="34"/>
      <c r="S47" s="34"/>
      <c r="T47" s="34"/>
      <c r="U47" s="34"/>
      <c r="V47" s="34"/>
      <c r="W47" s="34"/>
      <c r="X47" s="34"/>
    </row>
    <row r="48" ht="18.75" customHeight="1">
      <c r="A48" s="17">
        <f t="shared" si="5"/>
        <v>45</v>
      </c>
      <c r="B48" s="25" t="s">
        <v>129</v>
      </c>
      <c r="C48" s="25" t="s">
        <v>130</v>
      </c>
      <c r="D48" s="26"/>
      <c r="E48" s="27" t="s">
        <v>54</v>
      </c>
      <c r="F48" s="36">
        <v>45779.0</v>
      </c>
      <c r="G48" s="29">
        <v>45809.0</v>
      </c>
      <c r="H48" s="44" t="s">
        <v>55</v>
      </c>
      <c r="I48" s="59">
        <v>17700.0</v>
      </c>
      <c r="J48" s="59">
        <v>17700.0</v>
      </c>
      <c r="K48" s="31">
        <f t="shared" si="3"/>
        <v>0</v>
      </c>
      <c r="L48" s="49"/>
      <c r="M48" s="33"/>
      <c r="N48" s="33"/>
      <c r="O48" s="34">
        <f t="shared" si="4"/>
        <v>0</v>
      </c>
      <c r="P48" s="34"/>
      <c r="Q48" s="34"/>
      <c r="R48" s="34"/>
      <c r="S48" s="34"/>
      <c r="T48" s="34"/>
      <c r="U48" s="34"/>
      <c r="V48" s="34"/>
      <c r="W48" s="34"/>
      <c r="X48" s="34"/>
    </row>
    <row r="49" ht="18.75" customHeight="1">
      <c r="A49" s="17">
        <f t="shared" si="5"/>
        <v>46</v>
      </c>
      <c r="B49" s="25" t="s">
        <v>131</v>
      </c>
      <c r="C49" s="25" t="s">
        <v>132</v>
      </c>
      <c r="D49" s="48" t="s">
        <v>31</v>
      </c>
      <c r="E49" s="27" t="s">
        <v>27</v>
      </c>
      <c r="F49" s="36">
        <v>45781.0</v>
      </c>
      <c r="G49" s="29">
        <v>45873.0</v>
      </c>
      <c r="H49" s="44" t="s">
        <v>48</v>
      </c>
      <c r="I49" s="37">
        <v>22500.0</v>
      </c>
      <c r="J49" s="37">
        <v>22500.0</v>
      </c>
      <c r="K49" s="31">
        <f t="shared" si="3"/>
        <v>0</v>
      </c>
      <c r="L49" s="49"/>
      <c r="M49" s="33"/>
      <c r="N49" s="33"/>
      <c r="O49" s="34">
        <f t="shared" si="4"/>
        <v>0</v>
      </c>
      <c r="P49" s="34"/>
      <c r="Q49" s="34"/>
      <c r="R49" s="34"/>
      <c r="S49" s="34"/>
      <c r="T49" s="34"/>
      <c r="U49" s="34"/>
      <c r="V49" s="34"/>
      <c r="W49" s="34"/>
      <c r="X49" s="34"/>
    </row>
    <row r="50" ht="18.75" customHeight="1">
      <c r="A50" s="17">
        <f t="shared" si="5"/>
        <v>47</v>
      </c>
      <c r="B50" s="25" t="s">
        <v>133</v>
      </c>
      <c r="C50" s="25" t="s">
        <v>134</v>
      </c>
      <c r="D50" s="48" t="s">
        <v>31</v>
      </c>
      <c r="E50" s="27" t="s">
        <v>27</v>
      </c>
      <c r="F50" s="36">
        <v>45782.0</v>
      </c>
      <c r="G50" s="29">
        <v>45813.0</v>
      </c>
      <c r="H50" s="44" t="s">
        <v>135</v>
      </c>
      <c r="I50" s="37">
        <v>23600.0</v>
      </c>
      <c r="J50" s="37">
        <v>23600.0</v>
      </c>
      <c r="K50" s="31">
        <f t="shared" si="3"/>
        <v>0</v>
      </c>
      <c r="L50" s="49"/>
      <c r="M50" s="33"/>
      <c r="N50" s="33"/>
      <c r="O50" s="34">
        <f t="shared" si="4"/>
        <v>0</v>
      </c>
      <c r="P50" s="34"/>
      <c r="Q50" s="34"/>
      <c r="R50" s="34"/>
      <c r="S50" s="34"/>
      <c r="T50" s="34"/>
      <c r="U50" s="34"/>
      <c r="V50" s="34"/>
      <c r="W50" s="34"/>
      <c r="X50" s="34"/>
    </row>
    <row r="51" ht="18.75" customHeight="1">
      <c r="A51" s="17">
        <f t="shared" si="5"/>
        <v>48</v>
      </c>
      <c r="B51" s="25" t="s">
        <v>136</v>
      </c>
      <c r="C51" s="25" t="s">
        <v>137</v>
      </c>
      <c r="D51" s="26"/>
      <c r="E51" s="27" t="s">
        <v>27</v>
      </c>
      <c r="F51" s="36">
        <v>45783.0</v>
      </c>
      <c r="G51" s="29">
        <v>45813.0</v>
      </c>
      <c r="H51" s="44" t="s">
        <v>135</v>
      </c>
      <c r="I51" s="60">
        <v>16520.0</v>
      </c>
      <c r="J51" s="60">
        <v>16520.0</v>
      </c>
      <c r="K51" s="31">
        <f t="shared" si="3"/>
        <v>0</v>
      </c>
      <c r="L51" s="49"/>
      <c r="M51" s="33"/>
      <c r="N51" s="33"/>
      <c r="O51" s="34">
        <f t="shared" si="4"/>
        <v>0</v>
      </c>
      <c r="P51" s="34"/>
      <c r="Q51" s="34"/>
      <c r="R51" s="34"/>
      <c r="S51" s="34"/>
      <c r="T51" s="34"/>
      <c r="U51" s="34"/>
      <c r="V51" s="34"/>
      <c r="W51" s="34"/>
      <c r="X51" s="34"/>
    </row>
    <row r="52" ht="18.75" customHeight="1">
      <c r="A52" s="17">
        <f t="shared" si="5"/>
        <v>49</v>
      </c>
      <c r="B52" s="25" t="s">
        <v>138</v>
      </c>
      <c r="C52" s="25" t="s">
        <v>139</v>
      </c>
      <c r="D52" s="48" t="s">
        <v>140</v>
      </c>
      <c r="E52" s="27" t="s">
        <v>54</v>
      </c>
      <c r="F52" s="36">
        <v>45783.0</v>
      </c>
      <c r="G52" s="29">
        <v>45813.0</v>
      </c>
      <c r="H52" s="44" t="s">
        <v>135</v>
      </c>
      <c r="I52" s="25">
        <v>5900.0</v>
      </c>
      <c r="J52" s="25">
        <v>5900.0</v>
      </c>
      <c r="K52" s="31">
        <f t="shared" si="3"/>
        <v>0</v>
      </c>
      <c r="L52" s="49"/>
      <c r="M52" s="33"/>
      <c r="N52" s="33"/>
      <c r="O52" s="34">
        <f t="shared" si="4"/>
        <v>0</v>
      </c>
      <c r="P52" s="34"/>
      <c r="Q52" s="34"/>
      <c r="R52" s="34"/>
      <c r="S52" s="34"/>
      <c r="T52" s="34"/>
      <c r="U52" s="34"/>
      <c r="V52" s="34"/>
      <c r="W52" s="34"/>
      <c r="X52" s="34"/>
    </row>
    <row r="53" ht="18.75" customHeight="1">
      <c r="A53" s="17">
        <f t="shared" si="5"/>
        <v>50</v>
      </c>
      <c r="B53" s="25" t="s">
        <v>141</v>
      </c>
      <c r="C53" s="25" t="s">
        <v>142</v>
      </c>
      <c r="D53" s="26"/>
      <c r="E53" s="27" t="s">
        <v>27</v>
      </c>
      <c r="F53" s="36">
        <v>45784.0</v>
      </c>
      <c r="G53" s="29">
        <v>45875.0</v>
      </c>
      <c r="H53" s="44" t="s">
        <v>48</v>
      </c>
      <c r="I53" s="37">
        <v>37760.0</v>
      </c>
      <c r="J53" s="37">
        <v>37760.0</v>
      </c>
      <c r="K53" s="31">
        <f t="shared" si="3"/>
        <v>0</v>
      </c>
      <c r="L53" s="49"/>
      <c r="M53" s="33"/>
      <c r="N53" s="33"/>
      <c r="O53" s="34">
        <f t="shared" si="4"/>
        <v>0</v>
      </c>
      <c r="P53" s="34"/>
      <c r="Q53" s="34"/>
      <c r="R53" s="34"/>
      <c r="S53" s="34"/>
      <c r="T53" s="34"/>
      <c r="U53" s="34"/>
      <c r="V53" s="34"/>
      <c r="W53" s="34"/>
      <c r="X53" s="34"/>
    </row>
    <row r="54" ht="18.75" customHeight="1">
      <c r="A54" s="17">
        <f t="shared" si="5"/>
        <v>51</v>
      </c>
      <c r="B54" s="25" t="s">
        <v>143</v>
      </c>
      <c r="C54" s="25" t="s">
        <v>144</v>
      </c>
      <c r="D54" s="48" t="s">
        <v>45</v>
      </c>
      <c r="E54" s="27" t="s">
        <v>54</v>
      </c>
      <c r="F54" s="36">
        <v>45785.0</v>
      </c>
      <c r="G54" s="29">
        <v>45815.0</v>
      </c>
      <c r="H54" s="44" t="s">
        <v>55</v>
      </c>
      <c r="I54" s="25">
        <v>4720.0</v>
      </c>
      <c r="J54" s="25">
        <v>4720.0</v>
      </c>
      <c r="K54" s="31">
        <f t="shared" si="3"/>
        <v>0</v>
      </c>
      <c r="L54" s="49"/>
      <c r="M54" s="33"/>
      <c r="N54" s="33"/>
      <c r="O54" s="34">
        <f t="shared" si="4"/>
        <v>0</v>
      </c>
      <c r="P54" s="34"/>
      <c r="Q54" s="34"/>
      <c r="R54" s="34"/>
      <c r="S54" s="34"/>
      <c r="T54" s="34"/>
      <c r="U54" s="34"/>
      <c r="V54" s="34"/>
      <c r="W54" s="34"/>
      <c r="X54" s="34"/>
    </row>
    <row r="55" ht="18.75" customHeight="1">
      <c r="A55" s="17">
        <f t="shared" si="5"/>
        <v>52</v>
      </c>
      <c r="B55" s="25" t="s">
        <v>64</v>
      </c>
      <c r="C55" s="25" t="s">
        <v>145</v>
      </c>
      <c r="D55" s="48" t="s">
        <v>31</v>
      </c>
      <c r="E55" s="27" t="s">
        <v>54</v>
      </c>
      <c r="F55" s="36">
        <v>45787.0</v>
      </c>
      <c r="G55" s="29">
        <v>45817.0</v>
      </c>
      <c r="H55" s="44" t="s">
        <v>135</v>
      </c>
      <c r="I55" s="37">
        <v>24780.0</v>
      </c>
      <c r="J55" s="37">
        <v>24780.0</v>
      </c>
      <c r="K55" s="31">
        <f t="shared" si="3"/>
        <v>0</v>
      </c>
      <c r="L55" s="49"/>
      <c r="M55" s="33"/>
      <c r="N55" s="33"/>
      <c r="O55" s="34">
        <f t="shared" si="4"/>
        <v>0</v>
      </c>
      <c r="P55" s="34"/>
      <c r="Q55" s="34"/>
      <c r="R55" s="34"/>
      <c r="S55" s="34"/>
      <c r="T55" s="34"/>
      <c r="U55" s="34"/>
      <c r="V55" s="34"/>
      <c r="W55" s="34"/>
      <c r="X55" s="34"/>
    </row>
    <row r="56" ht="18.75" customHeight="1">
      <c r="A56" s="17">
        <f t="shared" si="5"/>
        <v>53</v>
      </c>
      <c r="B56" s="25" t="s">
        <v>146</v>
      </c>
      <c r="C56" s="25" t="s">
        <v>147</v>
      </c>
      <c r="D56" s="48" t="s">
        <v>31</v>
      </c>
      <c r="E56" s="27" t="s">
        <v>54</v>
      </c>
      <c r="F56" s="36">
        <v>45788.0</v>
      </c>
      <c r="G56" s="29">
        <v>45818.0</v>
      </c>
      <c r="H56" s="44" t="s">
        <v>135</v>
      </c>
      <c r="I56" s="37">
        <f>5900</f>
        <v>5900</v>
      </c>
      <c r="J56" s="37">
        <f>I56</f>
        <v>5900</v>
      </c>
      <c r="K56" s="31">
        <f t="shared" si="3"/>
        <v>0</v>
      </c>
      <c r="L56" s="49"/>
      <c r="M56" s="33"/>
      <c r="N56" s="33"/>
      <c r="O56" s="34">
        <f t="shared" si="4"/>
        <v>0</v>
      </c>
      <c r="P56" s="34"/>
      <c r="Q56" s="34"/>
      <c r="R56" s="34"/>
      <c r="S56" s="34"/>
      <c r="T56" s="34"/>
      <c r="U56" s="34"/>
      <c r="V56" s="34"/>
      <c r="W56" s="34"/>
      <c r="X56" s="34"/>
    </row>
    <row r="57" ht="18.75" customHeight="1">
      <c r="A57" s="17">
        <f t="shared" si="5"/>
        <v>54</v>
      </c>
      <c r="B57" s="25" t="s">
        <v>148</v>
      </c>
      <c r="C57" s="25" t="s">
        <v>149</v>
      </c>
      <c r="D57" s="26"/>
      <c r="E57" s="27" t="s">
        <v>54</v>
      </c>
      <c r="F57" s="36">
        <v>45789.0</v>
      </c>
      <c r="G57" s="29">
        <v>45819.0</v>
      </c>
      <c r="H57" s="44" t="s">
        <v>135</v>
      </c>
      <c r="I57" s="25">
        <v>7080.0</v>
      </c>
      <c r="J57" s="25">
        <v>7080.0</v>
      </c>
      <c r="K57" s="31">
        <f t="shared" si="3"/>
        <v>0</v>
      </c>
      <c r="L57" s="49"/>
      <c r="M57" s="33"/>
      <c r="N57" s="33"/>
      <c r="O57" s="34">
        <f t="shared" si="4"/>
        <v>0</v>
      </c>
      <c r="P57" s="34"/>
      <c r="Q57" s="34"/>
      <c r="R57" s="34"/>
      <c r="S57" s="34"/>
      <c r="T57" s="34"/>
      <c r="U57" s="34"/>
      <c r="V57" s="34"/>
      <c r="W57" s="34"/>
      <c r="X57" s="34"/>
    </row>
    <row r="58" ht="18.75" customHeight="1">
      <c r="A58" s="17">
        <f t="shared" si="5"/>
        <v>55</v>
      </c>
      <c r="B58" s="25" t="s">
        <v>150</v>
      </c>
      <c r="C58" s="25" t="s">
        <v>151</v>
      </c>
      <c r="D58" s="48" t="s">
        <v>140</v>
      </c>
      <c r="E58" s="27" t="s">
        <v>27</v>
      </c>
      <c r="F58" s="36">
        <v>45790.0</v>
      </c>
      <c r="G58" s="29">
        <v>45973.0</v>
      </c>
      <c r="H58" s="44" t="s">
        <v>38</v>
      </c>
      <c r="I58" s="37">
        <v>95580.0</v>
      </c>
      <c r="J58" s="37">
        <v>95580.0</v>
      </c>
      <c r="K58" s="31">
        <f t="shared" si="3"/>
        <v>0</v>
      </c>
      <c r="L58" s="49"/>
      <c r="M58" s="33"/>
      <c r="N58" s="33"/>
      <c r="O58" s="34">
        <f t="shared" si="4"/>
        <v>0</v>
      </c>
      <c r="P58" s="34"/>
      <c r="Q58" s="34"/>
      <c r="R58" s="34"/>
      <c r="S58" s="34"/>
      <c r="T58" s="34"/>
      <c r="U58" s="34"/>
      <c r="V58" s="34"/>
      <c r="W58" s="34"/>
      <c r="X58" s="34"/>
    </row>
    <row r="59" ht="18.75" customHeight="1">
      <c r="A59" s="17">
        <f t="shared" si="5"/>
        <v>56</v>
      </c>
      <c r="B59" s="25" t="s">
        <v>152</v>
      </c>
      <c r="C59" s="25" t="s">
        <v>153</v>
      </c>
      <c r="D59" s="26"/>
      <c r="E59" s="27" t="s">
        <v>27</v>
      </c>
      <c r="F59" s="36">
        <v>45793.0</v>
      </c>
      <c r="G59" s="29">
        <v>45823.0</v>
      </c>
      <c r="H59" s="44" t="s">
        <v>55</v>
      </c>
      <c r="I59" s="37">
        <v>15000.0</v>
      </c>
      <c r="J59" s="37">
        <v>15000.0</v>
      </c>
      <c r="K59" s="31">
        <f t="shared" si="3"/>
        <v>0</v>
      </c>
      <c r="L59" s="49"/>
      <c r="M59" s="33"/>
      <c r="N59" s="33"/>
      <c r="O59" s="34">
        <f t="shared" si="4"/>
        <v>0</v>
      </c>
      <c r="P59" s="34"/>
      <c r="Q59" s="34"/>
      <c r="R59" s="34"/>
      <c r="S59" s="34"/>
      <c r="T59" s="34"/>
      <c r="U59" s="34"/>
      <c r="V59" s="34"/>
      <c r="W59" s="34"/>
      <c r="X59" s="34"/>
    </row>
    <row r="60" ht="18.75" customHeight="1">
      <c r="A60" s="17">
        <f t="shared" si="5"/>
        <v>57</v>
      </c>
      <c r="B60" s="25" t="s">
        <v>154</v>
      </c>
      <c r="C60" s="25" t="s">
        <v>155</v>
      </c>
      <c r="D60" s="48" t="s">
        <v>156</v>
      </c>
      <c r="E60" s="27" t="s">
        <v>27</v>
      </c>
      <c r="F60" s="36">
        <v>45793.0</v>
      </c>
      <c r="G60" s="29">
        <v>45854.0</v>
      </c>
      <c r="H60" s="44" t="s">
        <v>41</v>
      </c>
      <c r="I60" s="37">
        <v>118000.0</v>
      </c>
      <c r="J60" s="37">
        <v>118000.0</v>
      </c>
      <c r="K60" s="31">
        <f t="shared" si="3"/>
        <v>0</v>
      </c>
      <c r="L60" s="49"/>
      <c r="M60" s="33"/>
      <c r="N60" s="33"/>
      <c r="O60" s="34">
        <f t="shared" si="4"/>
        <v>0</v>
      </c>
      <c r="P60" s="34"/>
      <c r="Q60" s="34"/>
      <c r="R60" s="34"/>
      <c r="S60" s="34"/>
      <c r="T60" s="34"/>
      <c r="U60" s="34"/>
      <c r="V60" s="34"/>
      <c r="W60" s="34"/>
      <c r="X60" s="34"/>
    </row>
    <row r="61" ht="18.75" customHeight="1">
      <c r="A61" s="17">
        <f t="shared" si="5"/>
        <v>58</v>
      </c>
      <c r="B61" s="25" t="s">
        <v>157</v>
      </c>
      <c r="C61" s="25" t="s">
        <v>158</v>
      </c>
      <c r="D61" s="48" t="s">
        <v>159</v>
      </c>
      <c r="E61" s="27" t="s">
        <v>54</v>
      </c>
      <c r="F61" s="36">
        <v>45793.0</v>
      </c>
      <c r="G61" s="29">
        <v>45824.0</v>
      </c>
      <c r="H61" s="44" t="s">
        <v>135</v>
      </c>
      <c r="I61" s="37">
        <v>4720.0</v>
      </c>
      <c r="J61" s="37">
        <v>4720.0</v>
      </c>
      <c r="K61" s="31">
        <f t="shared" si="3"/>
        <v>0</v>
      </c>
      <c r="L61" s="49"/>
      <c r="M61" s="33"/>
      <c r="N61" s="33"/>
      <c r="O61" s="34">
        <f t="shared" si="4"/>
        <v>0</v>
      </c>
      <c r="P61" s="34"/>
      <c r="Q61" s="34"/>
      <c r="R61" s="34"/>
      <c r="S61" s="34"/>
      <c r="T61" s="34"/>
      <c r="U61" s="34"/>
      <c r="V61" s="34"/>
      <c r="W61" s="34"/>
      <c r="X61" s="34"/>
    </row>
    <row r="62" ht="18.75" customHeight="1">
      <c r="A62" s="17">
        <f t="shared" si="5"/>
        <v>59</v>
      </c>
      <c r="B62" s="25" t="s">
        <v>160</v>
      </c>
      <c r="C62" s="25" t="s">
        <v>161</v>
      </c>
      <c r="D62" s="35" t="s">
        <v>159</v>
      </c>
      <c r="E62" s="27" t="s">
        <v>27</v>
      </c>
      <c r="F62" s="36">
        <v>45799.0</v>
      </c>
      <c r="G62" s="29">
        <v>45829.0</v>
      </c>
      <c r="H62" s="44" t="s">
        <v>135</v>
      </c>
      <c r="I62" s="25">
        <f t="shared" ref="I62:J62" si="18">11800*5-(11800*4)</f>
        <v>11800</v>
      </c>
      <c r="J62" s="25">
        <f t="shared" si="18"/>
        <v>11800</v>
      </c>
      <c r="K62" s="31"/>
      <c r="L62" s="32"/>
      <c r="M62" s="42" t="s">
        <v>162</v>
      </c>
      <c r="N62" s="33"/>
      <c r="O62" s="34" t="str">
        <f t="shared" si="4"/>
        <v>#VALUE!</v>
      </c>
      <c r="P62" s="34"/>
      <c r="Q62" s="34"/>
      <c r="R62" s="34"/>
      <c r="S62" s="34"/>
      <c r="T62" s="34"/>
      <c r="U62" s="34"/>
      <c r="V62" s="34"/>
      <c r="W62" s="34"/>
      <c r="X62" s="34"/>
    </row>
    <row r="63" ht="18.75" customHeight="1">
      <c r="A63" s="17">
        <f t="shared" si="5"/>
        <v>60</v>
      </c>
      <c r="B63" s="25" t="s">
        <v>163</v>
      </c>
      <c r="C63" s="25" t="s">
        <v>164</v>
      </c>
      <c r="D63" s="48" t="s">
        <v>159</v>
      </c>
      <c r="E63" s="27" t="s">
        <v>27</v>
      </c>
      <c r="F63" s="36">
        <v>45803.0</v>
      </c>
      <c r="G63" s="29">
        <v>45986.0</v>
      </c>
      <c r="H63" s="44" t="s">
        <v>38</v>
      </c>
      <c r="I63" s="37">
        <v>44604.0</v>
      </c>
      <c r="J63" s="37">
        <v>44604.0</v>
      </c>
      <c r="K63" s="31">
        <f t="shared" ref="K63:K285" si="19">I63-J63</f>
        <v>0</v>
      </c>
      <c r="L63" s="49"/>
      <c r="M63" s="33"/>
      <c r="N63" s="33"/>
      <c r="O63" s="34">
        <f t="shared" si="4"/>
        <v>0</v>
      </c>
      <c r="P63" s="34"/>
      <c r="Q63" s="34"/>
      <c r="R63" s="34"/>
      <c r="S63" s="34"/>
      <c r="T63" s="34"/>
      <c r="U63" s="34"/>
      <c r="V63" s="34"/>
      <c r="W63" s="34"/>
      <c r="X63" s="34"/>
    </row>
    <row r="64" ht="18.75" customHeight="1">
      <c r="A64" s="17">
        <f t="shared" si="5"/>
        <v>61</v>
      </c>
      <c r="B64" s="25" t="s">
        <v>165</v>
      </c>
      <c r="C64" s="25" t="s">
        <v>166</v>
      </c>
      <c r="D64" s="48" t="s">
        <v>140</v>
      </c>
      <c r="E64" s="27" t="s">
        <v>54</v>
      </c>
      <c r="F64" s="61">
        <v>45804.0</v>
      </c>
      <c r="G64" s="62">
        <v>45835.0</v>
      </c>
      <c r="H64" s="44" t="s">
        <v>135</v>
      </c>
      <c r="I64" s="25">
        <v>14160.0</v>
      </c>
      <c r="J64" s="25">
        <v>14160.0</v>
      </c>
      <c r="K64" s="31">
        <f t="shared" si="19"/>
        <v>0</v>
      </c>
      <c r="L64" s="49"/>
      <c r="M64" s="33"/>
      <c r="N64" s="33"/>
      <c r="O64" s="34">
        <f t="shared" si="4"/>
        <v>0</v>
      </c>
      <c r="P64" s="34"/>
      <c r="Q64" s="34"/>
      <c r="R64" s="34"/>
      <c r="S64" s="34"/>
      <c r="T64" s="34"/>
      <c r="U64" s="34"/>
      <c r="V64" s="34"/>
      <c r="W64" s="34"/>
      <c r="X64" s="34"/>
    </row>
    <row r="65" ht="18.75" customHeight="1">
      <c r="A65" s="17">
        <f t="shared" si="5"/>
        <v>62</v>
      </c>
      <c r="B65" s="25" t="s">
        <v>167</v>
      </c>
      <c r="C65" s="25" t="s">
        <v>168</v>
      </c>
      <c r="D65" s="48" t="s">
        <v>156</v>
      </c>
      <c r="E65" s="27" t="s">
        <v>27</v>
      </c>
      <c r="F65" s="36">
        <v>45805.0</v>
      </c>
      <c r="G65" s="29">
        <v>45835.0</v>
      </c>
      <c r="H65" s="44" t="s">
        <v>135</v>
      </c>
      <c r="I65" s="37">
        <v>23600.0</v>
      </c>
      <c r="J65" s="37">
        <v>23600.0</v>
      </c>
      <c r="K65" s="31">
        <f t="shared" si="19"/>
        <v>0</v>
      </c>
      <c r="L65" s="49"/>
      <c r="M65" s="33"/>
      <c r="N65" s="33"/>
      <c r="O65" s="34">
        <f t="shared" si="4"/>
        <v>0</v>
      </c>
      <c r="P65" s="34"/>
      <c r="Q65" s="34"/>
      <c r="R65" s="34"/>
      <c r="S65" s="34"/>
      <c r="T65" s="34"/>
      <c r="U65" s="34"/>
      <c r="V65" s="34"/>
      <c r="W65" s="34"/>
      <c r="X65" s="34"/>
    </row>
    <row r="66" ht="18.75" customHeight="1">
      <c r="A66" s="17">
        <f t="shared" si="5"/>
        <v>63</v>
      </c>
      <c r="B66" s="25" t="s">
        <v>169</v>
      </c>
      <c r="C66" s="25" t="s">
        <v>170</v>
      </c>
      <c r="D66" s="48" t="s">
        <v>156</v>
      </c>
      <c r="E66" s="27" t="s">
        <v>27</v>
      </c>
      <c r="F66" s="36">
        <v>45806.0</v>
      </c>
      <c r="G66" s="29">
        <v>45836.0</v>
      </c>
      <c r="H66" s="44" t="s">
        <v>135</v>
      </c>
      <c r="I66" s="37">
        <v>5900.0</v>
      </c>
      <c r="J66" s="37">
        <v>5900.0</v>
      </c>
      <c r="K66" s="31">
        <f t="shared" si="19"/>
        <v>0</v>
      </c>
      <c r="L66" s="49"/>
      <c r="M66" s="33"/>
      <c r="N66" s="33"/>
      <c r="O66" s="34">
        <f t="shared" si="4"/>
        <v>0</v>
      </c>
      <c r="P66" s="34"/>
      <c r="Q66" s="34"/>
      <c r="R66" s="34"/>
      <c r="S66" s="34"/>
      <c r="T66" s="34"/>
      <c r="U66" s="34"/>
      <c r="V66" s="34"/>
      <c r="W66" s="34"/>
      <c r="X66" s="34"/>
    </row>
    <row r="67" ht="18.75" customHeight="1">
      <c r="A67" s="17">
        <f t="shared" si="5"/>
        <v>64</v>
      </c>
      <c r="B67" s="25" t="s">
        <v>171</v>
      </c>
      <c r="C67" s="25" t="s">
        <v>172</v>
      </c>
      <c r="D67" s="48" t="s">
        <v>31</v>
      </c>
      <c r="E67" s="27" t="s">
        <v>27</v>
      </c>
      <c r="F67" s="36">
        <v>45806.0</v>
      </c>
      <c r="G67" s="29">
        <v>45836.0</v>
      </c>
      <c r="H67" s="44" t="s">
        <v>135</v>
      </c>
      <c r="I67" s="37">
        <v>23600.0</v>
      </c>
      <c r="J67" s="37">
        <v>23600.0</v>
      </c>
      <c r="K67" s="31">
        <f t="shared" si="19"/>
        <v>0</v>
      </c>
      <c r="L67" s="49"/>
      <c r="M67" s="33"/>
      <c r="N67" s="33"/>
      <c r="O67" s="34">
        <f t="shared" si="4"/>
        <v>0</v>
      </c>
      <c r="P67" s="34"/>
      <c r="Q67" s="34"/>
      <c r="R67" s="34"/>
      <c r="S67" s="34"/>
      <c r="T67" s="34"/>
      <c r="U67" s="34"/>
      <c r="V67" s="34"/>
      <c r="W67" s="34"/>
      <c r="X67" s="34"/>
    </row>
    <row r="68" ht="18.75" customHeight="1">
      <c r="A68" s="17">
        <f t="shared" si="5"/>
        <v>65</v>
      </c>
      <c r="B68" s="25" t="s">
        <v>173</v>
      </c>
      <c r="C68" s="25" t="s">
        <v>174</v>
      </c>
      <c r="D68" s="48" t="s">
        <v>140</v>
      </c>
      <c r="E68" s="27" t="s">
        <v>27</v>
      </c>
      <c r="F68" s="36">
        <v>45807.0</v>
      </c>
      <c r="G68" s="29">
        <v>45898.0</v>
      </c>
      <c r="H68" s="44" t="s">
        <v>48</v>
      </c>
      <c r="I68" s="37">
        <v>17700.0</v>
      </c>
      <c r="J68" s="37">
        <v>17700.0</v>
      </c>
      <c r="K68" s="31">
        <f t="shared" si="19"/>
        <v>0</v>
      </c>
      <c r="L68" s="49"/>
      <c r="M68" s="33"/>
      <c r="N68" s="33"/>
      <c r="O68" s="34">
        <f t="shared" si="4"/>
        <v>0</v>
      </c>
      <c r="P68" s="34"/>
      <c r="Q68" s="34"/>
      <c r="R68" s="34"/>
      <c r="S68" s="34"/>
      <c r="T68" s="34"/>
      <c r="U68" s="34"/>
      <c r="V68" s="34"/>
      <c r="W68" s="34"/>
      <c r="X68" s="34"/>
    </row>
    <row r="69" ht="18.75" customHeight="1">
      <c r="A69" s="17">
        <f t="shared" si="5"/>
        <v>66</v>
      </c>
      <c r="B69" s="30" t="s">
        <v>115</v>
      </c>
      <c r="C69" s="25" t="s">
        <v>175</v>
      </c>
      <c r="D69" s="48" t="s">
        <v>156</v>
      </c>
      <c r="E69" s="27" t="s">
        <v>27</v>
      </c>
      <c r="F69" s="36">
        <v>45808.0</v>
      </c>
      <c r="G69" s="29">
        <v>45869.0</v>
      </c>
      <c r="H69" s="44" t="s">
        <v>41</v>
      </c>
      <c r="I69" s="60">
        <v>31860.0</v>
      </c>
      <c r="J69" s="60">
        <v>31860.0</v>
      </c>
      <c r="K69" s="31">
        <f t="shared" si="19"/>
        <v>0</v>
      </c>
      <c r="L69" s="49"/>
      <c r="M69" s="33"/>
      <c r="N69" s="33"/>
      <c r="O69" s="34">
        <f t="shared" si="4"/>
        <v>0</v>
      </c>
      <c r="P69" s="34"/>
      <c r="Q69" s="34"/>
      <c r="R69" s="34"/>
      <c r="S69" s="34"/>
      <c r="T69" s="34"/>
      <c r="U69" s="34"/>
      <c r="V69" s="34"/>
      <c r="W69" s="34"/>
      <c r="X69" s="34"/>
    </row>
    <row r="70" ht="18.75" customHeight="1">
      <c r="A70" s="17">
        <f t="shared" si="5"/>
        <v>67</v>
      </c>
      <c r="B70" s="38" t="s">
        <v>50</v>
      </c>
      <c r="C70" s="25" t="s">
        <v>176</v>
      </c>
      <c r="D70" s="48" t="s">
        <v>159</v>
      </c>
      <c r="E70" s="39" t="s">
        <v>27</v>
      </c>
      <c r="F70" s="29">
        <v>45809.0</v>
      </c>
      <c r="G70" s="29">
        <v>45838.0</v>
      </c>
      <c r="H70" s="44" t="s">
        <v>135</v>
      </c>
      <c r="I70" s="25">
        <v>44840.0</v>
      </c>
      <c r="J70" s="38">
        <f>44840</f>
        <v>44840</v>
      </c>
      <c r="K70" s="38">
        <f t="shared" si="19"/>
        <v>0</v>
      </c>
      <c r="L70" s="47"/>
      <c r="M70" s="33"/>
      <c r="N70" s="33"/>
      <c r="O70" s="34">
        <f t="shared" si="4"/>
        <v>0</v>
      </c>
      <c r="P70" s="34"/>
      <c r="Q70" s="34"/>
      <c r="R70" s="34"/>
      <c r="S70" s="34"/>
      <c r="T70" s="34"/>
      <c r="U70" s="34"/>
      <c r="V70" s="34"/>
      <c r="W70" s="34"/>
      <c r="X70" s="34"/>
    </row>
    <row r="71" ht="18.75" customHeight="1">
      <c r="A71" s="17">
        <f t="shared" si="5"/>
        <v>68</v>
      </c>
      <c r="B71" s="25" t="s">
        <v>177</v>
      </c>
      <c r="C71" s="25" t="s">
        <v>178</v>
      </c>
      <c r="D71" s="48" t="s">
        <v>156</v>
      </c>
      <c r="E71" s="27" t="s">
        <v>54</v>
      </c>
      <c r="F71" s="36">
        <v>45809.0</v>
      </c>
      <c r="G71" s="29">
        <v>45838.0</v>
      </c>
      <c r="H71" s="44" t="s">
        <v>135</v>
      </c>
      <c r="I71" s="37">
        <v>29500.0</v>
      </c>
      <c r="J71" s="37">
        <v>29500.0</v>
      </c>
      <c r="K71" s="31">
        <f t="shared" si="19"/>
        <v>0</v>
      </c>
      <c r="L71" s="49"/>
      <c r="M71" s="33"/>
      <c r="N71" s="33"/>
      <c r="O71" s="34">
        <f t="shared" si="4"/>
        <v>0</v>
      </c>
      <c r="P71" s="34"/>
      <c r="Q71" s="34"/>
      <c r="R71" s="34"/>
      <c r="S71" s="34"/>
      <c r="T71" s="34"/>
      <c r="U71" s="34"/>
      <c r="V71" s="34"/>
      <c r="W71" s="34"/>
      <c r="X71" s="34"/>
    </row>
    <row r="72" ht="18.75" customHeight="1">
      <c r="A72" s="17">
        <f t="shared" si="5"/>
        <v>69</v>
      </c>
      <c r="B72" s="25" t="s">
        <v>179</v>
      </c>
      <c r="C72" s="25" t="s">
        <v>180</v>
      </c>
      <c r="D72" s="48" t="s">
        <v>156</v>
      </c>
      <c r="E72" s="27" t="s">
        <v>54</v>
      </c>
      <c r="F72" s="36">
        <v>45810.0</v>
      </c>
      <c r="G72" s="29">
        <v>45839.0</v>
      </c>
      <c r="H72" s="44" t="s">
        <v>135</v>
      </c>
      <c r="I72" s="37">
        <v>23600.0</v>
      </c>
      <c r="J72" s="37">
        <v>23600.0</v>
      </c>
      <c r="K72" s="31">
        <f t="shared" si="19"/>
        <v>0</v>
      </c>
      <c r="L72" s="49"/>
      <c r="M72" s="33"/>
      <c r="N72" s="33"/>
      <c r="O72" s="34">
        <f t="shared" si="4"/>
        <v>0</v>
      </c>
      <c r="P72" s="34"/>
      <c r="Q72" s="34"/>
      <c r="R72" s="34"/>
      <c r="S72" s="34"/>
      <c r="T72" s="34"/>
      <c r="U72" s="34"/>
      <c r="V72" s="34"/>
      <c r="W72" s="34"/>
      <c r="X72" s="34"/>
    </row>
    <row r="73" ht="18.75" customHeight="1">
      <c r="A73" s="17">
        <f t="shared" si="5"/>
        <v>70</v>
      </c>
      <c r="B73" s="25" t="s">
        <v>181</v>
      </c>
      <c r="C73" s="25" t="s">
        <v>182</v>
      </c>
      <c r="D73" s="48" t="s">
        <v>156</v>
      </c>
      <c r="E73" s="27" t="s">
        <v>54</v>
      </c>
      <c r="F73" s="36">
        <v>45810.0</v>
      </c>
      <c r="G73" s="29">
        <v>45839.0</v>
      </c>
      <c r="H73" s="44" t="s">
        <v>135</v>
      </c>
      <c r="I73" s="37">
        <v>23600.0</v>
      </c>
      <c r="J73" s="37">
        <v>23600.0</v>
      </c>
      <c r="K73" s="31">
        <f t="shared" si="19"/>
        <v>0</v>
      </c>
      <c r="L73" s="49"/>
      <c r="M73" s="33"/>
      <c r="N73" s="33"/>
      <c r="O73" s="34">
        <f t="shared" si="4"/>
        <v>0</v>
      </c>
      <c r="P73" s="34"/>
      <c r="Q73" s="34"/>
      <c r="R73" s="34"/>
      <c r="S73" s="34"/>
      <c r="T73" s="34"/>
      <c r="U73" s="34"/>
      <c r="V73" s="34"/>
      <c r="W73" s="34"/>
      <c r="X73" s="34"/>
    </row>
    <row r="74" ht="18.75" customHeight="1">
      <c r="A74" s="17">
        <f t="shared" si="5"/>
        <v>71</v>
      </c>
      <c r="B74" s="25" t="s">
        <v>129</v>
      </c>
      <c r="C74" s="25" t="s">
        <v>183</v>
      </c>
      <c r="D74" s="48" t="s">
        <v>140</v>
      </c>
      <c r="E74" s="27" t="s">
        <v>54</v>
      </c>
      <c r="F74" s="36">
        <v>45810.0</v>
      </c>
      <c r="G74" s="29">
        <v>45839.0</v>
      </c>
      <c r="H74" s="44" t="s">
        <v>135</v>
      </c>
      <c r="I74" s="37">
        <v>17700.0</v>
      </c>
      <c r="J74" s="37">
        <v>17700.0</v>
      </c>
      <c r="K74" s="31">
        <f t="shared" si="19"/>
        <v>0</v>
      </c>
      <c r="L74" s="49"/>
      <c r="M74" s="33"/>
      <c r="N74" s="33"/>
      <c r="O74" s="34">
        <f t="shared" si="4"/>
        <v>0</v>
      </c>
      <c r="P74" s="34"/>
      <c r="Q74" s="34"/>
      <c r="R74" s="34"/>
      <c r="S74" s="34"/>
      <c r="T74" s="34"/>
      <c r="U74" s="34"/>
      <c r="V74" s="34"/>
      <c r="W74" s="34"/>
      <c r="X74" s="34"/>
    </row>
    <row r="75" ht="18.75" customHeight="1">
      <c r="A75" s="17">
        <f t="shared" si="5"/>
        <v>72</v>
      </c>
      <c r="B75" s="25" t="s">
        <v>184</v>
      </c>
      <c r="C75" s="25" t="s">
        <v>185</v>
      </c>
      <c r="D75" s="48" t="s">
        <v>140</v>
      </c>
      <c r="E75" s="27" t="s">
        <v>54</v>
      </c>
      <c r="F75" s="36">
        <v>45812.0</v>
      </c>
      <c r="G75" s="29">
        <v>45841.0</v>
      </c>
      <c r="H75" s="44" t="s">
        <v>135</v>
      </c>
      <c r="I75" s="63">
        <v>8260.0</v>
      </c>
      <c r="J75" s="63">
        <v>8260.0</v>
      </c>
      <c r="K75" s="31">
        <f t="shared" si="19"/>
        <v>0</v>
      </c>
      <c r="L75" s="49"/>
      <c r="M75" s="33"/>
      <c r="N75" s="33"/>
      <c r="O75" s="34">
        <f t="shared" si="4"/>
        <v>0</v>
      </c>
      <c r="P75" s="34"/>
      <c r="Q75" s="34"/>
      <c r="R75" s="34"/>
      <c r="S75" s="34"/>
      <c r="T75" s="34"/>
      <c r="U75" s="34"/>
      <c r="V75" s="34"/>
      <c r="W75" s="34"/>
      <c r="X75" s="34"/>
    </row>
    <row r="76" ht="18.75" customHeight="1">
      <c r="A76" s="17">
        <f t="shared" si="5"/>
        <v>73</v>
      </c>
      <c r="B76" s="25" t="s">
        <v>186</v>
      </c>
      <c r="C76" s="25" t="s">
        <v>187</v>
      </c>
      <c r="D76" s="48" t="s">
        <v>188</v>
      </c>
      <c r="E76" s="27" t="s">
        <v>54</v>
      </c>
      <c r="F76" s="36">
        <v>45812.0</v>
      </c>
      <c r="G76" s="29">
        <v>45841.0</v>
      </c>
      <c r="H76" s="44" t="s">
        <v>135</v>
      </c>
      <c r="I76" s="37">
        <v>10000.0</v>
      </c>
      <c r="J76" s="37">
        <v>10000.0</v>
      </c>
      <c r="K76" s="31">
        <f t="shared" si="19"/>
        <v>0</v>
      </c>
      <c r="L76" s="49"/>
      <c r="M76" s="33"/>
      <c r="N76" s="33"/>
      <c r="O76" s="34">
        <f t="shared" si="4"/>
        <v>0</v>
      </c>
      <c r="P76" s="34"/>
      <c r="Q76" s="34"/>
      <c r="R76" s="34"/>
      <c r="S76" s="34"/>
      <c r="T76" s="34"/>
      <c r="U76" s="34"/>
      <c r="V76" s="34"/>
      <c r="W76" s="34"/>
      <c r="X76" s="34"/>
    </row>
    <row r="77" ht="18.75" customHeight="1">
      <c r="A77" s="17">
        <f t="shared" si="5"/>
        <v>74</v>
      </c>
      <c r="B77" s="25" t="s">
        <v>189</v>
      </c>
      <c r="C77" s="25" t="s">
        <v>190</v>
      </c>
      <c r="D77" s="48" t="s">
        <v>188</v>
      </c>
      <c r="E77" s="27" t="s">
        <v>54</v>
      </c>
      <c r="F77" s="36">
        <v>45814.0</v>
      </c>
      <c r="G77" s="29">
        <v>45843.0</v>
      </c>
      <c r="H77" s="44" t="s">
        <v>135</v>
      </c>
      <c r="I77" s="37">
        <v>10000.0</v>
      </c>
      <c r="J77" s="37">
        <v>10000.0</v>
      </c>
      <c r="K77" s="31">
        <f t="shared" si="19"/>
        <v>0</v>
      </c>
      <c r="L77" s="49"/>
      <c r="M77" s="33"/>
      <c r="N77" s="33"/>
      <c r="O77" s="34">
        <f t="shared" si="4"/>
        <v>0</v>
      </c>
      <c r="P77" s="34"/>
      <c r="Q77" s="34"/>
      <c r="R77" s="34"/>
      <c r="S77" s="34"/>
      <c r="T77" s="34"/>
      <c r="U77" s="34"/>
      <c r="V77" s="34"/>
      <c r="W77" s="34"/>
      <c r="X77" s="34"/>
    </row>
    <row r="78" ht="18.75" customHeight="1">
      <c r="A78" s="17">
        <f t="shared" si="5"/>
        <v>75</v>
      </c>
      <c r="B78" s="25" t="s">
        <v>191</v>
      </c>
      <c r="C78" s="25" t="s">
        <v>192</v>
      </c>
      <c r="D78" s="48" t="s">
        <v>140</v>
      </c>
      <c r="E78" s="27" t="s">
        <v>54</v>
      </c>
      <c r="F78" s="36">
        <v>45814.0</v>
      </c>
      <c r="G78" s="29">
        <v>45843.0</v>
      </c>
      <c r="H78" s="44" t="s">
        <v>135</v>
      </c>
      <c r="I78" s="37">
        <v>8260.0</v>
      </c>
      <c r="J78" s="37">
        <v>8260.0</v>
      </c>
      <c r="K78" s="31">
        <f t="shared" si="19"/>
        <v>0</v>
      </c>
      <c r="L78" s="49"/>
      <c r="M78" s="33"/>
      <c r="N78" s="33"/>
      <c r="O78" s="34">
        <f t="shared" si="4"/>
        <v>0</v>
      </c>
      <c r="P78" s="34"/>
      <c r="Q78" s="34"/>
      <c r="R78" s="34"/>
      <c r="S78" s="34"/>
      <c r="T78" s="34"/>
      <c r="U78" s="34"/>
      <c r="V78" s="34"/>
      <c r="W78" s="34"/>
      <c r="X78" s="34"/>
    </row>
    <row r="79" ht="18.75" customHeight="1">
      <c r="A79" s="17">
        <f t="shared" si="5"/>
        <v>76</v>
      </c>
      <c r="B79" s="25" t="s">
        <v>193</v>
      </c>
      <c r="C79" s="25" t="s">
        <v>194</v>
      </c>
      <c r="D79" s="48" t="s">
        <v>188</v>
      </c>
      <c r="E79" s="27" t="s">
        <v>54</v>
      </c>
      <c r="F79" s="36">
        <v>45814.0</v>
      </c>
      <c r="G79" s="29">
        <v>45843.0</v>
      </c>
      <c r="H79" s="44" t="s">
        <v>135</v>
      </c>
      <c r="I79" s="37">
        <v>23600.0</v>
      </c>
      <c r="J79" s="37">
        <v>23600.0</v>
      </c>
      <c r="K79" s="31">
        <f t="shared" si="19"/>
        <v>0</v>
      </c>
      <c r="L79" s="49"/>
      <c r="M79" s="33"/>
      <c r="N79" s="33"/>
      <c r="O79" s="34">
        <f t="shared" si="4"/>
        <v>0</v>
      </c>
      <c r="P79" s="34"/>
      <c r="Q79" s="34"/>
      <c r="R79" s="34"/>
      <c r="S79" s="34"/>
      <c r="T79" s="34"/>
      <c r="U79" s="34"/>
      <c r="V79" s="34"/>
      <c r="W79" s="34"/>
      <c r="X79" s="34"/>
    </row>
    <row r="80" ht="18.75" customHeight="1">
      <c r="A80" s="17">
        <f t="shared" si="5"/>
        <v>77</v>
      </c>
      <c r="B80" s="25" t="s">
        <v>138</v>
      </c>
      <c r="C80" s="64" t="s">
        <v>195</v>
      </c>
      <c r="D80" s="48" t="s">
        <v>196</v>
      </c>
      <c r="E80" s="27" t="s">
        <v>54</v>
      </c>
      <c r="F80" s="36">
        <v>45815.0</v>
      </c>
      <c r="G80" s="29">
        <v>45852.0</v>
      </c>
      <c r="H80" s="44" t="s">
        <v>197</v>
      </c>
      <c r="I80" s="37">
        <v>7375.0</v>
      </c>
      <c r="J80" s="37">
        <v>7375.0</v>
      </c>
      <c r="K80" s="31">
        <f t="shared" si="19"/>
        <v>0</v>
      </c>
      <c r="L80" s="49"/>
      <c r="M80" s="33"/>
      <c r="N80" s="33"/>
      <c r="O80" s="34">
        <f t="shared" si="4"/>
        <v>0</v>
      </c>
      <c r="P80" s="34"/>
      <c r="Q80" s="34"/>
      <c r="R80" s="34"/>
      <c r="S80" s="34"/>
      <c r="T80" s="34"/>
      <c r="U80" s="34"/>
      <c r="V80" s="34"/>
      <c r="W80" s="34"/>
      <c r="X80" s="34"/>
    </row>
    <row r="81" ht="18.75" customHeight="1">
      <c r="A81" s="17">
        <f t="shared" si="5"/>
        <v>78</v>
      </c>
      <c r="B81" s="25" t="s">
        <v>198</v>
      </c>
      <c r="C81" s="25" t="s">
        <v>199</v>
      </c>
      <c r="D81" s="48" t="s">
        <v>159</v>
      </c>
      <c r="E81" s="27" t="s">
        <v>54</v>
      </c>
      <c r="F81" s="36">
        <v>45817.0</v>
      </c>
      <c r="G81" s="29">
        <v>45846.0</v>
      </c>
      <c r="H81" s="44" t="s">
        <v>135</v>
      </c>
      <c r="I81" s="37">
        <f t="shared" ref="I81:J81" si="20">17700-17700</f>
        <v>0</v>
      </c>
      <c r="J81" s="37">
        <f t="shared" si="20"/>
        <v>0</v>
      </c>
      <c r="K81" s="31">
        <f t="shared" si="19"/>
        <v>0</v>
      </c>
      <c r="L81" s="49"/>
      <c r="M81" s="65" t="s">
        <v>200</v>
      </c>
      <c r="N81" s="33"/>
      <c r="O81" s="34" t="str">
        <f t="shared" si="4"/>
        <v>#VALUE!</v>
      </c>
      <c r="P81" s="34"/>
      <c r="Q81" s="34"/>
      <c r="R81" s="34"/>
      <c r="S81" s="34"/>
      <c r="T81" s="34"/>
      <c r="U81" s="34"/>
      <c r="V81" s="34"/>
      <c r="W81" s="34"/>
      <c r="X81" s="34"/>
    </row>
    <row r="82" ht="18.75" customHeight="1">
      <c r="A82" s="17">
        <f t="shared" si="5"/>
        <v>79</v>
      </c>
      <c r="B82" s="25" t="s">
        <v>64</v>
      </c>
      <c r="C82" s="25" t="s">
        <v>201</v>
      </c>
      <c r="D82" s="48" t="s">
        <v>31</v>
      </c>
      <c r="E82" s="27" t="s">
        <v>54</v>
      </c>
      <c r="F82" s="36">
        <v>45818.0</v>
      </c>
      <c r="G82" s="29">
        <v>45847.0</v>
      </c>
      <c r="H82" s="44" t="s">
        <v>135</v>
      </c>
      <c r="I82" s="66">
        <v>16520.0</v>
      </c>
      <c r="J82" s="66">
        <v>16520.0</v>
      </c>
      <c r="K82" s="31">
        <f t="shared" si="19"/>
        <v>0</v>
      </c>
      <c r="L82" s="49"/>
      <c r="M82" s="33"/>
      <c r="N82" s="33"/>
      <c r="O82" s="34">
        <f t="shared" si="4"/>
        <v>0</v>
      </c>
      <c r="P82" s="34"/>
      <c r="Q82" s="34"/>
      <c r="R82" s="34"/>
      <c r="S82" s="34"/>
      <c r="T82" s="34"/>
      <c r="U82" s="34"/>
      <c r="V82" s="34"/>
      <c r="W82" s="34"/>
      <c r="X82" s="34"/>
    </row>
    <row r="83" ht="18.75" customHeight="1">
      <c r="A83" s="17">
        <f t="shared" si="5"/>
        <v>80</v>
      </c>
      <c r="B83" s="25" t="s">
        <v>202</v>
      </c>
      <c r="C83" s="25" t="s">
        <v>203</v>
      </c>
      <c r="D83" s="48" t="s">
        <v>140</v>
      </c>
      <c r="E83" s="27" t="s">
        <v>54</v>
      </c>
      <c r="F83" s="36">
        <v>45819.0</v>
      </c>
      <c r="G83" s="29">
        <v>45849.0</v>
      </c>
      <c r="H83" s="44" t="s">
        <v>135</v>
      </c>
      <c r="I83" s="37">
        <v>59000.0</v>
      </c>
      <c r="J83" s="37">
        <v>59000.0</v>
      </c>
      <c r="K83" s="31">
        <f t="shared" si="19"/>
        <v>0</v>
      </c>
      <c r="L83" s="49"/>
      <c r="M83" s="33"/>
      <c r="N83" s="33"/>
      <c r="O83" s="34">
        <f t="shared" si="4"/>
        <v>0</v>
      </c>
      <c r="P83" s="34"/>
      <c r="Q83" s="34"/>
      <c r="R83" s="34"/>
      <c r="S83" s="34"/>
      <c r="T83" s="34"/>
      <c r="U83" s="34"/>
      <c r="V83" s="34"/>
      <c r="W83" s="34"/>
      <c r="X83" s="34"/>
    </row>
    <row r="84" ht="18.75" customHeight="1">
      <c r="A84" s="17">
        <f t="shared" si="5"/>
        <v>81</v>
      </c>
      <c r="B84" s="25" t="s">
        <v>146</v>
      </c>
      <c r="C84" s="25" t="s">
        <v>204</v>
      </c>
      <c r="D84" s="48" t="s">
        <v>31</v>
      </c>
      <c r="E84" s="27" t="s">
        <v>54</v>
      </c>
      <c r="F84" s="36">
        <v>45819.0</v>
      </c>
      <c r="G84" s="29">
        <v>45848.0</v>
      </c>
      <c r="H84" s="44" t="s">
        <v>135</v>
      </c>
      <c r="I84" s="37">
        <f>5900</f>
        <v>5900</v>
      </c>
      <c r="J84" s="37">
        <f>I84</f>
        <v>5900</v>
      </c>
      <c r="K84" s="31">
        <f t="shared" si="19"/>
        <v>0</v>
      </c>
      <c r="L84" s="49"/>
      <c r="M84" s="33"/>
      <c r="N84" s="33"/>
      <c r="O84" s="34">
        <f t="shared" si="4"/>
        <v>0</v>
      </c>
      <c r="P84" s="34"/>
      <c r="Q84" s="34"/>
      <c r="R84" s="34"/>
      <c r="S84" s="34"/>
      <c r="T84" s="34"/>
      <c r="U84" s="34"/>
      <c r="V84" s="34"/>
      <c r="W84" s="34"/>
      <c r="X84" s="34"/>
    </row>
    <row r="85" ht="18.75" customHeight="1">
      <c r="A85" s="17">
        <f t="shared" si="5"/>
        <v>82</v>
      </c>
      <c r="B85" s="25" t="s">
        <v>205</v>
      </c>
      <c r="C85" s="25" t="s">
        <v>206</v>
      </c>
      <c r="D85" s="48" t="s">
        <v>45</v>
      </c>
      <c r="E85" s="27" t="s">
        <v>54</v>
      </c>
      <c r="F85" s="36">
        <v>45821.0</v>
      </c>
      <c r="G85" s="29">
        <v>45850.0</v>
      </c>
      <c r="H85" s="44" t="s">
        <v>135</v>
      </c>
      <c r="I85" s="37">
        <v>9440.0</v>
      </c>
      <c r="J85" s="37">
        <v>9440.0</v>
      </c>
      <c r="K85" s="31">
        <f t="shared" si="19"/>
        <v>0</v>
      </c>
      <c r="L85" s="49"/>
      <c r="M85" s="55"/>
      <c r="N85" s="33"/>
      <c r="O85" s="34">
        <f t="shared" si="4"/>
        <v>0</v>
      </c>
      <c r="P85" s="34"/>
      <c r="Q85" s="34"/>
      <c r="R85" s="34"/>
      <c r="S85" s="34"/>
      <c r="T85" s="34"/>
      <c r="U85" s="34"/>
      <c r="V85" s="34"/>
      <c r="W85" s="34"/>
      <c r="X85" s="34"/>
    </row>
    <row r="86" ht="18.75" customHeight="1">
      <c r="A86" s="17">
        <f t="shared" si="5"/>
        <v>83</v>
      </c>
      <c r="B86" s="25" t="s">
        <v>207</v>
      </c>
      <c r="C86" s="25" t="s">
        <v>208</v>
      </c>
      <c r="D86" s="48" t="s">
        <v>140</v>
      </c>
      <c r="E86" s="27" t="s">
        <v>54</v>
      </c>
      <c r="F86" s="36">
        <v>45826.0</v>
      </c>
      <c r="G86" s="29">
        <v>45855.0</v>
      </c>
      <c r="H86" s="44" t="s">
        <v>135</v>
      </c>
      <c r="I86" s="37">
        <v>8260.0</v>
      </c>
      <c r="J86" s="37">
        <v>8260.0</v>
      </c>
      <c r="K86" s="31">
        <f t="shared" si="19"/>
        <v>0</v>
      </c>
      <c r="L86" s="49"/>
      <c r="M86" s="33"/>
      <c r="N86" s="33"/>
      <c r="O86" s="34">
        <f t="shared" si="4"/>
        <v>0</v>
      </c>
      <c r="P86" s="34"/>
      <c r="Q86" s="34"/>
      <c r="R86" s="34"/>
      <c r="S86" s="34"/>
      <c r="T86" s="34"/>
      <c r="U86" s="34"/>
      <c r="V86" s="34"/>
      <c r="W86" s="34"/>
      <c r="X86" s="34"/>
    </row>
    <row r="87" ht="18.75" customHeight="1">
      <c r="A87" s="17">
        <f t="shared" si="5"/>
        <v>84</v>
      </c>
      <c r="B87" s="25" t="s">
        <v>209</v>
      </c>
      <c r="C87" s="25" t="s">
        <v>210</v>
      </c>
      <c r="D87" s="48" t="s">
        <v>140</v>
      </c>
      <c r="E87" s="27" t="s">
        <v>27</v>
      </c>
      <c r="F87" s="36">
        <v>45827.0</v>
      </c>
      <c r="G87" s="29">
        <v>45856.0</v>
      </c>
      <c r="H87" s="44" t="s">
        <v>135</v>
      </c>
      <c r="I87" s="37">
        <v>5900.0</v>
      </c>
      <c r="J87" s="37">
        <v>5900.0</v>
      </c>
      <c r="K87" s="31">
        <f t="shared" si="19"/>
        <v>0</v>
      </c>
      <c r="L87" s="32"/>
      <c r="M87" s="33"/>
      <c r="N87" s="33"/>
      <c r="O87" s="34">
        <f t="shared" si="4"/>
        <v>0</v>
      </c>
      <c r="P87" s="34"/>
      <c r="Q87" s="34"/>
      <c r="R87" s="34"/>
      <c r="S87" s="34"/>
      <c r="T87" s="34"/>
      <c r="U87" s="34"/>
      <c r="V87" s="34"/>
      <c r="W87" s="34"/>
      <c r="X87" s="34"/>
    </row>
    <row r="88" ht="18.75" customHeight="1">
      <c r="A88" s="17">
        <f t="shared" si="5"/>
        <v>85</v>
      </c>
      <c r="B88" s="25" t="s">
        <v>209</v>
      </c>
      <c r="C88" s="64" t="s">
        <v>211</v>
      </c>
      <c r="D88" s="67" t="s">
        <v>140</v>
      </c>
      <c r="E88" s="27" t="s">
        <v>27</v>
      </c>
      <c r="F88" s="36">
        <v>45827.0</v>
      </c>
      <c r="G88" s="29">
        <v>45826.0</v>
      </c>
      <c r="H88" s="30" t="s">
        <v>28</v>
      </c>
      <c r="I88" s="37">
        <f>7080*11-7080*1</f>
        <v>70800</v>
      </c>
      <c r="J88" s="37">
        <f>7080*4-7080*1</f>
        <v>21240</v>
      </c>
      <c r="K88" s="31">
        <f t="shared" si="19"/>
        <v>49560</v>
      </c>
      <c r="L88" s="32">
        <v>46010.0</v>
      </c>
      <c r="M88" s="42" t="s">
        <v>212</v>
      </c>
      <c r="N88" s="33"/>
      <c r="O88" s="34" t="str">
        <f t="shared" si="4"/>
        <v>#VALUE!</v>
      </c>
      <c r="P88" s="34"/>
      <c r="Q88" s="34"/>
      <c r="R88" s="34"/>
      <c r="S88" s="34"/>
      <c r="T88" s="34"/>
      <c r="U88" s="34"/>
      <c r="V88" s="34"/>
      <c r="W88" s="34"/>
      <c r="X88" s="34"/>
    </row>
    <row r="89" ht="18.75" customHeight="1">
      <c r="A89" s="17">
        <f t="shared" si="5"/>
        <v>86</v>
      </c>
      <c r="B89" s="25" t="s">
        <v>213</v>
      </c>
      <c r="C89" s="25" t="s">
        <v>214</v>
      </c>
      <c r="D89" s="48" t="s">
        <v>159</v>
      </c>
      <c r="E89" s="27" t="s">
        <v>54</v>
      </c>
      <c r="F89" s="36">
        <v>45835.0</v>
      </c>
      <c r="G89" s="29">
        <v>45926.0</v>
      </c>
      <c r="H89" s="44" t="s">
        <v>48</v>
      </c>
      <c r="I89" s="37">
        <v>63720.0</v>
      </c>
      <c r="J89" s="37">
        <v>63720.0</v>
      </c>
      <c r="K89" s="31">
        <f t="shared" si="19"/>
        <v>0</v>
      </c>
      <c r="L89" s="49"/>
      <c r="M89" s="33"/>
      <c r="N89" s="33"/>
      <c r="O89" s="34">
        <f t="shared" si="4"/>
        <v>0</v>
      </c>
      <c r="P89" s="34"/>
      <c r="Q89" s="34"/>
      <c r="R89" s="34"/>
      <c r="S89" s="34"/>
      <c r="T89" s="34"/>
      <c r="U89" s="34"/>
      <c r="V89" s="34"/>
      <c r="W89" s="34"/>
      <c r="X89" s="34"/>
    </row>
    <row r="90" ht="18.75" customHeight="1">
      <c r="A90" s="17">
        <f t="shared" si="5"/>
        <v>87</v>
      </c>
      <c r="B90" s="25" t="s">
        <v>165</v>
      </c>
      <c r="C90" s="64" t="s">
        <v>215</v>
      </c>
      <c r="D90" s="48" t="s">
        <v>196</v>
      </c>
      <c r="E90" s="27" t="s">
        <v>54</v>
      </c>
      <c r="F90" s="36">
        <v>45836.0</v>
      </c>
      <c r="G90" s="29">
        <v>45865.0</v>
      </c>
      <c r="H90" s="44" t="s">
        <v>135</v>
      </c>
      <c r="I90" s="37">
        <v>15340.0</v>
      </c>
      <c r="J90" s="37">
        <v>15340.0</v>
      </c>
      <c r="K90" s="31">
        <f t="shared" si="19"/>
        <v>0</v>
      </c>
      <c r="L90" s="49"/>
      <c r="M90" s="33"/>
      <c r="N90" s="33"/>
      <c r="O90" s="34">
        <f t="shared" si="4"/>
        <v>0</v>
      </c>
      <c r="P90" s="34"/>
      <c r="Q90" s="34"/>
      <c r="R90" s="34"/>
      <c r="S90" s="34"/>
      <c r="T90" s="34"/>
      <c r="U90" s="34"/>
      <c r="V90" s="34"/>
      <c r="W90" s="34"/>
      <c r="X90" s="34"/>
    </row>
    <row r="91" ht="18.75" customHeight="1">
      <c r="A91" s="17">
        <f t="shared" si="5"/>
        <v>88</v>
      </c>
      <c r="B91" s="25" t="s">
        <v>216</v>
      </c>
      <c r="C91" s="25" t="s">
        <v>217</v>
      </c>
      <c r="D91" s="48" t="s">
        <v>31</v>
      </c>
      <c r="E91" s="27" t="s">
        <v>27</v>
      </c>
      <c r="F91" s="36">
        <v>45838.0</v>
      </c>
      <c r="G91" s="29">
        <v>45867.0</v>
      </c>
      <c r="H91" s="44" t="s">
        <v>135</v>
      </c>
      <c r="I91" s="37">
        <f>35400*2-5900*11</f>
        <v>5900</v>
      </c>
      <c r="J91" s="37">
        <f>I91</f>
        <v>5900</v>
      </c>
      <c r="K91" s="31">
        <f t="shared" si="19"/>
        <v>0</v>
      </c>
      <c r="L91" s="32"/>
      <c r="M91" s="68" t="s">
        <v>218</v>
      </c>
      <c r="N91" s="33"/>
      <c r="O91" s="34" t="str">
        <f t="shared" si="4"/>
        <v>#VALUE!</v>
      </c>
      <c r="P91" s="34"/>
      <c r="Q91" s="34"/>
      <c r="R91" s="34"/>
      <c r="S91" s="34"/>
      <c r="T91" s="34"/>
      <c r="U91" s="34"/>
      <c r="V91" s="34"/>
      <c r="W91" s="34"/>
      <c r="X91" s="34"/>
    </row>
    <row r="92" ht="18.75" customHeight="1">
      <c r="A92" s="17">
        <f t="shared" si="5"/>
        <v>89</v>
      </c>
      <c r="B92" s="25" t="s">
        <v>219</v>
      </c>
      <c r="C92" s="25" t="s">
        <v>220</v>
      </c>
      <c r="D92" s="48" t="s">
        <v>156</v>
      </c>
      <c r="E92" s="27" t="s">
        <v>27</v>
      </c>
      <c r="F92" s="36">
        <v>45839.0</v>
      </c>
      <c r="G92" s="29">
        <v>45869.0</v>
      </c>
      <c r="H92" s="44" t="s">
        <v>135</v>
      </c>
      <c r="I92" s="25">
        <v>11800.0</v>
      </c>
      <c r="J92" s="25">
        <v>11800.0</v>
      </c>
      <c r="K92" s="31">
        <f t="shared" si="19"/>
        <v>0</v>
      </c>
      <c r="L92" s="49"/>
      <c r="M92" s="33"/>
      <c r="N92" s="33"/>
      <c r="O92" s="34">
        <f t="shared" si="4"/>
        <v>0</v>
      </c>
      <c r="P92" s="34"/>
      <c r="Q92" s="34"/>
      <c r="R92" s="34"/>
      <c r="S92" s="34"/>
      <c r="T92" s="34"/>
      <c r="U92" s="34"/>
      <c r="V92" s="34"/>
      <c r="W92" s="34"/>
      <c r="X92" s="34"/>
    </row>
    <row r="93" ht="18.75" customHeight="1">
      <c r="A93" s="17">
        <f t="shared" si="5"/>
        <v>90</v>
      </c>
      <c r="B93" s="25" t="s">
        <v>221</v>
      </c>
      <c r="C93" s="25" t="s">
        <v>222</v>
      </c>
      <c r="D93" s="48" t="s">
        <v>159</v>
      </c>
      <c r="E93" s="27" t="s">
        <v>54</v>
      </c>
      <c r="F93" s="36">
        <v>45839.0</v>
      </c>
      <c r="G93" s="29">
        <v>45869.0</v>
      </c>
      <c r="H93" s="44" t="s">
        <v>135</v>
      </c>
      <c r="I93" s="37">
        <f t="shared" ref="I93:J93" si="21">47200-720</f>
        <v>46480</v>
      </c>
      <c r="J93" s="37">
        <f t="shared" si="21"/>
        <v>46480</v>
      </c>
      <c r="K93" s="31">
        <f t="shared" si="19"/>
        <v>0</v>
      </c>
      <c r="L93" s="49"/>
      <c r="M93" s="65" t="s">
        <v>223</v>
      </c>
      <c r="N93" s="33"/>
      <c r="O93" s="34" t="str">
        <f t="shared" si="4"/>
        <v>#VALUE!</v>
      </c>
      <c r="P93" s="34"/>
      <c r="Q93" s="34"/>
      <c r="R93" s="34"/>
      <c r="S93" s="34"/>
      <c r="T93" s="34"/>
      <c r="U93" s="34"/>
      <c r="V93" s="34"/>
      <c r="W93" s="34"/>
      <c r="X93" s="34"/>
    </row>
    <row r="94" ht="18.75" customHeight="1">
      <c r="A94" s="17">
        <f t="shared" si="5"/>
        <v>91</v>
      </c>
      <c r="B94" s="25" t="s">
        <v>224</v>
      </c>
      <c r="C94" s="64" t="s">
        <v>225</v>
      </c>
      <c r="D94" s="48" t="s">
        <v>31</v>
      </c>
      <c r="E94" s="27" t="s">
        <v>54</v>
      </c>
      <c r="F94" s="36">
        <v>45839.0</v>
      </c>
      <c r="G94" s="29">
        <v>45869.0</v>
      </c>
      <c r="H94" s="44" t="s">
        <v>135</v>
      </c>
      <c r="I94" s="37">
        <v>20000.0</v>
      </c>
      <c r="J94" s="37">
        <v>20000.0</v>
      </c>
      <c r="K94" s="31">
        <f t="shared" si="19"/>
        <v>0</v>
      </c>
      <c r="L94" s="49"/>
      <c r="M94" s="33"/>
      <c r="N94" s="33"/>
      <c r="O94" s="34">
        <f t="shared" si="4"/>
        <v>0</v>
      </c>
      <c r="P94" s="34"/>
      <c r="Q94" s="34"/>
      <c r="R94" s="34"/>
      <c r="S94" s="34"/>
      <c r="T94" s="34"/>
      <c r="U94" s="34"/>
      <c r="V94" s="34"/>
      <c r="W94" s="34"/>
      <c r="X94" s="34"/>
    </row>
    <row r="95" ht="18.75" customHeight="1">
      <c r="A95" s="17">
        <f t="shared" si="5"/>
        <v>92</v>
      </c>
      <c r="B95" s="25" t="s">
        <v>226</v>
      </c>
      <c r="C95" s="64" t="s">
        <v>227</v>
      </c>
      <c r="D95" s="26"/>
      <c r="E95" s="27" t="s">
        <v>54</v>
      </c>
      <c r="F95" s="36">
        <v>45841.0</v>
      </c>
      <c r="G95" s="29"/>
      <c r="H95" s="44" t="s">
        <v>135</v>
      </c>
      <c r="I95" s="37">
        <v>1.18</v>
      </c>
      <c r="J95" s="37">
        <v>1.18</v>
      </c>
      <c r="K95" s="31">
        <f t="shared" si="19"/>
        <v>0</v>
      </c>
      <c r="L95" s="49"/>
      <c r="M95" s="33"/>
      <c r="N95" s="33"/>
      <c r="O95" s="34">
        <f t="shared" si="4"/>
        <v>0</v>
      </c>
      <c r="P95" s="34"/>
      <c r="Q95" s="34"/>
      <c r="R95" s="34"/>
      <c r="S95" s="34"/>
      <c r="T95" s="34"/>
      <c r="U95" s="34"/>
      <c r="V95" s="34"/>
      <c r="W95" s="34"/>
      <c r="X95" s="34"/>
    </row>
    <row r="96" ht="18.75" customHeight="1">
      <c r="A96" s="17">
        <f t="shared" si="5"/>
        <v>93</v>
      </c>
      <c r="B96" s="25" t="s">
        <v>228</v>
      </c>
      <c r="C96" s="64" t="s">
        <v>229</v>
      </c>
      <c r="D96" s="48" t="s">
        <v>159</v>
      </c>
      <c r="E96" s="27" t="s">
        <v>27</v>
      </c>
      <c r="F96" s="36">
        <v>45841.0</v>
      </c>
      <c r="G96" s="29">
        <v>45871.0</v>
      </c>
      <c r="H96" s="44" t="s">
        <v>135</v>
      </c>
      <c r="I96" s="37">
        <v>14160.0</v>
      </c>
      <c r="J96" s="37">
        <v>14160.0</v>
      </c>
      <c r="K96" s="31">
        <f t="shared" si="19"/>
        <v>0</v>
      </c>
      <c r="L96" s="49"/>
      <c r="M96" s="33"/>
      <c r="N96" s="33"/>
      <c r="O96" s="34">
        <f t="shared" si="4"/>
        <v>0</v>
      </c>
      <c r="P96" s="34"/>
      <c r="Q96" s="34"/>
      <c r="R96" s="34"/>
      <c r="S96" s="34"/>
      <c r="T96" s="34"/>
      <c r="U96" s="34"/>
      <c r="V96" s="34"/>
      <c r="W96" s="34"/>
      <c r="X96" s="34"/>
    </row>
    <row r="97" ht="18.75" customHeight="1">
      <c r="A97" s="17">
        <f t="shared" si="5"/>
        <v>94</v>
      </c>
      <c r="B97" s="25" t="s">
        <v>230</v>
      </c>
      <c r="C97" s="64" t="s">
        <v>231</v>
      </c>
      <c r="D97" s="48" t="s">
        <v>45</v>
      </c>
      <c r="E97" s="27" t="s">
        <v>54</v>
      </c>
      <c r="F97" s="36">
        <v>45843.0</v>
      </c>
      <c r="G97" s="29">
        <v>45873.0</v>
      </c>
      <c r="H97" s="44" t="s">
        <v>135</v>
      </c>
      <c r="I97" s="37">
        <f t="shared" ref="I97:J97" si="22">23600-23600</f>
        <v>0</v>
      </c>
      <c r="J97" s="37">
        <f t="shared" si="22"/>
        <v>0</v>
      </c>
      <c r="K97" s="31">
        <f t="shared" si="19"/>
        <v>0</v>
      </c>
      <c r="L97" s="49"/>
      <c r="M97" s="69" t="s">
        <v>232</v>
      </c>
      <c r="N97" s="33"/>
      <c r="O97" s="34" t="str">
        <f t="shared" si="4"/>
        <v>#VALUE!</v>
      </c>
      <c r="P97" s="34"/>
      <c r="Q97" s="34"/>
      <c r="R97" s="34"/>
      <c r="S97" s="34"/>
      <c r="T97" s="34"/>
      <c r="U97" s="34"/>
      <c r="V97" s="34"/>
      <c r="W97" s="34"/>
      <c r="X97" s="34"/>
    </row>
    <row r="98" ht="18.75" customHeight="1">
      <c r="A98" s="17">
        <f t="shared" si="5"/>
        <v>95</v>
      </c>
      <c r="B98" s="25" t="s">
        <v>191</v>
      </c>
      <c r="C98" s="64" t="s">
        <v>233</v>
      </c>
      <c r="D98" s="48" t="s">
        <v>196</v>
      </c>
      <c r="E98" s="27" t="s">
        <v>27</v>
      </c>
      <c r="F98" s="36">
        <v>45844.0</v>
      </c>
      <c r="G98" s="29">
        <v>45874.0</v>
      </c>
      <c r="H98" s="44" t="s">
        <v>135</v>
      </c>
      <c r="I98" s="37">
        <f t="shared" ref="I98:J98" si="23">8260</f>
        <v>8260</v>
      </c>
      <c r="J98" s="37">
        <f t="shared" si="23"/>
        <v>8260</v>
      </c>
      <c r="K98" s="31">
        <f t="shared" si="19"/>
        <v>0</v>
      </c>
      <c r="L98" s="32"/>
      <c r="M98" s="33"/>
      <c r="N98" s="33"/>
      <c r="O98" s="34">
        <f t="shared" si="4"/>
        <v>0</v>
      </c>
      <c r="P98" s="34"/>
      <c r="Q98" s="34"/>
      <c r="R98" s="34"/>
      <c r="S98" s="34"/>
      <c r="T98" s="34"/>
      <c r="U98" s="34"/>
      <c r="V98" s="34"/>
      <c r="W98" s="34"/>
      <c r="X98" s="34"/>
    </row>
    <row r="99" ht="18.75" customHeight="1">
      <c r="A99" s="17">
        <f t="shared" si="5"/>
        <v>96</v>
      </c>
      <c r="B99" s="25" t="s">
        <v>234</v>
      </c>
      <c r="C99" s="64" t="s">
        <v>235</v>
      </c>
      <c r="D99" s="48" t="s">
        <v>31</v>
      </c>
      <c r="E99" s="27" t="s">
        <v>27</v>
      </c>
      <c r="F99" s="36">
        <v>45845.0</v>
      </c>
      <c r="G99" s="29">
        <v>45874.0</v>
      </c>
      <c r="H99" s="44" t="s">
        <v>135</v>
      </c>
      <c r="I99" s="37">
        <v>23600.0</v>
      </c>
      <c r="J99" s="37">
        <v>23600.0</v>
      </c>
      <c r="K99" s="31">
        <f t="shared" si="19"/>
        <v>0</v>
      </c>
      <c r="L99" s="49"/>
      <c r="M99" s="33"/>
      <c r="N99" s="33"/>
      <c r="O99" s="34">
        <f t="shared" si="4"/>
        <v>0</v>
      </c>
      <c r="P99" s="34"/>
      <c r="Q99" s="34"/>
      <c r="R99" s="34"/>
      <c r="S99" s="34"/>
      <c r="T99" s="34"/>
      <c r="U99" s="34"/>
      <c r="V99" s="34"/>
      <c r="W99" s="34"/>
      <c r="X99" s="34"/>
    </row>
    <row r="100" ht="18.75" customHeight="1">
      <c r="A100" s="17">
        <f t="shared" si="5"/>
        <v>97</v>
      </c>
      <c r="B100" s="25" t="s">
        <v>236</v>
      </c>
      <c r="C100" s="64" t="s">
        <v>237</v>
      </c>
      <c r="D100" s="48" t="s">
        <v>45</v>
      </c>
      <c r="E100" s="27" t="s">
        <v>54</v>
      </c>
      <c r="F100" s="36">
        <v>45845.0</v>
      </c>
      <c r="G100" s="29">
        <v>45875.0</v>
      </c>
      <c r="H100" s="44" t="s">
        <v>135</v>
      </c>
      <c r="I100" s="37">
        <v>9440.0</v>
      </c>
      <c r="J100" s="37">
        <v>9440.0</v>
      </c>
      <c r="K100" s="31">
        <f t="shared" si="19"/>
        <v>0</v>
      </c>
      <c r="L100" s="49"/>
      <c r="M100" s="33"/>
      <c r="N100" s="33"/>
      <c r="O100" s="34">
        <f t="shared" si="4"/>
        <v>0</v>
      </c>
      <c r="P100" s="34"/>
      <c r="Q100" s="34"/>
      <c r="R100" s="34"/>
      <c r="S100" s="34"/>
      <c r="T100" s="34"/>
      <c r="U100" s="34"/>
      <c r="V100" s="34"/>
      <c r="W100" s="34"/>
      <c r="X100" s="34"/>
    </row>
    <row r="101" ht="18.75" customHeight="1">
      <c r="A101" s="17">
        <f t="shared" si="5"/>
        <v>98</v>
      </c>
      <c r="B101" s="25" t="s">
        <v>238</v>
      </c>
      <c r="C101" s="64" t="s">
        <v>239</v>
      </c>
      <c r="D101" s="48" t="s">
        <v>45</v>
      </c>
      <c r="E101" s="27" t="s">
        <v>27</v>
      </c>
      <c r="F101" s="36">
        <v>45847.0</v>
      </c>
      <c r="G101" s="29">
        <v>45877.0</v>
      </c>
      <c r="H101" s="44" t="s">
        <v>135</v>
      </c>
      <c r="I101" s="37">
        <v>8850.0</v>
      </c>
      <c r="J101" s="37">
        <v>8850.0</v>
      </c>
      <c r="K101" s="31">
        <f t="shared" si="19"/>
        <v>0</v>
      </c>
      <c r="L101" s="49"/>
      <c r="M101" s="33"/>
      <c r="N101" s="33"/>
      <c r="O101" s="34">
        <f t="shared" si="4"/>
        <v>0</v>
      </c>
      <c r="P101" s="34"/>
      <c r="Q101" s="34"/>
      <c r="R101" s="34"/>
      <c r="S101" s="34"/>
      <c r="T101" s="34"/>
      <c r="U101" s="34"/>
      <c r="V101" s="34"/>
      <c r="W101" s="34"/>
      <c r="X101" s="34"/>
    </row>
    <row r="102" ht="18.75" customHeight="1">
      <c r="A102" s="17">
        <f t="shared" si="5"/>
        <v>99</v>
      </c>
      <c r="B102" s="25" t="s">
        <v>240</v>
      </c>
      <c r="C102" s="64" t="s">
        <v>241</v>
      </c>
      <c r="D102" s="48" t="s">
        <v>188</v>
      </c>
      <c r="E102" s="27" t="s">
        <v>27</v>
      </c>
      <c r="F102" s="36">
        <v>45847.0</v>
      </c>
      <c r="G102" s="29">
        <v>45877.0</v>
      </c>
      <c r="H102" s="44" t="s">
        <v>135</v>
      </c>
      <c r="I102" s="37">
        <v>59000.0</v>
      </c>
      <c r="J102" s="37">
        <v>59000.0</v>
      </c>
      <c r="K102" s="31">
        <f t="shared" si="19"/>
        <v>0</v>
      </c>
      <c r="L102" s="49"/>
      <c r="M102" s="33"/>
      <c r="N102" s="33"/>
      <c r="O102" s="34">
        <f t="shared" si="4"/>
        <v>0</v>
      </c>
      <c r="P102" s="34"/>
      <c r="Q102" s="34"/>
      <c r="R102" s="34"/>
      <c r="S102" s="34"/>
      <c r="T102" s="34"/>
      <c r="U102" s="34"/>
      <c r="V102" s="34"/>
      <c r="W102" s="34"/>
      <c r="X102" s="34"/>
    </row>
    <row r="103" ht="18.75" customHeight="1">
      <c r="A103" s="17">
        <f t="shared" si="5"/>
        <v>100</v>
      </c>
      <c r="B103" s="25" t="s">
        <v>242</v>
      </c>
      <c r="C103" s="64" t="s">
        <v>243</v>
      </c>
      <c r="D103" s="48" t="s">
        <v>244</v>
      </c>
      <c r="E103" s="27" t="s">
        <v>27</v>
      </c>
      <c r="F103" s="36">
        <v>45848.0</v>
      </c>
      <c r="G103" s="29">
        <v>45878.0</v>
      </c>
      <c r="H103" s="44" t="s">
        <v>135</v>
      </c>
      <c r="I103" s="37">
        <v>23600.0</v>
      </c>
      <c r="J103" s="37">
        <v>23600.0</v>
      </c>
      <c r="K103" s="31">
        <f t="shared" si="19"/>
        <v>0</v>
      </c>
      <c r="L103" s="49"/>
      <c r="M103" s="33"/>
      <c r="N103" s="33"/>
      <c r="O103" s="34">
        <f t="shared" si="4"/>
        <v>0</v>
      </c>
      <c r="P103" s="34"/>
      <c r="Q103" s="34"/>
      <c r="R103" s="34"/>
      <c r="S103" s="34"/>
      <c r="T103" s="34"/>
      <c r="U103" s="34"/>
      <c r="V103" s="34"/>
      <c r="W103" s="34"/>
      <c r="X103" s="34"/>
    </row>
    <row r="104" ht="18.75" customHeight="1">
      <c r="A104" s="17">
        <f t="shared" si="5"/>
        <v>101</v>
      </c>
      <c r="B104" s="25" t="s">
        <v>146</v>
      </c>
      <c r="C104" s="64" t="s">
        <v>245</v>
      </c>
      <c r="D104" s="48" t="s">
        <v>31</v>
      </c>
      <c r="E104" s="27" t="s">
        <v>54</v>
      </c>
      <c r="F104" s="36">
        <v>45849.0</v>
      </c>
      <c r="G104" s="29">
        <v>45879.0</v>
      </c>
      <c r="H104" s="44" t="s">
        <v>135</v>
      </c>
      <c r="I104" s="37">
        <v>5900.0</v>
      </c>
      <c r="J104" s="37">
        <v>5900.0</v>
      </c>
      <c r="K104" s="31">
        <f t="shared" si="19"/>
        <v>0</v>
      </c>
      <c r="L104" s="49"/>
      <c r="M104" s="33"/>
      <c r="N104" s="33"/>
      <c r="O104" s="34">
        <f t="shared" si="4"/>
        <v>0</v>
      </c>
      <c r="P104" s="34"/>
      <c r="Q104" s="34"/>
      <c r="R104" s="34"/>
      <c r="S104" s="34"/>
      <c r="T104" s="34"/>
      <c r="U104" s="34"/>
      <c r="V104" s="34"/>
      <c r="W104" s="34"/>
      <c r="X104" s="34"/>
    </row>
    <row r="105" ht="18.75" customHeight="1">
      <c r="A105" s="17">
        <f t="shared" si="5"/>
        <v>102</v>
      </c>
      <c r="B105" s="25" t="s">
        <v>138</v>
      </c>
      <c r="C105" s="64" t="s">
        <v>246</v>
      </c>
      <c r="D105" s="48" t="s">
        <v>196</v>
      </c>
      <c r="E105" s="27" t="s">
        <v>54</v>
      </c>
      <c r="F105" s="36">
        <v>45853.0</v>
      </c>
      <c r="G105" s="29">
        <v>45884.0</v>
      </c>
      <c r="H105" s="44" t="s">
        <v>135</v>
      </c>
      <c r="I105" s="37">
        <v>23600.0</v>
      </c>
      <c r="J105" s="37">
        <v>23600.0</v>
      </c>
      <c r="K105" s="31">
        <f t="shared" si="19"/>
        <v>0</v>
      </c>
      <c r="L105" s="49"/>
      <c r="M105" s="33"/>
      <c r="N105" s="33"/>
      <c r="O105" s="34">
        <f t="shared" si="4"/>
        <v>0</v>
      </c>
      <c r="P105" s="34"/>
      <c r="Q105" s="34"/>
      <c r="R105" s="34"/>
      <c r="S105" s="34"/>
      <c r="T105" s="34"/>
      <c r="U105" s="34"/>
      <c r="V105" s="34"/>
      <c r="W105" s="34"/>
      <c r="X105" s="34"/>
    </row>
    <row r="106" ht="18.75" customHeight="1">
      <c r="A106" s="17">
        <f t="shared" si="5"/>
        <v>103</v>
      </c>
      <c r="B106" s="25" t="s">
        <v>84</v>
      </c>
      <c r="C106" s="64" t="s">
        <v>247</v>
      </c>
      <c r="D106" s="48" t="s">
        <v>31</v>
      </c>
      <c r="E106" s="27" t="s">
        <v>54</v>
      </c>
      <c r="F106" s="36">
        <v>45853.0</v>
      </c>
      <c r="G106" s="29">
        <v>45883.0</v>
      </c>
      <c r="H106" s="44" t="s">
        <v>135</v>
      </c>
      <c r="I106" s="70">
        <v>217819.0</v>
      </c>
      <c r="J106" s="70">
        <v>217819.0</v>
      </c>
      <c r="K106" s="31">
        <f t="shared" si="19"/>
        <v>0</v>
      </c>
      <c r="L106" s="49"/>
      <c r="M106" s="71"/>
      <c r="N106" s="71"/>
      <c r="O106" s="72">
        <f t="shared" si="4"/>
        <v>0</v>
      </c>
      <c r="P106" s="34"/>
      <c r="Q106" s="34"/>
      <c r="R106" s="34"/>
      <c r="S106" s="34"/>
      <c r="T106" s="34"/>
      <c r="U106" s="34"/>
      <c r="V106" s="34"/>
      <c r="W106" s="34"/>
      <c r="X106" s="34"/>
    </row>
    <row r="107" ht="18.75" customHeight="1">
      <c r="A107" s="17">
        <f t="shared" si="5"/>
        <v>104</v>
      </c>
      <c r="B107" s="25" t="s">
        <v>248</v>
      </c>
      <c r="C107" s="64" t="s">
        <v>249</v>
      </c>
      <c r="D107" s="48" t="s">
        <v>159</v>
      </c>
      <c r="E107" s="27" t="s">
        <v>54</v>
      </c>
      <c r="F107" s="36">
        <v>45855.0</v>
      </c>
      <c r="G107" s="29">
        <v>45864.0</v>
      </c>
      <c r="H107" s="44" t="s">
        <v>250</v>
      </c>
      <c r="I107" s="37">
        <v>9440.0</v>
      </c>
      <c r="J107" s="37">
        <v>9440.0</v>
      </c>
      <c r="K107" s="31">
        <f t="shared" si="19"/>
        <v>0</v>
      </c>
      <c r="L107" s="49"/>
      <c r="M107" s="33"/>
      <c r="N107" s="33"/>
      <c r="O107" s="34">
        <f t="shared" si="4"/>
        <v>0</v>
      </c>
      <c r="P107" s="34"/>
      <c r="Q107" s="34"/>
      <c r="R107" s="34"/>
      <c r="S107" s="34"/>
      <c r="T107" s="34"/>
      <c r="U107" s="34"/>
      <c r="V107" s="34"/>
      <c r="W107" s="34"/>
      <c r="X107" s="34"/>
    </row>
    <row r="108" ht="18.75" customHeight="1">
      <c r="A108" s="17">
        <f t="shared" si="5"/>
        <v>105</v>
      </c>
      <c r="B108" s="25" t="s">
        <v>251</v>
      </c>
      <c r="C108" s="64" t="s">
        <v>252</v>
      </c>
      <c r="D108" s="73" t="s">
        <v>45</v>
      </c>
      <c r="E108" s="27" t="s">
        <v>27</v>
      </c>
      <c r="F108" s="36">
        <v>45858.0</v>
      </c>
      <c r="G108" s="29">
        <v>45888.0</v>
      </c>
      <c r="H108" s="44" t="s">
        <v>55</v>
      </c>
      <c r="I108" s="37">
        <f t="shared" ref="I108:J108" si="24">7100</f>
        <v>7100</v>
      </c>
      <c r="J108" s="37">
        <f t="shared" si="24"/>
        <v>7100</v>
      </c>
      <c r="K108" s="31">
        <f t="shared" si="19"/>
        <v>0</v>
      </c>
      <c r="L108" s="32"/>
      <c r="M108" s="42"/>
      <c r="N108" s="33"/>
      <c r="O108" s="34">
        <f t="shared" si="4"/>
        <v>0</v>
      </c>
      <c r="P108" s="34"/>
      <c r="Q108" s="34"/>
      <c r="R108" s="34"/>
      <c r="S108" s="34"/>
      <c r="T108" s="34"/>
      <c r="U108" s="34"/>
      <c r="V108" s="34"/>
      <c r="W108" s="34"/>
      <c r="X108" s="34"/>
    </row>
    <row r="109" ht="18.75" customHeight="1">
      <c r="A109" s="17">
        <f t="shared" si="5"/>
        <v>106</v>
      </c>
      <c r="B109" s="25" t="s">
        <v>253</v>
      </c>
      <c r="C109" s="64" t="s">
        <v>254</v>
      </c>
      <c r="D109" s="48" t="s">
        <v>31</v>
      </c>
      <c r="E109" s="27" t="s">
        <v>54</v>
      </c>
      <c r="F109" s="36">
        <v>45859.0</v>
      </c>
      <c r="G109" s="29">
        <v>45889.0</v>
      </c>
      <c r="H109" s="44" t="s">
        <v>135</v>
      </c>
      <c r="I109" s="37">
        <v>23600.0</v>
      </c>
      <c r="J109" s="37">
        <v>23600.0</v>
      </c>
      <c r="K109" s="31">
        <f t="shared" si="19"/>
        <v>0</v>
      </c>
      <c r="L109" s="49"/>
      <c r="M109" s="33"/>
      <c r="N109" s="33"/>
      <c r="O109" s="34">
        <f t="shared" si="4"/>
        <v>0</v>
      </c>
      <c r="P109" s="34"/>
      <c r="Q109" s="34"/>
      <c r="R109" s="34"/>
      <c r="S109" s="34"/>
      <c r="T109" s="34"/>
      <c r="U109" s="34"/>
      <c r="V109" s="34"/>
      <c r="W109" s="34"/>
      <c r="X109" s="34"/>
    </row>
    <row r="110" ht="18.75" customHeight="1">
      <c r="A110" s="17">
        <f t="shared" si="5"/>
        <v>107</v>
      </c>
      <c r="B110" s="25" t="s">
        <v>255</v>
      </c>
      <c r="C110" s="64" t="s">
        <v>256</v>
      </c>
      <c r="D110" s="48" t="s">
        <v>159</v>
      </c>
      <c r="E110" s="27" t="s">
        <v>54</v>
      </c>
      <c r="F110" s="36">
        <v>45860.0</v>
      </c>
      <c r="G110" s="29">
        <v>45890.0</v>
      </c>
      <c r="H110" s="44" t="s">
        <v>135</v>
      </c>
      <c r="I110" s="37">
        <f t="shared" ref="I110:J110" si="25">6000-6000</f>
        <v>0</v>
      </c>
      <c r="J110" s="37">
        <f t="shared" si="25"/>
        <v>0</v>
      </c>
      <c r="K110" s="31">
        <f t="shared" si="19"/>
        <v>0</v>
      </c>
      <c r="L110" s="74" t="s">
        <v>257</v>
      </c>
      <c r="M110" s="33"/>
      <c r="N110" s="33"/>
      <c r="O110" s="34">
        <f t="shared" si="4"/>
        <v>0</v>
      </c>
      <c r="P110" s="34"/>
      <c r="Q110" s="34"/>
      <c r="R110" s="34"/>
      <c r="S110" s="34"/>
      <c r="T110" s="34"/>
      <c r="U110" s="34"/>
      <c r="V110" s="34"/>
      <c r="W110" s="34"/>
      <c r="X110" s="34"/>
    </row>
    <row r="111" ht="18.75" customHeight="1">
      <c r="A111" s="17">
        <f t="shared" si="5"/>
        <v>108</v>
      </c>
      <c r="B111" s="30" t="s">
        <v>258</v>
      </c>
      <c r="C111" s="64" t="s">
        <v>259</v>
      </c>
      <c r="D111" s="48" t="s">
        <v>244</v>
      </c>
      <c r="E111" s="27" t="s">
        <v>27</v>
      </c>
      <c r="F111" s="36">
        <v>45860.0</v>
      </c>
      <c r="G111" s="29">
        <v>45921.0</v>
      </c>
      <c r="H111" s="44" t="s">
        <v>41</v>
      </c>
      <c r="I111" s="37">
        <v>23600.0</v>
      </c>
      <c r="J111" s="37">
        <v>23600.0</v>
      </c>
      <c r="K111" s="31">
        <f t="shared" si="19"/>
        <v>0</v>
      </c>
      <c r="L111" s="49"/>
      <c r="M111" s="33"/>
      <c r="N111" s="33"/>
      <c r="O111" s="34">
        <f t="shared" si="4"/>
        <v>0</v>
      </c>
      <c r="P111" s="34"/>
      <c r="Q111" s="34"/>
      <c r="R111" s="34"/>
      <c r="S111" s="34"/>
      <c r="T111" s="34"/>
      <c r="U111" s="34"/>
      <c r="V111" s="34"/>
      <c r="W111" s="34"/>
      <c r="X111" s="34"/>
    </row>
    <row r="112" ht="18.75" customHeight="1">
      <c r="A112" s="17">
        <f t="shared" si="5"/>
        <v>109</v>
      </c>
      <c r="B112" s="25" t="s">
        <v>260</v>
      </c>
      <c r="C112" s="64" t="s">
        <v>261</v>
      </c>
      <c r="D112" s="48" t="s">
        <v>260</v>
      </c>
      <c r="E112" s="27" t="s">
        <v>54</v>
      </c>
      <c r="F112" s="36">
        <v>45860.0</v>
      </c>
      <c r="G112" s="29">
        <v>45890.0</v>
      </c>
      <c r="H112" s="44" t="s">
        <v>135</v>
      </c>
      <c r="I112" s="37">
        <v>23600.0</v>
      </c>
      <c r="J112" s="37">
        <v>23600.0</v>
      </c>
      <c r="K112" s="31">
        <f t="shared" si="19"/>
        <v>0</v>
      </c>
      <c r="L112" s="49"/>
      <c r="M112" s="33"/>
      <c r="N112" s="33"/>
      <c r="O112" s="34">
        <f t="shared" si="4"/>
        <v>0</v>
      </c>
      <c r="P112" s="34"/>
      <c r="Q112" s="34"/>
      <c r="R112" s="34"/>
      <c r="S112" s="34"/>
      <c r="T112" s="34"/>
      <c r="U112" s="34"/>
      <c r="V112" s="34"/>
      <c r="W112" s="34"/>
      <c r="X112" s="34"/>
    </row>
    <row r="113" ht="18.75" customHeight="1">
      <c r="A113" s="17">
        <f t="shared" si="5"/>
        <v>110</v>
      </c>
      <c r="B113" s="25" t="s">
        <v>262</v>
      </c>
      <c r="C113" s="64" t="s">
        <v>263</v>
      </c>
      <c r="D113" s="48" t="s">
        <v>188</v>
      </c>
      <c r="E113" s="27" t="s">
        <v>27</v>
      </c>
      <c r="F113" s="36">
        <v>45861.0</v>
      </c>
      <c r="G113" s="29"/>
      <c r="H113" s="44"/>
      <c r="I113" s="37">
        <f t="shared" ref="I113:J113" si="26">41300-41300</f>
        <v>0</v>
      </c>
      <c r="J113" s="37">
        <f t="shared" si="26"/>
        <v>0</v>
      </c>
      <c r="K113" s="31">
        <f t="shared" si="19"/>
        <v>0</v>
      </c>
      <c r="L113" s="49"/>
      <c r="M113" s="42" t="s">
        <v>264</v>
      </c>
      <c r="N113" s="33"/>
      <c r="O113" s="34" t="str">
        <f t="shared" si="4"/>
        <v>#VALUE!</v>
      </c>
      <c r="P113" s="34"/>
      <c r="Q113" s="34"/>
      <c r="R113" s="34"/>
      <c r="S113" s="34"/>
      <c r="T113" s="34"/>
      <c r="U113" s="34"/>
      <c r="V113" s="34"/>
      <c r="W113" s="34"/>
      <c r="X113" s="34"/>
    </row>
    <row r="114" ht="18.75" customHeight="1">
      <c r="A114" s="17">
        <f t="shared" si="5"/>
        <v>111</v>
      </c>
      <c r="B114" s="25" t="s">
        <v>226</v>
      </c>
      <c r="C114" s="64" t="s">
        <v>265</v>
      </c>
      <c r="D114" s="26"/>
      <c r="E114" s="27" t="s">
        <v>54</v>
      </c>
      <c r="F114" s="36">
        <v>45864.0</v>
      </c>
      <c r="G114" s="29"/>
      <c r="H114" s="44" t="s">
        <v>135</v>
      </c>
      <c r="I114" s="37">
        <v>1.18</v>
      </c>
      <c r="J114" s="37">
        <v>1.18</v>
      </c>
      <c r="K114" s="31">
        <f t="shared" si="19"/>
        <v>0</v>
      </c>
      <c r="L114" s="49"/>
      <c r="M114" s="33"/>
      <c r="N114" s="33"/>
      <c r="O114" s="34">
        <f t="shared" si="4"/>
        <v>0</v>
      </c>
      <c r="P114" s="34"/>
      <c r="Q114" s="34"/>
      <c r="R114" s="34"/>
      <c r="S114" s="34"/>
      <c r="T114" s="34"/>
      <c r="U114" s="34"/>
      <c r="V114" s="34"/>
      <c r="W114" s="34"/>
      <c r="X114" s="34"/>
    </row>
    <row r="115" ht="18.75" customHeight="1">
      <c r="A115" s="17">
        <f t="shared" si="5"/>
        <v>112</v>
      </c>
      <c r="B115" s="25" t="s">
        <v>266</v>
      </c>
      <c r="C115" s="64" t="s">
        <v>267</v>
      </c>
      <c r="D115" s="48" t="s">
        <v>244</v>
      </c>
      <c r="E115" s="27" t="s">
        <v>27</v>
      </c>
      <c r="F115" s="36">
        <v>45868.0</v>
      </c>
      <c r="G115" s="29">
        <v>45867.0</v>
      </c>
      <c r="H115" s="30" t="s">
        <v>268</v>
      </c>
      <c r="I115" s="37">
        <v>82600.0</v>
      </c>
      <c r="J115" s="37">
        <v>82600.0</v>
      </c>
      <c r="K115" s="31">
        <f t="shared" si="19"/>
        <v>0</v>
      </c>
      <c r="L115" s="49"/>
      <c r="M115" s="33"/>
      <c r="N115" s="33"/>
      <c r="O115" s="34">
        <f t="shared" si="4"/>
        <v>0</v>
      </c>
      <c r="P115" s="34"/>
      <c r="Q115" s="34"/>
      <c r="R115" s="34"/>
      <c r="S115" s="34"/>
      <c r="T115" s="34"/>
      <c r="U115" s="34"/>
      <c r="V115" s="34"/>
      <c r="W115" s="34"/>
      <c r="X115" s="34"/>
    </row>
    <row r="116" ht="18.75" customHeight="1">
      <c r="A116" s="17">
        <f t="shared" si="5"/>
        <v>113</v>
      </c>
      <c r="B116" s="25" t="s">
        <v>269</v>
      </c>
      <c r="C116" s="25" t="s">
        <v>270</v>
      </c>
      <c r="D116" s="48" t="s">
        <v>159</v>
      </c>
      <c r="E116" s="27" t="s">
        <v>27</v>
      </c>
      <c r="F116" s="36">
        <v>45870.0</v>
      </c>
      <c r="G116" s="29">
        <v>45900.0</v>
      </c>
      <c r="H116" s="44" t="s">
        <v>135</v>
      </c>
      <c r="I116" s="37">
        <f t="shared" ref="I116:J116" si="27">10620-6509</f>
        <v>4111</v>
      </c>
      <c r="J116" s="37">
        <f t="shared" si="27"/>
        <v>4111</v>
      </c>
      <c r="K116" s="31">
        <f t="shared" si="19"/>
        <v>0</v>
      </c>
      <c r="L116" s="49"/>
      <c r="M116" s="68" t="s">
        <v>271</v>
      </c>
      <c r="N116" s="71"/>
      <c r="O116" s="34" t="str">
        <f t="shared" si="4"/>
        <v>#VALUE!</v>
      </c>
      <c r="P116" s="34"/>
      <c r="Q116" s="34"/>
      <c r="R116" s="34"/>
      <c r="S116" s="34"/>
      <c r="T116" s="34"/>
      <c r="U116" s="34"/>
      <c r="V116" s="34"/>
      <c r="W116" s="34"/>
      <c r="X116" s="34"/>
    </row>
    <row r="117" ht="18.75" customHeight="1">
      <c r="A117" s="17">
        <f t="shared" si="5"/>
        <v>114</v>
      </c>
      <c r="B117" s="25" t="s">
        <v>272</v>
      </c>
      <c r="C117" s="25" t="s">
        <v>273</v>
      </c>
      <c r="D117" s="26" t="s">
        <v>45</v>
      </c>
      <c r="E117" s="27" t="s">
        <v>54</v>
      </c>
      <c r="F117" s="36">
        <v>45870.0</v>
      </c>
      <c r="G117" s="29">
        <v>45900.0</v>
      </c>
      <c r="H117" s="44" t="s">
        <v>135</v>
      </c>
      <c r="I117" s="37">
        <v>9440.0</v>
      </c>
      <c r="J117" s="37">
        <v>9440.0</v>
      </c>
      <c r="K117" s="31">
        <f t="shared" si="19"/>
        <v>0</v>
      </c>
      <c r="L117" s="49"/>
      <c r="M117" s="33"/>
      <c r="N117" s="33"/>
      <c r="O117" s="34">
        <f t="shared" si="4"/>
        <v>0</v>
      </c>
      <c r="P117" s="34"/>
      <c r="Q117" s="34"/>
      <c r="R117" s="34"/>
      <c r="S117" s="34"/>
      <c r="T117" s="34"/>
      <c r="U117" s="34"/>
      <c r="V117" s="34"/>
      <c r="W117" s="34"/>
      <c r="X117" s="34"/>
    </row>
    <row r="118" ht="18.75" customHeight="1">
      <c r="A118" s="17">
        <f t="shared" si="5"/>
        <v>115</v>
      </c>
      <c r="B118" s="25" t="s">
        <v>274</v>
      </c>
      <c r="C118" s="25" t="s">
        <v>275</v>
      </c>
      <c r="D118" s="35" t="s">
        <v>188</v>
      </c>
      <c r="E118" s="27" t="s">
        <v>27</v>
      </c>
      <c r="F118" s="36">
        <v>45870.0</v>
      </c>
      <c r="G118" s="29"/>
      <c r="H118" s="44"/>
      <c r="I118" s="37">
        <f t="shared" ref="I118:J118" si="28">42480-42480</f>
        <v>0</v>
      </c>
      <c r="J118" s="37">
        <f t="shared" si="28"/>
        <v>0</v>
      </c>
      <c r="K118" s="31">
        <f t="shared" si="19"/>
        <v>0</v>
      </c>
      <c r="L118" s="49"/>
      <c r="M118" s="42" t="s">
        <v>276</v>
      </c>
      <c r="N118" s="33"/>
      <c r="O118" s="34" t="str">
        <f t="shared" si="4"/>
        <v>#VALUE!</v>
      </c>
      <c r="P118" s="34"/>
      <c r="Q118" s="34"/>
      <c r="R118" s="34"/>
      <c r="S118" s="34"/>
      <c r="T118" s="34"/>
      <c r="U118" s="34"/>
      <c r="V118" s="34"/>
      <c r="W118" s="34"/>
      <c r="X118" s="34"/>
    </row>
    <row r="119" ht="18.75" customHeight="1">
      <c r="A119" s="17">
        <f t="shared" si="5"/>
        <v>116</v>
      </c>
      <c r="B119" s="25" t="s">
        <v>226</v>
      </c>
      <c r="C119" s="25" t="s">
        <v>277</v>
      </c>
      <c r="D119" s="26"/>
      <c r="E119" s="27" t="s">
        <v>54</v>
      </c>
      <c r="F119" s="36">
        <v>45872.0</v>
      </c>
      <c r="G119" s="29"/>
      <c r="H119" s="44" t="s">
        <v>135</v>
      </c>
      <c r="I119" s="37">
        <v>1.18</v>
      </c>
      <c r="J119" s="37">
        <v>1.18</v>
      </c>
      <c r="K119" s="31">
        <f t="shared" si="19"/>
        <v>0</v>
      </c>
      <c r="L119" s="32"/>
      <c r="M119" s="33"/>
      <c r="N119" s="33"/>
      <c r="O119" s="34">
        <f t="shared" si="4"/>
        <v>0</v>
      </c>
      <c r="P119" s="34"/>
      <c r="Q119" s="34"/>
      <c r="R119" s="34"/>
      <c r="S119" s="34"/>
      <c r="T119" s="34"/>
      <c r="U119" s="34"/>
      <c r="V119" s="34"/>
      <c r="W119" s="34"/>
      <c r="X119" s="34"/>
    </row>
    <row r="120" ht="18.75" customHeight="1">
      <c r="A120" s="17">
        <f t="shared" si="5"/>
        <v>117</v>
      </c>
      <c r="B120" s="25" t="s">
        <v>278</v>
      </c>
      <c r="C120" s="25" t="s">
        <v>279</v>
      </c>
      <c r="D120" s="75" t="s">
        <v>31</v>
      </c>
      <c r="E120" s="27" t="s">
        <v>54</v>
      </c>
      <c r="F120" s="36">
        <v>45874.0</v>
      </c>
      <c r="G120" s="29">
        <v>45904.0</v>
      </c>
      <c r="H120" s="44" t="s">
        <v>135</v>
      </c>
      <c r="I120" s="37">
        <v>5900.0</v>
      </c>
      <c r="J120" s="37">
        <v>5900.0</v>
      </c>
      <c r="K120" s="31">
        <f t="shared" si="19"/>
        <v>0</v>
      </c>
      <c r="L120" s="49"/>
      <c r="M120" s="33"/>
      <c r="N120" s="33"/>
      <c r="O120" s="34">
        <f t="shared" si="4"/>
        <v>0</v>
      </c>
      <c r="P120" s="34"/>
      <c r="Q120" s="34"/>
      <c r="R120" s="34"/>
      <c r="S120" s="34"/>
      <c r="T120" s="34"/>
      <c r="U120" s="34"/>
      <c r="V120" s="34"/>
      <c r="W120" s="34"/>
      <c r="X120" s="34"/>
    </row>
    <row r="121" ht="18.75" customHeight="1">
      <c r="A121" s="17">
        <f t="shared" si="5"/>
        <v>118</v>
      </c>
      <c r="B121" s="25" t="s">
        <v>280</v>
      </c>
      <c r="C121" s="25" t="s">
        <v>281</v>
      </c>
      <c r="D121" s="26" t="s">
        <v>45</v>
      </c>
      <c r="E121" s="27" t="s">
        <v>54</v>
      </c>
      <c r="F121" s="36">
        <v>45875.0</v>
      </c>
      <c r="G121" s="29">
        <v>45905.0</v>
      </c>
      <c r="H121" s="44" t="s">
        <v>135</v>
      </c>
      <c r="I121" s="37">
        <v>23600.0</v>
      </c>
      <c r="J121" s="37">
        <v>23600.0</v>
      </c>
      <c r="K121" s="31">
        <f t="shared" si="19"/>
        <v>0</v>
      </c>
      <c r="L121" s="49"/>
      <c r="M121" s="33"/>
      <c r="N121" s="33"/>
      <c r="O121" s="34">
        <f t="shared" si="4"/>
        <v>0</v>
      </c>
      <c r="P121" s="34"/>
      <c r="Q121" s="34"/>
      <c r="R121" s="34"/>
      <c r="S121" s="34"/>
      <c r="T121" s="34"/>
      <c r="U121" s="34"/>
      <c r="V121" s="34"/>
      <c r="W121" s="34"/>
      <c r="X121" s="34"/>
    </row>
    <row r="122" ht="18.75" customHeight="1">
      <c r="A122" s="17">
        <f t="shared" si="5"/>
        <v>119</v>
      </c>
      <c r="B122" s="25" t="s">
        <v>282</v>
      </c>
      <c r="C122" s="25" t="s">
        <v>283</v>
      </c>
      <c r="D122" s="26" t="s">
        <v>159</v>
      </c>
      <c r="E122" s="27" t="s">
        <v>27</v>
      </c>
      <c r="F122" s="36">
        <v>45882.0</v>
      </c>
      <c r="G122" s="29">
        <v>45973.0</v>
      </c>
      <c r="H122" s="44" t="s">
        <v>48</v>
      </c>
      <c r="I122" s="37">
        <v>35400.0</v>
      </c>
      <c r="J122" s="37">
        <v>35400.0</v>
      </c>
      <c r="K122" s="31">
        <f t="shared" si="19"/>
        <v>0</v>
      </c>
      <c r="L122" s="49"/>
      <c r="M122" s="33"/>
      <c r="N122" s="33"/>
      <c r="O122" s="34"/>
      <c r="P122" s="34"/>
      <c r="Q122" s="34"/>
      <c r="R122" s="34"/>
      <c r="S122" s="34"/>
      <c r="T122" s="34"/>
      <c r="U122" s="34"/>
      <c r="V122" s="34"/>
      <c r="W122" s="34"/>
      <c r="X122" s="34"/>
    </row>
    <row r="123" ht="18.75" customHeight="1">
      <c r="A123" s="17">
        <f t="shared" si="5"/>
        <v>120</v>
      </c>
      <c r="B123" s="25" t="s">
        <v>284</v>
      </c>
      <c r="C123" s="25" t="s">
        <v>285</v>
      </c>
      <c r="D123" s="26" t="s">
        <v>188</v>
      </c>
      <c r="E123" s="27" t="s">
        <v>27</v>
      </c>
      <c r="F123" s="36">
        <v>45883.0</v>
      </c>
      <c r="G123" s="29">
        <v>45913.0</v>
      </c>
      <c r="H123" s="44" t="s">
        <v>55</v>
      </c>
      <c r="I123" s="37">
        <v>10000.0</v>
      </c>
      <c r="J123" s="37">
        <v>10000.0</v>
      </c>
      <c r="K123" s="31">
        <f t="shared" si="19"/>
        <v>0</v>
      </c>
      <c r="L123" s="49"/>
      <c r="M123" s="33"/>
      <c r="N123" s="33"/>
      <c r="O123" s="34"/>
      <c r="P123" s="34"/>
      <c r="Q123" s="34"/>
      <c r="R123" s="34"/>
      <c r="S123" s="34"/>
      <c r="T123" s="34"/>
      <c r="U123" s="34"/>
      <c r="V123" s="34"/>
      <c r="W123" s="34"/>
      <c r="X123" s="34"/>
    </row>
    <row r="124" ht="18.75" customHeight="1">
      <c r="A124" s="17">
        <f t="shared" si="5"/>
        <v>121</v>
      </c>
      <c r="B124" s="25" t="s">
        <v>286</v>
      </c>
      <c r="C124" s="25" t="s">
        <v>287</v>
      </c>
      <c r="D124" s="76" t="s">
        <v>288</v>
      </c>
      <c r="E124" s="27" t="s">
        <v>27</v>
      </c>
      <c r="F124" s="28">
        <v>45637.0</v>
      </c>
      <c r="G124" s="29">
        <v>46002.0</v>
      </c>
      <c r="H124" s="30" t="s">
        <v>28</v>
      </c>
      <c r="I124" s="25">
        <f t="shared" ref="I124:J124" si="29">5000*12</f>
        <v>60000</v>
      </c>
      <c r="J124" s="25">
        <f t="shared" si="29"/>
        <v>60000</v>
      </c>
      <c r="K124" s="31">
        <f t="shared" si="19"/>
        <v>0</v>
      </c>
      <c r="L124" s="77">
        <v>45973.0</v>
      </c>
      <c r="M124" s="33"/>
      <c r="N124" s="33"/>
      <c r="O124" s="34">
        <f t="shared" ref="O124:O263" si="31">M124+N124</f>
        <v>0</v>
      </c>
      <c r="P124" s="34"/>
      <c r="Q124" s="34"/>
      <c r="R124" s="34"/>
      <c r="S124" s="34"/>
      <c r="T124" s="34"/>
      <c r="U124" s="34"/>
      <c r="V124" s="34"/>
      <c r="W124" s="34"/>
      <c r="X124" s="34"/>
    </row>
    <row r="125" ht="18.75" customHeight="1">
      <c r="A125" s="17">
        <f t="shared" si="5"/>
        <v>122</v>
      </c>
      <c r="B125" s="25" t="s">
        <v>289</v>
      </c>
      <c r="C125" s="25" t="s">
        <v>290</v>
      </c>
      <c r="D125" s="48" t="s">
        <v>45</v>
      </c>
      <c r="E125" s="27" t="s">
        <v>27</v>
      </c>
      <c r="F125" s="36">
        <v>45645.0</v>
      </c>
      <c r="G125" s="29">
        <v>46022.0</v>
      </c>
      <c r="H125" s="44" t="s">
        <v>291</v>
      </c>
      <c r="I125" s="37">
        <f t="shared" ref="I125:J125" si="30">60000*2</f>
        <v>120000</v>
      </c>
      <c r="J125" s="37">
        <f t="shared" si="30"/>
        <v>120000</v>
      </c>
      <c r="K125" s="31">
        <f t="shared" si="19"/>
        <v>0</v>
      </c>
      <c r="L125" s="32"/>
      <c r="M125" s="33"/>
      <c r="N125" s="33"/>
      <c r="O125" s="34">
        <f t="shared" si="31"/>
        <v>0</v>
      </c>
      <c r="P125" s="34"/>
      <c r="Q125" s="34"/>
      <c r="R125" s="34"/>
      <c r="S125" s="34"/>
      <c r="T125" s="34"/>
      <c r="U125" s="34"/>
      <c r="V125" s="34"/>
      <c r="W125" s="34"/>
      <c r="X125" s="34"/>
    </row>
    <row r="126" ht="18.75" customHeight="1">
      <c r="A126" s="17">
        <f t="shared" si="5"/>
        <v>123</v>
      </c>
      <c r="B126" s="25" t="s">
        <v>292</v>
      </c>
      <c r="C126" s="25" t="s">
        <v>293</v>
      </c>
      <c r="D126" s="48" t="s">
        <v>31</v>
      </c>
      <c r="E126" s="27" t="s">
        <v>27</v>
      </c>
      <c r="F126" s="36">
        <v>45651.0</v>
      </c>
      <c r="G126" s="29">
        <v>46016.0</v>
      </c>
      <c r="H126" s="41" t="s">
        <v>294</v>
      </c>
      <c r="I126" s="37">
        <f t="shared" ref="I126:J126" si="32">36900*4</f>
        <v>147600</v>
      </c>
      <c r="J126" s="37">
        <f t="shared" si="32"/>
        <v>147600</v>
      </c>
      <c r="K126" s="31">
        <f t="shared" si="19"/>
        <v>0</v>
      </c>
      <c r="L126" s="32"/>
      <c r="M126" s="33"/>
      <c r="N126" s="33"/>
      <c r="O126" s="34">
        <f t="shared" si="31"/>
        <v>0</v>
      </c>
      <c r="P126" s="34"/>
      <c r="Q126" s="34"/>
      <c r="R126" s="34"/>
      <c r="S126" s="34"/>
      <c r="T126" s="34"/>
      <c r="U126" s="34"/>
      <c r="V126" s="34"/>
      <c r="W126" s="34"/>
      <c r="X126" s="34"/>
    </row>
    <row r="127" ht="18.75" customHeight="1">
      <c r="A127" s="17">
        <f t="shared" si="5"/>
        <v>124</v>
      </c>
      <c r="B127" s="25" t="s">
        <v>295</v>
      </c>
      <c r="C127" s="25" t="s">
        <v>296</v>
      </c>
      <c r="D127" s="26"/>
      <c r="E127" s="27" t="s">
        <v>27</v>
      </c>
      <c r="F127" s="36">
        <v>45687.0</v>
      </c>
      <c r="G127" s="29">
        <v>46052.0</v>
      </c>
      <c r="H127" s="44" t="s">
        <v>297</v>
      </c>
      <c r="I127" s="55">
        <f>53000*2+50000-109197.2</f>
        <v>46802.8</v>
      </c>
      <c r="J127" s="55">
        <f>50000+53000+53000-109197.2</f>
        <v>46802.8</v>
      </c>
      <c r="K127" s="31">
        <f t="shared" si="19"/>
        <v>0</v>
      </c>
      <c r="L127" s="32"/>
      <c r="M127" s="33"/>
      <c r="N127" s="33"/>
      <c r="O127" s="34">
        <f t="shared" si="31"/>
        <v>0</v>
      </c>
      <c r="P127" s="34"/>
      <c r="Q127" s="34"/>
      <c r="R127" s="34"/>
      <c r="S127" s="34"/>
      <c r="T127" s="34"/>
      <c r="U127" s="34"/>
      <c r="V127" s="34"/>
      <c r="W127" s="34"/>
      <c r="X127" s="34"/>
    </row>
    <row r="128" ht="18.75" customHeight="1">
      <c r="A128" s="17">
        <f t="shared" si="5"/>
        <v>125</v>
      </c>
      <c r="B128" s="25" t="s">
        <v>298</v>
      </c>
      <c r="C128" s="25" t="s">
        <v>299</v>
      </c>
      <c r="D128" s="35" t="s">
        <v>45</v>
      </c>
      <c r="E128" s="27" t="s">
        <v>27</v>
      </c>
      <c r="F128" s="36">
        <v>45692.0</v>
      </c>
      <c r="G128" s="29">
        <v>46056.0</v>
      </c>
      <c r="H128" s="41" t="s">
        <v>294</v>
      </c>
      <c r="I128" s="37">
        <f>109197.2*4</f>
        <v>436788.8</v>
      </c>
      <c r="J128" s="37">
        <f>109197.2*3</f>
        <v>327591.6</v>
      </c>
      <c r="K128" s="31">
        <f t="shared" si="19"/>
        <v>109197.2</v>
      </c>
      <c r="L128" s="78">
        <v>45980.0</v>
      </c>
      <c r="M128" s="42" t="s">
        <v>300</v>
      </c>
      <c r="N128" s="33"/>
      <c r="O128" s="34" t="str">
        <f t="shared" si="31"/>
        <v>#VALUE!</v>
      </c>
      <c r="P128" s="34"/>
      <c r="Q128" s="34"/>
      <c r="R128" s="34"/>
      <c r="S128" s="34"/>
      <c r="T128" s="34"/>
      <c r="U128" s="34"/>
      <c r="V128" s="34"/>
      <c r="W128" s="34"/>
      <c r="X128" s="34"/>
    </row>
    <row r="129" ht="18.75" customHeight="1">
      <c r="A129" s="17">
        <f t="shared" si="5"/>
        <v>126</v>
      </c>
      <c r="B129" s="38" t="s">
        <v>301</v>
      </c>
      <c r="C129" s="46" t="s">
        <v>302</v>
      </c>
      <c r="D129" s="73" t="s">
        <v>31</v>
      </c>
      <c r="E129" s="39" t="s">
        <v>27</v>
      </c>
      <c r="F129" s="40">
        <v>45723.0</v>
      </c>
      <c r="G129" s="29">
        <v>46087.0</v>
      </c>
      <c r="H129" s="30" t="s">
        <v>28</v>
      </c>
      <c r="I129" s="79">
        <f>20000*12</f>
        <v>240000</v>
      </c>
      <c r="J129" s="79">
        <f>20000*10</f>
        <v>200000</v>
      </c>
      <c r="K129" s="38">
        <f t="shared" si="19"/>
        <v>40000</v>
      </c>
      <c r="L129" s="32">
        <v>45998.0</v>
      </c>
      <c r="M129" s="33"/>
      <c r="N129" s="33"/>
      <c r="O129" s="34">
        <f t="shared" si="31"/>
        <v>0</v>
      </c>
      <c r="P129" s="34"/>
      <c r="Q129" s="34"/>
      <c r="R129" s="34"/>
      <c r="S129" s="34"/>
      <c r="T129" s="34"/>
      <c r="U129" s="34"/>
      <c r="V129" s="34"/>
      <c r="W129" s="34"/>
      <c r="X129" s="34"/>
    </row>
    <row r="130" ht="18.75" customHeight="1">
      <c r="A130" s="17">
        <f t="shared" si="5"/>
        <v>127</v>
      </c>
      <c r="B130" s="46" t="s">
        <v>303</v>
      </c>
      <c r="C130" s="25" t="s">
        <v>304</v>
      </c>
      <c r="D130" s="35" t="s">
        <v>45</v>
      </c>
      <c r="E130" s="27" t="s">
        <v>27</v>
      </c>
      <c r="F130" s="36">
        <v>45728.0</v>
      </c>
      <c r="G130" s="29">
        <v>46124.0</v>
      </c>
      <c r="H130" s="30" t="s">
        <v>305</v>
      </c>
      <c r="I130" s="59">
        <f>11800*13</f>
        <v>153400</v>
      </c>
      <c r="J130" s="59">
        <f>11800*8</f>
        <v>94400</v>
      </c>
      <c r="K130" s="31">
        <f t="shared" si="19"/>
        <v>59000</v>
      </c>
      <c r="L130" s="32">
        <v>46003.0</v>
      </c>
      <c r="M130" s="33"/>
      <c r="N130" s="33"/>
      <c r="O130" s="34">
        <f t="shared" si="31"/>
        <v>0</v>
      </c>
      <c r="P130" s="34"/>
      <c r="Q130" s="34"/>
      <c r="R130" s="34"/>
      <c r="S130" s="34"/>
      <c r="T130" s="34"/>
      <c r="U130" s="34"/>
      <c r="V130" s="34"/>
      <c r="W130" s="34"/>
      <c r="X130" s="34"/>
    </row>
    <row r="131" ht="18.75" customHeight="1">
      <c r="A131" s="17">
        <f t="shared" si="5"/>
        <v>128</v>
      </c>
      <c r="B131" s="25" t="s">
        <v>306</v>
      </c>
      <c r="C131" s="25" t="s">
        <v>307</v>
      </c>
      <c r="D131" s="26"/>
      <c r="E131" s="27" t="s">
        <v>27</v>
      </c>
      <c r="F131" s="36">
        <v>45744.0</v>
      </c>
      <c r="G131" s="29">
        <v>46109.0</v>
      </c>
      <c r="H131" s="44" t="s">
        <v>268</v>
      </c>
      <c r="I131" s="60">
        <v>203904.0</v>
      </c>
      <c r="J131" s="25">
        <v>203904.0</v>
      </c>
      <c r="K131" s="31">
        <f t="shared" si="19"/>
        <v>0</v>
      </c>
      <c r="L131" s="49"/>
      <c r="M131" s="33"/>
      <c r="N131" s="33"/>
      <c r="O131" s="34">
        <f t="shared" si="31"/>
        <v>0</v>
      </c>
      <c r="P131" s="34"/>
      <c r="Q131" s="34"/>
      <c r="R131" s="34"/>
      <c r="S131" s="34"/>
      <c r="T131" s="34"/>
      <c r="U131" s="34"/>
      <c r="V131" s="34"/>
      <c r="W131" s="34"/>
      <c r="X131" s="34"/>
    </row>
    <row r="132" ht="18.75" customHeight="1">
      <c r="A132" s="17">
        <f t="shared" si="5"/>
        <v>129</v>
      </c>
      <c r="B132" s="25" t="s">
        <v>308</v>
      </c>
      <c r="C132" s="25" t="s">
        <v>309</v>
      </c>
      <c r="D132" s="26"/>
      <c r="E132" s="27" t="s">
        <v>27</v>
      </c>
      <c r="F132" s="36">
        <v>45744.0</v>
      </c>
      <c r="G132" s="29">
        <v>46109.0</v>
      </c>
      <c r="H132" s="44" t="s">
        <v>268</v>
      </c>
      <c r="I132" s="37">
        <v>318600.0</v>
      </c>
      <c r="J132" s="37">
        <v>318600.0</v>
      </c>
      <c r="K132" s="31">
        <f t="shared" si="19"/>
        <v>0</v>
      </c>
      <c r="L132" s="49"/>
      <c r="M132" s="33"/>
      <c r="N132" s="33"/>
      <c r="O132" s="34">
        <f t="shared" si="31"/>
        <v>0</v>
      </c>
      <c r="P132" s="34"/>
      <c r="Q132" s="34"/>
      <c r="R132" s="34"/>
      <c r="S132" s="34"/>
      <c r="T132" s="34"/>
      <c r="U132" s="34"/>
      <c r="V132" s="34"/>
      <c r="W132" s="34"/>
      <c r="X132" s="34"/>
    </row>
    <row r="133" ht="18.75" customHeight="1">
      <c r="A133" s="17">
        <f t="shared" si="5"/>
        <v>130</v>
      </c>
      <c r="B133" s="38" t="s">
        <v>310</v>
      </c>
      <c r="C133" s="25" t="s">
        <v>311</v>
      </c>
      <c r="D133" s="26"/>
      <c r="E133" s="39" t="s">
        <v>27</v>
      </c>
      <c r="F133" s="43">
        <v>45750.0</v>
      </c>
      <c r="G133" s="29">
        <v>46114.0</v>
      </c>
      <c r="H133" s="30" t="s">
        <v>268</v>
      </c>
      <c r="I133" s="31">
        <v>116820.0</v>
      </c>
      <c r="J133" s="31">
        <f t="shared" ref="J133:J135" si="33">I133</f>
        <v>116820</v>
      </c>
      <c r="K133" s="31">
        <f t="shared" si="19"/>
        <v>0</v>
      </c>
      <c r="L133" s="45"/>
      <c r="M133" s="33"/>
      <c r="N133" s="33"/>
      <c r="O133" s="34">
        <f t="shared" si="31"/>
        <v>0</v>
      </c>
      <c r="P133" s="34"/>
      <c r="Q133" s="34"/>
      <c r="R133" s="34"/>
      <c r="S133" s="34"/>
      <c r="T133" s="34"/>
      <c r="U133" s="34"/>
      <c r="V133" s="34"/>
      <c r="W133" s="34"/>
      <c r="X133" s="34"/>
    </row>
    <row r="134" ht="18.75" customHeight="1">
      <c r="A134" s="17">
        <f t="shared" si="5"/>
        <v>131</v>
      </c>
      <c r="B134" s="38" t="s">
        <v>312</v>
      </c>
      <c r="C134" s="25" t="s">
        <v>313</v>
      </c>
      <c r="D134" s="26"/>
      <c r="E134" s="39" t="s">
        <v>27</v>
      </c>
      <c r="F134" s="43">
        <v>45755.0</v>
      </c>
      <c r="G134" s="29">
        <v>46119.0</v>
      </c>
      <c r="H134" s="30" t="s">
        <v>268</v>
      </c>
      <c r="I134" s="38">
        <f>60000*118%</f>
        <v>70800</v>
      </c>
      <c r="J134" s="38">
        <f t="shared" si="33"/>
        <v>70800</v>
      </c>
      <c r="K134" s="38">
        <f t="shared" si="19"/>
        <v>0</v>
      </c>
      <c r="L134" s="45"/>
      <c r="M134" s="33"/>
      <c r="N134" s="33"/>
      <c r="O134" s="34">
        <f t="shared" si="31"/>
        <v>0</v>
      </c>
      <c r="P134" s="34"/>
      <c r="Q134" s="34"/>
      <c r="R134" s="34"/>
      <c r="S134" s="34"/>
      <c r="T134" s="34"/>
      <c r="U134" s="34"/>
      <c r="V134" s="34"/>
      <c r="W134" s="34"/>
      <c r="X134" s="34"/>
    </row>
    <row r="135" ht="18.75" customHeight="1">
      <c r="A135" s="17">
        <f t="shared" si="5"/>
        <v>132</v>
      </c>
      <c r="B135" s="38" t="s">
        <v>314</v>
      </c>
      <c r="C135" s="25" t="s">
        <v>315</v>
      </c>
      <c r="D135" s="26"/>
      <c r="E135" s="39" t="s">
        <v>27</v>
      </c>
      <c r="F135" s="43">
        <v>45757.0</v>
      </c>
      <c r="G135" s="29">
        <v>46121.0</v>
      </c>
      <c r="H135" s="30" t="s">
        <v>268</v>
      </c>
      <c r="I135" s="38">
        <v>177015.0</v>
      </c>
      <c r="J135" s="38">
        <f t="shared" si="33"/>
        <v>177015</v>
      </c>
      <c r="K135" s="38">
        <f t="shared" si="19"/>
        <v>0</v>
      </c>
      <c r="L135" s="45"/>
      <c r="M135" s="33"/>
      <c r="N135" s="33"/>
      <c r="O135" s="34">
        <f t="shared" si="31"/>
        <v>0</v>
      </c>
      <c r="P135" s="34"/>
      <c r="Q135" s="34"/>
      <c r="R135" s="34"/>
      <c r="S135" s="34"/>
      <c r="T135" s="34"/>
      <c r="U135" s="34"/>
      <c r="V135" s="34"/>
      <c r="W135" s="34"/>
      <c r="X135" s="34"/>
    </row>
    <row r="136" ht="18.75" customHeight="1">
      <c r="A136" s="17">
        <f t="shared" si="5"/>
        <v>133</v>
      </c>
      <c r="B136" s="25" t="s">
        <v>316</v>
      </c>
      <c r="C136" s="25" t="s">
        <v>317</v>
      </c>
      <c r="D136" s="48" t="s">
        <v>140</v>
      </c>
      <c r="E136" s="27" t="s">
        <v>27</v>
      </c>
      <c r="F136" s="36">
        <v>45757.0</v>
      </c>
      <c r="G136" s="29">
        <v>46121.0</v>
      </c>
      <c r="H136" s="30" t="s">
        <v>28</v>
      </c>
      <c r="I136" s="55">
        <f>10300*12</f>
        <v>123600</v>
      </c>
      <c r="J136" s="25">
        <f>10300*8</f>
        <v>82400</v>
      </c>
      <c r="K136" s="31">
        <f t="shared" si="19"/>
        <v>41200</v>
      </c>
      <c r="L136" s="32">
        <v>46001.0</v>
      </c>
      <c r="M136" s="33"/>
      <c r="N136" s="33"/>
      <c r="O136" s="34">
        <f t="shared" si="31"/>
        <v>0</v>
      </c>
      <c r="P136" s="34"/>
      <c r="Q136" s="34"/>
      <c r="R136" s="34"/>
      <c r="S136" s="34"/>
      <c r="T136" s="34"/>
      <c r="U136" s="34"/>
      <c r="V136" s="34"/>
      <c r="W136" s="34"/>
      <c r="X136" s="34"/>
    </row>
    <row r="137" ht="18.75" customHeight="1">
      <c r="A137" s="17">
        <f t="shared" si="5"/>
        <v>134</v>
      </c>
      <c r="B137" s="38" t="s">
        <v>318</v>
      </c>
      <c r="C137" s="25" t="s">
        <v>319</v>
      </c>
      <c r="D137" s="26"/>
      <c r="E137" s="39" t="s">
        <v>27</v>
      </c>
      <c r="F137" s="43">
        <v>45761.0</v>
      </c>
      <c r="G137" s="29">
        <v>46125.0</v>
      </c>
      <c r="H137" s="30" t="s">
        <v>268</v>
      </c>
      <c r="I137" s="37">
        <v>259601.13</v>
      </c>
      <c r="J137" s="37">
        <v>259601.13</v>
      </c>
      <c r="K137" s="31">
        <f t="shared" si="19"/>
        <v>0</v>
      </c>
      <c r="L137" s="45"/>
      <c r="M137" s="80"/>
      <c r="N137" s="80"/>
      <c r="O137" s="34">
        <f t="shared" si="31"/>
        <v>0</v>
      </c>
      <c r="P137" s="34"/>
      <c r="Q137" s="34"/>
      <c r="R137" s="34"/>
      <c r="S137" s="34"/>
      <c r="T137" s="34"/>
      <c r="U137" s="34"/>
      <c r="V137" s="34"/>
      <c r="W137" s="34"/>
      <c r="X137" s="34"/>
    </row>
    <row r="138" ht="18.75" customHeight="1">
      <c r="A138" s="17">
        <f t="shared" si="5"/>
        <v>135</v>
      </c>
      <c r="B138" s="38" t="s">
        <v>320</v>
      </c>
      <c r="C138" s="25" t="s">
        <v>321</v>
      </c>
      <c r="D138" s="26"/>
      <c r="E138" s="39" t="s">
        <v>27</v>
      </c>
      <c r="F138" s="43">
        <v>45762.0</v>
      </c>
      <c r="G138" s="29">
        <v>46126.0</v>
      </c>
      <c r="H138" s="44" t="s">
        <v>55</v>
      </c>
      <c r="I138" s="38">
        <f t="shared" ref="I138:J138" si="34">5900*1</f>
        <v>5900</v>
      </c>
      <c r="J138" s="38">
        <f t="shared" si="34"/>
        <v>5900</v>
      </c>
      <c r="K138" s="38">
        <f t="shared" si="19"/>
        <v>0</v>
      </c>
      <c r="L138" s="32"/>
      <c r="M138" s="42" t="s">
        <v>322</v>
      </c>
      <c r="N138" s="33"/>
      <c r="O138" s="34" t="str">
        <f t="shared" si="31"/>
        <v>#VALUE!</v>
      </c>
      <c r="P138" s="34"/>
      <c r="Q138" s="34"/>
      <c r="R138" s="34"/>
      <c r="S138" s="34"/>
      <c r="T138" s="34"/>
      <c r="U138" s="34"/>
      <c r="V138" s="34"/>
      <c r="W138" s="34"/>
      <c r="X138" s="34"/>
    </row>
    <row r="139" ht="18.75" customHeight="1">
      <c r="A139" s="17">
        <f t="shared" si="5"/>
        <v>136</v>
      </c>
      <c r="B139" s="38" t="s">
        <v>323</v>
      </c>
      <c r="C139" s="25" t="s">
        <v>324</v>
      </c>
      <c r="D139" s="35" t="s">
        <v>45</v>
      </c>
      <c r="E139" s="39" t="s">
        <v>27</v>
      </c>
      <c r="F139" s="43">
        <v>45762.0</v>
      </c>
      <c r="G139" s="29">
        <v>46126.0</v>
      </c>
      <c r="H139" s="30" t="s">
        <v>28</v>
      </c>
      <c r="I139" s="38">
        <f>20000*12</f>
        <v>240000</v>
      </c>
      <c r="J139" s="38">
        <f>20000*8</f>
        <v>160000</v>
      </c>
      <c r="K139" s="38">
        <f t="shared" si="19"/>
        <v>80000</v>
      </c>
      <c r="L139" s="32">
        <v>45976.0</v>
      </c>
      <c r="M139" s="33"/>
      <c r="N139" s="33"/>
      <c r="O139" s="34">
        <f t="shared" si="31"/>
        <v>0</v>
      </c>
      <c r="P139" s="34"/>
      <c r="Q139" s="34"/>
      <c r="R139" s="34"/>
      <c r="S139" s="34"/>
      <c r="T139" s="34"/>
      <c r="U139" s="34"/>
      <c r="V139" s="34"/>
      <c r="W139" s="34"/>
      <c r="X139" s="34"/>
    </row>
    <row r="140" ht="18.75" customHeight="1">
      <c r="A140" s="17">
        <f t="shared" si="5"/>
        <v>137</v>
      </c>
      <c r="B140" s="25" t="s">
        <v>325</v>
      </c>
      <c r="C140" s="51" t="s">
        <v>326</v>
      </c>
      <c r="D140" s="26"/>
      <c r="E140" s="52" t="s">
        <v>27</v>
      </c>
      <c r="F140" s="28">
        <v>45769.0</v>
      </c>
      <c r="G140" s="29">
        <v>46133.0</v>
      </c>
      <c r="H140" s="44" t="s">
        <v>268</v>
      </c>
      <c r="I140" s="25">
        <v>175000.0</v>
      </c>
      <c r="J140" s="25">
        <v>175000.0</v>
      </c>
      <c r="K140" s="38">
        <f t="shared" si="19"/>
        <v>0</v>
      </c>
      <c r="L140" s="49"/>
      <c r="M140" s="33"/>
      <c r="N140" s="33"/>
      <c r="O140" s="34">
        <f t="shared" si="31"/>
        <v>0</v>
      </c>
      <c r="P140" s="34"/>
      <c r="Q140" s="34"/>
      <c r="R140" s="34"/>
      <c r="S140" s="34"/>
      <c r="T140" s="34"/>
      <c r="U140" s="34"/>
      <c r="V140" s="34"/>
      <c r="W140" s="34"/>
      <c r="X140" s="34"/>
    </row>
    <row r="141" ht="18.75" customHeight="1">
      <c r="A141" s="17">
        <f t="shared" si="5"/>
        <v>138</v>
      </c>
      <c r="B141" s="41" t="s">
        <v>327</v>
      </c>
      <c r="C141" s="25" t="s">
        <v>328</v>
      </c>
      <c r="D141" s="26"/>
      <c r="E141" s="27" t="s">
        <v>27</v>
      </c>
      <c r="F141" s="36">
        <v>45772.0</v>
      </c>
      <c r="G141" s="29">
        <v>46136.0</v>
      </c>
      <c r="H141" s="44" t="s">
        <v>268</v>
      </c>
      <c r="I141" s="56">
        <v>203904.0</v>
      </c>
      <c r="J141" s="56">
        <v>203904.0</v>
      </c>
      <c r="K141" s="81">
        <f t="shared" si="19"/>
        <v>0</v>
      </c>
      <c r="L141" s="32"/>
      <c r="M141" s="33"/>
      <c r="N141" s="33"/>
      <c r="O141" s="34">
        <f t="shared" si="31"/>
        <v>0</v>
      </c>
      <c r="P141" s="34"/>
      <c r="Q141" s="34"/>
      <c r="R141" s="34"/>
      <c r="S141" s="34"/>
      <c r="T141" s="34"/>
      <c r="U141" s="34"/>
      <c r="V141" s="34"/>
      <c r="W141" s="34"/>
      <c r="X141" s="34"/>
    </row>
    <row r="142" ht="18.75" customHeight="1">
      <c r="A142" s="17">
        <f t="shared" si="5"/>
        <v>139</v>
      </c>
      <c r="B142" s="25" t="s">
        <v>329</v>
      </c>
      <c r="C142" s="25" t="s">
        <v>330</v>
      </c>
      <c r="D142" s="26"/>
      <c r="E142" s="27" t="s">
        <v>27</v>
      </c>
      <c r="F142" s="36">
        <v>45772.0</v>
      </c>
      <c r="G142" s="29">
        <v>46136.0</v>
      </c>
      <c r="H142" s="44" t="s">
        <v>268</v>
      </c>
      <c r="I142" s="60">
        <v>25488.0</v>
      </c>
      <c r="J142" s="60">
        <v>25488.0</v>
      </c>
      <c r="K142" s="81">
        <f t="shared" si="19"/>
        <v>0</v>
      </c>
      <c r="L142" s="49"/>
      <c r="M142" s="33"/>
      <c r="N142" s="33"/>
      <c r="O142" s="34">
        <f t="shared" si="31"/>
        <v>0</v>
      </c>
      <c r="P142" s="34"/>
      <c r="Q142" s="34"/>
      <c r="R142" s="34"/>
      <c r="S142" s="34"/>
      <c r="T142" s="34"/>
      <c r="U142" s="34"/>
      <c r="V142" s="34"/>
      <c r="W142" s="34"/>
      <c r="X142" s="34"/>
    </row>
    <row r="143" ht="18.75" customHeight="1">
      <c r="A143" s="17">
        <f t="shared" si="5"/>
        <v>140</v>
      </c>
      <c r="B143" s="25" t="s">
        <v>331</v>
      </c>
      <c r="C143" s="25" t="s">
        <v>332</v>
      </c>
      <c r="D143" s="26"/>
      <c r="E143" s="27" t="s">
        <v>27</v>
      </c>
      <c r="F143" s="36">
        <v>45772.0</v>
      </c>
      <c r="G143" s="29">
        <v>46136.0</v>
      </c>
      <c r="H143" s="44" t="s">
        <v>268</v>
      </c>
      <c r="I143" s="60">
        <v>25488.0</v>
      </c>
      <c r="J143" s="60">
        <v>25488.0</v>
      </c>
      <c r="K143" s="81">
        <f t="shared" si="19"/>
        <v>0</v>
      </c>
      <c r="L143" s="49"/>
      <c r="M143" s="33"/>
      <c r="N143" s="33"/>
      <c r="O143" s="34">
        <f t="shared" si="31"/>
        <v>0</v>
      </c>
      <c r="P143" s="34"/>
      <c r="Q143" s="34"/>
      <c r="R143" s="34"/>
      <c r="S143" s="34"/>
      <c r="T143" s="34"/>
      <c r="U143" s="34"/>
      <c r="V143" s="34"/>
      <c r="W143" s="34"/>
      <c r="X143" s="34"/>
    </row>
    <row r="144" ht="18.75" customHeight="1">
      <c r="A144" s="17">
        <f t="shared" si="5"/>
        <v>141</v>
      </c>
      <c r="B144" s="25" t="s">
        <v>333</v>
      </c>
      <c r="C144" s="25" t="s">
        <v>334</v>
      </c>
      <c r="D144" s="26"/>
      <c r="E144" s="27" t="s">
        <v>27</v>
      </c>
      <c r="F144" s="36">
        <v>45772.0</v>
      </c>
      <c r="G144" s="29">
        <v>46136.0</v>
      </c>
      <c r="H144" s="44" t="s">
        <v>268</v>
      </c>
      <c r="I144" s="60">
        <v>25488.0</v>
      </c>
      <c r="J144" s="60">
        <v>25488.0</v>
      </c>
      <c r="K144" s="81">
        <f t="shared" si="19"/>
        <v>0</v>
      </c>
      <c r="L144" s="49"/>
      <c r="M144" s="33"/>
      <c r="N144" s="33"/>
      <c r="O144" s="34">
        <f t="shared" si="31"/>
        <v>0</v>
      </c>
      <c r="P144" s="34"/>
      <c r="Q144" s="34"/>
      <c r="R144" s="34"/>
      <c r="S144" s="34"/>
      <c r="T144" s="34"/>
      <c r="U144" s="34"/>
      <c r="V144" s="34"/>
      <c r="W144" s="34"/>
      <c r="X144" s="34"/>
    </row>
    <row r="145" ht="18.75" customHeight="1">
      <c r="A145" s="17">
        <f t="shared" si="5"/>
        <v>142</v>
      </c>
      <c r="B145" s="25" t="s">
        <v>335</v>
      </c>
      <c r="C145" s="25" t="s">
        <v>336</v>
      </c>
      <c r="D145" s="26"/>
      <c r="E145" s="27" t="s">
        <v>27</v>
      </c>
      <c r="F145" s="36">
        <v>45772.0</v>
      </c>
      <c r="G145" s="29">
        <v>46136.0</v>
      </c>
      <c r="H145" s="44" t="s">
        <v>268</v>
      </c>
      <c r="I145" s="60">
        <v>25488.0</v>
      </c>
      <c r="J145" s="60">
        <v>25488.0</v>
      </c>
      <c r="K145" s="31">
        <f t="shared" si="19"/>
        <v>0</v>
      </c>
      <c r="L145" s="49"/>
      <c r="M145" s="33"/>
      <c r="N145" s="33"/>
      <c r="O145" s="34">
        <f t="shared" si="31"/>
        <v>0</v>
      </c>
      <c r="P145" s="34"/>
      <c r="Q145" s="34"/>
      <c r="R145" s="34"/>
      <c r="S145" s="34"/>
      <c r="T145" s="34"/>
      <c r="U145" s="34"/>
      <c r="V145" s="34"/>
      <c r="W145" s="34"/>
      <c r="X145" s="34"/>
    </row>
    <row r="146" ht="18.75" customHeight="1">
      <c r="A146" s="17">
        <f t="shared" si="5"/>
        <v>143</v>
      </c>
      <c r="B146" s="25" t="s">
        <v>337</v>
      </c>
      <c r="C146" s="25" t="s">
        <v>338</v>
      </c>
      <c r="D146" s="26"/>
      <c r="E146" s="27" t="s">
        <v>27</v>
      </c>
      <c r="F146" s="36">
        <v>45772.0</v>
      </c>
      <c r="G146" s="29">
        <v>46136.0</v>
      </c>
      <c r="H146" s="44" t="s">
        <v>268</v>
      </c>
      <c r="I146" s="60">
        <v>25488.0</v>
      </c>
      <c r="J146" s="60">
        <v>25488.0</v>
      </c>
      <c r="K146" s="31">
        <f t="shared" si="19"/>
        <v>0</v>
      </c>
      <c r="L146" s="49"/>
      <c r="M146" s="33"/>
      <c r="N146" s="33"/>
      <c r="O146" s="34">
        <f t="shared" si="31"/>
        <v>0</v>
      </c>
      <c r="P146" s="34"/>
      <c r="Q146" s="34"/>
      <c r="R146" s="34"/>
      <c r="S146" s="34"/>
      <c r="T146" s="34"/>
      <c r="U146" s="34"/>
      <c r="V146" s="34"/>
      <c r="W146" s="34"/>
      <c r="X146" s="34"/>
    </row>
    <row r="147" ht="18.75" customHeight="1">
      <c r="A147" s="17">
        <f t="shared" si="5"/>
        <v>144</v>
      </c>
      <c r="B147" s="25" t="s">
        <v>339</v>
      </c>
      <c r="C147" s="25" t="s">
        <v>340</v>
      </c>
      <c r="D147" s="26"/>
      <c r="E147" s="27" t="s">
        <v>27</v>
      </c>
      <c r="F147" s="36">
        <v>45772.0</v>
      </c>
      <c r="G147" s="29">
        <v>46136.0</v>
      </c>
      <c r="H147" s="44" t="s">
        <v>268</v>
      </c>
      <c r="I147" s="60">
        <v>25488.0</v>
      </c>
      <c r="J147" s="60">
        <v>25488.0</v>
      </c>
      <c r="K147" s="31">
        <f t="shared" si="19"/>
        <v>0</v>
      </c>
      <c r="L147" s="49"/>
      <c r="M147" s="33"/>
      <c r="N147" s="33"/>
      <c r="O147" s="34">
        <f t="shared" si="31"/>
        <v>0</v>
      </c>
      <c r="P147" s="34"/>
      <c r="Q147" s="34"/>
      <c r="R147" s="34"/>
      <c r="S147" s="34"/>
      <c r="T147" s="34"/>
      <c r="U147" s="34"/>
      <c r="V147" s="34"/>
      <c r="W147" s="34"/>
      <c r="X147" s="34"/>
    </row>
    <row r="148" ht="18.75" customHeight="1">
      <c r="A148" s="17">
        <f t="shared" si="5"/>
        <v>145</v>
      </c>
      <c r="B148" s="25" t="s">
        <v>341</v>
      </c>
      <c r="C148" s="25" t="s">
        <v>342</v>
      </c>
      <c r="D148" s="26"/>
      <c r="E148" s="27" t="s">
        <v>27</v>
      </c>
      <c r="F148" s="36">
        <v>45772.0</v>
      </c>
      <c r="G148" s="29">
        <v>46136.0</v>
      </c>
      <c r="H148" s="44" t="s">
        <v>268</v>
      </c>
      <c r="I148" s="60">
        <v>25488.0</v>
      </c>
      <c r="J148" s="60">
        <v>25488.0</v>
      </c>
      <c r="K148" s="31">
        <f t="shared" si="19"/>
        <v>0</v>
      </c>
      <c r="L148" s="49"/>
      <c r="M148" s="33"/>
      <c r="N148" s="33"/>
      <c r="O148" s="34">
        <f t="shared" si="31"/>
        <v>0</v>
      </c>
      <c r="P148" s="34"/>
      <c r="Q148" s="34"/>
      <c r="R148" s="34"/>
      <c r="S148" s="34"/>
      <c r="T148" s="34"/>
      <c r="U148" s="34"/>
      <c r="V148" s="34"/>
      <c r="W148" s="34"/>
      <c r="X148" s="34"/>
    </row>
    <row r="149" ht="18.75" customHeight="1">
      <c r="A149" s="17">
        <f t="shared" si="5"/>
        <v>146</v>
      </c>
      <c r="B149" s="25" t="s">
        <v>343</v>
      </c>
      <c r="C149" s="25" t="s">
        <v>344</v>
      </c>
      <c r="D149" s="26"/>
      <c r="E149" s="27" t="s">
        <v>27</v>
      </c>
      <c r="F149" s="36">
        <v>45772.0</v>
      </c>
      <c r="G149" s="29">
        <v>46136.0</v>
      </c>
      <c r="H149" s="44" t="s">
        <v>268</v>
      </c>
      <c r="I149" s="60">
        <v>25488.0</v>
      </c>
      <c r="J149" s="60">
        <v>25488.0</v>
      </c>
      <c r="K149" s="31">
        <f t="shared" si="19"/>
        <v>0</v>
      </c>
      <c r="L149" s="49"/>
      <c r="M149" s="33"/>
      <c r="N149" s="33"/>
      <c r="O149" s="34">
        <f t="shared" si="31"/>
        <v>0</v>
      </c>
      <c r="P149" s="34"/>
      <c r="Q149" s="34"/>
      <c r="R149" s="34"/>
      <c r="S149" s="34"/>
      <c r="T149" s="34"/>
      <c r="U149" s="34"/>
      <c r="V149" s="34"/>
      <c r="W149" s="34"/>
      <c r="X149" s="34"/>
    </row>
    <row r="150" ht="18.75" customHeight="1">
      <c r="A150" s="17">
        <f t="shared" si="5"/>
        <v>147</v>
      </c>
      <c r="B150" s="25" t="s">
        <v>345</v>
      </c>
      <c r="C150" s="25" t="s">
        <v>346</v>
      </c>
      <c r="D150" s="26"/>
      <c r="E150" s="27" t="s">
        <v>27</v>
      </c>
      <c r="F150" s="36">
        <v>45772.0</v>
      </c>
      <c r="G150" s="29">
        <v>46136.0</v>
      </c>
      <c r="H150" s="44" t="s">
        <v>268</v>
      </c>
      <c r="I150" s="60">
        <v>25488.0</v>
      </c>
      <c r="J150" s="60">
        <v>25488.0</v>
      </c>
      <c r="K150" s="31">
        <f t="shared" si="19"/>
        <v>0</v>
      </c>
      <c r="L150" s="49"/>
      <c r="M150" s="33"/>
      <c r="N150" s="33"/>
      <c r="O150" s="34">
        <f t="shared" si="31"/>
        <v>0</v>
      </c>
      <c r="P150" s="34"/>
      <c r="Q150" s="34"/>
      <c r="R150" s="34"/>
      <c r="S150" s="34"/>
      <c r="T150" s="34"/>
      <c r="U150" s="34"/>
      <c r="V150" s="34"/>
      <c r="W150" s="34"/>
      <c r="X150" s="34"/>
    </row>
    <row r="151" ht="18.75" customHeight="1">
      <c r="A151" s="17">
        <f t="shared" si="5"/>
        <v>148</v>
      </c>
      <c r="B151" s="25" t="s">
        <v>347</v>
      </c>
      <c r="C151" s="25" t="s">
        <v>348</v>
      </c>
      <c r="D151" s="26"/>
      <c r="E151" s="27" t="s">
        <v>27</v>
      </c>
      <c r="F151" s="36">
        <v>45772.0</v>
      </c>
      <c r="G151" s="29">
        <v>46136.0</v>
      </c>
      <c r="H151" s="44" t="s">
        <v>268</v>
      </c>
      <c r="I151" s="60">
        <f t="shared" ref="I151:J151" si="35">25488-25488</f>
        <v>0</v>
      </c>
      <c r="J151" s="60">
        <f t="shared" si="35"/>
        <v>0</v>
      </c>
      <c r="K151" s="31">
        <f t="shared" si="19"/>
        <v>0</v>
      </c>
      <c r="L151" s="49"/>
      <c r="M151" s="42" t="s">
        <v>349</v>
      </c>
      <c r="N151" s="33"/>
      <c r="O151" s="34" t="str">
        <f t="shared" si="31"/>
        <v>#VALUE!</v>
      </c>
      <c r="P151" s="34"/>
      <c r="Q151" s="34"/>
      <c r="R151" s="34"/>
      <c r="S151" s="34"/>
      <c r="T151" s="34"/>
      <c r="U151" s="34"/>
      <c r="V151" s="34"/>
      <c r="W151" s="34"/>
      <c r="X151" s="34"/>
    </row>
    <row r="152" ht="18.75" customHeight="1">
      <c r="A152" s="17">
        <f t="shared" si="5"/>
        <v>149</v>
      </c>
      <c r="B152" s="25" t="s">
        <v>350</v>
      </c>
      <c r="C152" s="25" t="s">
        <v>351</v>
      </c>
      <c r="D152" s="26" t="s">
        <v>140</v>
      </c>
      <c r="E152" s="27" t="s">
        <v>27</v>
      </c>
      <c r="F152" s="36">
        <v>45773.0</v>
      </c>
      <c r="G152" s="29">
        <v>46137.0</v>
      </c>
      <c r="H152" s="30" t="s">
        <v>28</v>
      </c>
      <c r="I152" s="37">
        <f>14160*12</f>
        <v>169920</v>
      </c>
      <c r="J152" s="37">
        <f>14160*8</f>
        <v>113280</v>
      </c>
      <c r="K152" s="31">
        <f t="shared" si="19"/>
        <v>56640</v>
      </c>
      <c r="L152" s="32">
        <v>46017.0</v>
      </c>
      <c r="M152" s="33"/>
      <c r="N152" s="33"/>
      <c r="O152" s="34">
        <f t="shared" si="31"/>
        <v>0</v>
      </c>
      <c r="P152" s="34"/>
      <c r="Q152" s="34"/>
      <c r="R152" s="34"/>
      <c r="S152" s="34"/>
      <c r="T152" s="34"/>
      <c r="U152" s="34"/>
      <c r="V152" s="34"/>
      <c r="W152" s="34"/>
      <c r="X152" s="34"/>
    </row>
    <row r="153" ht="18.75" customHeight="1">
      <c r="A153" s="17">
        <f t="shared" si="5"/>
        <v>150</v>
      </c>
      <c r="B153" s="25" t="s">
        <v>352</v>
      </c>
      <c r="C153" s="25" t="s">
        <v>353</v>
      </c>
      <c r="D153" s="26"/>
      <c r="E153" s="27" t="s">
        <v>27</v>
      </c>
      <c r="F153" s="28">
        <v>45774.0</v>
      </c>
      <c r="G153" s="29">
        <v>46138.0</v>
      </c>
      <c r="H153" s="44" t="s">
        <v>268</v>
      </c>
      <c r="I153" s="25">
        <v>177000.0</v>
      </c>
      <c r="J153" s="55">
        <f>I153</f>
        <v>177000</v>
      </c>
      <c r="K153" s="81">
        <f t="shared" si="19"/>
        <v>0</v>
      </c>
      <c r="L153" s="49"/>
      <c r="M153" s="33"/>
      <c r="N153" s="33"/>
      <c r="O153" s="34">
        <f t="shared" si="31"/>
        <v>0</v>
      </c>
      <c r="P153" s="34"/>
      <c r="Q153" s="34"/>
      <c r="R153" s="34"/>
      <c r="S153" s="34"/>
      <c r="T153" s="34"/>
      <c r="U153" s="34"/>
      <c r="V153" s="34"/>
      <c r="W153" s="34"/>
      <c r="X153" s="34"/>
    </row>
    <row r="154" ht="18.75" customHeight="1">
      <c r="A154" s="17">
        <f t="shared" si="5"/>
        <v>151</v>
      </c>
      <c r="B154" s="25" t="s">
        <v>354</v>
      </c>
      <c r="C154" s="25" t="s">
        <v>355</v>
      </c>
      <c r="D154" s="48" t="s">
        <v>159</v>
      </c>
      <c r="E154" s="27" t="s">
        <v>27</v>
      </c>
      <c r="F154" s="36">
        <v>45776.0</v>
      </c>
      <c r="G154" s="29">
        <v>46140.0</v>
      </c>
      <c r="H154" s="44" t="s">
        <v>291</v>
      </c>
      <c r="I154" s="25">
        <v>80000.0</v>
      </c>
      <c r="J154" s="25">
        <f>40000*2</f>
        <v>80000</v>
      </c>
      <c r="K154" s="31">
        <f t="shared" si="19"/>
        <v>0</v>
      </c>
      <c r="L154" s="32"/>
      <c r="M154" s="33"/>
      <c r="N154" s="33"/>
      <c r="O154" s="34">
        <f t="shared" si="31"/>
        <v>0</v>
      </c>
      <c r="P154" s="34"/>
      <c r="Q154" s="34"/>
      <c r="R154" s="34"/>
      <c r="S154" s="34"/>
      <c r="T154" s="34"/>
      <c r="U154" s="34"/>
      <c r="V154" s="34"/>
      <c r="W154" s="34"/>
      <c r="X154" s="34"/>
    </row>
    <row r="155" ht="18.75" customHeight="1">
      <c r="A155" s="17">
        <f t="shared" si="5"/>
        <v>152</v>
      </c>
      <c r="B155" s="25" t="s">
        <v>356</v>
      </c>
      <c r="C155" s="25" t="s">
        <v>357</v>
      </c>
      <c r="D155" s="26"/>
      <c r="E155" s="27" t="s">
        <v>27</v>
      </c>
      <c r="F155" s="36">
        <v>45776.0</v>
      </c>
      <c r="G155" s="29">
        <v>46140.0</v>
      </c>
      <c r="H155" s="44" t="s">
        <v>268</v>
      </c>
      <c r="I155" s="37">
        <v>26000.0</v>
      </c>
      <c r="J155" s="37">
        <v>26000.0</v>
      </c>
      <c r="K155" s="31">
        <f t="shared" si="19"/>
        <v>0</v>
      </c>
      <c r="L155" s="49"/>
      <c r="M155" s="33"/>
      <c r="N155" s="33"/>
      <c r="O155" s="34">
        <f t="shared" si="31"/>
        <v>0</v>
      </c>
      <c r="P155" s="34"/>
      <c r="Q155" s="34"/>
      <c r="R155" s="34"/>
      <c r="S155" s="34"/>
      <c r="T155" s="34"/>
      <c r="U155" s="34"/>
      <c r="V155" s="34"/>
      <c r="W155" s="34"/>
      <c r="X155" s="34"/>
    </row>
    <row r="156" ht="18.75" customHeight="1">
      <c r="A156" s="17">
        <f t="shared" si="5"/>
        <v>153</v>
      </c>
      <c r="B156" s="25" t="s">
        <v>358</v>
      </c>
      <c r="C156" s="25" t="s">
        <v>359</v>
      </c>
      <c r="D156" s="26"/>
      <c r="E156" s="27" t="s">
        <v>27</v>
      </c>
      <c r="F156" s="36">
        <v>45776.0</v>
      </c>
      <c r="G156" s="29">
        <v>46140.0</v>
      </c>
      <c r="H156" s="44" t="s">
        <v>268</v>
      </c>
      <c r="I156" s="37">
        <v>26000.0</v>
      </c>
      <c r="J156" s="37">
        <v>26000.0</v>
      </c>
      <c r="K156" s="31">
        <f t="shared" si="19"/>
        <v>0</v>
      </c>
      <c r="L156" s="49"/>
      <c r="M156" s="33"/>
      <c r="N156" s="33"/>
      <c r="O156" s="34">
        <f t="shared" si="31"/>
        <v>0</v>
      </c>
      <c r="P156" s="34"/>
      <c r="Q156" s="34"/>
      <c r="R156" s="34"/>
      <c r="S156" s="34"/>
      <c r="T156" s="34"/>
      <c r="U156" s="34"/>
      <c r="V156" s="34"/>
      <c r="W156" s="34"/>
      <c r="X156" s="34"/>
    </row>
    <row r="157" ht="18.75" customHeight="1">
      <c r="A157" s="17">
        <f t="shared" si="5"/>
        <v>154</v>
      </c>
      <c r="B157" s="25" t="s">
        <v>360</v>
      </c>
      <c r="C157" s="25" t="s">
        <v>361</v>
      </c>
      <c r="D157" s="26"/>
      <c r="E157" s="27" t="s">
        <v>27</v>
      </c>
      <c r="F157" s="36">
        <v>45776.0</v>
      </c>
      <c r="G157" s="29">
        <v>46140.0</v>
      </c>
      <c r="H157" s="44" t="s">
        <v>268</v>
      </c>
      <c r="I157" s="37">
        <v>26000.0</v>
      </c>
      <c r="J157" s="37">
        <v>26000.0</v>
      </c>
      <c r="K157" s="31">
        <f t="shared" si="19"/>
        <v>0</v>
      </c>
      <c r="L157" s="49"/>
      <c r="M157" s="33"/>
      <c r="N157" s="33"/>
      <c r="O157" s="34">
        <f t="shared" si="31"/>
        <v>0</v>
      </c>
      <c r="P157" s="34"/>
      <c r="Q157" s="34"/>
      <c r="R157" s="34"/>
      <c r="S157" s="34"/>
      <c r="T157" s="34"/>
      <c r="U157" s="34"/>
      <c r="V157" s="34"/>
      <c r="W157" s="34"/>
      <c r="X157" s="34"/>
    </row>
    <row r="158" ht="18.75" customHeight="1">
      <c r="A158" s="17">
        <f t="shared" si="5"/>
        <v>155</v>
      </c>
      <c r="B158" s="25" t="s">
        <v>362</v>
      </c>
      <c r="C158" s="25" t="s">
        <v>363</v>
      </c>
      <c r="D158" s="26"/>
      <c r="E158" s="27" t="s">
        <v>27</v>
      </c>
      <c r="F158" s="36">
        <v>45776.0</v>
      </c>
      <c r="G158" s="29">
        <v>46140.0</v>
      </c>
      <c r="H158" s="44" t="s">
        <v>268</v>
      </c>
      <c r="I158" s="37">
        <v>26000.0</v>
      </c>
      <c r="J158" s="37">
        <v>26000.0</v>
      </c>
      <c r="K158" s="31">
        <f t="shared" si="19"/>
        <v>0</v>
      </c>
      <c r="L158" s="49"/>
      <c r="M158" s="33"/>
      <c r="N158" s="33"/>
      <c r="O158" s="34">
        <f t="shared" si="31"/>
        <v>0</v>
      </c>
      <c r="P158" s="34"/>
      <c r="Q158" s="34"/>
      <c r="R158" s="34"/>
      <c r="S158" s="34"/>
      <c r="T158" s="34"/>
      <c r="U158" s="34"/>
      <c r="V158" s="34"/>
      <c r="W158" s="34"/>
      <c r="X158" s="34"/>
    </row>
    <row r="159" ht="18.75" customHeight="1">
      <c r="A159" s="17">
        <f t="shared" si="5"/>
        <v>156</v>
      </c>
      <c r="B159" s="25" t="s">
        <v>364</v>
      </c>
      <c r="C159" s="25" t="s">
        <v>365</v>
      </c>
      <c r="D159" s="26"/>
      <c r="E159" s="27" t="s">
        <v>27</v>
      </c>
      <c r="F159" s="36">
        <v>45776.0</v>
      </c>
      <c r="G159" s="29">
        <v>46140.0</v>
      </c>
      <c r="H159" s="44" t="s">
        <v>268</v>
      </c>
      <c r="I159" s="37">
        <v>26000.0</v>
      </c>
      <c r="J159" s="37">
        <v>26000.0</v>
      </c>
      <c r="K159" s="31">
        <f t="shared" si="19"/>
        <v>0</v>
      </c>
      <c r="L159" s="49"/>
      <c r="M159" s="33"/>
      <c r="N159" s="33"/>
      <c r="O159" s="34">
        <f t="shared" si="31"/>
        <v>0</v>
      </c>
      <c r="P159" s="34"/>
      <c r="Q159" s="34"/>
      <c r="R159" s="34"/>
      <c r="S159" s="34"/>
      <c r="T159" s="34"/>
      <c r="U159" s="34"/>
      <c r="V159" s="34"/>
      <c r="W159" s="34"/>
      <c r="X159" s="34"/>
    </row>
    <row r="160" ht="18.75" customHeight="1">
      <c r="A160" s="17">
        <f t="shared" si="5"/>
        <v>157</v>
      </c>
      <c r="B160" s="25" t="s">
        <v>366</v>
      </c>
      <c r="C160" s="25" t="s">
        <v>367</v>
      </c>
      <c r="D160" s="26"/>
      <c r="E160" s="27" t="s">
        <v>27</v>
      </c>
      <c r="F160" s="36">
        <v>45776.0</v>
      </c>
      <c r="G160" s="29">
        <v>46140.0</v>
      </c>
      <c r="H160" s="44" t="s">
        <v>268</v>
      </c>
      <c r="I160" s="37">
        <v>26000.0</v>
      </c>
      <c r="J160" s="37">
        <v>26000.0</v>
      </c>
      <c r="K160" s="31">
        <f t="shared" si="19"/>
        <v>0</v>
      </c>
      <c r="L160" s="49"/>
      <c r="M160" s="33"/>
      <c r="N160" s="33"/>
      <c r="O160" s="34">
        <f t="shared" si="31"/>
        <v>0</v>
      </c>
      <c r="P160" s="34"/>
      <c r="Q160" s="34"/>
      <c r="R160" s="34"/>
      <c r="S160" s="34"/>
      <c r="T160" s="34"/>
      <c r="U160" s="34"/>
      <c r="V160" s="34"/>
      <c r="W160" s="34"/>
      <c r="X160" s="34"/>
    </row>
    <row r="161" ht="18.75" customHeight="1">
      <c r="A161" s="17">
        <f t="shared" si="5"/>
        <v>158</v>
      </c>
      <c r="B161" s="25" t="s">
        <v>368</v>
      </c>
      <c r="C161" s="25" t="s">
        <v>369</v>
      </c>
      <c r="D161" s="26"/>
      <c r="E161" s="27" t="s">
        <v>27</v>
      </c>
      <c r="F161" s="36">
        <v>45776.0</v>
      </c>
      <c r="G161" s="29">
        <v>46140.0</v>
      </c>
      <c r="H161" s="44" t="s">
        <v>268</v>
      </c>
      <c r="I161" s="37">
        <v>52000.0</v>
      </c>
      <c r="J161" s="37">
        <v>52000.0</v>
      </c>
      <c r="K161" s="31">
        <f t="shared" si="19"/>
        <v>0</v>
      </c>
      <c r="L161" s="49"/>
      <c r="M161" s="33"/>
      <c r="N161" s="33"/>
      <c r="O161" s="34">
        <f t="shared" si="31"/>
        <v>0</v>
      </c>
      <c r="P161" s="34"/>
      <c r="Q161" s="34"/>
      <c r="R161" s="34"/>
      <c r="S161" s="34"/>
      <c r="T161" s="34"/>
      <c r="U161" s="34"/>
      <c r="V161" s="34"/>
      <c r="W161" s="34"/>
      <c r="X161" s="34"/>
    </row>
    <row r="162" ht="18.75" customHeight="1">
      <c r="A162" s="17">
        <f t="shared" si="5"/>
        <v>159</v>
      </c>
      <c r="B162" s="38" t="s">
        <v>370</v>
      </c>
      <c r="C162" s="51" t="s">
        <v>371</v>
      </c>
      <c r="D162" s="26"/>
      <c r="E162" s="82" t="s">
        <v>27</v>
      </c>
      <c r="F162" s="43">
        <v>45778.0</v>
      </c>
      <c r="G162" s="29">
        <v>46142.0</v>
      </c>
      <c r="H162" s="44" t="s">
        <v>268</v>
      </c>
      <c r="I162" s="38">
        <v>80240.0</v>
      </c>
      <c r="J162" s="38">
        <f>I162</f>
        <v>80240</v>
      </c>
      <c r="K162" s="38">
        <f t="shared" si="19"/>
        <v>0</v>
      </c>
      <c r="L162" s="83"/>
      <c r="M162" s="33"/>
      <c r="N162" s="33"/>
      <c r="O162" s="34">
        <f t="shared" si="31"/>
        <v>0</v>
      </c>
      <c r="P162" s="34"/>
      <c r="Q162" s="34"/>
      <c r="R162" s="34"/>
      <c r="S162" s="34"/>
      <c r="T162" s="34"/>
      <c r="U162" s="34"/>
      <c r="V162" s="34"/>
      <c r="W162" s="34"/>
      <c r="X162" s="34"/>
    </row>
    <row r="163" ht="18.75" customHeight="1">
      <c r="A163" s="17">
        <f t="shared" si="5"/>
        <v>160</v>
      </c>
      <c r="B163" s="25" t="s">
        <v>372</v>
      </c>
      <c r="C163" s="25" t="s">
        <v>373</v>
      </c>
      <c r="D163" s="26"/>
      <c r="E163" s="27" t="s">
        <v>27</v>
      </c>
      <c r="F163" s="36">
        <v>45780.0</v>
      </c>
      <c r="G163" s="29">
        <v>46144.0</v>
      </c>
      <c r="H163" s="44" t="s">
        <v>268</v>
      </c>
      <c r="I163" s="37">
        <v>47988.0</v>
      </c>
      <c r="J163" s="37">
        <v>47988.0</v>
      </c>
      <c r="K163" s="31">
        <f t="shared" si="19"/>
        <v>0</v>
      </c>
      <c r="L163" s="49"/>
      <c r="M163" s="33"/>
      <c r="N163" s="33"/>
      <c r="O163" s="34">
        <f t="shared" si="31"/>
        <v>0</v>
      </c>
      <c r="P163" s="34"/>
      <c r="Q163" s="34"/>
      <c r="R163" s="34"/>
      <c r="S163" s="34"/>
      <c r="T163" s="34"/>
      <c r="U163" s="34"/>
      <c r="V163" s="34"/>
      <c r="W163" s="34"/>
      <c r="X163" s="34"/>
    </row>
    <row r="164" ht="18.75" customHeight="1">
      <c r="A164" s="17">
        <f t="shared" si="5"/>
        <v>161</v>
      </c>
      <c r="B164" s="25" t="s">
        <v>374</v>
      </c>
      <c r="C164" s="25" t="s">
        <v>375</v>
      </c>
      <c r="D164" s="26"/>
      <c r="E164" s="27" t="s">
        <v>27</v>
      </c>
      <c r="F164" s="36">
        <v>45780.0</v>
      </c>
      <c r="G164" s="29">
        <v>46144.0</v>
      </c>
      <c r="H164" s="30"/>
      <c r="I164" s="37">
        <f>11800*0</f>
        <v>0</v>
      </c>
      <c r="J164" s="37">
        <v>0.0</v>
      </c>
      <c r="K164" s="31">
        <f t="shared" si="19"/>
        <v>0</v>
      </c>
      <c r="L164" s="32"/>
      <c r="M164" s="84" t="s">
        <v>376</v>
      </c>
      <c r="N164" s="85"/>
      <c r="O164" s="34" t="str">
        <f t="shared" si="31"/>
        <v>#VALUE!</v>
      </c>
      <c r="P164" s="34"/>
      <c r="Q164" s="34"/>
      <c r="R164" s="34"/>
      <c r="S164" s="34"/>
      <c r="T164" s="34"/>
      <c r="U164" s="34"/>
      <c r="V164" s="34"/>
      <c r="W164" s="34"/>
      <c r="X164" s="34"/>
    </row>
    <row r="165" ht="18.75" customHeight="1">
      <c r="A165" s="17">
        <f t="shared" si="5"/>
        <v>162</v>
      </c>
      <c r="B165" s="25" t="s">
        <v>377</v>
      </c>
      <c r="C165" s="25" t="s">
        <v>378</v>
      </c>
      <c r="D165" s="26"/>
      <c r="E165" s="27" t="s">
        <v>27</v>
      </c>
      <c r="F165" s="36">
        <v>45782.0</v>
      </c>
      <c r="G165" s="29">
        <v>46146.0</v>
      </c>
      <c r="H165" s="44" t="s">
        <v>268</v>
      </c>
      <c r="I165" s="37">
        <v>76464.0</v>
      </c>
      <c r="J165" s="37">
        <v>76464.0</v>
      </c>
      <c r="K165" s="31">
        <f t="shared" si="19"/>
        <v>0</v>
      </c>
      <c r="L165" s="49"/>
      <c r="M165" s="33"/>
      <c r="N165" s="33"/>
      <c r="O165" s="34">
        <f t="shared" si="31"/>
        <v>0</v>
      </c>
      <c r="P165" s="34"/>
      <c r="Q165" s="34"/>
      <c r="R165" s="34"/>
      <c r="S165" s="34"/>
      <c r="T165" s="34"/>
      <c r="U165" s="34"/>
      <c r="V165" s="34"/>
      <c r="W165" s="34"/>
      <c r="X165" s="34"/>
    </row>
    <row r="166" ht="18.75" customHeight="1">
      <c r="A166" s="17">
        <f t="shared" si="5"/>
        <v>163</v>
      </c>
      <c r="B166" s="25" t="s">
        <v>379</v>
      </c>
      <c r="C166" s="25" t="s">
        <v>380</v>
      </c>
      <c r="D166" s="26" t="s">
        <v>381</v>
      </c>
      <c r="E166" s="27" t="s">
        <v>27</v>
      </c>
      <c r="F166" s="36">
        <v>45783.0</v>
      </c>
      <c r="G166" s="29">
        <v>46117.0</v>
      </c>
      <c r="H166" s="35" t="s">
        <v>382</v>
      </c>
      <c r="I166" s="37">
        <f>11800*12-11800</f>
        <v>129800</v>
      </c>
      <c r="J166" s="37">
        <f>11800*7-11800</f>
        <v>70800</v>
      </c>
      <c r="K166" s="31">
        <f t="shared" si="19"/>
        <v>59000</v>
      </c>
      <c r="L166" s="32">
        <v>45966.0</v>
      </c>
      <c r="M166" s="42" t="s">
        <v>383</v>
      </c>
      <c r="N166" s="33"/>
      <c r="O166" s="34" t="str">
        <f t="shared" si="31"/>
        <v>#VALUE!</v>
      </c>
      <c r="P166" s="34"/>
      <c r="Q166" s="34"/>
      <c r="R166" s="34"/>
      <c r="S166" s="34"/>
      <c r="T166" s="34"/>
      <c r="U166" s="34"/>
      <c r="V166" s="34"/>
      <c r="W166" s="34"/>
      <c r="X166" s="34"/>
    </row>
    <row r="167" ht="18.75" customHeight="1">
      <c r="A167" s="17">
        <f t="shared" si="5"/>
        <v>164</v>
      </c>
      <c r="B167" s="25" t="s">
        <v>384</v>
      </c>
      <c r="C167" s="25" t="s">
        <v>385</v>
      </c>
      <c r="D167" s="26"/>
      <c r="E167" s="27" t="s">
        <v>27</v>
      </c>
      <c r="F167" s="36">
        <v>45789.0</v>
      </c>
      <c r="G167" s="29">
        <v>46153.0</v>
      </c>
      <c r="H167" s="30" t="s">
        <v>268</v>
      </c>
      <c r="I167" s="37">
        <v>254880.0</v>
      </c>
      <c r="J167" s="37">
        <v>254880.0</v>
      </c>
      <c r="K167" s="31">
        <f t="shared" si="19"/>
        <v>0</v>
      </c>
      <c r="L167" s="49"/>
      <c r="M167" s="33"/>
      <c r="N167" s="33"/>
      <c r="O167" s="34">
        <f t="shared" si="31"/>
        <v>0</v>
      </c>
      <c r="P167" s="34"/>
      <c r="Q167" s="34"/>
      <c r="R167" s="34"/>
      <c r="S167" s="34"/>
      <c r="T167" s="34"/>
      <c r="U167" s="34"/>
      <c r="V167" s="34"/>
      <c r="W167" s="34"/>
      <c r="X167" s="34"/>
    </row>
    <row r="168" ht="18.75" customHeight="1">
      <c r="A168" s="17">
        <f t="shared" si="5"/>
        <v>165</v>
      </c>
      <c r="B168" s="25" t="s">
        <v>152</v>
      </c>
      <c r="C168" s="25" t="s">
        <v>386</v>
      </c>
      <c r="D168" s="48" t="s">
        <v>45</v>
      </c>
      <c r="E168" s="27" t="s">
        <v>27</v>
      </c>
      <c r="F168" s="36">
        <v>45789.0</v>
      </c>
      <c r="G168" s="29">
        <v>46153.0</v>
      </c>
      <c r="H168" s="30" t="s">
        <v>268</v>
      </c>
      <c r="I168" s="37">
        <v>191160.0</v>
      </c>
      <c r="J168" s="37">
        <v>191160.0</v>
      </c>
      <c r="K168" s="31">
        <f t="shared" si="19"/>
        <v>0</v>
      </c>
      <c r="L168" s="49"/>
      <c r="M168" s="33"/>
      <c r="N168" s="33"/>
      <c r="O168" s="34">
        <f t="shared" si="31"/>
        <v>0</v>
      </c>
      <c r="P168" s="34"/>
      <c r="Q168" s="34"/>
      <c r="R168" s="34"/>
      <c r="S168" s="34"/>
      <c r="T168" s="34"/>
      <c r="U168" s="34"/>
      <c r="V168" s="34"/>
      <c r="W168" s="34"/>
      <c r="X168" s="34"/>
    </row>
    <row r="169" ht="18.75" customHeight="1">
      <c r="A169" s="17">
        <f t="shared" si="5"/>
        <v>166</v>
      </c>
      <c r="B169" s="25" t="s">
        <v>387</v>
      </c>
      <c r="C169" s="25" t="s">
        <v>388</v>
      </c>
      <c r="D169" s="48" t="s">
        <v>140</v>
      </c>
      <c r="E169" s="27" t="s">
        <v>27</v>
      </c>
      <c r="F169" s="36">
        <v>45790.0</v>
      </c>
      <c r="G169" s="29">
        <v>46154.0</v>
      </c>
      <c r="H169" s="30" t="s">
        <v>268</v>
      </c>
      <c r="I169" s="25">
        <v>177000.0</v>
      </c>
      <c r="J169" s="25">
        <v>177000.0</v>
      </c>
      <c r="K169" s="31">
        <f t="shared" si="19"/>
        <v>0</v>
      </c>
      <c r="L169" s="49"/>
      <c r="M169" s="33"/>
      <c r="N169" s="33"/>
      <c r="O169" s="34">
        <f t="shared" si="31"/>
        <v>0</v>
      </c>
      <c r="P169" s="34"/>
      <c r="Q169" s="34"/>
      <c r="R169" s="34"/>
      <c r="S169" s="34"/>
      <c r="T169" s="34"/>
      <c r="U169" s="34"/>
      <c r="V169" s="34"/>
      <c r="W169" s="34"/>
      <c r="X169" s="34"/>
    </row>
    <row r="170" ht="18.75" customHeight="1">
      <c r="A170" s="17">
        <f t="shared" si="5"/>
        <v>167</v>
      </c>
      <c r="B170" s="25" t="s">
        <v>389</v>
      </c>
      <c r="C170" s="25" t="s">
        <v>390</v>
      </c>
      <c r="D170" s="48" t="s">
        <v>31</v>
      </c>
      <c r="E170" s="27" t="s">
        <v>27</v>
      </c>
      <c r="F170" s="36">
        <v>45793.0</v>
      </c>
      <c r="G170" s="29">
        <v>46157.0</v>
      </c>
      <c r="H170" s="30" t="s">
        <v>268</v>
      </c>
      <c r="I170" s="37">
        <v>64900.0</v>
      </c>
      <c r="J170" s="37">
        <v>64900.0</v>
      </c>
      <c r="K170" s="31">
        <f t="shared" si="19"/>
        <v>0</v>
      </c>
      <c r="L170" s="49"/>
      <c r="M170" s="55"/>
      <c r="N170" s="33"/>
      <c r="O170" s="34">
        <f t="shared" si="31"/>
        <v>0</v>
      </c>
      <c r="P170" s="34"/>
      <c r="Q170" s="34"/>
      <c r="R170" s="34"/>
      <c r="S170" s="34"/>
      <c r="T170" s="34"/>
      <c r="U170" s="34"/>
      <c r="V170" s="34"/>
      <c r="W170" s="34"/>
      <c r="X170" s="34"/>
    </row>
    <row r="171" ht="18.75" customHeight="1">
      <c r="A171" s="17">
        <f t="shared" si="5"/>
        <v>168</v>
      </c>
      <c r="B171" s="25" t="s">
        <v>391</v>
      </c>
      <c r="C171" s="25" t="s">
        <v>392</v>
      </c>
      <c r="D171" s="48" t="s">
        <v>45</v>
      </c>
      <c r="E171" s="27" t="s">
        <v>27</v>
      </c>
      <c r="F171" s="36">
        <v>45797.0</v>
      </c>
      <c r="G171" s="29">
        <v>46161.0</v>
      </c>
      <c r="H171" s="30" t="s">
        <v>268</v>
      </c>
      <c r="I171" s="37">
        <v>43011.0</v>
      </c>
      <c r="J171" s="37">
        <v>43011.0</v>
      </c>
      <c r="K171" s="31">
        <f t="shared" si="19"/>
        <v>0</v>
      </c>
      <c r="L171" s="49"/>
      <c r="M171" s="33"/>
      <c r="N171" s="33"/>
      <c r="O171" s="34">
        <f t="shared" si="31"/>
        <v>0</v>
      </c>
      <c r="P171" s="34"/>
      <c r="Q171" s="34"/>
      <c r="R171" s="34"/>
      <c r="S171" s="34"/>
      <c r="T171" s="34"/>
      <c r="U171" s="34"/>
      <c r="V171" s="34"/>
      <c r="W171" s="34"/>
      <c r="X171" s="34"/>
    </row>
    <row r="172" ht="18.75" customHeight="1">
      <c r="A172" s="17">
        <f t="shared" si="5"/>
        <v>169</v>
      </c>
      <c r="B172" s="25" t="s">
        <v>393</v>
      </c>
      <c r="C172" s="25" t="s">
        <v>394</v>
      </c>
      <c r="D172" s="48" t="s">
        <v>395</v>
      </c>
      <c r="E172" s="27" t="s">
        <v>27</v>
      </c>
      <c r="F172" s="36">
        <v>45797.0</v>
      </c>
      <c r="G172" s="29">
        <v>46161.0</v>
      </c>
      <c r="H172" s="30" t="s">
        <v>268</v>
      </c>
      <c r="I172" s="37">
        <v>43011.0</v>
      </c>
      <c r="J172" s="37">
        <v>43011.0</v>
      </c>
      <c r="K172" s="31">
        <f t="shared" si="19"/>
        <v>0</v>
      </c>
      <c r="L172" s="49"/>
      <c r="M172" s="33"/>
      <c r="N172" s="33"/>
      <c r="O172" s="34">
        <f t="shared" si="31"/>
        <v>0</v>
      </c>
      <c r="P172" s="34"/>
      <c r="Q172" s="34"/>
      <c r="R172" s="34"/>
      <c r="S172" s="34"/>
      <c r="T172" s="34"/>
      <c r="U172" s="34"/>
      <c r="V172" s="34"/>
      <c r="W172" s="34"/>
      <c r="X172" s="34"/>
    </row>
    <row r="173" ht="18.75" customHeight="1">
      <c r="A173" s="17">
        <f t="shared" si="5"/>
        <v>170</v>
      </c>
      <c r="B173" s="25" t="s">
        <v>396</v>
      </c>
      <c r="C173" s="25" t="s">
        <v>397</v>
      </c>
      <c r="D173" s="48" t="s">
        <v>395</v>
      </c>
      <c r="E173" s="27" t="s">
        <v>27</v>
      </c>
      <c r="F173" s="36">
        <v>45797.0</v>
      </c>
      <c r="G173" s="29">
        <v>46161.0</v>
      </c>
      <c r="H173" s="30" t="s">
        <v>268</v>
      </c>
      <c r="I173" s="37">
        <v>43011.0</v>
      </c>
      <c r="J173" s="37">
        <v>43011.0</v>
      </c>
      <c r="K173" s="31">
        <f t="shared" si="19"/>
        <v>0</v>
      </c>
      <c r="L173" s="49"/>
      <c r="M173" s="33"/>
      <c r="N173" s="33"/>
      <c r="O173" s="34">
        <f t="shared" si="31"/>
        <v>0</v>
      </c>
      <c r="P173" s="34"/>
      <c r="Q173" s="34"/>
      <c r="R173" s="34"/>
      <c r="S173" s="34"/>
      <c r="T173" s="34"/>
      <c r="U173" s="34"/>
      <c r="V173" s="34"/>
      <c r="W173" s="34"/>
      <c r="X173" s="34"/>
    </row>
    <row r="174" ht="18.75" customHeight="1">
      <c r="A174" s="17">
        <f t="shared" si="5"/>
        <v>171</v>
      </c>
      <c r="B174" s="25" t="s">
        <v>398</v>
      </c>
      <c r="C174" s="25" t="s">
        <v>399</v>
      </c>
      <c r="D174" s="48" t="s">
        <v>45</v>
      </c>
      <c r="E174" s="27" t="s">
        <v>27</v>
      </c>
      <c r="F174" s="36">
        <v>45797.0</v>
      </c>
      <c r="G174" s="29">
        <v>46161.0</v>
      </c>
      <c r="H174" s="30" t="s">
        <v>268</v>
      </c>
      <c r="I174" s="37">
        <v>43011.0</v>
      </c>
      <c r="J174" s="37">
        <v>43011.0</v>
      </c>
      <c r="K174" s="31">
        <f t="shared" si="19"/>
        <v>0</v>
      </c>
      <c r="L174" s="49"/>
      <c r="M174" s="33"/>
      <c r="N174" s="33"/>
      <c r="O174" s="34">
        <f t="shared" si="31"/>
        <v>0</v>
      </c>
      <c r="P174" s="34"/>
      <c r="Q174" s="34"/>
      <c r="R174" s="34"/>
      <c r="S174" s="34"/>
      <c r="T174" s="34"/>
      <c r="U174" s="34"/>
      <c r="V174" s="34"/>
      <c r="W174" s="34"/>
      <c r="X174" s="34"/>
    </row>
    <row r="175" ht="18.75" customHeight="1">
      <c r="A175" s="17">
        <f t="shared" si="5"/>
        <v>172</v>
      </c>
      <c r="B175" s="25" t="s">
        <v>400</v>
      </c>
      <c r="C175" s="25" t="s">
        <v>401</v>
      </c>
      <c r="D175" s="48" t="s">
        <v>31</v>
      </c>
      <c r="E175" s="27" t="s">
        <v>27</v>
      </c>
      <c r="F175" s="36">
        <v>45797.0</v>
      </c>
      <c r="G175" s="29">
        <v>46161.0</v>
      </c>
      <c r="H175" s="30" t="s">
        <v>268</v>
      </c>
      <c r="I175" s="37">
        <v>300900.0</v>
      </c>
      <c r="J175" s="37">
        <v>300900.0</v>
      </c>
      <c r="K175" s="31">
        <f t="shared" si="19"/>
        <v>0</v>
      </c>
      <c r="L175" s="49"/>
      <c r="M175" s="33"/>
      <c r="N175" s="33"/>
      <c r="O175" s="34">
        <f t="shared" si="31"/>
        <v>0</v>
      </c>
      <c r="P175" s="34"/>
      <c r="Q175" s="34"/>
      <c r="R175" s="34"/>
      <c r="S175" s="34"/>
      <c r="T175" s="34"/>
      <c r="U175" s="34"/>
      <c r="V175" s="34"/>
      <c r="W175" s="34"/>
      <c r="X175" s="34"/>
    </row>
    <row r="176" ht="18.75" customHeight="1">
      <c r="A176" s="17">
        <f t="shared" si="5"/>
        <v>173</v>
      </c>
      <c r="B176" s="25" t="s">
        <v>93</v>
      </c>
      <c r="C176" s="25" t="s">
        <v>402</v>
      </c>
      <c r="D176" s="48" t="s">
        <v>45</v>
      </c>
      <c r="E176" s="27" t="s">
        <v>27</v>
      </c>
      <c r="F176" s="36">
        <v>45800.0</v>
      </c>
      <c r="G176" s="29">
        <v>46164.0</v>
      </c>
      <c r="H176" s="30" t="s">
        <v>268</v>
      </c>
      <c r="I176" s="37">
        <v>169920.0</v>
      </c>
      <c r="J176" s="37">
        <v>169920.0</v>
      </c>
      <c r="K176" s="31">
        <f t="shared" si="19"/>
        <v>0</v>
      </c>
      <c r="L176" s="49"/>
      <c r="M176" s="33"/>
      <c r="N176" s="33"/>
      <c r="O176" s="34">
        <f t="shared" si="31"/>
        <v>0</v>
      </c>
      <c r="P176" s="34"/>
      <c r="Q176" s="34"/>
      <c r="R176" s="34"/>
      <c r="S176" s="34"/>
      <c r="T176" s="34"/>
      <c r="U176" s="34"/>
      <c r="V176" s="34"/>
      <c r="W176" s="34"/>
      <c r="X176" s="34"/>
    </row>
    <row r="177" ht="18.75" customHeight="1">
      <c r="A177" s="17">
        <f t="shared" si="5"/>
        <v>174</v>
      </c>
      <c r="B177" s="25" t="s">
        <v>111</v>
      </c>
      <c r="C177" s="25" t="s">
        <v>403</v>
      </c>
      <c r="D177" s="48" t="s">
        <v>156</v>
      </c>
      <c r="E177" s="27" t="s">
        <v>27</v>
      </c>
      <c r="F177" s="36">
        <v>45803.0</v>
      </c>
      <c r="G177" s="29">
        <v>46167.0</v>
      </c>
      <c r="H177" s="30" t="s">
        <v>268</v>
      </c>
      <c r="I177" s="37">
        <v>162000.0</v>
      </c>
      <c r="J177" s="37">
        <v>162000.0</v>
      </c>
      <c r="K177" s="31">
        <f t="shared" si="19"/>
        <v>0</v>
      </c>
      <c r="L177" s="49"/>
      <c r="M177" s="33"/>
      <c r="N177" s="33"/>
      <c r="O177" s="34">
        <f t="shared" si="31"/>
        <v>0</v>
      </c>
      <c r="P177" s="34"/>
      <c r="Q177" s="34"/>
      <c r="R177" s="34"/>
      <c r="S177" s="34"/>
      <c r="T177" s="34"/>
      <c r="U177" s="34"/>
      <c r="V177" s="34"/>
      <c r="W177" s="34"/>
      <c r="X177" s="34"/>
    </row>
    <row r="178" ht="18.75" customHeight="1">
      <c r="A178" s="17">
        <f t="shared" si="5"/>
        <v>175</v>
      </c>
      <c r="B178" s="25" t="s">
        <v>404</v>
      </c>
      <c r="C178" s="25" t="s">
        <v>405</v>
      </c>
      <c r="D178" s="48" t="s">
        <v>156</v>
      </c>
      <c r="E178" s="27" t="s">
        <v>27</v>
      </c>
      <c r="F178" s="36">
        <v>45804.0</v>
      </c>
      <c r="G178" s="29">
        <v>46168.0</v>
      </c>
      <c r="H178" s="30" t="s">
        <v>268</v>
      </c>
      <c r="I178" s="37">
        <v>82600.0</v>
      </c>
      <c r="J178" s="37">
        <v>82600.0</v>
      </c>
      <c r="K178" s="31">
        <f t="shared" si="19"/>
        <v>0</v>
      </c>
      <c r="L178" s="32"/>
      <c r="M178" s="33"/>
      <c r="N178" s="33"/>
      <c r="O178" s="34">
        <f t="shared" si="31"/>
        <v>0</v>
      </c>
      <c r="P178" s="34"/>
      <c r="Q178" s="34"/>
      <c r="R178" s="34"/>
      <c r="S178" s="34"/>
      <c r="T178" s="34"/>
      <c r="U178" s="34"/>
      <c r="V178" s="34"/>
      <c r="W178" s="34"/>
      <c r="X178" s="34"/>
    </row>
    <row r="179" ht="18.75" customHeight="1">
      <c r="A179" s="17">
        <f t="shared" si="5"/>
        <v>176</v>
      </c>
      <c r="B179" s="25" t="s">
        <v>406</v>
      </c>
      <c r="C179" s="25" t="s">
        <v>407</v>
      </c>
      <c r="D179" s="48" t="s">
        <v>188</v>
      </c>
      <c r="E179" s="27" t="s">
        <v>27</v>
      </c>
      <c r="F179" s="36">
        <v>45805.0</v>
      </c>
      <c r="G179" s="29">
        <v>46169.0</v>
      </c>
      <c r="H179" s="30" t="s">
        <v>268</v>
      </c>
      <c r="I179" s="37">
        <v>70000.0</v>
      </c>
      <c r="J179" s="37">
        <v>70000.0</v>
      </c>
      <c r="K179" s="31">
        <f t="shared" si="19"/>
        <v>0</v>
      </c>
      <c r="L179" s="49"/>
      <c r="M179" s="33"/>
      <c r="N179" s="33"/>
      <c r="O179" s="34">
        <f t="shared" si="31"/>
        <v>0</v>
      </c>
      <c r="P179" s="34"/>
      <c r="Q179" s="34"/>
      <c r="R179" s="34"/>
      <c r="S179" s="34"/>
      <c r="T179" s="34"/>
      <c r="U179" s="34"/>
      <c r="V179" s="34"/>
      <c r="W179" s="34"/>
      <c r="X179" s="34"/>
    </row>
    <row r="180" ht="18.75" customHeight="1">
      <c r="A180" s="17">
        <f t="shared" si="5"/>
        <v>177</v>
      </c>
      <c r="B180" s="25" t="s">
        <v>408</v>
      </c>
      <c r="C180" s="25" t="s">
        <v>409</v>
      </c>
      <c r="D180" s="48" t="s">
        <v>45</v>
      </c>
      <c r="E180" s="27" t="s">
        <v>27</v>
      </c>
      <c r="F180" s="36">
        <v>45806.0</v>
      </c>
      <c r="G180" s="29">
        <v>46170.0</v>
      </c>
      <c r="H180" s="30" t="s">
        <v>268</v>
      </c>
      <c r="I180" s="37">
        <v>146556.0</v>
      </c>
      <c r="J180" s="37">
        <v>146556.0</v>
      </c>
      <c r="K180" s="31">
        <f t="shared" si="19"/>
        <v>0</v>
      </c>
      <c r="L180" s="49"/>
      <c r="M180" s="33"/>
      <c r="N180" s="33"/>
      <c r="O180" s="34">
        <f t="shared" si="31"/>
        <v>0</v>
      </c>
      <c r="P180" s="34"/>
      <c r="Q180" s="34"/>
      <c r="R180" s="34"/>
      <c r="S180" s="34"/>
      <c r="T180" s="34"/>
      <c r="U180" s="34"/>
      <c r="V180" s="34"/>
      <c r="W180" s="34"/>
      <c r="X180" s="34"/>
    </row>
    <row r="181" ht="18.75" customHeight="1">
      <c r="A181" s="17">
        <f t="shared" si="5"/>
        <v>178</v>
      </c>
      <c r="B181" s="25" t="s">
        <v>410</v>
      </c>
      <c r="C181" s="25" t="s">
        <v>411</v>
      </c>
      <c r="D181" s="48" t="s">
        <v>31</v>
      </c>
      <c r="E181" s="27" t="s">
        <v>27</v>
      </c>
      <c r="F181" s="36">
        <v>45807.0</v>
      </c>
      <c r="G181" s="29">
        <v>46171.0</v>
      </c>
      <c r="H181" s="44" t="s">
        <v>291</v>
      </c>
      <c r="I181" s="63">
        <v>3440880.0</v>
      </c>
      <c r="J181" s="63">
        <v>1720440.0</v>
      </c>
      <c r="K181" s="31">
        <f t="shared" si="19"/>
        <v>1720440</v>
      </c>
      <c r="L181" s="77">
        <v>45991.0</v>
      </c>
      <c r="M181" s="33"/>
      <c r="N181" s="33"/>
      <c r="O181" s="34">
        <f t="shared" si="31"/>
        <v>0</v>
      </c>
      <c r="P181" s="34"/>
      <c r="Q181" s="34"/>
      <c r="R181" s="34"/>
      <c r="S181" s="34"/>
      <c r="T181" s="34"/>
      <c r="U181" s="34"/>
      <c r="V181" s="34"/>
      <c r="W181" s="34"/>
      <c r="X181" s="34"/>
    </row>
    <row r="182" ht="18.75" customHeight="1">
      <c r="A182" s="17">
        <f t="shared" si="5"/>
        <v>179</v>
      </c>
      <c r="B182" s="25" t="s">
        <v>412</v>
      </c>
      <c r="C182" s="25" t="s">
        <v>413</v>
      </c>
      <c r="D182" s="48" t="s">
        <v>45</v>
      </c>
      <c r="E182" s="27" t="s">
        <v>27</v>
      </c>
      <c r="F182" s="36">
        <v>45809.0</v>
      </c>
      <c r="G182" s="29">
        <v>46173.0</v>
      </c>
      <c r="H182" s="30" t="s">
        <v>268</v>
      </c>
      <c r="I182" s="25">
        <v>82600.0</v>
      </c>
      <c r="J182" s="25">
        <v>82600.0</v>
      </c>
      <c r="K182" s="31">
        <f t="shared" si="19"/>
        <v>0</v>
      </c>
      <c r="L182" s="49"/>
      <c r="M182" s="33"/>
      <c r="N182" s="33"/>
      <c r="O182" s="34">
        <f t="shared" si="31"/>
        <v>0</v>
      </c>
      <c r="P182" s="34"/>
      <c r="Q182" s="34"/>
      <c r="R182" s="34"/>
      <c r="S182" s="34"/>
      <c r="T182" s="34"/>
      <c r="U182" s="34"/>
      <c r="V182" s="34"/>
      <c r="W182" s="34"/>
      <c r="X182" s="34"/>
    </row>
    <row r="183" ht="18.75" customHeight="1">
      <c r="A183" s="17">
        <f t="shared" si="5"/>
        <v>180</v>
      </c>
      <c r="B183" s="25" t="s">
        <v>414</v>
      </c>
      <c r="C183" s="25" t="s">
        <v>415</v>
      </c>
      <c r="D183" s="48" t="s">
        <v>140</v>
      </c>
      <c r="E183" s="27" t="s">
        <v>27</v>
      </c>
      <c r="F183" s="36">
        <v>45809.0</v>
      </c>
      <c r="G183" s="29">
        <v>46173.0</v>
      </c>
      <c r="H183" s="30"/>
      <c r="I183" s="37">
        <f t="shared" ref="I183:J183" si="36">981000-981000</f>
        <v>0</v>
      </c>
      <c r="J183" s="37">
        <f t="shared" si="36"/>
        <v>0</v>
      </c>
      <c r="K183" s="31">
        <f t="shared" si="19"/>
        <v>0</v>
      </c>
      <c r="L183" s="49"/>
      <c r="M183" s="42" t="s">
        <v>416</v>
      </c>
      <c r="N183" s="33"/>
      <c r="O183" s="34" t="str">
        <f t="shared" si="31"/>
        <v>#VALUE!</v>
      </c>
      <c r="P183" s="34"/>
      <c r="Q183" s="34"/>
      <c r="R183" s="34"/>
      <c r="S183" s="34"/>
      <c r="T183" s="34"/>
      <c r="U183" s="34"/>
      <c r="V183" s="34"/>
      <c r="W183" s="34"/>
      <c r="X183" s="34"/>
    </row>
    <row r="184" ht="18.75" customHeight="1">
      <c r="A184" s="17">
        <f t="shared" si="5"/>
        <v>181</v>
      </c>
      <c r="B184" s="25" t="s">
        <v>269</v>
      </c>
      <c r="C184" s="25" t="s">
        <v>417</v>
      </c>
      <c r="D184" s="48" t="s">
        <v>159</v>
      </c>
      <c r="E184" s="27" t="s">
        <v>27</v>
      </c>
      <c r="F184" s="36">
        <v>45809.0</v>
      </c>
      <c r="G184" s="29">
        <v>46234.0</v>
      </c>
      <c r="H184" s="44" t="s">
        <v>41</v>
      </c>
      <c r="I184" s="60">
        <f t="shared" ref="I184:J184" si="37">10620*2</f>
        <v>21240</v>
      </c>
      <c r="J184" s="60">
        <f t="shared" si="37"/>
        <v>21240</v>
      </c>
      <c r="K184" s="31">
        <f t="shared" si="19"/>
        <v>0</v>
      </c>
      <c r="L184" s="32"/>
      <c r="M184" s="33"/>
      <c r="N184" s="33"/>
      <c r="O184" s="34">
        <f t="shared" si="31"/>
        <v>0</v>
      </c>
      <c r="P184" s="34"/>
      <c r="Q184" s="34"/>
      <c r="R184" s="34"/>
      <c r="S184" s="34"/>
      <c r="T184" s="34"/>
      <c r="U184" s="34"/>
      <c r="V184" s="34"/>
      <c r="W184" s="34"/>
      <c r="X184" s="34"/>
    </row>
    <row r="185" ht="18.75" customHeight="1">
      <c r="A185" s="17">
        <f t="shared" si="5"/>
        <v>182</v>
      </c>
      <c r="B185" s="25" t="s">
        <v>418</v>
      </c>
      <c r="C185" s="25" t="s">
        <v>419</v>
      </c>
      <c r="D185" s="48" t="s">
        <v>45</v>
      </c>
      <c r="E185" s="27" t="s">
        <v>27</v>
      </c>
      <c r="F185" s="36">
        <v>45812.0</v>
      </c>
      <c r="G185" s="29">
        <v>46176.0</v>
      </c>
      <c r="H185" s="30" t="s">
        <v>268</v>
      </c>
      <c r="I185" s="37">
        <v>254880.0</v>
      </c>
      <c r="J185" s="37">
        <v>254880.0</v>
      </c>
      <c r="K185" s="31">
        <f t="shared" si="19"/>
        <v>0</v>
      </c>
      <c r="L185" s="49"/>
      <c r="M185" s="33"/>
      <c r="N185" s="33"/>
      <c r="O185" s="34">
        <f t="shared" si="31"/>
        <v>0</v>
      </c>
      <c r="P185" s="34"/>
      <c r="Q185" s="34"/>
      <c r="R185" s="34"/>
      <c r="S185" s="34"/>
      <c r="T185" s="34"/>
      <c r="U185" s="34"/>
      <c r="V185" s="34"/>
      <c r="W185" s="34"/>
      <c r="X185" s="34"/>
    </row>
    <row r="186" ht="18.75" customHeight="1">
      <c r="A186" s="17">
        <f t="shared" si="5"/>
        <v>183</v>
      </c>
      <c r="B186" s="25" t="s">
        <v>420</v>
      </c>
      <c r="C186" s="25" t="s">
        <v>421</v>
      </c>
      <c r="D186" s="48" t="s">
        <v>45</v>
      </c>
      <c r="E186" s="27" t="s">
        <v>27</v>
      </c>
      <c r="F186" s="36">
        <v>45814.0</v>
      </c>
      <c r="G186" s="29">
        <v>46178.0</v>
      </c>
      <c r="H186" s="30" t="s">
        <v>268</v>
      </c>
      <c r="I186" s="37">
        <v>74340.0</v>
      </c>
      <c r="J186" s="37">
        <v>74340.0</v>
      </c>
      <c r="K186" s="31">
        <f t="shared" si="19"/>
        <v>0</v>
      </c>
      <c r="L186" s="49"/>
      <c r="M186" s="33"/>
      <c r="N186" s="33"/>
      <c r="O186" s="34">
        <f t="shared" si="31"/>
        <v>0</v>
      </c>
      <c r="P186" s="34"/>
      <c r="Q186" s="34"/>
      <c r="R186" s="34"/>
      <c r="S186" s="34"/>
      <c r="T186" s="34"/>
      <c r="U186" s="34"/>
      <c r="V186" s="34"/>
      <c r="W186" s="34"/>
      <c r="X186" s="34"/>
    </row>
    <row r="187" ht="18.75" customHeight="1">
      <c r="A187" s="17">
        <f t="shared" si="5"/>
        <v>184</v>
      </c>
      <c r="B187" s="25" t="s">
        <v>422</v>
      </c>
      <c r="C187" s="25" t="s">
        <v>423</v>
      </c>
      <c r="D187" s="48" t="s">
        <v>140</v>
      </c>
      <c r="E187" s="27" t="s">
        <v>27</v>
      </c>
      <c r="F187" s="36">
        <v>45814.0</v>
      </c>
      <c r="G187" s="29">
        <v>46178.0</v>
      </c>
      <c r="H187" s="30" t="s">
        <v>268</v>
      </c>
      <c r="I187" s="37">
        <v>94400.0</v>
      </c>
      <c r="J187" s="37">
        <v>94400.0</v>
      </c>
      <c r="K187" s="31">
        <f t="shared" si="19"/>
        <v>0</v>
      </c>
      <c r="L187" s="49"/>
      <c r="M187" s="33"/>
      <c r="N187" s="33"/>
      <c r="O187" s="34">
        <f t="shared" si="31"/>
        <v>0</v>
      </c>
      <c r="P187" s="34"/>
      <c r="Q187" s="34"/>
      <c r="R187" s="34"/>
      <c r="S187" s="34"/>
      <c r="T187" s="34"/>
      <c r="U187" s="34"/>
      <c r="V187" s="34"/>
      <c r="W187" s="34"/>
      <c r="X187" s="34"/>
    </row>
    <row r="188" ht="18.75" customHeight="1">
      <c r="A188" s="17">
        <f t="shared" si="5"/>
        <v>185</v>
      </c>
      <c r="B188" s="25" t="s">
        <v>58</v>
      </c>
      <c r="C188" s="25" t="s">
        <v>424</v>
      </c>
      <c r="D188" s="48" t="s">
        <v>159</v>
      </c>
      <c r="E188" s="27" t="s">
        <v>27</v>
      </c>
      <c r="F188" s="36">
        <v>45816.0</v>
      </c>
      <c r="G188" s="29">
        <v>46191.0</v>
      </c>
      <c r="H188" s="41" t="s">
        <v>425</v>
      </c>
      <c r="I188" s="37">
        <f>21240*4</f>
        <v>84960</v>
      </c>
      <c r="J188" s="37">
        <f>21240*2</f>
        <v>42480</v>
      </c>
      <c r="K188" s="31">
        <f t="shared" si="19"/>
        <v>42480</v>
      </c>
      <c r="L188" s="32">
        <v>45999.0</v>
      </c>
      <c r="M188" s="33"/>
      <c r="N188" s="33"/>
      <c r="O188" s="34">
        <f t="shared" si="31"/>
        <v>0</v>
      </c>
      <c r="P188" s="34"/>
      <c r="Q188" s="34"/>
      <c r="R188" s="34"/>
      <c r="S188" s="34"/>
      <c r="T188" s="34"/>
      <c r="U188" s="34"/>
      <c r="V188" s="34"/>
      <c r="W188" s="34"/>
      <c r="X188" s="34"/>
    </row>
    <row r="189" ht="18.75" customHeight="1">
      <c r="A189" s="17">
        <f t="shared" si="5"/>
        <v>186</v>
      </c>
      <c r="B189" s="25" t="s">
        <v>426</v>
      </c>
      <c r="C189" s="25" t="s">
        <v>427</v>
      </c>
      <c r="D189" s="48" t="s">
        <v>45</v>
      </c>
      <c r="E189" s="27" t="s">
        <v>27</v>
      </c>
      <c r="F189" s="36">
        <v>45817.0</v>
      </c>
      <c r="G189" s="29">
        <v>46181.0</v>
      </c>
      <c r="H189" s="30" t="s">
        <v>268</v>
      </c>
      <c r="I189" s="37">
        <v>495600.0</v>
      </c>
      <c r="J189" s="37">
        <v>495600.0</v>
      </c>
      <c r="K189" s="31">
        <f t="shared" si="19"/>
        <v>0</v>
      </c>
      <c r="L189" s="49"/>
      <c r="M189" s="33"/>
      <c r="N189" s="33"/>
      <c r="O189" s="34">
        <f t="shared" si="31"/>
        <v>0</v>
      </c>
      <c r="P189" s="34"/>
      <c r="Q189" s="34"/>
      <c r="R189" s="34"/>
      <c r="S189" s="34"/>
      <c r="T189" s="34"/>
      <c r="U189" s="34"/>
      <c r="V189" s="34"/>
      <c r="W189" s="34"/>
      <c r="X189" s="34"/>
    </row>
    <row r="190" ht="18.75" customHeight="1">
      <c r="A190" s="17">
        <f t="shared" si="5"/>
        <v>187</v>
      </c>
      <c r="B190" s="25" t="s">
        <v>428</v>
      </c>
      <c r="C190" s="25" t="s">
        <v>429</v>
      </c>
      <c r="D190" s="48" t="s">
        <v>156</v>
      </c>
      <c r="E190" s="27" t="s">
        <v>27</v>
      </c>
      <c r="F190" s="36">
        <v>45817.0</v>
      </c>
      <c r="G190" s="29">
        <v>46181.0</v>
      </c>
      <c r="H190" s="30" t="s">
        <v>268</v>
      </c>
      <c r="I190" s="37">
        <v>127440.0</v>
      </c>
      <c r="J190" s="37">
        <v>127440.0</v>
      </c>
      <c r="K190" s="31">
        <f t="shared" si="19"/>
        <v>0</v>
      </c>
      <c r="L190" s="49"/>
      <c r="M190" s="33"/>
      <c r="N190" s="33"/>
      <c r="O190" s="34">
        <f t="shared" si="31"/>
        <v>0</v>
      </c>
      <c r="P190" s="34"/>
      <c r="Q190" s="34"/>
      <c r="R190" s="34"/>
      <c r="S190" s="34"/>
      <c r="T190" s="34"/>
      <c r="U190" s="34"/>
      <c r="V190" s="34"/>
      <c r="W190" s="34"/>
      <c r="X190" s="34"/>
    </row>
    <row r="191" ht="18.75" customHeight="1">
      <c r="A191" s="17">
        <f t="shared" si="5"/>
        <v>188</v>
      </c>
      <c r="B191" s="25" t="s">
        <v>430</v>
      </c>
      <c r="C191" s="25" t="s">
        <v>431</v>
      </c>
      <c r="D191" s="48" t="s">
        <v>45</v>
      </c>
      <c r="E191" s="27" t="s">
        <v>27</v>
      </c>
      <c r="F191" s="36">
        <v>45817.0</v>
      </c>
      <c r="G191" s="29">
        <v>46181.0</v>
      </c>
      <c r="H191" s="30" t="s">
        <v>268</v>
      </c>
      <c r="I191" s="37">
        <f t="shared" ref="I191:J191" si="38">127440-1944</f>
        <v>125496</v>
      </c>
      <c r="J191" s="37">
        <f t="shared" si="38"/>
        <v>125496</v>
      </c>
      <c r="K191" s="31">
        <f t="shared" si="19"/>
        <v>0</v>
      </c>
      <c r="L191" s="49"/>
      <c r="M191" s="42" t="s">
        <v>432</v>
      </c>
      <c r="N191" s="33"/>
      <c r="O191" s="34" t="str">
        <f t="shared" si="31"/>
        <v>#VALUE!</v>
      </c>
      <c r="P191" s="34"/>
      <c r="Q191" s="34"/>
      <c r="R191" s="34"/>
      <c r="S191" s="34"/>
      <c r="T191" s="34"/>
      <c r="U191" s="34"/>
      <c r="V191" s="34"/>
      <c r="W191" s="34"/>
      <c r="X191" s="34"/>
    </row>
    <row r="192" ht="18.75" customHeight="1">
      <c r="A192" s="17">
        <f t="shared" si="5"/>
        <v>189</v>
      </c>
      <c r="B192" s="25" t="s">
        <v>433</v>
      </c>
      <c r="C192" s="25" t="s">
        <v>434</v>
      </c>
      <c r="D192" s="48" t="s">
        <v>159</v>
      </c>
      <c r="E192" s="27" t="s">
        <v>27</v>
      </c>
      <c r="F192" s="36">
        <v>45819.0</v>
      </c>
      <c r="G192" s="29">
        <v>46183.0</v>
      </c>
      <c r="H192" s="30" t="s">
        <v>28</v>
      </c>
      <c r="I192" s="37">
        <f>10000*12</f>
        <v>120000</v>
      </c>
      <c r="J192" s="37">
        <f>10000*6</f>
        <v>60000</v>
      </c>
      <c r="K192" s="31">
        <f t="shared" si="19"/>
        <v>60000</v>
      </c>
      <c r="L192" s="32">
        <v>46002.0</v>
      </c>
      <c r="M192" s="33"/>
      <c r="N192" s="33"/>
      <c r="O192" s="34">
        <f t="shared" si="31"/>
        <v>0</v>
      </c>
      <c r="P192" s="34"/>
      <c r="Q192" s="34"/>
      <c r="R192" s="34"/>
      <c r="S192" s="34"/>
      <c r="T192" s="34"/>
      <c r="U192" s="34"/>
      <c r="V192" s="34"/>
      <c r="W192" s="34"/>
      <c r="X192" s="34"/>
    </row>
    <row r="193" ht="18.75" customHeight="1">
      <c r="A193" s="17">
        <f t="shared" si="5"/>
        <v>190</v>
      </c>
      <c r="B193" s="25" t="s">
        <v>435</v>
      </c>
      <c r="C193" s="25" t="s">
        <v>436</v>
      </c>
      <c r="D193" s="48" t="s">
        <v>140</v>
      </c>
      <c r="E193" s="27" t="s">
        <v>27</v>
      </c>
      <c r="F193" s="36">
        <v>45823.0</v>
      </c>
      <c r="G193" s="29">
        <v>46005.0</v>
      </c>
      <c r="H193" s="44" t="s">
        <v>38</v>
      </c>
      <c r="I193" s="37">
        <v>42480.0</v>
      </c>
      <c r="J193" s="37">
        <v>42480.0</v>
      </c>
      <c r="K193" s="31">
        <f t="shared" si="19"/>
        <v>0</v>
      </c>
      <c r="L193" s="49"/>
      <c r="M193" s="33"/>
      <c r="N193" s="33"/>
      <c r="O193" s="34">
        <f t="shared" si="31"/>
        <v>0</v>
      </c>
      <c r="P193" s="34"/>
      <c r="Q193" s="34"/>
      <c r="R193" s="34"/>
      <c r="S193" s="34"/>
      <c r="T193" s="34"/>
      <c r="U193" s="34"/>
      <c r="V193" s="34"/>
      <c r="W193" s="34"/>
      <c r="X193" s="34"/>
    </row>
    <row r="194" ht="18.75" customHeight="1">
      <c r="A194" s="17">
        <f t="shared" si="5"/>
        <v>191</v>
      </c>
      <c r="B194" s="25" t="s">
        <v>437</v>
      </c>
      <c r="C194" s="25" t="s">
        <v>438</v>
      </c>
      <c r="D194" s="48" t="s">
        <v>140</v>
      </c>
      <c r="E194" s="27" t="s">
        <v>27</v>
      </c>
      <c r="F194" s="36">
        <v>45824.0</v>
      </c>
      <c r="G194" s="29">
        <v>46188.0</v>
      </c>
      <c r="H194" s="30" t="s">
        <v>268</v>
      </c>
      <c r="I194" s="37">
        <v>70800.0</v>
      </c>
      <c r="J194" s="37">
        <v>70800.0</v>
      </c>
      <c r="K194" s="31">
        <f t="shared" si="19"/>
        <v>0</v>
      </c>
      <c r="L194" s="49"/>
      <c r="M194" s="33"/>
      <c r="N194" s="33"/>
      <c r="O194" s="34">
        <f t="shared" si="31"/>
        <v>0</v>
      </c>
      <c r="P194" s="34"/>
      <c r="Q194" s="34"/>
      <c r="R194" s="34"/>
      <c r="S194" s="34"/>
      <c r="T194" s="34"/>
      <c r="U194" s="34"/>
      <c r="V194" s="34"/>
      <c r="W194" s="34"/>
      <c r="X194" s="34"/>
    </row>
    <row r="195" ht="18.75" customHeight="1">
      <c r="A195" s="17">
        <f t="shared" si="5"/>
        <v>192</v>
      </c>
      <c r="B195" s="25" t="s">
        <v>71</v>
      </c>
      <c r="C195" s="25" t="s">
        <v>439</v>
      </c>
      <c r="D195" s="48" t="s">
        <v>45</v>
      </c>
      <c r="E195" s="27" t="s">
        <v>27</v>
      </c>
      <c r="F195" s="36">
        <v>45824.0</v>
      </c>
      <c r="G195" s="29">
        <v>46188.0</v>
      </c>
      <c r="H195" s="30" t="s">
        <v>268</v>
      </c>
      <c r="I195" s="37">
        <v>82600.0</v>
      </c>
      <c r="J195" s="37">
        <v>82600.0</v>
      </c>
      <c r="K195" s="31">
        <f t="shared" si="19"/>
        <v>0</v>
      </c>
      <c r="L195" s="49"/>
      <c r="M195" s="33"/>
      <c r="N195" s="33"/>
      <c r="O195" s="34">
        <f t="shared" si="31"/>
        <v>0</v>
      </c>
      <c r="P195" s="34"/>
      <c r="Q195" s="34"/>
      <c r="R195" s="34"/>
      <c r="S195" s="34"/>
      <c r="T195" s="34"/>
      <c r="U195" s="34"/>
      <c r="V195" s="34"/>
      <c r="W195" s="34"/>
      <c r="X195" s="34"/>
    </row>
    <row r="196" ht="18.75" customHeight="1">
      <c r="A196" s="17">
        <f t="shared" si="5"/>
        <v>193</v>
      </c>
      <c r="B196" s="25" t="s">
        <v>88</v>
      </c>
      <c r="C196" s="25" t="s">
        <v>440</v>
      </c>
      <c r="D196" s="48" t="s">
        <v>45</v>
      </c>
      <c r="E196" s="27" t="s">
        <v>27</v>
      </c>
      <c r="F196" s="36">
        <v>45825.0</v>
      </c>
      <c r="G196" s="29">
        <v>46189.0</v>
      </c>
      <c r="H196" s="30" t="s">
        <v>268</v>
      </c>
      <c r="I196" s="37">
        <v>127440.0</v>
      </c>
      <c r="J196" s="37">
        <v>127440.0</v>
      </c>
      <c r="K196" s="31">
        <f t="shared" si="19"/>
        <v>0</v>
      </c>
      <c r="L196" s="49"/>
      <c r="M196" s="33"/>
      <c r="N196" s="33"/>
      <c r="O196" s="34">
        <f t="shared" si="31"/>
        <v>0</v>
      </c>
      <c r="P196" s="34"/>
      <c r="Q196" s="34"/>
      <c r="R196" s="34"/>
      <c r="S196" s="34"/>
      <c r="T196" s="34"/>
      <c r="U196" s="34"/>
      <c r="V196" s="34"/>
      <c r="W196" s="34"/>
      <c r="X196" s="34"/>
    </row>
    <row r="197" ht="18.75" customHeight="1">
      <c r="A197" s="17">
        <f t="shared" si="5"/>
        <v>194</v>
      </c>
      <c r="B197" s="25" t="s">
        <v>441</v>
      </c>
      <c r="C197" s="25" t="s">
        <v>442</v>
      </c>
      <c r="D197" s="48" t="s">
        <v>45</v>
      </c>
      <c r="E197" s="27" t="s">
        <v>27</v>
      </c>
      <c r="F197" s="36">
        <v>45825.0</v>
      </c>
      <c r="G197" s="29">
        <v>46189.0</v>
      </c>
      <c r="H197" s="30" t="s">
        <v>268</v>
      </c>
      <c r="I197" s="37">
        <v>241900.0</v>
      </c>
      <c r="J197" s="37">
        <v>241900.0</v>
      </c>
      <c r="K197" s="31">
        <f t="shared" si="19"/>
        <v>0</v>
      </c>
      <c r="L197" s="49"/>
      <c r="M197" s="33"/>
      <c r="N197" s="33"/>
      <c r="O197" s="34">
        <f t="shared" si="31"/>
        <v>0</v>
      </c>
      <c r="P197" s="34"/>
      <c r="Q197" s="34"/>
      <c r="R197" s="34"/>
      <c r="S197" s="34"/>
      <c r="T197" s="34"/>
      <c r="U197" s="34"/>
      <c r="V197" s="34"/>
      <c r="W197" s="34"/>
      <c r="X197" s="34"/>
    </row>
    <row r="198" ht="18.75" customHeight="1">
      <c r="A198" s="17">
        <f t="shared" si="5"/>
        <v>195</v>
      </c>
      <c r="B198" s="25" t="s">
        <v>443</v>
      </c>
      <c r="C198" s="86" t="s">
        <v>444</v>
      </c>
      <c r="D198" s="67" t="s">
        <v>140</v>
      </c>
      <c r="E198" s="27" t="s">
        <v>27</v>
      </c>
      <c r="F198" s="36">
        <v>45827.0</v>
      </c>
      <c r="G198" s="29">
        <v>46191.0</v>
      </c>
      <c r="H198" s="30" t="s">
        <v>28</v>
      </c>
      <c r="I198" s="37">
        <f>5900*12</f>
        <v>70800</v>
      </c>
      <c r="J198" s="37">
        <f>5900*6</f>
        <v>35400</v>
      </c>
      <c r="K198" s="31">
        <f t="shared" si="19"/>
        <v>35400</v>
      </c>
      <c r="L198" s="87">
        <v>46009.0</v>
      </c>
      <c r="M198" s="33"/>
      <c r="N198" s="33"/>
      <c r="O198" s="34">
        <f t="shared" si="31"/>
        <v>0</v>
      </c>
      <c r="P198" s="34"/>
      <c r="Q198" s="34"/>
      <c r="R198" s="34"/>
      <c r="S198" s="34"/>
      <c r="T198" s="34"/>
      <c r="U198" s="34"/>
      <c r="V198" s="34"/>
      <c r="W198" s="34"/>
      <c r="X198" s="34"/>
    </row>
    <row r="199" ht="18.75" customHeight="1">
      <c r="A199" s="17">
        <f t="shared" si="5"/>
        <v>196</v>
      </c>
      <c r="B199" s="25" t="s">
        <v>445</v>
      </c>
      <c r="C199" s="25" t="s">
        <v>446</v>
      </c>
      <c r="D199" s="48" t="s">
        <v>156</v>
      </c>
      <c r="E199" s="27" t="s">
        <v>27</v>
      </c>
      <c r="F199" s="36">
        <v>45829.0</v>
      </c>
      <c r="G199" s="29">
        <v>46194.0</v>
      </c>
      <c r="H199" s="30" t="s">
        <v>268</v>
      </c>
      <c r="I199" s="37">
        <v>66080.0</v>
      </c>
      <c r="J199" s="37">
        <v>66080.0</v>
      </c>
      <c r="K199" s="31">
        <f t="shared" si="19"/>
        <v>0</v>
      </c>
      <c r="L199" s="49"/>
      <c r="M199" s="33"/>
      <c r="N199" s="33"/>
      <c r="O199" s="34">
        <f t="shared" si="31"/>
        <v>0</v>
      </c>
      <c r="P199" s="34"/>
      <c r="Q199" s="34"/>
      <c r="R199" s="34"/>
      <c r="S199" s="34"/>
      <c r="T199" s="34"/>
      <c r="U199" s="34"/>
      <c r="V199" s="34"/>
      <c r="W199" s="34"/>
      <c r="X199" s="34"/>
    </row>
    <row r="200" ht="18.75" customHeight="1">
      <c r="A200" s="17">
        <f t="shared" si="5"/>
        <v>197</v>
      </c>
      <c r="B200" s="25" t="s">
        <v>133</v>
      </c>
      <c r="C200" s="25" t="s">
        <v>447</v>
      </c>
      <c r="D200" s="48" t="s">
        <v>31</v>
      </c>
      <c r="E200" s="27" t="s">
        <v>27</v>
      </c>
      <c r="F200" s="36">
        <v>45831.0</v>
      </c>
      <c r="G200" s="29">
        <v>46195.0</v>
      </c>
      <c r="H200" s="41" t="s">
        <v>294</v>
      </c>
      <c r="I200" s="37">
        <f>148680*4</f>
        <v>594720</v>
      </c>
      <c r="J200" s="37">
        <f>148680*2</f>
        <v>297360</v>
      </c>
      <c r="K200" s="31">
        <f t="shared" si="19"/>
        <v>297360</v>
      </c>
      <c r="L200" s="32">
        <v>46010.0</v>
      </c>
      <c r="M200" s="33"/>
      <c r="N200" s="33"/>
      <c r="O200" s="34">
        <f t="shared" si="31"/>
        <v>0</v>
      </c>
      <c r="P200" s="34"/>
      <c r="Q200" s="34"/>
      <c r="R200" s="34"/>
      <c r="S200" s="34"/>
      <c r="T200" s="34"/>
      <c r="U200" s="34"/>
      <c r="V200" s="34"/>
      <c r="W200" s="34"/>
      <c r="X200" s="34"/>
    </row>
    <row r="201" ht="18.75" customHeight="1">
      <c r="A201" s="17">
        <f t="shared" si="5"/>
        <v>198</v>
      </c>
      <c r="B201" s="25" t="s">
        <v>448</v>
      </c>
      <c r="C201" s="25" t="s">
        <v>449</v>
      </c>
      <c r="D201" s="48" t="s">
        <v>188</v>
      </c>
      <c r="E201" s="27" t="s">
        <v>27</v>
      </c>
      <c r="F201" s="36">
        <v>45832.0</v>
      </c>
      <c r="G201" s="29">
        <v>46014.0</v>
      </c>
      <c r="H201" s="44" t="s">
        <v>38</v>
      </c>
      <c r="I201" s="37">
        <v>41300.0</v>
      </c>
      <c r="J201" s="37">
        <v>41300.0</v>
      </c>
      <c r="K201" s="31">
        <f t="shared" si="19"/>
        <v>0</v>
      </c>
      <c r="L201" s="49"/>
      <c r="M201" s="33"/>
      <c r="N201" s="33"/>
      <c r="O201" s="34">
        <f t="shared" si="31"/>
        <v>0</v>
      </c>
      <c r="P201" s="34"/>
      <c r="Q201" s="34"/>
      <c r="R201" s="34"/>
      <c r="S201" s="34"/>
      <c r="T201" s="34"/>
      <c r="U201" s="34"/>
      <c r="V201" s="34"/>
      <c r="W201" s="34"/>
      <c r="X201" s="34"/>
    </row>
    <row r="202" ht="18.75" customHeight="1">
      <c r="A202" s="17">
        <f t="shared" si="5"/>
        <v>199</v>
      </c>
      <c r="B202" s="25" t="s">
        <v>52</v>
      </c>
      <c r="C202" s="25" t="s">
        <v>450</v>
      </c>
      <c r="D202" s="48" t="s">
        <v>159</v>
      </c>
      <c r="E202" s="27" t="s">
        <v>27</v>
      </c>
      <c r="F202" s="36">
        <v>45832.0</v>
      </c>
      <c r="G202" s="29">
        <v>46196.0</v>
      </c>
      <c r="H202" s="30" t="s">
        <v>268</v>
      </c>
      <c r="I202" s="37">
        <v>212400.0</v>
      </c>
      <c r="J202" s="37">
        <v>212400.0</v>
      </c>
      <c r="K202" s="31">
        <f t="shared" si="19"/>
        <v>0</v>
      </c>
      <c r="L202" s="49"/>
      <c r="M202" s="33"/>
      <c r="N202" s="33"/>
      <c r="O202" s="34">
        <f t="shared" si="31"/>
        <v>0</v>
      </c>
      <c r="P202" s="34"/>
      <c r="Q202" s="34"/>
      <c r="R202" s="34"/>
      <c r="S202" s="34"/>
      <c r="T202" s="34"/>
      <c r="U202" s="34"/>
      <c r="V202" s="34"/>
      <c r="W202" s="34"/>
      <c r="X202" s="34"/>
    </row>
    <row r="203" ht="18.75" customHeight="1">
      <c r="A203" s="17">
        <f t="shared" si="5"/>
        <v>200</v>
      </c>
      <c r="B203" s="25" t="s">
        <v>39</v>
      </c>
      <c r="C203" s="25" t="s">
        <v>451</v>
      </c>
      <c r="D203" s="48" t="s">
        <v>45</v>
      </c>
      <c r="E203" s="27" t="s">
        <v>27</v>
      </c>
      <c r="F203" s="36">
        <v>45836.0</v>
      </c>
      <c r="G203" s="29">
        <v>46200.0</v>
      </c>
      <c r="H203" s="30" t="s">
        <v>268</v>
      </c>
      <c r="I203" s="37">
        <v>70800.0</v>
      </c>
      <c r="J203" s="37">
        <v>70800.0</v>
      </c>
      <c r="K203" s="31">
        <f t="shared" si="19"/>
        <v>0</v>
      </c>
      <c r="L203" s="49"/>
      <c r="M203" s="33"/>
      <c r="N203" s="33"/>
      <c r="O203" s="34">
        <f t="shared" si="31"/>
        <v>0</v>
      </c>
      <c r="P203" s="34"/>
      <c r="Q203" s="34"/>
      <c r="R203" s="34"/>
      <c r="S203" s="34"/>
      <c r="T203" s="34"/>
      <c r="U203" s="34"/>
      <c r="V203" s="34"/>
      <c r="W203" s="34"/>
      <c r="X203" s="34"/>
    </row>
    <row r="204" ht="18.75" customHeight="1">
      <c r="A204" s="17">
        <f t="shared" si="5"/>
        <v>201</v>
      </c>
      <c r="B204" s="25" t="s">
        <v>452</v>
      </c>
      <c r="C204" s="25" t="s">
        <v>453</v>
      </c>
      <c r="D204" s="48" t="s">
        <v>31</v>
      </c>
      <c r="E204" s="27" t="s">
        <v>27</v>
      </c>
      <c r="F204" s="36">
        <v>45838.0</v>
      </c>
      <c r="G204" s="29">
        <v>46202.0</v>
      </c>
      <c r="H204" s="30" t="s">
        <v>268</v>
      </c>
      <c r="I204" s="37">
        <v>74340.0</v>
      </c>
      <c r="J204" s="37">
        <v>74340.0</v>
      </c>
      <c r="K204" s="31">
        <f t="shared" si="19"/>
        <v>0</v>
      </c>
      <c r="L204" s="49"/>
      <c r="M204" s="33"/>
      <c r="N204" s="33"/>
      <c r="O204" s="34">
        <f t="shared" si="31"/>
        <v>0</v>
      </c>
      <c r="P204" s="34"/>
      <c r="Q204" s="34"/>
      <c r="R204" s="34"/>
      <c r="S204" s="34"/>
      <c r="T204" s="34"/>
      <c r="U204" s="34"/>
      <c r="V204" s="34"/>
      <c r="W204" s="34"/>
      <c r="X204" s="34"/>
    </row>
    <row r="205" ht="18.75" customHeight="1">
      <c r="A205" s="17">
        <f t="shared" si="5"/>
        <v>202</v>
      </c>
      <c r="B205" s="88" t="s">
        <v>50</v>
      </c>
      <c r="C205" s="64" t="s">
        <v>454</v>
      </c>
      <c r="D205" s="48" t="s">
        <v>159</v>
      </c>
      <c r="E205" s="27" t="s">
        <v>27</v>
      </c>
      <c r="F205" s="36">
        <v>45838.0</v>
      </c>
      <c r="G205" s="29">
        <v>46209.0</v>
      </c>
      <c r="H205" s="30" t="s">
        <v>268</v>
      </c>
      <c r="I205" s="37">
        <v>708000.0</v>
      </c>
      <c r="J205" s="37">
        <v>708000.0</v>
      </c>
      <c r="K205" s="31">
        <f t="shared" si="19"/>
        <v>0</v>
      </c>
      <c r="L205" s="49"/>
      <c r="M205" s="33"/>
      <c r="N205" s="33"/>
      <c r="O205" s="34">
        <f t="shared" si="31"/>
        <v>0</v>
      </c>
      <c r="P205" s="34"/>
      <c r="Q205" s="34"/>
      <c r="R205" s="34"/>
      <c r="S205" s="34"/>
      <c r="T205" s="34"/>
      <c r="U205" s="34"/>
      <c r="V205" s="34"/>
      <c r="W205" s="34"/>
      <c r="X205" s="34"/>
    </row>
    <row r="206" ht="18.75" customHeight="1">
      <c r="A206" s="17">
        <f t="shared" si="5"/>
        <v>203</v>
      </c>
      <c r="B206" s="88" t="s">
        <v>455</v>
      </c>
      <c r="C206" s="64" t="s">
        <v>456</v>
      </c>
      <c r="D206" s="48" t="s">
        <v>159</v>
      </c>
      <c r="E206" s="27" t="s">
        <v>27</v>
      </c>
      <c r="F206" s="36">
        <v>45838.0</v>
      </c>
      <c r="G206" s="29">
        <v>46209.0</v>
      </c>
      <c r="H206" s="30" t="s">
        <v>268</v>
      </c>
      <c r="I206" s="37">
        <v>708000.0</v>
      </c>
      <c r="J206" s="37">
        <v>708000.0</v>
      </c>
      <c r="K206" s="31">
        <f t="shared" si="19"/>
        <v>0</v>
      </c>
      <c r="L206" s="49"/>
      <c r="M206" s="33"/>
      <c r="N206" s="33"/>
      <c r="O206" s="34">
        <f t="shared" si="31"/>
        <v>0</v>
      </c>
      <c r="P206" s="34"/>
      <c r="Q206" s="34"/>
      <c r="R206" s="34"/>
      <c r="S206" s="34"/>
      <c r="T206" s="34"/>
      <c r="U206" s="34"/>
      <c r="V206" s="34"/>
      <c r="W206" s="34"/>
      <c r="X206" s="34"/>
    </row>
    <row r="207" ht="18.75" customHeight="1">
      <c r="A207" s="17">
        <f t="shared" si="5"/>
        <v>204</v>
      </c>
      <c r="B207" s="25" t="s">
        <v>457</v>
      </c>
      <c r="C207" s="25" t="s">
        <v>458</v>
      </c>
      <c r="D207" s="48" t="s">
        <v>188</v>
      </c>
      <c r="E207" s="27" t="s">
        <v>27</v>
      </c>
      <c r="F207" s="36">
        <v>45839.0</v>
      </c>
      <c r="G207" s="29">
        <v>46022.0</v>
      </c>
      <c r="H207" s="44" t="s">
        <v>38</v>
      </c>
      <c r="I207" s="37">
        <v>41300.0</v>
      </c>
      <c r="J207" s="37">
        <v>41300.0</v>
      </c>
      <c r="K207" s="31">
        <f t="shared" si="19"/>
        <v>0</v>
      </c>
      <c r="L207" s="49"/>
      <c r="M207" s="33"/>
      <c r="N207" s="33"/>
      <c r="O207" s="34">
        <f t="shared" si="31"/>
        <v>0</v>
      </c>
      <c r="P207" s="34"/>
      <c r="Q207" s="34"/>
      <c r="R207" s="34"/>
      <c r="S207" s="34"/>
      <c r="T207" s="34"/>
      <c r="U207" s="34"/>
      <c r="V207" s="34"/>
      <c r="W207" s="34"/>
      <c r="X207" s="34"/>
    </row>
    <row r="208" ht="18.75" customHeight="1">
      <c r="A208" s="17">
        <f t="shared" si="5"/>
        <v>205</v>
      </c>
      <c r="B208" s="25" t="s">
        <v>459</v>
      </c>
      <c r="C208" s="64" t="s">
        <v>460</v>
      </c>
      <c r="D208" s="48" t="s">
        <v>45</v>
      </c>
      <c r="E208" s="27" t="s">
        <v>27</v>
      </c>
      <c r="F208" s="36">
        <v>45839.0</v>
      </c>
      <c r="G208" s="29">
        <v>46203.0</v>
      </c>
      <c r="H208" s="41" t="s">
        <v>294</v>
      </c>
      <c r="I208" s="37">
        <f>141600*4</f>
        <v>566400</v>
      </c>
      <c r="J208" s="37">
        <f>141600*2</f>
        <v>283200</v>
      </c>
      <c r="K208" s="31">
        <f t="shared" si="19"/>
        <v>283200</v>
      </c>
      <c r="L208" s="32">
        <v>46023.0</v>
      </c>
      <c r="M208" s="33"/>
      <c r="N208" s="33"/>
      <c r="O208" s="34">
        <f t="shared" si="31"/>
        <v>0</v>
      </c>
      <c r="P208" s="34"/>
      <c r="Q208" s="34"/>
      <c r="R208" s="34"/>
      <c r="S208" s="34"/>
      <c r="T208" s="34"/>
      <c r="U208" s="34"/>
      <c r="V208" s="34"/>
      <c r="W208" s="34"/>
      <c r="X208" s="34"/>
    </row>
    <row r="209" ht="18.75" customHeight="1">
      <c r="A209" s="17">
        <f t="shared" si="5"/>
        <v>206</v>
      </c>
      <c r="B209" s="25" t="s">
        <v>461</v>
      </c>
      <c r="C209" s="64" t="s">
        <v>462</v>
      </c>
      <c r="D209" s="48" t="s">
        <v>188</v>
      </c>
      <c r="E209" s="27" t="s">
        <v>27</v>
      </c>
      <c r="F209" s="36">
        <v>45839.0</v>
      </c>
      <c r="G209" s="29">
        <v>46203.0</v>
      </c>
      <c r="H209" s="30" t="s">
        <v>268</v>
      </c>
      <c r="I209" s="37">
        <v>82600.0</v>
      </c>
      <c r="J209" s="37">
        <v>82600.0</v>
      </c>
      <c r="K209" s="31">
        <f t="shared" si="19"/>
        <v>0</v>
      </c>
      <c r="L209" s="49"/>
      <c r="M209" s="33"/>
      <c r="N209" s="33"/>
      <c r="O209" s="34">
        <f t="shared" si="31"/>
        <v>0</v>
      </c>
      <c r="P209" s="34"/>
      <c r="Q209" s="34"/>
      <c r="R209" s="34"/>
      <c r="S209" s="34"/>
      <c r="T209" s="34"/>
      <c r="U209" s="34"/>
      <c r="V209" s="34"/>
      <c r="W209" s="34"/>
      <c r="X209" s="34"/>
    </row>
    <row r="210" ht="18.75" customHeight="1">
      <c r="A210" s="17">
        <f t="shared" si="5"/>
        <v>207</v>
      </c>
      <c r="B210" s="25" t="s">
        <v>463</v>
      </c>
      <c r="C210" s="64" t="s">
        <v>464</v>
      </c>
      <c r="D210" s="48" t="s">
        <v>45</v>
      </c>
      <c r="E210" s="27" t="s">
        <v>27</v>
      </c>
      <c r="F210" s="36">
        <v>45839.0</v>
      </c>
      <c r="G210" s="29">
        <v>46203.0</v>
      </c>
      <c r="H210" s="41" t="s">
        <v>294</v>
      </c>
      <c r="I210" s="37">
        <f>35400*4</f>
        <v>141600</v>
      </c>
      <c r="J210" s="37">
        <f>35400*2</f>
        <v>70800</v>
      </c>
      <c r="K210" s="31">
        <f t="shared" si="19"/>
        <v>70800</v>
      </c>
      <c r="L210" s="32">
        <v>45931.0</v>
      </c>
      <c r="M210" s="33"/>
      <c r="N210" s="33"/>
      <c r="O210" s="34">
        <f t="shared" si="31"/>
        <v>0</v>
      </c>
      <c r="P210" s="34"/>
      <c r="Q210" s="34"/>
      <c r="R210" s="34"/>
      <c r="S210" s="34"/>
      <c r="T210" s="34"/>
      <c r="U210" s="34"/>
      <c r="V210" s="34"/>
      <c r="W210" s="34"/>
      <c r="X210" s="34"/>
    </row>
    <row r="211" ht="18.75" customHeight="1">
      <c r="A211" s="17">
        <f t="shared" si="5"/>
        <v>208</v>
      </c>
      <c r="B211" s="25" t="s">
        <v>465</v>
      </c>
      <c r="C211" s="64" t="s">
        <v>466</v>
      </c>
      <c r="D211" s="48" t="s">
        <v>159</v>
      </c>
      <c r="E211" s="27" t="s">
        <v>27</v>
      </c>
      <c r="F211" s="36">
        <v>45839.0</v>
      </c>
      <c r="G211" s="29">
        <v>46203.0</v>
      </c>
      <c r="H211" s="41" t="s">
        <v>294</v>
      </c>
      <c r="I211" s="37">
        <f>13452*4</f>
        <v>53808</v>
      </c>
      <c r="J211" s="37">
        <f>13452*2</f>
        <v>26904</v>
      </c>
      <c r="K211" s="31">
        <f t="shared" si="19"/>
        <v>26904</v>
      </c>
      <c r="L211" s="32">
        <v>46023.0</v>
      </c>
      <c r="M211" s="33"/>
      <c r="N211" s="33"/>
      <c r="O211" s="34">
        <f t="shared" si="31"/>
        <v>0</v>
      </c>
      <c r="P211" s="34"/>
      <c r="Q211" s="34"/>
      <c r="R211" s="34"/>
      <c r="S211" s="34"/>
      <c r="T211" s="34"/>
      <c r="U211" s="34"/>
      <c r="V211" s="34"/>
      <c r="W211" s="34"/>
      <c r="X211" s="34"/>
    </row>
    <row r="212" ht="18.75" customHeight="1">
      <c r="A212" s="17">
        <f t="shared" si="5"/>
        <v>209</v>
      </c>
      <c r="B212" s="25" t="s">
        <v>467</v>
      </c>
      <c r="C212" s="64" t="s">
        <v>468</v>
      </c>
      <c r="D212" s="48" t="s">
        <v>159</v>
      </c>
      <c r="E212" s="27" t="s">
        <v>27</v>
      </c>
      <c r="F212" s="36">
        <v>45839.0</v>
      </c>
      <c r="G212" s="29">
        <v>46218.0</v>
      </c>
      <c r="H212" s="41" t="s">
        <v>294</v>
      </c>
      <c r="I212" s="37">
        <f>25488*4-25488</f>
        <v>76464</v>
      </c>
      <c r="J212" s="37">
        <f>25488*2-25488</f>
        <v>25488</v>
      </c>
      <c r="K212" s="31">
        <f t="shared" si="19"/>
        <v>50976</v>
      </c>
      <c r="L212" s="32">
        <v>46023.0</v>
      </c>
      <c r="M212" s="42" t="s">
        <v>469</v>
      </c>
      <c r="N212" s="33"/>
      <c r="O212" s="34" t="str">
        <f t="shared" si="31"/>
        <v>#VALUE!</v>
      </c>
      <c r="P212" s="34"/>
      <c r="Q212" s="34"/>
      <c r="R212" s="34"/>
      <c r="S212" s="34"/>
      <c r="T212" s="34"/>
      <c r="U212" s="34"/>
      <c r="V212" s="34"/>
      <c r="W212" s="34"/>
      <c r="X212" s="34"/>
    </row>
    <row r="213" ht="18.75" customHeight="1">
      <c r="A213" s="17">
        <f t="shared" si="5"/>
        <v>210</v>
      </c>
      <c r="B213" s="25" t="s">
        <v>470</v>
      </c>
      <c r="C213" s="64" t="s">
        <v>471</v>
      </c>
      <c r="D213" s="48" t="s">
        <v>196</v>
      </c>
      <c r="E213" s="27" t="s">
        <v>27</v>
      </c>
      <c r="F213" s="36">
        <v>45843.0</v>
      </c>
      <c r="G213" s="29">
        <v>46207.0</v>
      </c>
      <c r="H213" s="30" t="s">
        <v>268</v>
      </c>
      <c r="I213" s="37">
        <v>75000.0</v>
      </c>
      <c r="J213" s="37">
        <v>75000.0</v>
      </c>
      <c r="K213" s="31">
        <f t="shared" si="19"/>
        <v>0</v>
      </c>
      <c r="L213" s="49"/>
      <c r="M213" s="33"/>
      <c r="N213" s="33"/>
      <c r="O213" s="34">
        <f t="shared" si="31"/>
        <v>0</v>
      </c>
      <c r="P213" s="34"/>
      <c r="Q213" s="34"/>
      <c r="R213" s="34"/>
      <c r="S213" s="34"/>
      <c r="T213" s="34"/>
      <c r="U213" s="34"/>
      <c r="V213" s="34"/>
      <c r="W213" s="34"/>
      <c r="X213" s="34"/>
    </row>
    <row r="214" ht="18.75" customHeight="1">
      <c r="A214" s="17">
        <f t="shared" si="5"/>
        <v>211</v>
      </c>
      <c r="B214" s="25" t="s">
        <v>472</v>
      </c>
      <c r="C214" s="64" t="s">
        <v>473</v>
      </c>
      <c r="D214" s="48" t="s">
        <v>188</v>
      </c>
      <c r="E214" s="27" t="s">
        <v>27</v>
      </c>
      <c r="F214" s="36">
        <v>45843.0</v>
      </c>
      <c r="G214" s="29">
        <v>46207.0</v>
      </c>
      <c r="H214" s="44" t="s">
        <v>291</v>
      </c>
      <c r="I214" s="37">
        <f>37170*2</f>
        <v>74340</v>
      </c>
      <c r="J214" s="37">
        <v>37170.0</v>
      </c>
      <c r="K214" s="31">
        <f t="shared" si="19"/>
        <v>37170</v>
      </c>
      <c r="L214" s="32">
        <v>46027.0</v>
      </c>
      <c r="M214" s="33"/>
      <c r="N214" s="33"/>
      <c r="O214" s="34">
        <f t="shared" si="31"/>
        <v>0</v>
      </c>
      <c r="P214" s="34"/>
      <c r="Q214" s="34"/>
      <c r="R214" s="34"/>
      <c r="S214" s="34"/>
      <c r="T214" s="34"/>
      <c r="U214" s="34"/>
      <c r="V214" s="34"/>
      <c r="W214" s="34"/>
      <c r="X214" s="34"/>
    </row>
    <row r="215" ht="18.75" customHeight="1">
      <c r="A215" s="17">
        <f t="shared" si="5"/>
        <v>212</v>
      </c>
      <c r="B215" s="25" t="s">
        <v>177</v>
      </c>
      <c r="C215" s="64" t="s">
        <v>474</v>
      </c>
      <c r="D215" s="48" t="s">
        <v>244</v>
      </c>
      <c r="E215" s="27" t="s">
        <v>27</v>
      </c>
      <c r="F215" s="36">
        <v>45844.0</v>
      </c>
      <c r="G215" s="29">
        <v>46208.0</v>
      </c>
      <c r="H215" s="30" t="s">
        <v>268</v>
      </c>
      <c r="I215" s="70">
        <v>477900.0</v>
      </c>
      <c r="J215" s="70">
        <v>477900.0</v>
      </c>
      <c r="K215" s="31">
        <f t="shared" si="19"/>
        <v>0</v>
      </c>
      <c r="L215" s="49"/>
      <c r="M215" s="33"/>
      <c r="N215" s="33"/>
      <c r="O215" s="34">
        <f t="shared" si="31"/>
        <v>0</v>
      </c>
      <c r="P215" s="34"/>
      <c r="Q215" s="34"/>
      <c r="R215" s="34"/>
      <c r="S215" s="34"/>
      <c r="T215" s="34"/>
      <c r="U215" s="34"/>
      <c r="V215" s="34"/>
      <c r="W215" s="34"/>
      <c r="X215" s="34"/>
    </row>
    <row r="216" ht="18.75" customHeight="1">
      <c r="A216" s="17">
        <f t="shared" si="5"/>
        <v>213</v>
      </c>
      <c r="B216" s="25" t="s">
        <v>75</v>
      </c>
      <c r="C216" s="64" t="s">
        <v>475</v>
      </c>
      <c r="D216" s="48" t="s">
        <v>159</v>
      </c>
      <c r="E216" s="27" t="s">
        <v>27</v>
      </c>
      <c r="F216" s="36">
        <v>45845.0</v>
      </c>
      <c r="G216" s="29">
        <v>46209.0</v>
      </c>
      <c r="H216" s="44" t="s">
        <v>291</v>
      </c>
      <c r="I216" s="37">
        <f>41300*2</f>
        <v>82600</v>
      </c>
      <c r="J216" s="37">
        <v>41300.0</v>
      </c>
      <c r="K216" s="31">
        <f t="shared" si="19"/>
        <v>41300</v>
      </c>
      <c r="L216" s="32">
        <v>46023.0</v>
      </c>
      <c r="M216" s="33"/>
      <c r="N216" s="33"/>
      <c r="O216" s="34">
        <f t="shared" si="31"/>
        <v>0</v>
      </c>
      <c r="P216" s="34"/>
      <c r="Q216" s="34"/>
      <c r="R216" s="34"/>
      <c r="S216" s="34"/>
      <c r="T216" s="34"/>
      <c r="U216" s="34"/>
      <c r="V216" s="34"/>
      <c r="W216" s="34"/>
      <c r="X216" s="34"/>
    </row>
    <row r="217" ht="18.75" customHeight="1">
      <c r="A217" s="17">
        <f t="shared" si="5"/>
        <v>214</v>
      </c>
      <c r="B217" s="25" t="s">
        <v>400</v>
      </c>
      <c r="C217" s="64" t="s">
        <v>476</v>
      </c>
      <c r="D217" s="48" t="s">
        <v>31</v>
      </c>
      <c r="E217" s="27" t="s">
        <v>27</v>
      </c>
      <c r="F217" s="36">
        <v>45845.0</v>
      </c>
      <c r="G217" s="29">
        <v>46210.0</v>
      </c>
      <c r="H217" s="30" t="s">
        <v>268</v>
      </c>
      <c r="I217" s="70">
        <v>140125.0</v>
      </c>
      <c r="J217" s="70">
        <v>140125.0</v>
      </c>
      <c r="K217" s="31">
        <f t="shared" si="19"/>
        <v>0</v>
      </c>
      <c r="L217" s="49"/>
      <c r="M217" s="33"/>
      <c r="N217" s="33"/>
      <c r="O217" s="34">
        <f t="shared" si="31"/>
        <v>0</v>
      </c>
      <c r="P217" s="34"/>
      <c r="Q217" s="34"/>
      <c r="R217" s="34"/>
      <c r="S217" s="34"/>
      <c r="T217" s="34"/>
      <c r="U217" s="34"/>
      <c r="V217" s="34"/>
      <c r="W217" s="34"/>
      <c r="X217" s="34"/>
    </row>
    <row r="218" ht="18.75" customHeight="1">
      <c r="A218" s="17">
        <f t="shared" si="5"/>
        <v>215</v>
      </c>
      <c r="B218" s="25" t="s">
        <v>179</v>
      </c>
      <c r="C218" s="64" t="s">
        <v>477</v>
      </c>
      <c r="D218" s="48" t="s">
        <v>244</v>
      </c>
      <c r="E218" s="27" t="s">
        <v>27</v>
      </c>
      <c r="F218" s="36">
        <v>45845.0</v>
      </c>
      <c r="G218" s="29">
        <v>46209.0</v>
      </c>
      <c r="H218" s="30" t="s">
        <v>268</v>
      </c>
      <c r="I218" s="37">
        <v>849600.0</v>
      </c>
      <c r="J218" s="37">
        <v>849600.0</v>
      </c>
      <c r="K218" s="31">
        <f t="shared" si="19"/>
        <v>0</v>
      </c>
      <c r="L218" s="49"/>
      <c r="M218" s="33"/>
      <c r="N218" s="33"/>
      <c r="O218" s="34">
        <f t="shared" si="31"/>
        <v>0</v>
      </c>
      <c r="P218" s="34"/>
      <c r="Q218" s="34"/>
      <c r="R218" s="34"/>
      <c r="S218" s="34"/>
      <c r="T218" s="34"/>
      <c r="U218" s="34"/>
      <c r="V218" s="34"/>
      <c r="W218" s="34"/>
      <c r="X218" s="34"/>
    </row>
    <row r="219" ht="18.75" customHeight="1">
      <c r="A219" s="17">
        <f t="shared" si="5"/>
        <v>216</v>
      </c>
      <c r="B219" s="25" t="s">
        <v>157</v>
      </c>
      <c r="C219" s="64" t="s">
        <v>478</v>
      </c>
      <c r="D219" s="48" t="s">
        <v>159</v>
      </c>
      <c r="E219" s="27" t="s">
        <v>27</v>
      </c>
      <c r="F219" s="36">
        <v>45845.0</v>
      </c>
      <c r="G219" s="29">
        <v>45997.0</v>
      </c>
      <c r="H219" s="30" t="s">
        <v>291</v>
      </c>
      <c r="I219" s="37">
        <f>(100890-1710)*2</f>
        <v>198360</v>
      </c>
      <c r="J219" s="37">
        <f>(100890-1710)*1</f>
        <v>99180</v>
      </c>
      <c r="K219" s="31">
        <f t="shared" si="19"/>
        <v>99180</v>
      </c>
      <c r="L219" s="49"/>
      <c r="M219" s="89" t="s">
        <v>479</v>
      </c>
      <c r="N219" s="33"/>
      <c r="O219" s="34" t="str">
        <f t="shared" si="31"/>
        <v>#VALUE!</v>
      </c>
      <c r="P219" s="34"/>
      <c r="Q219" s="34"/>
      <c r="R219" s="34"/>
      <c r="S219" s="34"/>
      <c r="T219" s="34"/>
      <c r="U219" s="34"/>
      <c r="V219" s="34"/>
      <c r="W219" s="34"/>
      <c r="X219" s="34"/>
    </row>
    <row r="220" ht="18.75" customHeight="1">
      <c r="A220" s="17">
        <f t="shared" si="5"/>
        <v>217</v>
      </c>
      <c r="B220" s="25" t="s">
        <v>480</v>
      </c>
      <c r="C220" s="64" t="s">
        <v>481</v>
      </c>
      <c r="D220" s="48" t="s">
        <v>45</v>
      </c>
      <c r="E220" s="27" t="s">
        <v>27</v>
      </c>
      <c r="F220" s="36">
        <v>45846.0</v>
      </c>
      <c r="G220" s="29">
        <v>46210.0</v>
      </c>
      <c r="H220" s="30" t="s">
        <v>268</v>
      </c>
      <c r="I220" s="37">
        <v>82600.0</v>
      </c>
      <c r="J220" s="37">
        <v>82600.0</v>
      </c>
      <c r="K220" s="31">
        <f t="shared" si="19"/>
        <v>0</v>
      </c>
      <c r="L220" s="49"/>
      <c r="M220" s="33"/>
      <c r="N220" s="33"/>
      <c r="O220" s="34">
        <f t="shared" si="31"/>
        <v>0</v>
      </c>
      <c r="P220" s="34"/>
      <c r="Q220" s="34"/>
      <c r="R220" s="34"/>
      <c r="S220" s="34"/>
      <c r="T220" s="34"/>
      <c r="U220" s="34"/>
      <c r="V220" s="34"/>
      <c r="W220" s="34"/>
      <c r="X220" s="34"/>
    </row>
    <row r="221" ht="18.75" customHeight="1">
      <c r="A221" s="17">
        <f t="shared" si="5"/>
        <v>218</v>
      </c>
      <c r="B221" s="25" t="s">
        <v>482</v>
      </c>
      <c r="C221" s="64" t="s">
        <v>483</v>
      </c>
      <c r="D221" s="48" t="s">
        <v>45</v>
      </c>
      <c r="E221" s="27" t="s">
        <v>27</v>
      </c>
      <c r="F221" s="36">
        <v>45846.0</v>
      </c>
      <c r="G221" s="29">
        <v>46210.0</v>
      </c>
      <c r="H221" s="30" t="s">
        <v>291</v>
      </c>
      <c r="I221" s="37">
        <f>41300*2</f>
        <v>82600</v>
      </c>
      <c r="J221" s="37">
        <v>41300.0</v>
      </c>
      <c r="K221" s="31">
        <f t="shared" si="19"/>
        <v>41300</v>
      </c>
      <c r="L221" s="32">
        <v>46030.0</v>
      </c>
      <c r="M221" s="33"/>
      <c r="N221" s="33"/>
      <c r="O221" s="34">
        <f t="shared" si="31"/>
        <v>0</v>
      </c>
      <c r="P221" s="34"/>
      <c r="Q221" s="34"/>
      <c r="R221" s="34"/>
      <c r="S221" s="34"/>
      <c r="T221" s="34"/>
      <c r="U221" s="34"/>
      <c r="V221" s="34"/>
      <c r="W221" s="34"/>
      <c r="X221" s="34"/>
    </row>
    <row r="222" ht="18.75" customHeight="1">
      <c r="A222" s="17">
        <f t="shared" si="5"/>
        <v>219</v>
      </c>
      <c r="B222" s="25" t="s">
        <v>205</v>
      </c>
      <c r="C222" s="64" t="s">
        <v>484</v>
      </c>
      <c r="D222" s="48" t="s">
        <v>45</v>
      </c>
      <c r="E222" s="27" t="s">
        <v>27</v>
      </c>
      <c r="F222" s="36">
        <v>45851.0</v>
      </c>
      <c r="G222" s="29">
        <v>46215.0</v>
      </c>
      <c r="H222" s="30" t="s">
        <v>268</v>
      </c>
      <c r="I222" s="37">
        <v>82600.0</v>
      </c>
      <c r="J222" s="37">
        <v>82600.0</v>
      </c>
      <c r="K222" s="31">
        <f t="shared" si="19"/>
        <v>0</v>
      </c>
      <c r="L222" s="49"/>
      <c r="M222" s="33"/>
      <c r="N222" s="33"/>
      <c r="O222" s="34">
        <f t="shared" si="31"/>
        <v>0</v>
      </c>
      <c r="P222" s="34"/>
      <c r="Q222" s="34"/>
      <c r="R222" s="34"/>
      <c r="S222" s="34"/>
      <c r="T222" s="34"/>
      <c r="U222" s="34"/>
      <c r="V222" s="34"/>
      <c r="W222" s="34"/>
      <c r="X222" s="34"/>
    </row>
    <row r="223" ht="18.75" customHeight="1">
      <c r="A223" s="17">
        <f t="shared" si="5"/>
        <v>220</v>
      </c>
      <c r="B223" s="25" t="s">
        <v>485</v>
      </c>
      <c r="C223" s="64" t="s">
        <v>486</v>
      </c>
      <c r="D223" s="48" t="s">
        <v>31</v>
      </c>
      <c r="E223" s="27" t="s">
        <v>27</v>
      </c>
      <c r="F223" s="36">
        <v>45852.0</v>
      </c>
      <c r="G223" s="29">
        <v>46216.0</v>
      </c>
      <c r="H223" s="30" t="s">
        <v>268</v>
      </c>
      <c r="I223" s="70">
        <v>305865.0</v>
      </c>
      <c r="J223" s="70">
        <v>305865.0</v>
      </c>
      <c r="K223" s="31">
        <f t="shared" si="19"/>
        <v>0</v>
      </c>
      <c r="L223" s="49"/>
      <c r="M223" s="33"/>
      <c r="N223" s="33"/>
      <c r="O223" s="34">
        <f t="shared" si="31"/>
        <v>0</v>
      </c>
      <c r="P223" s="34"/>
      <c r="Q223" s="34"/>
      <c r="R223" s="34"/>
      <c r="S223" s="34"/>
      <c r="T223" s="34"/>
      <c r="U223" s="34"/>
      <c r="V223" s="34"/>
      <c r="W223" s="34"/>
      <c r="X223" s="34"/>
    </row>
    <row r="224" ht="18.75" customHeight="1">
      <c r="A224" s="17">
        <f t="shared" si="5"/>
        <v>221</v>
      </c>
      <c r="B224" s="25" t="s">
        <v>487</v>
      </c>
      <c r="C224" s="64" t="s">
        <v>488</v>
      </c>
      <c r="D224" s="48" t="s">
        <v>196</v>
      </c>
      <c r="E224" s="27" t="s">
        <v>27</v>
      </c>
      <c r="F224" s="36">
        <v>45853.0</v>
      </c>
      <c r="G224" s="29">
        <v>46217.0</v>
      </c>
      <c r="H224" s="44" t="s">
        <v>291</v>
      </c>
      <c r="I224" s="37">
        <f>35400*2</f>
        <v>70800</v>
      </c>
      <c r="J224" s="37">
        <v>35400.0</v>
      </c>
      <c r="K224" s="31">
        <f t="shared" si="19"/>
        <v>35400</v>
      </c>
      <c r="L224" s="32">
        <v>46036.0</v>
      </c>
      <c r="M224" s="33"/>
      <c r="N224" s="33"/>
      <c r="O224" s="34">
        <f t="shared" si="31"/>
        <v>0</v>
      </c>
      <c r="P224" s="34"/>
      <c r="Q224" s="34"/>
      <c r="R224" s="34"/>
      <c r="S224" s="34"/>
      <c r="T224" s="34"/>
      <c r="U224" s="34"/>
      <c r="V224" s="34"/>
      <c r="W224" s="34"/>
      <c r="X224" s="34"/>
    </row>
    <row r="225" ht="18.75" customHeight="1">
      <c r="A225" s="17">
        <f t="shared" si="5"/>
        <v>222</v>
      </c>
      <c r="B225" s="25" t="s">
        <v>489</v>
      </c>
      <c r="C225" s="64" t="s">
        <v>490</v>
      </c>
      <c r="D225" s="48" t="s">
        <v>196</v>
      </c>
      <c r="E225" s="27" t="s">
        <v>27</v>
      </c>
      <c r="F225" s="36">
        <v>45853.0</v>
      </c>
      <c r="G225" s="29">
        <v>46217.0</v>
      </c>
      <c r="H225" s="41" t="s">
        <v>294</v>
      </c>
      <c r="I225" s="37">
        <f>47790*4</f>
        <v>191160</v>
      </c>
      <c r="J225" s="37">
        <f>47790*2</f>
        <v>95580</v>
      </c>
      <c r="K225" s="31">
        <f t="shared" si="19"/>
        <v>95580</v>
      </c>
      <c r="L225" s="32">
        <v>46036.0</v>
      </c>
      <c r="M225" s="33"/>
      <c r="N225" s="33"/>
      <c r="O225" s="34">
        <f t="shared" si="31"/>
        <v>0</v>
      </c>
      <c r="P225" s="34"/>
      <c r="Q225" s="34"/>
      <c r="R225" s="34"/>
      <c r="S225" s="34"/>
      <c r="T225" s="34"/>
      <c r="U225" s="34"/>
      <c r="V225" s="34"/>
      <c r="W225" s="34"/>
      <c r="X225" s="34"/>
    </row>
    <row r="226" ht="18.75" customHeight="1">
      <c r="A226" s="17">
        <f t="shared" si="5"/>
        <v>223</v>
      </c>
      <c r="B226" s="25" t="s">
        <v>491</v>
      </c>
      <c r="C226" s="64" t="s">
        <v>492</v>
      </c>
      <c r="D226" s="48" t="s">
        <v>196</v>
      </c>
      <c r="E226" s="27" t="s">
        <v>27</v>
      </c>
      <c r="F226" s="36">
        <v>45853.0</v>
      </c>
      <c r="G226" s="29">
        <v>46217.0</v>
      </c>
      <c r="H226" s="41" t="s">
        <v>294</v>
      </c>
      <c r="I226" s="37">
        <f>35400*4</f>
        <v>141600</v>
      </c>
      <c r="J226" s="37">
        <v>35400.0</v>
      </c>
      <c r="K226" s="31">
        <f t="shared" si="19"/>
        <v>106200</v>
      </c>
      <c r="L226" s="32">
        <v>45944.0</v>
      </c>
      <c r="M226" s="33"/>
      <c r="N226" s="33"/>
      <c r="O226" s="34">
        <f t="shared" si="31"/>
        <v>0</v>
      </c>
      <c r="P226" s="34"/>
      <c r="Q226" s="34"/>
      <c r="R226" s="34"/>
      <c r="S226" s="34"/>
      <c r="T226" s="34"/>
      <c r="U226" s="34"/>
      <c r="V226" s="34"/>
      <c r="W226" s="34"/>
      <c r="X226" s="34"/>
    </row>
    <row r="227" ht="18.75" customHeight="1">
      <c r="A227" s="17">
        <f t="shared" si="5"/>
        <v>224</v>
      </c>
      <c r="B227" s="25" t="s">
        <v>43</v>
      </c>
      <c r="C227" s="64" t="s">
        <v>493</v>
      </c>
      <c r="D227" s="48" t="s">
        <v>45</v>
      </c>
      <c r="E227" s="27" t="s">
        <v>27</v>
      </c>
      <c r="F227" s="36">
        <v>45854.0</v>
      </c>
      <c r="G227" s="29">
        <v>46218.0</v>
      </c>
      <c r="H227" s="30" t="s">
        <v>268</v>
      </c>
      <c r="I227" s="37">
        <v>82600.0</v>
      </c>
      <c r="J227" s="37">
        <v>82600.0</v>
      </c>
      <c r="K227" s="31">
        <f t="shared" si="19"/>
        <v>0</v>
      </c>
      <c r="L227" s="49"/>
      <c r="M227" s="33"/>
      <c r="N227" s="33"/>
      <c r="O227" s="34">
        <f t="shared" si="31"/>
        <v>0</v>
      </c>
      <c r="P227" s="34"/>
      <c r="Q227" s="34"/>
      <c r="R227" s="34"/>
      <c r="S227" s="34"/>
      <c r="T227" s="34"/>
      <c r="U227" s="34"/>
      <c r="V227" s="34"/>
      <c r="W227" s="34"/>
      <c r="X227" s="34"/>
    </row>
    <row r="228" ht="18.75" customHeight="1">
      <c r="A228" s="17">
        <f t="shared" si="5"/>
        <v>225</v>
      </c>
      <c r="B228" s="25" t="s">
        <v>129</v>
      </c>
      <c r="C228" s="64" t="s">
        <v>494</v>
      </c>
      <c r="D228" s="48" t="s">
        <v>196</v>
      </c>
      <c r="E228" s="27" t="s">
        <v>27</v>
      </c>
      <c r="F228" s="36">
        <v>45854.0</v>
      </c>
      <c r="G228" s="29">
        <v>46218.0</v>
      </c>
      <c r="H228" s="30" t="s">
        <v>268</v>
      </c>
      <c r="I228" s="37">
        <v>168000.0</v>
      </c>
      <c r="J228" s="37">
        <v>168000.0</v>
      </c>
      <c r="K228" s="31">
        <f t="shared" si="19"/>
        <v>0</v>
      </c>
      <c r="L228" s="49"/>
      <c r="M228" s="33"/>
      <c r="N228" s="33"/>
      <c r="O228" s="34">
        <f t="shared" si="31"/>
        <v>0</v>
      </c>
      <c r="P228" s="34"/>
      <c r="Q228" s="34"/>
      <c r="R228" s="34"/>
      <c r="S228" s="34"/>
      <c r="T228" s="34"/>
      <c r="U228" s="34"/>
      <c r="V228" s="34"/>
      <c r="W228" s="34"/>
      <c r="X228" s="34"/>
    </row>
    <row r="229" ht="18.75" customHeight="1">
      <c r="A229" s="17">
        <f t="shared" si="5"/>
        <v>226</v>
      </c>
      <c r="B229" s="25" t="s">
        <v>189</v>
      </c>
      <c r="C229" s="64" t="s">
        <v>495</v>
      </c>
      <c r="D229" s="48" t="s">
        <v>188</v>
      </c>
      <c r="E229" s="27" t="s">
        <v>27</v>
      </c>
      <c r="F229" s="36">
        <v>45854.0</v>
      </c>
      <c r="G229" s="29">
        <v>46037.0</v>
      </c>
      <c r="H229" s="44" t="s">
        <v>38</v>
      </c>
      <c r="I229" s="37">
        <v>41300.0</v>
      </c>
      <c r="J229" s="37">
        <v>41300.0</v>
      </c>
      <c r="K229" s="31">
        <f t="shared" si="19"/>
        <v>0</v>
      </c>
      <c r="L229" s="49"/>
      <c r="M229" s="33"/>
      <c r="N229" s="33"/>
      <c r="O229" s="34">
        <f t="shared" si="31"/>
        <v>0</v>
      </c>
      <c r="P229" s="34"/>
      <c r="Q229" s="34"/>
      <c r="R229" s="34"/>
      <c r="S229" s="34"/>
      <c r="T229" s="34"/>
      <c r="U229" s="34"/>
      <c r="V229" s="34"/>
      <c r="W229" s="34"/>
      <c r="X229" s="34"/>
    </row>
    <row r="230" ht="18.75" customHeight="1">
      <c r="A230" s="17">
        <f t="shared" si="5"/>
        <v>227</v>
      </c>
      <c r="B230" s="25" t="s">
        <v>184</v>
      </c>
      <c r="C230" s="64" t="s">
        <v>496</v>
      </c>
      <c r="D230" s="48" t="s">
        <v>140</v>
      </c>
      <c r="E230" s="27" t="s">
        <v>27</v>
      </c>
      <c r="F230" s="36">
        <v>45855.0</v>
      </c>
      <c r="G230" s="29">
        <v>46219.0</v>
      </c>
      <c r="H230" s="30" t="s">
        <v>28</v>
      </c>
      <c r="I230" s="37">
        <f>35400*12</f>
        <v>424800</v>
      </c>
      <c r="J230" s="37">
        <f>35400*5</f>
        <v>177000</v>
      </c>
      <c r="K230" s="31">
        <f t="shared" si="19"/>
        <v>247800</v>
      </c>
      <c r="L230" s="32">
        <v>46008.0</v>
      </c>
      <c r="M230" s="33"/>
      <c r="N230" s="33"/>
      <c r="O230" s="34">
        <f t="shared" si="31"/>
        <v>0</v>
      </c>
      <c r="P230" s="34"/>
      <c r="Q230" s="34"/>
      <c r="R230" s="34"/>
      <c r="S230" s="34"/>
      <c r="T230" s="34"/>
      <c r="U230" s="34"/>
      <c r="V230" s="34"/>
      <c r="W230" s="34"/>
      <c r="X230" s="34"/>
    </row>
    <row r="231" ht="18.75" customHeight="1">
      <c r="A231" s="17">
        <f t="shared" si="5"/>
        <v>228</v>
      </c>
      <c r="B231" s="25" t="s">
        <v>497</v>
      </c>
      <c r="C231" s="64" t="s">
        <v>498</v>
      </c>
      <c r="D231" s="35" t="s">
        <v>159</v>
      </c>
      <c r="E231" s="27" t="s">
        <v>27</v>
      </c>
      <c r="F231" s="36">
        <v>45855.0</v>
      </c>
      <c r="G231" s="29">
        <v>46219.0</v>
      </c>
      <c r="H231" s="30" t="s">
        <v>28</v>
      </c>
      <c r="I231" s="37">
        <f>8260*12</f>
        <v>99120</v>
      </c>
      <c r="J231" s="37">
        <f>8260*5</f>
        <v>41300</v>
      </c>
      <c r="K231" s="31">
        <f t="shared" si="19"/>
        <v>57820</v>
      </c>
      <c r="L231" s="32">
        <v>46008.0</v>
      </c>
      <c r="M231" s="33"/>
      <c r="N231" s="33"/>
      <c r="O231" s="34">
        <f t="shared" si="31"/>
        <v>0</v>
      </c>
      <c r="P231" s="34"/>
      <c r="Q231" s="34"/>
      <c r="R231" s="34"/>
      <c r="S231" s="34"/>
      <c r="T231" s="34"/>
      <c r="U231" s="34"/>
      <c r="V231" s="34"/>
      <c r="W231" s="34"/>
      <c r="X231" s="34"/>
    </row>
    <row r="232" ht="18.75" customHeight="1">
      <c r="A232" s="17">
        <f t="shared" si="5"/>
        <v>229</v>
      </c>
      <c r="B232" s="25" t="s">
        <v>499</v>
      </c>
      <c r="C232" s="64" t="s">
        <v>500</v>
      </c>
      <c r="D232" s="48" t="s">
        <v>244</v>
      </c>
      <c r="E232" s="27" t="s">
        <v>27</v>
      </c>
      <c r="F232" s="36">
        <v>45856.0</v>
      </c>
      <c r="G232" s="29">
        <v>46220.0</v>
      </c>
      <c r="H232" s="30" t="s">
        <v>268</v>
      </c>
      <c r="I232" s="37">
        <v>82600.0</v>
      </c>
      <c r="J232" s="37">
        <v>82600.0</v>
      </c>
      <c r="K232" s="31">
        <f t="shared" si="19"/>
        <v>0</v>
      </c>
      <c r="L232" s="49"/>
      <c r="M232" s="33"/>
      <c r="N232" s="33"/>
      <c r="O232" s="34">
        <f t="shared" si="31"/>
        <v>0</v>
      </c>
      <c r="P232" s="34"/>
      <c r="Q232" s="34"/>
      <c r="R232" s="34"/>
      <c r="S232" s="34"/>
      <c r="T232" s="34"/>
      <c r="U232" s="34"/>
      <c r="V232" s="34"/>
      <c r="W232" s="34"/>
      <c r="X232" s="34"/>
    </row>
    <row r="233" ht="18.75" customHeight="1">
      <c r="A233" s="17">
        <f t="shared" si="5"/>
        <v>230</v>
      </c>
      <c r="B233" s="25" t="s">
        <v>501</v>
      </c>
      <c r="C233" s="64" t="s">
        <v>502</v>
      </c>
      <c r="D233" s="48" t="s">
        <v>45</v>
      </c>
      <c r="E233" s="27" t="s">
        <v>27</v>
      </c>
      <c r="F233" s="36">
        <v>45857.0</v>
      </c>
      <c r="G233" s="29">
        <v>46221.0</v>
      </c>
      <c r="H233" s="30" t="s">
        <v>268</v>
      </c>
      <c r="I233" s="37">
        <v>82600.0</v>
      </c>
      <c r="J233" s="37">
        <v>82600.0</v>
      </c>
      <c r="K233" s="31">
        <f t="shared" si="19"/>
        <v>0</v>
      </c>
      <c r="L233" s="49"/>
      <c r="M233" s="33"/>
      <c r="N233" s="33"/>
      <c r="O233" s="34">
        <f t="shared" si="31"/>
        <v>0</v>
      </c>
      <c r="P233" s="34"/>
      <c r="Q233" s="34"/>
      <c r="R233" s="34"/>
      <c r="S233" s="34"/>
      <c r="T233" s="34"/>
      <c r="U233" s="34"/>
      <c r="V233" s="34"/>
      <c r="W233" s="34"/>
      <c r="X233" s="34"/>
    </row>
    <row r="234" ht="18.75" customHeight="1">
      <c r="A234" s="17">
        <f t="shared" si="5"/>
        <v>231</v>
      </c>
      <c r="B234" s="25" t="s">
        <v>503</v>
      </c>
      <c r="C234" s="64" t="s">
        <v>504</v>
      </c>
      <c r="D234" s="48" t="s">
        <v>45</v>
      </c>
      <c r="E234" s="27" t="s">
        <v>27</v>
      </c>
      <c r="F234" s="36">
        <v>45857.0</v>
      </c>
      <c r="G234" s="29">
        <v>46040.0</v>
      </c>
      <c r="H234" s="44" t="s">
        <v>38</v>
      </c>
      <c r="I234" s="37">
        <v>41300.0</v>
      </c>
      <c r="J234" s="37">
        <v>41300.0</v>
      </c>
      <c r="K234" s="31">
        <f t="shared" si="19"/>
        <v>0</v>
      </c>
      <c r="L234" s="49"/>
      <c r="M234" s="33"/>
      <c r="N234" s="33"/>
      <c r="O234" s="34">
        <f t="shared" si="31"/>
        <v>0</v>
      </c>
      <c r="P234" s="34"/>
      <c r="Q234" s="34"/>
      <c r="R234" s="34"/>
      <c r="S234" s="34"/>
      <c r="T234" s="34"/>
      <c r="U234" s="34"/>
      <c r="V234" s="34"/>
      <c r="W234" s="34"/>
      <c r="X234" s="34"/>
    </row>
    <row r="235" ht="18.75" customHeight="1">
      <c r="A235" s="17">
        <f t="shared" si="5"/>
        <v>232</v>
      </c>
      <c r="B235" s="25" t="s">
        <v>505</v>
      </c>
      <c r="C235" s="64" t="s">
        <v>506</v>
      </c>
      <c r="D235" s="48" t="s">
        <v>244</v>
      </c>
      <c r="E235" s="27" t="s">
        <v>27</v>
      </c>
      <c r="F235" s="36">
        <v>45857.0</v>
      </c>
      <c r="G235" s="29">
        <v>46221.0</v>
      </c>
      <c r="H235" s="30" t="s">
        <v>268</v>
      </c>
      <c r="I235" s="37">
        <v>162840.0</v>
      </c>
      <c r="J235" s="37">
        <v>162840.0</v>
      </c>
      <c r="K235" s="31">
        <f t="shared" si="19"/>
        <v>0</v>
      </c>
      <c r="L235" s="49"/>
      <c r="M235" s="33"/>
      <c r="N235" s="33"/>
      <c r="O235" s="34">
        <f t="shared" si="31"/>
        <v>0</v>
      </c>
      <c r="P235" s="34"/>
      <c r="Q235" s="34"/>
      <c r="R235" s="34"/>
      <c r="S235" s="34"/>
      <c r="T235" s="34"/>
      <c r="U235" s="34"/>
      <c r="V235" s="34"/>
      <c r="W235" s="34"/>
      <c r="X235" s="34"/>
    </row>
    <row r="236" ht="18.75" customHeight="1">
      <c r="A236" s="17">
        <f t="shared" si="5"/>
        <v>233</v>
      </c>
      <c r="B236" s="25" t="s">
        <v>507</v>
      </c>
      <c r="C236" s="64" t="s">
        <v>508</v>
      </c>
      <c r="D236" s="48" t="s">
        <v>31</v>
      </c>
      <c r="E236" s="27" t="s">
        <v>27</v>
      </c>
      <c r="F236" s="36">
        <v>45859.0</v>
      </c>
      <c r="G236" s="29">
        <v>46223.0</v>
      </c>
      <c r="H236" s="30" t="s">
        <v>268</v>
      </c>
      <c r="I236" s="70">
        <v>1491048.0</v>
      </c>
      <c r="J236" s="70">
        <v>1491048.0</v>
      </c>
      <c r="K236" s="31">
        <f t="shared" si="19"/>
        <v>0</v>
      </c>
      <c r="L236" s="49"/>
      <c r="M236" s="33"/>
      <c r="N236" s="33"/>
      <c r="O236" s="34">
        <f t="shared" si="31"/>
        <v>0</v>
      </c>
      <c r="P236" s="34"/>
      <c r="Q236" s="34"/>
      <c r="R236" s="34"/>
      <c r="S236" s="34"/>
      <c r="T236" s="34"/>
      <c r="U236" s="34"/>
      <c r="V236" s="34"/>
      <c r="W236" s="34"/>
      <c r="X236" s="34"/>
    </row>
    <row r="237" ht="18.75" customHeight="1">
      <c r="A237" s="17">
        <f t="shared" si="5"/>
        <v>234</v>
      </c>
      <c r="B237" s="25" t="s">
        <v>509</v>
      </c>
      <c r="C237" s="64" t="s">
        <v>510</v>
      </c>
      <c r="D237" s="48" t="s">
        <v>45</v>
      </c>
      <c r="E237" s="27" t="s">
        <v>27</v>
      </c>
      <c r="F237" s="36">
        <v>45859.0</v>
      </c>
      <c r="G237" s="29">
        <v>46223.0</v>
      </c>
      <c r="H237" s="30" t="s">
        <v>268</v>
      </c>
      <c r="I237" s="37">
        <v>212400.0</v>
      </c>
      <c r="J237" s="37">
        <v>212400.0</v>
      </c>
      <c r="K237" s="31">
        <f t="shared" si="19"/>
        <v>0</v>
      </c>
      <c r="L237" s="49"/>
      <c r="M237" s="71"/>
      <c r="N237" s="71"/>
      <c r="O237" s="90">
        <f t="shared" si="31"/>
        <v>0</v>
      </c>
      <c r="P237" s="34"/>
      <c r="Q237" s="34"/>
      <c r="R237" s="34"/>
      <c r="S237" s="34"/>
      <c r="T237" s="34"/>
      <c r="U237" s="34"/>
      <c r="V237" s="34"/>
      <c r="W237" s="34"/>
      <c r="X237" s="34"/>
    </row>
    <row r="238" ht="18.75" customHeight="1">
      <c r="A238" s="17">
        <f t="shared" si="5"/>
        <v>235</v>
      </c>
      <c r="B238" s="25" t="s">
        <v>127</v>
      </c>
      <c r="C238" s="64" t="s">
        <v>511</v>
      </c>
      <c r="D238" s="48" t="s">
        <v>45</v>
      </c>
      <c r="E238" s="27" t="s">
        <v>27</v>
      </c>
      <c r="F238" s="36">
        <v>45859.0</v>
      </c>
      <c r="G238" s="29">
        <v>46223.0</v>
      </c>
      <c r="H238" s="30" t="s">
        <v>28</v>
      </c>
      <c r="I238" s="37">
        <f>34416*12-6864*2</f>
        <v>399264</v>
      </c>
      <c r="J238" s="37">
        <f>34416*5-6864*2</f>
        <v>158352</v>
      </c>
      <c r="K238" s="31">
        <f t="shared" si="19"/>
        <v>240912</v>
      </c>
      <c r="L238" s="32">
        <v>46012.0</v>
      </c>
      <c r="M238" s="42" t="s">
        <v>512</v>
      </c>
      <c r="N238" s="33"/>
      <c r="O238" s="34" t="str">
        <f t="shared" si="31"/>
        <v>#VALUE!</v>
      </c>
      <c r="P238" s="34"/>
      <c r="Q238" s="34"/>
      <c r="R238" s="34"/>
      <c r="S238" s="34"/>
      <c r="T238" s="34"/>
      <c r="U238" s="34"/>
      <c r="V238" s="34"/>
      <c r="W238" s="34"/>
      <c r="X238" s="34"/>
    </row>
    <row r="239" ht="18.75" customHeight="1">
      <c r="A239" s="17">
        <f t="shared" si="5"/>
        <v>236</v>
      </c>
      <c r="B239" s="25" t="s">
        <v>513</v>
      </c>
      <c r="C239" s="64" t="s">
        <v>514</v>
      </c>
      <c r="D239" s="48" t="s">
        <v>196</v>
      </c>
      <c r="E239" s="27" t="s">
        <v>27</v>
      </c>
      <c r="F239" s="36">
        <v>45860.0</v>
      </c>
      <c r="G239" s="29">
        <v>46224.0</v>
      </c>
      <c r="H239" s="30" t="s">
        <v>268</v>
      </c>
      <c r="I239" s="91">
        <v>130000.0</v>
      </c>
      <c r="J239" s="91">
        <v>130000.0</v>
      </c>
      <c r="K239" s="31">
        <f t="shared" si="19"/>
        <v>0</v>
      </c>
      <c r="L239" s="49"/>
      <c r="M239" s="33"/>
      <c r="N239" s="33"/>
      <c r="O239" s="34">
        <f t="shared" si="31"/>
        <v>0</v>
      </c>
      <c r="P239" s="34"/>
      <c r="Q239" s="34"/>
      <c r="R239" s="34"/>
      <c r="S239" s="34"/>
      <c r="T239" s="34"/>
      <c r="U239" s="34"/>
      <c r="V239" s="34"/>
      <c r="W239" s="34"/>
      <c r="X239" s="34"/>
    </row>
    <row r="240" ht="18.75" customHeight="1">
      <c r="A240" s="17">
        <f t="shared" si="5"/>
        <v>237</v>
      </c>
      <c r="B240" s="25" t="s">
        <v>515</v>
      </c>
      <c r="C240" s="64" t="s">
        <v>516</v>
      </c>
      <c r="D240" s="48" t="s">
        <v>45</v>
      </c>
      <c r="E240" s="27" t="s">
        <v>27</v>
      </c>
      <c r="F240" s="36">
        <v>45860.0</v>
      </c>
      <c r="G240" s="29">
        <v>46224.0</v>
      </c>
      <c r="H240" s="30" t="s">
        <v>268</v>
      </c>
      <c r="I240" s="37">
        <v>70800.0</v>
      </c>
      <c r="J240" s="37">
        <v>70800.0</v>
      </c>
      <c r="K240" s="31">
        <f t="shared" si="19"/>
        <v>0</v>
      </c>
      <c r="L240" s="49"/>
      <c r="M240" s="33"/>
      <c r="N240" s="33"/>
      <c r="O240" s="34">
        <f t="shared" si="31"/>
        <v>0</v>
      </c>
      <c r="P240" s="34"/>
      <c r="Q240" s="34"/>
      <c r="R240" s="34"/>
      <c r="S240" s="34"/>
      <c r="T240" s="34"/>
      <c r="U240" s="34"/>
      <c r="V240" s="34"/>
      <c r="W240" s="34"/>
      <c r="X240" s="34"/>
    </row>
    <row r="241" ht="18.75" customHeight="1">
      <c r="A241" s="17">
        <f t="shared" si="5"/>
        <v>238</v>
      </c>
      <c r="B241" s="30" t="s">
        <v>66</v>
      </c>
      <c r="C241" s="64" t="s">
        <v>517</v>
      </c>
      <c r="D241" s="48" t="s">
        <v>381</v>
      </c>
      <c r="E241" s="27" t="s">
        <v>27</v>
      </c>
      <c r="F241" s="36">
        <v>45860.0</v>
      </c>
      <c r="G241" s="29">
        <v>46133.0</v>
      </c>
      <c r="H241" s="30" t="s">
        <v>518</v>
      </c>
      <c r="I241" s="37">
        <f>17700*9</f>
        <v>159300</v>
      </c>
      <c r="J241" s="37">
        <f>17700*5</f>
        <v>88500</v>
      </c>
      <c r="K241" s="31">
        <f t="shared" si="19"/>
        <v>70800</v>
      </c>
      <c r="L241" s="32">
        <v>46013.0</v>
      </c>
      <c r="M241" s="33"/>
      <c r="N241" s="33"/>
      <c r="O241" s="34">
        <f t="shared" si="31"/>
        <v>0</v>
      </c>
      <c r="P241" s="34"/>
      <c r="Q241" s="34"/>
      <c r="R241" s="34"/>
      <c r="S241" s="34"/>
      <c r="T241" s="34"/>
      <c r="U241" s="34"/>
      <c r="V241" s="34"/>
      <c r="W241" s="34"/>
      <c r="X241" s="34"/>
    </row>
    <row r="242" ht="18.75" customHeight="1">
      <c r="A242" s="17">
        <f t="shared" si="5"/>
        <v>239</v>
      </c>
      <c r="B242" s="25" t="s">
        <v>519</v>
      </c>
      <c r="C242" s="64" t="s">
        <v>520</v>
      </c>
      <c r="D242" s="48" t="s">
        <v>196</v>
      </c>
      <c r="E242" s="27" t="s">
        <v>27</v>
      </c>
      <c r="F242" s="36">
        <v>45861.0</v>
      </c>
      <c r="G242" s="29">
        <v>46590.0</v>
      </c>
      <c r="H242" s="30" t="s">
        <v>521</v>
      </c>
      <c r="I242" s="70">
        <v>113896.08</v>
      </c>
      <c r="J242" s="70">
        <v>113896.08</v>
      </c>
      <c r="K242" s="31">
        <f t="shared" si="19"/>
        <v>0</v>
      </c>
      <c r="L242" s="49"/>
      <c r="M242" s="33"/>
      <c r="N242" s="92"/>
      <c r="O242" s="34">
        <f t="shared" si="31"/>
        <v>0</v>
      </c>
      <c r="P242" s="34"/>
      <c r="Q242" s="34"/>
      <c r="R242" s="34"/>
      <c r="S242" s="34"/>
      <c r="T242" s="34"/>
      <c r="U242" s="34"/>
      <c r="V242" s="34"/>
      <c r="W242" s="34"/>
      <c r="X242" s="34"/>
    </row>
    <row r="243" ht="18.75" customHeight="1">
      <c r="A243" s="17">
        <f t="shared" si="5"/>
        <v>240</v>
      </c>
      <c r="B243" s="25" t="s">
        <v>522</v>
      </c>
      <c r="C243" s="64" t="s">
        <v>523</v>
      </c>
      <c r="D243" s="48" t="s">
        <v>45</v>
      </c>
      <c r="E243" s="27" t="s">
        <v>27</v>
      </c>
      <c r="F243" s="36">
        <v>45861.0</v>
      </c>
      <c r="G243" s="29">
        <v>46225.0</v>
      </c>
      <c r="H243" s="30" t="s">
        <v>268</v>
      </c>
      <c r="I243" s="37">
        <v>82600.0</v>
      </c>
      <c r="J243" s="37">
        <v>82600.0</v>
      </c>
      <c r="K243" s="31">
        <f t="shared" si="19"/>
        <v>0</v>
      </c>
      <c r="L243" s="49"/>
      <c r="M243" s="33"/>
      <c r="N243" s="33"/>
      <c r="O243" s="34">
        <f t="shared" si="31"/>
        <v>0</v>
      </c>
      <c r="P243" s="34"/>
      <c r="Q243" s="34"/>
      <c r="R243" s="34"/>
      <c r="S243" s="34"/>
      <c r="T243" s="34"/>
      <c r="U243" s="34"/>
      <c r="V243" s="34"/>
      <c r="W243" s="34"/>
      <c r="X243" s="34"/>
    </row>
    <row r="244" ht="18.75" customHeight="1">
      <c r="A244" s="17">
        <f t="shared" si="5"/>
        <v>241</v>
      </c>
      <c r="B244" s="25" t="s">
        <v>524</v>
      </c>
      <c r="C244" s="64" t="s">
        <v>525</v>
      </c>
      <c r="D244" s="48" t="s">
        <v>196</v>
      </c>
      <c r="E244" s="27" t="s">
        <v>27</v>
      </c>
      <c r="F244" s="36">
        <v>45866.0</v>
      </c>
      <c r="G244" s="29">
        <v>46230.0</v>
      </c>
      <c r="H244" s="30" t="s">
        <v>268</v>
      </c>
      <c r="I244" s="37">
        <v>144000.0</v>
      </c>
      <c r="J244" s="37">
        <v>144000.0</v>
      </c>
      <c r="K244" s="31">
        <f t="shared" si="19"/>
        <v>0</v>
      </c>
      <c r="L244" s="49"/>
      <c r="M244" s="33"/>
      <c r="N244" s="33"/>
      <c r="O244" s="34">
        <f t="shared" si="31"/>
        <v>0</v>
      </c>
      <c r="P244" s="34"/>
      <c r="Q244" s="34"/>
      <c r="R244" s="34"/>
      <c r="S244" s="34"/>
      <c r="T244" s="34"/>
      <c r="U244" s="34"/>
      <c r="V244" s="34"/>
      <c r="W244" s="34"/>
      <c r="X244" s="34"/>
    </row>
    <row r="245" ht="18.75" customHeight="1">
      <c r="A245" s="17">
        <f t="shared" si="5"/>
        <v>242</v>
      </c>
      <c r="B245" s="25" t="s">
        <v>113</v>
      </c>
      <c r="C245" s="25" t="s">
        <v>526</v>
      </c>
      <c r="D245" s="48" t="s">
        <v>159</v>
      </c>
      <c r="E245" s="27" t="s">
        <v>27</v>
      </c>
      <c r="F245" s="36">
        <v>45866.0</v>
      </c>
      <c r="G245" s="29">
        <v>46230.0</v>
      </c>
      <c r="H245" s="30" t="s">
        <v>268</v>
      </c>
      <c r="I245" s="55">
        <v>353985.83999999997</v>
      </c>
      <c r="J245" s="55">
        <v>353985.83999999997</v>
      </c>
      <c r="K245" s="31">
        <f t="shared" si="19"/>
        <v>0</v>
      </c>
      <c r="L245" s="49"/>
      <c r="M245" s="93"/>
      <c r="N245" s="93"/>
      <c r="O245" s="72">
        <f t="shared" si="31"/>
        <v>0</v>
      </c>
      <c r="P245" s="34"/>
      <c r="Q245" s="34"/>
      <c r="R245" s="34"/>
      <c r="S245" s="34"/>
      <c r="T245" s="34"/>
      <c r="U245" s="34"/>
      <c r="V245" s="34"/>
      <c r="W245" s="34"/>
      <c r="X245" s="34"/>
    </row>
    <row r="246" ht="18.75" customHeight="1">
      <c r="A246" s="17">
        <f t="shared" si="5"/>
        <v>243</v>
      </c>
      <c r="B246" s="25" t="s">
        <v>527</v>
      </c>
      <c r="C246" s="64" t="s">
        <v>528</v>
      </c>
      <c r="D246" s="48" t="s">
        <v>188</v>
      </c>
      <c r="E246" s="27" t="s">
        <v>27</v>
      </c>
      <c r="F246" s="36">
        <v>45868.0</v>
      </c>
      <c r="G246" s="29">
        <v>46051.0</v>
      </c>
      <c r="H246" s="44" t="s">
        <v>38</v>
      </c>
      <c r="I246" s="37">
        <v>42480.0</v>
      </c>
      <c r="J246" s="37">
        <v>42480.0</v>
      </c>
      <c r="K246" s="31">
        <f t="shared" si="19"/>
        <v>0</v>
      </c>
      <c r="L246" s="49"/>
      <c r="M246" s="33"/>
      <c r="N246" s="33"/>
      <c r="O246" s="34">
        <f t="shared" si="31"/>
        <v>0</v>
      </c>
      <c r="P246" s="34"/>
      <c r="Q246" s="34"/>
      <c r="R246" s="34"/>
      <c r="S246" s="34"/>
      <c r="T246" s="34"/>
      <c r="U246" s="34"/>
      <c r="V246" s="34"/>
      <c r="W246" s="34"/>
      <c r="X246" s="34"/>
    </row>
    <row r="247" ht="18.75" customHeight="1">
      <c r="A247" s="17">
        <f t="shared" si="5"/>
        <v>244</v>
      </c>
      <c r="B247" s="25" t="s">
        <v>529</v>
      </c>
      <c r="C247" s="64" t="s">
        <v>530</v>
      </c>
      <c r="D247" s="48" t="s">
        <v>188</v>
      </c>
      <c r="E247" s="27" t="s">
        <v>27</v>
      </c>
      <c r="F247" s="36">
        <v>45869.0</v>
      </c>
      <c r="G247" s="29">
        <v>46052.0</v>
      </c>
      <c r="H247" s="44" t="s">
        <v>38</v>
      </c>
      <c r="I247" s="37">
        <v>35000.0</v>
      </c>
      <c r="J247" s="37">
        <v>35000.0</v>
      </c>
      <c r="K247" s="31">
        <f t="shared" si="19"/>
        <v>0</v>
      </c>
      <c r="L247" s="49"/>
      <c r="M247" s="94"/>
      <c r="N247" s="92"/>
      <c r="O247" s="34">
        <f t="shared" si="31"/>
        <v>0</v>
      </c>
      <c r="P247" s="34"/>
      <c r="Q247" s="34"/>
      <c r="R247" s="34"/>
      <c r="S247" s="34"/>
      <c r="T247" s="34"/>
      <c r="U247" s="34"/>
      <c r="V247" s="34"/>
      <c r="W247" s="34"/>
      <c r="X247" s="34"/>
    </row>
    <row r="248" ht="18.75" customHeight="1">
      <c r="A248" s="17">
        <f t="shared" si="5"/>
        <v>245</v>
      </c>
      <c r="B248" s="30" t="s">
        <v>531</v>
      </c>
      <c r="C248" s="64" t="s">
        <v>532</v>
      </c>
      <c r="D248" s="48" t="s">
        <v>188</v>
      </c>
      <c r="E248" s="27" t="s">
        <v>27</v>
      </c>
      <c r="F248" s="36">
        <v>45870.0</v>
      </c>
      <c r="G248" s="29">
        <v>46234.0</v>
      </c>
      <c r="H248" s="30" t="s">
        <v>268</v>
      </c>
      <c r="I248" s="37">
        <v>74340.0</v>
      </c>
      <c r="J248" s="37">
        <v>74340.0</v>
      </c>
      <c r="K248" s="31">
        <f t="shared" si="19"/>
        <v>0</v>
      </c>
      <c r="L248" s="49"/>
      <c r="M248" s="33"/>
      <c r="N248" s="92"/>
      <c r="O248" s="34">
        <f t="shared" si="31"/>
        <v>0</v>
      </c>
      <c r="P248" s="34"/>
      <c r="Q248" s="34"/>
      <c r="R248" s="34"/>
      <c r="S248" s="34"/>
      <c r="T248" s="34"/>
      <c r="U248" s="34"/>
      <c r="V248" s="34"/>
      <c r="W248" s="34"/>
      <c r="X248" s="34"/>
    </row>
    <row r="249" ht="18.75" customHeight="1">
      <c r="A249" s="17">
        <f t="shared" si="5"/>
        <v>246</v>
      </c>
      <c r="B249" s="25" t="s">
        <v>533</v>
      </c>
      <c r="C249" s="64" t="s">
        <v>534</v>
      </c>
      <c r="D249" s="48" t="s">
        <v>45</v>
      </c>
      <c r="E249" s="27" t="s">
        <v>27</v>
      </c>
      <c r="F249" s="36">
        <v>45870.0</v>
      </c>
      <c r="G249" s="29">
        <v>46234.0</v>
      </c>
      <c r="H249" s="30" t="s">
        <v>268</v>
      </c>
      <c r="I249" s="37">
        <v>201780.0</v>
      </c>
      <c r="J249" s="37">
        <v>201780.0</v>
      </c>
      <c r="K249" s="31">
        <f t="shared" si="19"/>
        <v>0</v>
      </c>
      <c r="L249" s="49"/>
      <c r="M249" s="33"/>
      <c r="N249" s="33"/>
      <c r="O249" s="34">
        <f t="shared" si="31"/>
        <v>0</v>
      </c>
      <c r="P249" s="34"/>
      <c r="Q249" s="34"/>
      <c r="R249" s="34"/>
      <c r="S249" s="34"/>
      <c r="T249" s="34"/>
      <c r="U249" s="34"/>
      <c r="V249" s="34"/>
      <c r="W249" s="34"/>
      <c r="X249" s="34"/>
    </row>
    <row r="250" ht="18.75" customHeight="1">
      <c r="A250" s="17">
        <f t="shared" si="5"/>
        <v>247</v>
      </c>
      <c r="B250" s="25" t="s">
        <v>46</v>
      </c>
      <c r="C250" s="64" t="s">
        <v>535</v>
      </c>
      <c r="D250" s="26"/>
      <c r="E250" s="27" t="s">
        <v>27</v>
      </c>
      <c r="F250" s="36">
        <v>45870.0</v>
      </c>
      <c r="G250" s="29">
        <v>46234.0</v>
      </c>
      <c r="H250" s="44" t="s">
        <v>291</v>
      </c>
      <c r="I250" s="37">
        <f>1189440*2</f>
        <v>2378880</v>
      </c>
      <c r="J250" s="37">
        <v>1189440.0</v>
      </c>
      <c r="K250" s="31">
        <f t="shared" si="19"/>
        <v>1189440</v>
      </c>
      <c r="L250" s="47">
        <v>46054.0</v>
      </c>
      <c r="M250" s="93"/>
      <c r="N250" s="93"/>
      <c r="O250" s="90">
        <f t="shared" si="31"/>
        <v>0</v>
      </c>
      <c r="P250" s="34"/>
      <c r="Q250" s="34"/>
      <c r="R250" s="34"/>
      <c r="S250" s="34"/>
      <c r="T250" s="34"/>
      <c r="U250" s="34"/>
      <c r="V250" s="34"/>
      <c r="W250" s="34"/>
      <c r="X250" s="34"/>
    </row>
    <row r="251" ht="18.75" customHeight="1">
      <c r="A251" s="17">
        <f t="shared" si="5"/>
        <v>248</v>
      </c>
      <c r="B251" s="25" t="s">
        <v>536</v>
      </c>
      <c r="C251" s="25" t="s">
        <v>537</v>
      </c>
      <c r="D251" s="26" t="s">
        <v>31</v>
      </c>
      <c r="E251" s="27" t="s">
        <v>27</v>
      </c>
      <c r="F251" s="36">
        <v>45871.0</v>
      </c>
      <c r="G251" s="29">
        <v>46235.0</v>
      </c>
      <c r="H251" s="30" t="s">
        <v>268</v>
      </c>
      <c r="I251" s="37">
        <v>63720.0</v>
      </c>
      <c r="J251" s="37">
        <v>63720.0</v>
      </c>
      <c r="K251" s="31">
        <f t="shared" si="19"/>
        <v>0</v>
      </c>
      <c r="L251" s="49"/>
      <c r="M251" s="94"/>
      <c r="N251" s="93"/>
      <c r="O251" s="90">
        <f t="shared" si="31"/>
        <v>0</v>
      </c>
      <c r="P251" s="34"/>
      <c r="Q251" s="34"/>
      <c r="R251" s="34"/>
      <c r="S251" s="34"/>
      <c r="T251" s="34"/>
      <c r="U251" s="34"/>
      <c r="V251" s="34"/>
      <c r="W251" s="34"/>
      <c r="X251" s="34"/>
    </row>
    <row r="252" ht="18.75" customHeight="1">
      <c r="A252" s="17">
        <f t="shared" si="5"/>
        <v>249</v>
      </c>
      <c r="B252" s="25" t="s">
        <v>538</v>
      </c>
      <c r="C252" s="25" t="s">
        <v>539</v>
      </c>
      <c r="D252" s="35" t="s">
        <v>244</v>
      </c>
      <c r="E252" s="27" t="s">
        <v>27</v>
      </c>
      <c r="F252" s="36">
        <v>45873.0</v>
      </c>
      <c r="G252" s="29">
        <v>46237.0</v>
      </c>
      <c r="H252" s="30" t="s">
        <v>268</v>
      </c>
      <c r="I252" s="37">
        <v>82600.0</v>
      </c>
      <c r="J252" s="37">
        <v>82600.0</v>
      </c>
      <c r="K252" s="31">
        <f t="shared" si="19"/>
        <v>0</v>
      </c>
      <c r="L252" s="49"/>
      <c r="M252" s="33"/>
      <c r="N252" s="33"/>
      <c r="O252" s="34">
        <f t="shared" si="31"/>
        <v>0</v>
      </c>
      <c r="P252" s="34"/>
      <c r="Q252" s="34"/>
      <c r="R252" s="34"/>
      <c r="S252" s="34"/>
      <c r="T252" s="34"/>
      <c r="U252" s="34"/>
      <c r="V252" s="34"/>
      <c r="W252" s="34"/>
      <c r="X252" s="34"/>
    </row>
    <row r="253" ht="18.75" customHeight="1">
      <c r="A253" s="17">
        <f t="shared" si="5"/>
        <v>250</v>
      </c>
      <c r="B253" s="25" t="s">
        <v>540</v>
      </c>
      <c r="C253" s="25" t="s">
        <v>541</v>
      </c>
      <c r="D253" s="35" t="s">
        <v>31</v>
      </c>
      <c r="E253" s="27" t="s">
        <v>27</v>
      </c>
      <c r="F253" s="36">
        <v>45873.0</v>
      </c>
      <c r="G253" s="29">
        <v>46237.0</v>
      </c>
      <c r="H253" s="30" t="s">
        <v>268</v>
      </c>
      <c r="I253" s="37">
        <v>63720.0</v>
      </c>
      <c r="J253" s="37">
        <v>63720.0</v>
      </c>
      <c r="K253" s="31">
        <f t="shared" si="19"/>
        <v>0</v>
      </c>
      <c r="L253" s="49"/>
      <c r="M253" s="33"/>
      <c r="N253" s="33"/>
      <c r="O253" s="34">
        <f t="shared" si="31"/>
        <v>0</v>
      </c>
      <c r="P253" s="34"/>
      <c r="Q253" s="34"/>
      <c r="R253" s="34"/>
      <c r="S253" s="34"/>
      <c r="T253" s="34"/>
      <c r="U253" s="34"/>
      <c r="V253" s="34"/>
      <c r="W253" s="34"/>
      <c r="X253" s="34"/>
    </row>
    <row r="254" ht="18.75" customHeight="1">
      <c r="A254" s="17">
        <f t="shared" si="5"/>
        <v>251</v>
      </c>
      <c r="B254" s="25" t="s">
        <v>121</v>
      </c>
      <c r="C254" s="25" t="s">
        <v>542</v>
      </c>
      <c r="D254" s="35" t="s">
        <v>159</v>
      </c>
      <c r="E254" s="27" t="s">
        <v>27</v>
      </c>
      <c r="F254" s="36">
        <v>45873.0</v>
      </c>
      <c r="G254" s="29">
        <v>46237.0</v>
      </c>
      <c r="H254" s="41" t="s">
        <v>294</v>
      </c>
      <c r="I254" s="70">
        <f>573480*4</f>
        <v>2293920</v>
      </c>
      <c r="J254" s="70">
        <f>573480*2</f>
        <v>1146960</v>
      </c>
      <c r="K254" s="31">
        <f t="shared" si="19"/>
        <v>1146960</v>
      </c>
      <c r="L254" s="32">
        <v>46057.0</v>
      </c>
      <c r="M254" s="33"/>
      <c r="N254" s="33"/>
      <c r="O254" s="34">
        <f t="shared" si="31"/>
        <v>0</v>
      </c>
      <c r="P254" s="34"/>
      <c r="Q254" s="34"/>
      <c r="R254" s="34"/>
      <c r="S254" s="34"/>
      <c r="T254" s="34"/>
      <c r="U254" s="34"/>
      <c r="V254" s="34"/>
      <c r="W254" s="34"/>
      <c r="X254" s="34"/>
    </row>
    <row r="255" ht="18.75" customHeight="1">
      <c r="A255" s="17">
        <f t="shared" si="5"/>
        <v>252</v>
      </c>
      <c r="B255" s="25" t="s">
        <v>543</v>
      </c>
      <c r="C255" s="25" t="s">
        <v>544</v>
      </c>
      <c r="D255" s="26" t="s">
        <v>45</v>
      </c>
      <c r="E255" s="27" t="s">
        <v>27</v>
      </c>
      <c r="F255" s="36">
        <v>45873.0</v>
      </c>
      <c r="G255" s="29">
        <v>46237.0</v>
      </c>
      <c r="H255" s="30" t="s">
        <v>268</v>
      </c>
      <c r="I255" s="37">
        <v>188800.0</v>
      </c>
      <c r="J255" s="37">
        <v>188800.0</v>
      </c>
      <c r="K255" s="31">
        <f t="shared" si="19"/>
        <v>0</v>
      </c>
      <c r="L255" s="49"/>
      <c r="M255" s="33"/>
      <c r="N255" s="33"/>
      <c r="O255" s="34">
        <f t="shared" si="31"/>
        <v>0</v>
      </c>
      <c r="P255" s="34"/>
      <c r="Q255" s="34"/>
      <c r="R255" s="34"/>
      <c r="S255" s="34"/>
      <c r="T255" s="34"/>
      <c r="U255" s="34"/>
      <c r="V255" s="34"/>
      <c r="W255" s="34"/>
      <c r="X255" s="34"/>
    </row>
    <row r="256" ht="18.75" customHeight="1">
      <c r="A256" s="17">
        <f t="shared" si="5"/>
        <v>253</v>
      </c>
      <c r="B256" s="25" t="s">
        <v>545</v>
      </c>
      <c r="C256" s="25" t="s">
        <v>546</v>
      </c>
      <c r="D256" s="26" t="s">
        <v>45</v>
      </c>
      <c r="E256" s="27" t="s">
        <v>27</v>
      </c>
      <c r="F256" s="36">
        <v>45874.0</v>
      </c>
      <c r="G256" s="29">
        <v>46238.0</v>
      </c>
      <c r="H256" s="41" t="s">
        <v>294</v>
      </c>
      <c r="I256" s="37">
        <f>23600*4</f>
        <v>94400</v>
      </c>
      <c r="J256" s="37">
        <f>23600*2</f>
        <v>47200</v>
      </c>
      <c r="K256" s="31">
        <f t="shared" si="19"/>
        <v>47200</v>
      </c>
      <c r="L256" s="32">
        <v>46058.0</v>
      </c>
      <c r="M256" s="33"/>
      <c r="N256" s="33"/>
      <c r="O256" s="34">
        <f t="shared" si="31"/>
        <v>0</v>
      </c>
      <c r="P256" s="34"/>
      <c r="Q256" s="34"/>
      <c r="R256" s="34"/>
      <c r="S256" s="34"/>
      <c r="T256" s="34"/>
      <c r="U256" s="34"/>
      <c r="V256" s="34"/>
      <c r="W256" s="34"/>
      <c r="X256" s="34"/>
    </row>
    <row r="257" ht="18.75" customHeight="1">
      <c r="A257" s="17">
        <f t="shared" si="5"/>
        <v>254</v>
      </c>
      <c r="B257" s="25" t="s">
        <v>191</v>
      </c>
      <c r="C257" s="25" t="s">
        <v>547</v>
      </c>
      <c r="D257" s="48" t="s">
        <v>140</v>
      </c>
      <c r="E257" s="27" t="s">
        <v>27</v>
      </c>
      <c r="F257" s="36">
        <v>45875.0</v>
      </c>
      <c r="G257" s="29">
        <v>46239.0</v>
      </c>
      <c r="H257" s="30" t="s">
        <v>268</v>
      </c>
      <c r="I257" s="37">
        <f t="shared" ref="I257:J257" si="39">94872-1608</f>
        <v>93264</v>
      </c>
      <c r="J257" s="37">
        <f t="shared" si="39"/>
        <v>93264</v>
      </c>
      <c r="K257" s="31">
        <f t="shared" si="19"/>
        <v>0</v>
      </c>
      <c r="L257" s="49"/>
      <c r="M257" s="65" t="s">
        <v>548</v>
      </c>
      <c r="N257" s="33"/>
      <c r="O257" s="34" t="str">
        <f t="shared" si="31"/>
        <v>#VALUE!</v>
      </c>
      <c r="P257" s="34"/>
      <c r="Q257" s="34"/>
      <c r="R257" s="34"/>
      <c r="S257" s="34"/>
      <c r="T257" s="34"/>
      <c r="U257" s="34"/>
      <c r="V257" s="34"/>
      <c r="W257" s="34"/>
      <c r="X257" s="34"/>
    </row>
    <row r="258" ht="18.75" customHeight="1">
      <c r="A258" s="17">
        <f t="shared" si="5"/>
        <v>255</v>
      </c>
      <c r="B258" s="25" t="s">
        <v>549</v>
      </c>
      <c r="C258" s="25" t="s">
        <v>550</v>
      </c>
      <c r="D258" s="26" t="s">
        <v>45</v>
      </c>
      <c r="E258" s="27" t="s">
        <v>27</v>
      </c>
      <c r="F258" s="36">
        <v>45875.0</v>
      </c>
      <c r="G258" s="29">
        <v>46239.0</v>
      </c>
      <c r="H258" s="30" t="s">
        <v>268</v>
      </c>
      <c r="I258" s="37">
        <v>82600.0</v>
      </c>
      <c r="J258" s="37">
        <v>82600.0</v>
      </c>
      <c r="K258" s="31">
        <f t="shared" si="19"/>
        <v>0</v>
      </c>
      <c r="L258" s="49"/>
      <c r="M258" s="33"/>
      <c r="N258" s="33"/>
      <c r="O258" s="34">
        <f t="shared" si="31"/>
        <v>0</v>
      </c>
      <c r="P258" s="34"/>
      <c r="Q258" s="34"/>
      <c r="R258" s="34"/>
      <c r="S258" s="34"/>
      <c r="T258" s="34"/>
      <c r="U258" s="34"/>
      <c r="V258" s="34"/>
      <c r="W258" s="34"/>
      <c r="X258" s="34"/>
    </row>
    <row r="259" ht="18.75" customHeight="1">
      <c r="A259" s="17">
        <f t="shared" si="5"/>
        <v>256</v>
      </c>
      <c r="B259" s="25" t="s">
        <v>551</v>
      </c>
      <c r="C259" s="25" t="s">
        <v>552</v>
      </c>
      <c r="D259" s="26" t="s">
        <v>188</v>
      </c>
      <c r="E259" s="27" t="s">
        <v>27</v>
      </c>
      <c r="F259" s="36">
        <v>45875.0</v>
      </c>
      <c r="G259" s="29">
        <v>46239.0</v>
      </c>
      <c r="H259" s="30" t="s">
        <v>268</v>
      </c>
      <c r="I259" s="37">
        <v>82600.0</v>
      </c>
      <c r="J259" s="37">
        <v>82600.0</v>
      </c>
      <c r="K259" s="31">
        <f t="shared" si="19"/>
        <v>0</v>
      </c>
      <c r="L259" s="49"/>
      <c r="M259" s="33"/>
      <c r="N259" s="33"/>
      <c r="O259" s="34">
        <f t="shared" si="31"/>
        <v>0</v>
      </c>
      <c r="P259" s="34"/>
      <c r="Q259" s="34"/>
      <c r="R259" s="34"/>
      <c r="S259" s="34"/>
      <c r="T259" s="34"/>
      <c r="U259" s="34"/>
      <c r="V259" s="34"/>
      <c r="W259" s="34"/>
      <c r="X259" s="34"/>
    </row>
    <row r="260" ht="18.75" customHeight="1">
      <c r="A260" s="17">
        <f t="shared" si="5"/>
        <v>257</v>
      </c>
      <c r="B260" s="25" t="s">
        <v>154</v>
      </c>
      <c r="C260" s="25" t="s">
        <v>553</v>
      </c>
      <c r="D260" s="26" t="s">
        <v>45</v>
      </c>
      <c r="E260" s="27" t="s">
        <v>27</v>
      </c>
      <c r="F260" s="36">
        <v>45876.0</v>
      </c>
      <c r="G260" s="29">
        <v>46240.0</v>
      </c>
      <c r="H260" s="44" t="s">
        <v>291</v>
      </c>
      <c r="I260" s="31">
        <f>974916*2</f>
        <v>1949832</v>
      </c>
      <c r="J260" s="31">
        <v>974916.0</v>
      </c>
      <c r="K260" s="31">
        <f t="shared" si="19"/>
        <v>974916</v>
      </c>
      <c r="L260" s="32">
        <v>46060.0</v>
      </c>
      <c r="M260" s="33"/>
      <c r="N260" s="33"/>
      <c r="O260" s="34">
        <f t="shared" si="31"/>
        <v>0</v>
      </c>
      <c r="P260" s="34"/>
      <c r="Q260" s="34"/>
      <c r="R260" s="34"/>
      <c r="S260" s="34"/>
      <c r="T260" s="34"/>
      <c r="U260" s="34"/>
      <c r="V260" s="34"/>
      <c r="W260" s="34"/>
      <c r="X260" s="34"/>
    </row>
    <row r="261" ht="18.75" customHeight="1">
      <c r="A261" s="17">
        <f t="shared" si="5"/>
        <v>258</v>
      </c>
      <c r="B261" s="25" t="s">
        <v>554</v>
      </c>
      <c r="C261" s="64" t="s">
        <v>555</v>
      </c>
      <c r="D261" s="48" t="s">
        <v>196</v>
      </c>
      <c r="E261" s="27" t="s">
        <v>27</v>
      </c>
      <c r="F261" s="95">
        <v>45877.0</v>
      </c>
      <c r="G261" s="96">
        <v>46242.0</v>
      </c>
      <c r="H261" s="30" t="s">
        <v>291</v>
      </c>
      <c r="I261" s="37">
        <f>89208*2</f>
        <v>178416</v>
      </c>
      <c r="J261" s="37">
        <f>89208*1</f>
        <v>89208</v>
      </c>
      <c r="K261" s="31">
        <f t="shared" si="19"/>
        <v>89208</v>
      </c>
      <c r="L261" s="97">
        <v>46030.0</v>
      </c>
      <c r="M261" s="33"/>
      <c r="N261" s="33"/>
      <c r="O261" s="34">
        <f t="shared" si="31"/>
        <v>0</v>
      </c>
      <c r="P261" s="34"/>
      <c r="Q261" s="34"/>
      <c r="R261" s="34"/>
      <c r="S261" s="34"/>
      <c r="T261" s="34"/>
      <c r="U261" s="34"/>
      <c r="V261" s="34"/>
      <c r="W261" s="34"/>
      <c r="X261" s="34"/>
    </row>
    <row r="262" ht="18.75" customHeight="1">
      <c r="A262" s="17">
        <f t="shared" si="5"/>
        <v>259</v>
      </c>
      <c r="B262" s="25" t="s">
        <v>556</v>
      </c>
      <c r="C262" s="25" t="s">
        <v>557</v>
      </c>
      <c r="D262" s="35" t="s">
        <v>45</v>
      </c>
      <c r="E262" s="27" t="s">
        <v>27</v>
      </c>
      <c r="F262" s="36">
        <v>45877.0</v>
      </c>
      <c r="G262" s="29">
        <v>46241.0</v>
      </c>
      <c r="H262" s="30" t="s">
        <v>268</v>
      </c>
      <c r="I262" s="37">
        <v>74340.0</v>
      </c>
      <c r="J262" s="37">
        <v>74340.0</v>
      </c>
      <c r="K262" s="31">
        <f t="shared" si="19"/>
        <v>0</v>
      </c>
      <c r="L262" s="49"/>
      <c r="M262" s="33"/>
      <c r="N262" s="33"/>
      <c r="O262" s="34">
        <f t="shared" si="31"/>
        <v>0</v>
      </c>
      <c r="P262" s="34"/>
      <c r="Q262" s="34"/>
      <c r="R262" s="34"/>
      <c r="S262" s="34"/>
      <c r="T262" s="34"/>
      <c r="U262" s="34"/>
      <c r="V262" s="34"/>
      <c r="W262" s="34"/>
      <c r="X262" s="34"/>
    </row>
    <row r="263" ht="18.75" customHeight="1">
      <c r="A263" s="17">
        <f t="shared" si="5"/>
        <v>260</v>
      </c>
      <c r="B263" s="25" t="s">
        <v>236</v>
      </c>
      <c r="C263" s="25" t="s">
        <v>558</v>
      </c>
      <c r="D263" s="35" t="s">
        <v>45</v>
      </c>
      <c r="E263" s="27" t="s">
        <v>27</v>
      </c>
      <c r="F263" s="36">
        <v>45877.0</v>
      </c>
      <c r="G263" s="29">
        <v>46241.0</v>
      </c>
      <c r="H263" s="30" t="s">
        <v>268</v>
      </c>
      <c r="I263" s="37">
        <v>65000.0</v>
      </c>
      <c r="J263" s="60">
        <v>65000.0</v>
      </c>
      <c r="K263" s="31">
        <f t="shared" si="19"/>
        <v>0</v>
      </c>
      <c r="L263" s="49"/>
      <c r="M263" s="33"/>
      <c r="N263" s="33"/>
      <c r="O263" s="34">
        <f t="shared" si="31"/>
        <v>0</v>
      </c>
      <c r="P263" s="34"/>
      <c r="Q263" s="34"/>
      <c r="R263" s="34"/>
      <c r="S263" s="34"/>
      <c r="T263" s="34"/>
      <c r="U263" s="34"/>
      <c r="V263" s="34"/>
      <c r="W263" s="34"/>
      <c r="X263" s="34"/>
    </row>
    <row r="264" ht="18.75" customHeight="1">
      <c r="A264" s="17">
        <f t="shared" si="5"/>
        <v>261</v>
      </c>
      <c r="B264" s="25" t="s">
        <v>186</v>
      </c>
      <c r="C264" s="25" t="s">
        <v>559</v>
      </c>
      <c r="D264" s="35" t="s">
        <v>188</v>
      </c>
      <c r="E264" s="27" t="s">
        <v>27</v>
      </c>
      <c r="F264" s="36">
        <v>45877.0</v>
      </c>
      <c r="G264" s="29">
        <v>46241.0</v>
      </c>
      <c r="H264" s="30" t="s">
        <v>268</v>
      </c>
      <c r="I264" s="60">
        <v>82000.0</v>
      </c>
      <c r="J264" s="60">
        <v>82000.0</v>
      </c>
      <c r="K264" s="31">
        <f t="shared" si="19"/>
        <v>0</v>
      </c>
      <c r="L264" s="49"/>
      <c r="M264" s="71"/>
      <c r="N264" s="71"/>
      <c r="O264" s="34"/>
      <c r="P264" s="34"/>
      <c r="Q264" s="34"/>
      <c r="R264" s="34"/>
      <c r="S264" s="34"/>
      <c r="T264" s="34"/>
      <c r="U264" s="34"/>
      <c r="V264" s="34"/>
      <c r="W264" s="34"/>
      <c r="X264" s="34"/>
    </row>
    <row r="265" ht="18.75" customHeight="1">
      <c r="A265" s="17">
        <f t="shared" si="5"/>
        <v>262</v>
      </c>
      <c r="B265" s="25" t="s">
        <v>560</v>
      </c>
      <c r="C265" s="25" t="s">
        <v>561</v>
      </c>
      <c r="D265" s="26" t="s">
        <v>45</v>
      </c>
      <c r="E265" s="27" t="s">
        <v>27</v>
      </c>
      <c r="F265" s="36">
        <v>45881.0</v>
      </c>
      <c r="G265" s="29">
        <v>46245.0</v>
      </c>
      <c r="H265" s="30" t="s">
        <v>268</v>
      </c>
      <c r="I265" s="37">
        <v>70000.0</v>
      </c>
      <c r="J265" s="37">
        <v>70000.0</v>
      </c>
      <c r="K265" s="31">
        <f t="shared" si="19"/>
        <v>0</v>
      </c>
      <c r="L265" s="49"/>
      <c r="M265" s="33"/>
      <c r="N265" s="33"/>
      <c r="O265" s="34"/>
      <c r="P265" s="34"/>
      <c r="Q265" s="34"/>
      <c r="R265" s="34"/>
      <c r="S265" s="34"/>
      <c r="T265" s="34"/>
      <c r="U265" s="34"/>
      <c r="V265" s="34"/>
      <c r="W265" s="34"/>
      <c r="X265" s="34"/>
    </row>
    <row r="266" ht="18.75" customHeight="1">
      <c r="A266" s="17">
        <f t="shared" si="5"/>
        <v>263</v>
      </c>
      <c r="B266" s="25" t="s">
        <v>562</v>
      </c>
      <c r="C266" s="25" t="s">
        <v>563</v>
      </c>
      <c r="D266" s="26" t="s">
        <v>188</v>
      </c>
      <c r="E266" s="27" t="s">
        <v>27</v>
      </c>
      <c r="F266" s="36">
        <v>45881.0</v>
      </c>
      <c r="G266" s="29">
        <v>46064.0</v>
      </c>
      <c r="H266" s="44" t="s">
        <v>38</v>
      </c>
      <c r="I266" s="37">
        <f t="shared" ref="I266:J266" si="40">41300-41300</f>
        <v>0</v>
      </c>
      <c r="J266" s="37">
        <f t="shared" si="40"/>
        <v>0</v>
      </c>
      <c r="K266" s="31">
        <f t="shared" si="19"/>
        <v>0</v>
      </c>
      <c r="L266" s="74" t="s">
        <v>564</v>
      </c>
      <c r="M266" s="33"/>
      <c r="N266" s="33"/>
      <c r="O266" s="34"/>
      <c r="P266" s="34"/>
      <c r="Q266" s="34"/>
      <c r="R266" s="34"/>
      <c r="S266" s="34"/>
      <c r="T266" s="34"/>
      <c r="U266" s="34"/>
      <c r="V266" s="34"/>
      <c r="W266" s="34"/>
      <c r="X266" s="34"/>
    </row>
    <row r="267" ht="18.75" customHeight="1">
      <c r="A267" s="17">
        <f t="shared" si="5"/>
        <v>264</v>
      </c>
      <c r="B267" s="25" t="s">
        <v>565</v>
      </c>
      <c r="C267" s="25" t="s">
        <v>566</v>
      </c>
      <c r="D267" s="26" t="s">
        <v>140</v>
      </c>
      <c r="E267" s="27" t="s">
        <v>27</v>
      </c>
      <c r="F267" s="36">
        <v>45883.0</v>
      </c>
      <c r="G267" s="29">
        <v>46247.0</v>
      </c>
      <c r="H267" s="30" t="s">
        <v>268</v>
      </c>
      <c r="I267" s="37">
        <v>99120.0</v>
      </c>
      <c r="J267" s="37">
        <v>99120.0</v>
      </c>
      <c r="K267" s="31">
        <f t="shared" si="19"/>
        <v>0</v>
      </c>
      <c r="L267" s="49"/>
      <c r="M267" s="33"/>
      <c r="N267" s="33"/>
      <c r="O267" s="34"/>
      <c r="P267" s="34"/>
      <c r="Q267" s="34"/>
      <c r="R267" s="34"/>
      <c r="S267" s="34"/>
      <c r="T267" s="34"/>
      <c r="U267" s="34"/>
      <c r="V267" s="34"/>
      <c r="W267" s="34"/>
      <c r="X267" s="34"/>
    </row>
    <row r="268" ht="18.75" customHeight="1">
      <c r="A268" s="17">
        <f t="shared" si="5"/>
        <v>265</v>
      </c>
      <c r="B268" s="25" t="s">
        <v>567</v>
      </c>
      <c r="C268" s="25" t="s">
        <v>568</v>
      </c>
      <c r="D268" s="26" t="s">
        <v>45</v>
      </c>
      <c r="E268" s="27" t="s">
        <v>27</v>
      </c>
      <c r="F268" s="36">
        <v>45884.0</v>
      </c>
      <c r="G268" s="29">
        <v>46248.0</v>
      </c>
      <c r="H268" s="30" t="s">
        <v>268</v>
      </c>
      <c r="I268" s="37">
        <v>74340.0</v>
      </c>
      <c r="J268" s="37">
        <v>74340.0</v>
      </c>
      <c r="K268" s="31">
        <f t="shared" si="19"/>
        <v>0</v>
      </c>
      <c r="L268" s="49"/>
      <c r="M268" s="33"/>
      <c r="N268" s="33"/>
      <c r="O268" s="34"/>
      <c r="P268" s="34"/>
      <c r="Q268" s="34"/>
      <c r="R268" s="34"/>
      <c r="S268" s="34"/>
      <c r="T268" s="34"/>
      <c r="U268" s="34"/>
      <c r="V268" s="34"/>
      <c r="W268" s="34"/>
      <c r="X268" s="34"/>
    </row>
    <row r="269" ht="18.75" customHeight="1">
      <c r="A269" s="17">
        <f t="shared" si="5"/>
        <v>266</v>
      </c>
      <c r="B269" s="25" t="s">
        <v>108</v>
      </c>
      <c r="C269" s="25" t="s">
        <v>569</v>
      </c>
      <c r="D269" s="26" t="s">
        <v>31</v>
      </c>
      <c r="E269" s="27" t="s">
        <v>27</v>
      </c>
      <c r="F269" s="36">
        <v>45887.0</v>
      </c>
      <c r="G269" s="29">
        <v>46251.0</v>
      </c>
      <c r="H269" s="44" t="s">
        <v>291</v>
      </c>
      <c r="I269" s="37">
        <f>860220*2</f>
        <v>1720440</v>
      </c>
      <c r="J269" s="37">
        <f>860220*1</f>
        <v>860220</v>
      </c>
      <c r="K269" s="31">
        <f t="shared" si="19"/>
        <v>860220</v>
      </c>
      <c r="L269" s="97">
        <v>46067.0</v>
      </c>
      <c r="M269" s="98"/>
      <c r="N269" s="98"/>
      <c r="O269" s="34"/>
      <c r="P269" s="34"/>
      <c r="Q269" s="34"/>
      <c r="R269" s="34"/>
      <c r="S269" s="34"/>
      <c r="T269" s="34"/>
      <c r="U269" s="34"/>
      <c r="V269" s="34"/>
      <c r="W269" s="34"/>
      <c r="X269" s="34"/>
    </row>
    <row r="270" ht="18.75" customHeight="1">
      <c r="A270" s="17">
        <f t="shared" si="5"/>
        <v>267</v>
      </c>
      <c r="B270" s="25" t="s">
        <v>570</v>
      </c>
      <c r="C270" s="25" t="s">
        <v>571</v>
      </c>
      <c r="D270" s="26" t="s">
        <v>140</v>
      </c>
      <c r="E270" s="27" t="s">
        <v>27</v>
      </c>
      <c r="F270" s="36">
        <v>45894.0</v>
      </c>
      <c r="G270" s="29">
        <v>46077.0</v>
      </c>
      <c r="H270" s="44" t="s">
        <v>38</v>
      </c>
      <c r="I270" s="37">
        <v>582000.0</v>
      </c>
      <c r="J270" s="37">
        <v>582000.0</v>
      </c>
      <c r="K270" s="31">
        <f t="shared" si="19"/>
        <v>0</v>
      </c>
      <c r="L270" s="97"/>
      <c r="M270" s="98"/>
      <c r="N270" s="98"/>
      <c r="O270" s="34"/>
      <c r="P270" s="34"/>
      <c r="Q270" s="34"/>
      <c r="R270" s="34"/>
      <c r="S270" s="34"/>
      <c r="T270" s="34"/>
      <c r="U270" s="34"/>
      <c r="V270" s="34"/>
      <c r="W270" s="34"/>
      <c r="X270" s="34"/>
    </row>
    <row r="271" ht="18.75" customHeight="1">
      <c r="A271" s="9">
        <f t="shared" si="5"/>
        <v>268</v>
      </c>
      <c r="B271" s="99" t="s">
        <v>572</v>
      </c>
      <c r="C271" s="99" t="s">
        <v>573</v>
      </c>
      <c r="D271" s="100" t="s">
        <v>244</v>
      </c>
      <c r="E271" s="99" t="s">
        <v>27</v>
      </c>
      <c r="F271" s="101">
        <v>45884.0</v>
      </c>
      <c r="G271" s="102">
        <v>46248.0</v>
      </c>
      <c r="H271" s="103" t="s">
        <v>268</v>
      </c>
      <c r="I271" s="104">
        <v>82600.0</v>
      </c>
      <c r="J271" s="104">
        <v>82600.0</v>
      </c>
      <c r="K271" s="105">
        <f t="shared" si="19"/>
        <v>0</v>
      </c>
      <c r="L271" s="106"/>
      <c r="M271" s="107"/>
      <c r="N271" s="107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8.75" customHeight="1">
      <c r="A272" s="9">
        <f t="shared" si="5"/>
        <v>269</v>
      </c>
      <c r="B272" s="99" t="s">
        <v>84</v>
      </c>
      <c r="C272" s="99" t="s">
        <v>574</v>
      </c>
      <c r="D272" s="108" t="s">
        <v>31</v>
      </c>
      <c r="E272" s="99" t="s">
        <v>27</v>
      </c>
      <c r="F272" s="101">
        <v>45884.0</v>
      </c>
      <c r="G272" s="102">
        <v>46126.0</v>
      </c>
      <c r="H272" s="109" t="s">
        <v>575</v>
      </c>
      <c r="I272" s="110">
        <f>202563.52*8</f>
        <v>1620508.16</v>
      </c>
      <c r="J272" s="110">
        <f>202563.52*2</f>
        <v>405127.04</v>
      </c>
      <c r="K272" s="105">
        <f t="shared" si="19"/>
        <v>1215381.12</v>
      </c>
      <c r="L272" s="111">
        <v>45976.0</v>
      </c>
      <c r="M272" s="112" t="s">
        <v>576</v>
      </c>
      <c r="N272" s="112"/>
      <c r="O272" s="1"/>
      <c r="P272" s="113"/>
      <c r="Q272" s="113"/>
      <c r="R272" s="1"/>
      <c r="S272" s="1"/>
      <c r="T272" s="1"/>
      <c r="U272" s="1"/>
      <c r="V272" s="1"/>
      <c r="W272" s="1"/>
      <c r="X272" s="1"/>
    </row>
    <row r="273" ht="18.75" customHeight="1">
      <c r="A273" s="9">
        <f t="shared" si="5"/>
        <v>270</v>
      </c>
      <c r="B273" s="99" t="s">
        <v>577</v>
      </c>
      <c r="C273" s="99" t="s">
        <v>578</v>
      </c>
      <c r="D273" s="100" t="s">
        <v>31</v>
      </c>
      <c r="E273" s="99" t="s">
        <v>27</v>
      </c>
      <c r="F273" s="101">
        <v>45887.0</v>
      </c>
      <c r="G273" s="102">
        <v>46251.0</v>
      </c>
      <c r="H273" s="103" t="s">
        <v>268</v>
      </c>
      <c r="I273" s="104">
        <v>141600.0</v>
      </c>
      <c r="J273" s="104">
        <v>141600.0</v>
      </c>
      <c r="K273" s="105">
        <f t="shared" si="19"/>
        <v>0</v>
      </c>
      <c r="L273" s="114"/>
      <c r="M273" s="113"/>
      <c r="N273" s="113"/>
      <c r="O273" s="113"/>
      <c r="P273" s="113"/>
      <c r="Q273" s="113"/>
      <c r="R273" s="1"/>
      <c r="S273" s="1"/>
      <c r="T273" s="1"/>
      <c r="U273" s="1"/>
      <c r="V273" s="1"/>
      <c r="W273" s="1"/>
      <c r="X273" s="1"/>
    </row>
    <row r="274" ht="18.75" customHeight="1">
      <c r="A274" s="9">
        <f t="shared" si="5"/>
        <v>271</v>
      </c>
      <c r="B274" s="99" t="s">
        <v>579</v>
      </c>
      <c r="C274" s="99" t="s">
        <v>580</v>
      </c>
      <c r="D274" s="100" t="s">
        <v>140</v>
      </c>
      <c r="E274" s="99" t="s">
        <v>27</v>
      </c>
      <c r="F274" s="101">
        <v>45894.0</v>
      </c>
      <c r="G274" s="102">
        <v>46258.0</v>
      </c>
      <c r="H274" s="103" t="s">
        <v>268</v>
      </c>
      <c r="I274" s="104">
        <v>1239000.0</v>
      </c>
      <c r="J274" s="104">
        <v>1239000.0</v>
      </c>
      <c r="K274" s="105">
        <f t="shared" si="19"/>
        <v>0</v>
      </c>
      <c r="L274" s="114"/>
      <c r="M274" s="112"/>
      <c r="N274" s="113"/>
      <c r="O274" s="1"/>
      <c r="P274" s="113"/>
      <c r="Q274" s="113"/>
      <c r="R274" s="1"/>
      <c r="S274" s="1"/>
      <c r="T274" s="1"/>
      <c r="U274" s="1"/>
      <c r="V274" s="1"/>
      <c r="W274" s="1"/>
      <c r="X274" s="1"/>
    </row>
    <row r="275" ht="18.75" customHeight="1">
      <c r="A275" s="9">
        <f t="shared" si="5"/>
        <v>272</v>
      </c>
      <c r="B275" s="99" t="s">
        <v>581</v>
      </c>
      <c r="C275" s="99" t="s">
        <v>582</v>
      </c>
      <c r="D275" s="100" t="s">
        <v>244</v>
      </c>
      <c r="E275" s="99" t="s">
        <v>27</v>
      </c>
      <c r="F275" s="101">
        <v>45887.0</v>
      </c>
      <c r="G275" s="102">
        <v>46251.0</v>
      </c>
      <c r="H275" s="103" t="s">
        <v>268</v>
      </c>
      <c r="I275" s="104">
        <v>82600.0</v>
      </c>
      <c r="J275" s="104">
        <v>82600.0</v>
      </c>
      <c r="K275" s="105">
        <f t="shared" si="19"/>
        <v>0</v>
      </c>
      <c r="L275" s="114"/>
      <c r="M275" s="113"/>
      <c r="N275" s="113"/>
      <c r="O275" s="113"/>
      <c r="P275" s="113"/>
      <c r="Q275" s="113"/>
      <c r="R275" s="1"/>
      <c r="S275" s="1"/>
      <c r="T275" s="1"/>
      <c r="U275" s="1"/>
      <c r="V275" s="1"/>
      <c r="W275" s="1"/>
      <c r="X275" s="1"/>
    </row>
    <row r="276" ht="18.75" customHeight="1">
      <c r="A276" s="9">
        <f t="shared" si="5"/>
        <v>273</v>
      </c>
      <c r="B276" s="99" t="s">
        <v>146</v>
      </c>
      <c r="C276" s="99" t="s">
        <v>583</v>
      </c>
      <c r="D276" s="100"/>
      <c r="E276" s="99" t="s">
        <v>27</v>
      </c>
      <c r="F276" s="101">
        <v>45887.0</v>
      </c>
      <c r="G276" s="102">
        <v>45917.0</v>
      </c>
      <c r="H276" s="109" t="s">
        <v>55</v>
      </c>
      <c r="I276" s="115">
        <v>5900.0</v>
      </c>
      <c r="J276" s="115">
        <v>5900.0</v>
      </c>
      <c r="K276" s="105">
        <f t="shared" si="19"/>
        <v>0</v>
      </c>
      <c r="L276" s="114"/>
      <c r="M276" s="113"/>
      <c r="N276" s="113"/>
      <c r="O276" s="113"/>
      <c r="P276" s="113"/>
      <c r="Q276" s="113"/>
      <c r="R276" s="1"/>
      <c r="S276" s="1"/>
      <c r="T276" s="1"/>
      <c r="U276" s="1"/>
      <c r="V276" s="1"/>
      <c r="W276" s="1"/>
      <c r="X276" s="1"/>
    </row>
    <row r="277" ht="18.75" customHeight="1">
      <c r="A277" s="9">
        <f t="shared" si="5"/>
        <v>274</v>
      </c>
      <c r="B277" s="116" t="s">
        <v>584</v>
      </c>
      <c r="C277" s="99" t="s">
        <v>585</v>
      </c>
      <c r="D277" s="100" t="s">
        <v>244</v>
      </c>
      <c r="E277" s="99" t="s">
        <v>27</v>
      </c>
      <c r="F277" s="101">
        <v>45888.0</v>
      </c>
      <c r="G277" s="102">
        <v>46252.0</v>
      </c>
      <c r="H277" s="103" t="s">
        <v>268</v>
      </c>
      <c r="I277" s="115">
        <v>82600.0</v>
      </c>
      <c r="J277" s="115">
        <v>82600.0</v>
      </c>
      <c r="K277" s="117">
        <f t="shared" si="19"/>
        <v>0</v>
      </c>
      <c r="L277" s="118"/>
      <c r="M277" s="119"/>
      <c r="N277" s="119"/>
      <c r="O277" s="119"/>
      <c r="P277" s="119"/>
      <c r="Q277" s="119"/>
      <c r="R277" s="1"/>
      <c r="S277" s="1"/>
      <c r="T277" s="1"/>
      <c r="U277" s="1"/>
      <c r="V277" s="1"/>
      <c r="W277" s="1"/>
      <c r="X277" s="1"/>
    </row>
    <row r="278" ht="18.75" customHeight="1">
      <c r="A278" s="9">
        <f t="shared" si="5"/>
        <v>275</v>
      </c>
      <c r="B278" s="116" t="s">
        <v>586</v>
      </c>
      <c r="C278" s="99" t="s">
        <v>587</v>
      </c>
      <c r="D278" s="100" t="s">
        <v>188</v>
      </c>
      <c r="E278" s="99" t="s">
        <v>27</v>
      </c>
      <c r="F278" s="101">
        <v>45888.0</v>
      </c>
      <c r="G278" s="102">
        <v>46071.0</v>
      </c>
      <c r="H278" s="109" t="s">
        <v>38</v>
      </c>
      <c r="I278" s="115">
        <v>41300.0</v>
      </c>
      <c r="J278" s="115">
        <v>41300.0</v>
      </c>
      <c r="K278" s="117">
        <f t="shared" si="19"/>
        <v>0</v>
      </c>
      <c r="L278" s="118"/>
      <c r="M278" s="119"/>
      <c r="N278" s="119"/>
      <c r="O278" s="119"/>
      <c r="P278" s="119"/>
      <c r="Q278" s="119"/>
      <c r="R278" s="1"/>
      <c r="S278" s="1"/>
      <c r="T278" s="1"/>
      <c r="U278" s="1"/>
      <c r="V278" s="1"/>
      <c r="W278" s="1"/>
      <c r="X278" s="1"/>
    </row>
    <row r="279" ht="18.75" customHeight="1">
      <c r="A279" s="9">
        <f t="shared" si="5"/>
        <v>276</v>
      </c>
      <c r="B279" s="116" t="s">
        <v>131</v>
      </c>
      <c r="C279" s="99" t="s">
        <v>588</v>
      </c>
      <c r="D279" s="100" t="s">
        <v>589</v>
      </c>
      <c r="E279" s="99" t="s">
        <v>27</v>
      </c>
      <c r="F279" s="101">
        <v>45874.0</v>
      </c>
      <c r="G279" s="102">
        <v>46238.0</v>
      </c>
      <c r="H279" s="120" t="s">
        <v>294</v>
      </c>
      <c r="I279" s="115">
        <f>22500*4</f>
        <v>90000</v>
      </c>
      <c r="J279" s="115">
        <f>22500*2</f>
        <v>45000</v>
      </c>
      <c r="K279" s="117">
        <f t="shared" si="19"/>
        <v>45000</v>
      </c>
      <c r="L279" s="121">
        <v>46058.0</v>
      </c>
      <c r="M279" s="112"/>
      <c r="N279" s="112"/>
      <c r="O279" s="1"/>
      <c r="P279" s="119"/>
      <c r="Q279" s="119"/>
      <c r="R279" s="1"/>
      <c r="S279" s="1"/>
      <c r="T279" s="1"/>
      <c r="U279" s="1"/>
      <c r="V279" s="1"/>
      <c r="W279" s="1"/>
      <c r="X279" s="1"/>
    </row>
    <row r="280" ht="18.75" customHeight="1">
      <c r="A280" s="9">
        <f t="shared" si="5"/>
        <v>277</v>
      </c>
      <c r="B280" s="116" t="s">
        <v>590</v>
      </c>
      <c r="C280" s="99" t="s">
        <v>591</v>
      </c>
      <c r="D280" s="100" t="s">
        <v>140</v>
      </c>
      <c r="E280" s="99" t="s">
        <v>27</v>
      </c>
      <c r="F280" s="101">
        <v>45887.0</v>
      </c>
      <c r="G280" s="102">
        <v>46251.0</v>
      </c>
      <c r="H280" s="103" t="s">
        <v>268</v>
      </c>
      <c r="I280" s="115">
        <v>86986.5</v>
      </c>
      <c r="J280" s="115">
        <v>86986.5</v>
      </c>
      <c r="K280" s="117">
        <f t="shared" si="19"/>
        <v>0</v>
      </c>
      <c r="L280" s="118"/>
      <c r="M280" s="119"/>
      <c r="N280" s="119"/>
      <c r="O280" s="119"/>
      <c r="P280" s="119"/>
      <c r="Q280" s="119"/>
      <c r="R280" s="1"/>
      <c r="S280" s="1"/>
      <c r="T280" s="1"/>
      <c r="U280" s="1"/>
      <c r="V280" s="1"/>
      <c r="W280" s="1"/>
      <c r="X280" s="1"/>
    </row>
    <row r="281" ht="18.75" customHeight="1">
      <c r="A281" s="9">
        <f t="shared" si="5"/>
        <v>278</v>
      </c>
      <c r="B281" s="116" t="s">
        <v>592</v>
      </c>
      <c r="C281" s="99" t="s">
        <v>593</v>
      </c>
      <c r="D281" s="100" t="s">
        <v>188</v>
      </c>
      <c r="E281" s="99" t="s">
        <v>27</v>
      </c>
      <c r="F281" s="101">
        <v>45891.0</v>
      </c>
      <c r="G281" s="102">
        <v>46074.0</v>
      </c>
      <c r="H281" s="109" t="s">
        <v>38</v>
      </c>
      <c r="I281" s="115">
        <v>42480.0</v>
      </c>
      <c r="J281" s="115">
        <v>42480.0</v>
      </c>
      <c r="K281" s="117">
        <f t="shared" si="19"/>
        <v>0</v>
      </c>
      <c r="L281" s="118"/>
      <c r="M281" s="119"/>
      <c r="N281" s="119"/>
      <c r="O281" s="119"/>
      <c r="P281" s="119"/>
      <c r="Q281" s="119"/>
      <c r="R281" s="1"/>
      <c r="S281" s="1"/>
      <c r="T281" s="1"/>
      <c r="U281" s="1"/>
      <c r="V281" s="1"/>
      <c r="W281" s="1"/>
      <c r="X281" s="1"/>
    </row>
    <row r="282" ht="18.75" customHeight="1">
      <c r="A282" s="9">
        <f t="shared" si="5"/>
        <v>279</v>
      </c>
      <c r="B282" s="116" t="s">
        <v>224</v>
      </c>
      <c r="C282" s="99" t="s">
        <v>594</v>
      </c>
      <c r="D282" s="100" t="s">
        <v>31</v>
      </c>
      <c r="E282" s="99" t="s">
        <v>27</v>
      </c>
      <c r="F282" s="101">
        <v>45900.0</v>
      </c>
      <c r="G282" s="102">
        <v>46263.0</v>
      </c>
      <c r="H282" s="109" t="s">
        <v>291</v>
      </c>
      <c r="I282" s="115">
        <f>1493880*2</f>
        <v>2987760</v>
      </c>
      <c r="J282" s="115">
        <v>1493880.0</v>
      </c>
      <c r="K282" s="117">
        <f t="shared" si="19"/>
        <v>1493880</v>
      </c>
      <c r="L282" s="121">
        <v>46076.0</v>
      </c>
      <c r="M282" s="122"/>
      <c r="N282" s="112"/>
      <c r="O282" s="123"/>
      <c r="P282" s="119"/>
      <c r="Q282" s="119"/>
      <c r="R282" s="1"/>
      <c r="S282" s="1"/>
      <c r="T282" s="1"/>
      <c r="U282" s="1"/>
      <c r="V282" s="1"/>
      <c r="W282" s="1"/>
      <c r="X282" s="1"/>
    </row>
    <row r="283" ht="18.75" customHeight="1">
      <c r="A283" s="9">
        <f t="shared" si="5"/>
        <v>280</v>
      </c>
      <c r="B283" s="116" t="s">
        <v>595</v>
      </c>
      <c r="C283" s="99" t="s">
        <v>596</v>
      </c>
      <c r="D283" s="100" t="s">
        <v>31</v>
      </c>
      <c r="E283" s="99" t="s">
        <v>54</v>
      </c>
      <c r="F283" s="101">
        <v>45894.0</v>
      </c>
      <c r="G283" s="102">
        <v>45924.0</v>
      </c>
      <c r="H283" s="109" t="s">
        <v>55</v>
      </c>
      <c r="I283" s="115">
        <v>7080.0</v>
      </c>
      <c r="J283" s="115">
        <v>7080.0</v>
      </c>
      <c r="K283" s="117">
        <f t="shared" si="19"/>
        <v>0</v>
      </c>
      <c r="L283" s="121">
        <v>46076.0</v>
      </c>
      <c r="M283" s="119"/>
      <c r="N283" s="119"/>
      <c r="O283" s="119"/>
      <c r="P283" s="119"/>
      <c r="Q283" s="119"/>
      <c r="R283" s="1"/>
      <c r="S283" s="1"/>
      <c r="T283" s="1"/>
      <c r="U283" s="1"/>
      <c r="V283" s="1"/>
      <c r="W283" s="1"/>
      <c r="X283" s="1"/>
    </row>
    <row r="284" ht="18.75" customHeight="1">
      <c r="A284" s="9">
        <f t="shared" si="5"/>
        <v>281</v>
      </c>
      <c r="B284" s="116" t="s">
        <v>597</v>
      </c>
      <c r="C284" s="99" t="s">
        <v>598</v>
      </c>
      <c r="D284" s="100" t="s">
        <v>589</v>
      </c>
      <c r="E284" s="99" t="s">
        <v>27</v>
      </c>
      <c r="F284" s="101">
        <v>45717.0</v>
      </c>
      <c r="G284" s="102">
        <v>45900.0</v>
      </c>
      <c r="H284" s="109" t="s">
        <v>38</v>
      </c>
      <c r="I284" s="115">
        <v>30000.0</v>
      </c>
      <c r="J284" s="115">
        <v>30000.0</v>
      </c>
      <c r="K284" s="117">
        <f t="shared" si="19"/>
        <v>0</v>
      </c>
      <c r="L284" s="118"/>
      <c r="M284" s="124" t="s">
        <v>599</v>
      </c>
      <c r="N284" s="119"/>
      <c r="O284" s="119"/>
      <c r="P284" s="119"/>
      <c r="Q284" s="119"/>
      <c r="R284" s="1"/>
      <c r="S284" s="1"/>
      <c r="T284" s="1"/>
      <c r="U284" s="1"/>
      <c r="V284" s="1"/>
      <c r="W284" s="1"/>
      <c r="X284" s="1"/>
    </row>
    <row r="285" ht="18.75" customHeight="1">
      <c r="A285" s="9">
        <f t="shared" si="5"/>
        <v>282</v>
      </c>
      <c r="B285" s="116" t="s">
        <v>597</v>
      </c>
      <c r="C285" s="116" t="s">
        <v>600</v>
      </c>
      <c r="D285" s="100" t="s">
        <v>589</v>
      </c>
      <c r="E285" s="99" t="s">
        <v>27</v>
      </c>
      <c r="F285" s="101">
        <v>45901.0</v>
      </c>
      <c r="G285" s="102">
        <v>46266.0</v>
      </c>
      <c r="H285" s="103" t="s">
        <v>268</v>
      </c>
      <c r="I285" s="115">
        <v>82600.0</v>
      </c>
      <c r="J285" s="115">
        <v>82600.0</v>
      </c>
      <c r="K285" s="117">
        <f t="shared" si="19"/>
        <v>0</v>
      </c>
      <c r="L285" s="118"/>
      <c r="M285" s="119"/>
      <c r="N285" s="119"/>
      <c r="O285" s="119"/>
      <c r="P285" s="119"/>
      <c r="Q285" s="119"/>
      <c r="R285" s="1"/>
      <c r="S285" s="1"/>
      <c r="T285" s="1"/>
      <c r="U285" s="1"/>
      <c r="V285" s="1"/>
      <c r="W285" s="1"/>
      <c r="X285" s="1"/>
    </row>
    <row r="286" ht="18.75" customHeight="1">
      <c r="A286" s="9">
        <f t="shared" si="5"/>
        <v>283</v>
      </c>
      <c r="B286" s="116" t="s">
        <v>601</v>
      </c>
      <c r="C286" s="116" t="s">
        <v>602</v>
      </c>
      <c r="D286" s="100" t="s">
        <v>45</v>
      </c>
      <c r="E286" s="99" t="s">
        <v>54</v>
      </c>
      <c r="F286" s="101">
        <v>45895.0</v>
      </c>
      <c r="G286" s="102">
        <v>45925.0</v>
      </c>
      <c r="H286" s="109" t="s">
        <v>55</v>
      </c>
      <c r="I286" s="115">
        <f t="shared" ref="I286:J286" si="41">11800-11800</f>
        <v>0</v>
      </c>
      <c r="J286" s="115">
        <f t="shared" si="41"/>
        <v>0</v>
      </c>
      <c r="K286" s="115">
        <f>11800</f>
        <v>11800</v>
      </c>
      <c r="L286" s="118"/>
      <c r="M286" s="112" t="s">
        <v>603</v>
      </c>
      <c r="N286" s="122"/>
      <c r="O286" s="125"/>
      <c r="P286" s="125"/>
      <c r="Q286" s="125"/>
      <c r="R286" s="1"/>
      <c r="S286" s="1"/>
      <c r="T286" s="1"/>
      <c r="U286" s="1"/>
      <c r="V286" s="1"/>
      <c r="W286" s="1"/>
      <c r="X286" s="1"/>
    </row>
    <row r="287" ht="18.75" customHeight="1">
      <c r="A287" s="9">
        <f t="shared" si="5"/>
        <v>284</v>
      </c>
      <c r="B287" s="116" t="s">
        <v>46</v>
      </c>
      <c r="C287" s="116" t="s">
        <v>604</v>
      </c>
      <c r="D287" s="100" t="s">
        <v>140</v>
      </c>
      <c r="E287" s="99" t="s">
        <v>27</v>
      </c>
      <c r="F287" s="101">
        <v>45901.0</v>
      </c>
      <c r="G287" s="102">
        <v>46053.0</v>
      </c>
      <c r="H287" s="109" t="s">
        <v>605</v>
      </c>
      <c r="I287" s="115">
        <v>20650.0</v>
      </c>
      <c r="J287" s="115">
        <v>20650.0</v>
      </c>
      <c r="K287" s="117">
        <f t="shared" ref="K287:K392" si="42">I287-J287</f>
        <v>0</v>
      </c>
      <c r="L287" s="118"/>
      <c r="M287" s="112"/>
      <c r="N287" s="122"/>
      <c r="O287" s="126"/>
      <c r="P287" s="126"/>
      <c r="Q287" s="126"/>
      <c r="R287" s="1"/>
      <c r="S287" s="1"/>
      <c r="T287" s="1"/>
      <c r="U287" s="1"/>
      <c r="V287" s="1"/>
      <c r="W287" s="1"/>
      <c r="X287" s="1"/>
    </row>
    <row r="288" ht="18.75" customHeight="1">
      <c r="A288" s="9">
        <f t="shared" si="5"/>
        <v>285</v>
      </c>
      <c r="B288" s="116" t="s">
        <v>64</v>
      </c>
      <c r="C288" s="116" t="s">
        <v>606</v>
      </c>
      <c r="D288" s="100" t="s">
        <v>31</v>
      </c>
      <c r="E288" s="99" t="s">
        <v>27</v>
      </c>
      <c r="F288" s="101">
        <v>45848.0</v>
      </c>
      <c r="G288" s="102">
        <v>46032.0</v>
      </c>
      <c r="H288" s="109" t="s">
        <v>38</v>
      </c>
      <c r="I288" s="115">
        <v>99120.0</v>
      </c>
      <c r="J288" s="115">
        <v>99120.0</v>
      </c>
      <c r="K288" s="117">
        <f t="shared" si="42"/>
        <v>0</v>
      </c>
      <c r="L288" s="118"/>
      <c r="M288" s="119"/>
      <c r="N288" s="119"/>
      <c r="O288" s="127"/>
      <c r="P288" s="127"/>
      <c r="Q288" s="127"/>
      <c r="R288" s="1"/>
      <c r="S288" s="1"/>
      <c r="T288" s="1"/>
      <c r="U288" s="1"/>
      <c r="V288" s="1"/>
      <c r="W288" s="1"/>
      <c r="X288" s="1"/>
    </row>
    <row r="289" ht="18.75" customHeight="1">
      <c r="A289" s="9">
        <f t="shared" si="5"/>
        <v>286</v>
      </c>
      <c r="B289" s="116" t="s">
        <v>221</v>
      </c>
      <c r="C289" s="116" t="s">
        <v>607</v>
      </c>
      <c r="D289" s="108" t="s">
        <v>159</v>
      </c>
      <c r="E289" s="99" t="s">
        <v>27</v>
      </c>
      <c r="F289" s="128">
        <v>45901.0</v>
      </c>
      <c r="G289" s="102">
        <v>46265.0</v>
      </c>
      <c r="H289" s="120" t="s">
        <v>294</v>
      </c>
      <c r="I289" s="129">
        <f>238950*4</f>
        <v>955800</v>
      </c>
      <c r="J289" s="115">
        <f>238950*2</f>
        <v>477900</v>
      </c>
      <c r="K289" s="117">
        <f t="shared" si="42"/>
        <v>477900</v>
      </c>
      <c r="L289" s="130">
        <v>46054.0</v>
      </c>
      <c r="M289" s="112"/>
      <c r="N289" s="112"/>
      <c r="O289" s="126"/>
      <c r="P289" s="126"/>
      <c r="Q289" s="126"/>
      <c r="R289" s="1"/>
      <c r="S289" s="1"/>
      <c r="T289" s="1"/>
      <c r="U289" s="1"/>
      <c r="V289" s="1"/>
      <c r="W289" s="1"/>
      <c r="X289" s="1"/>
    </row>
    <row r="290" ht="18.75" customHeight="1">
      <c r="A290" s="9">
        <f t="shared" si="5"/>
        <v>287</v>
      </c>
      <c r="B290" s="116" t="s">
        <v>608</v>
      </c>
      <c r="C290" s="116" t="s">
        <v>609</v>
      </c>
      <c r="D290" s="108" t="s">
        <v>244</v>
      </c>
      <c r="E290" s="99" t="s">
        <v>27</v>
      </c>
      <c r="F290" s="128">
        <v>45896.0</v>
      </c>
      <c r="G290" s="102">
        <v>46260.0</v>
      </c>
      <c r="H290" s="103" t="s">
        <v>268</v>
      </c>
      <c r="I290" s="115">
        <v>70210.0</v>
      </c>
      <c r="J290" s="115">
        <v>70210.0</v>
      </c>
      <c r="K290" s="117">
        <f t="shared" si="42"/>
        <v>0</v>
      </c>
      <c r="L290" s="118"/>
      <c r="M290" s="112"/>
      <c r="N290" s="112"/>
      <c r="O290" s="126"/>
      <c r="P290" s="126"/>
      <c r="Q290" s="126"/>
      <c r="R290" s="1"/>
      <c r="S290" s="1"/>
      <c r="T290" s="1"/>
      <c r="U290" s="1"/>
      <c r="V290" s="1"/>
      <c r="W290" s="1"/>
      <c r="X290" s="1"/>
    </row>
    <row r="291" ht="18.75" customHeight="1">
      <c r="A291" s="9">
        <f t="shared" si="5"/>
        <v>288</v>
      </c>
      <c r="B291" s="116" t="s">
        <v>610</v>
      </c>
      <c r="C291" s="116" t="s">
        <v>611</v>
      </c>
      <c r="D291" s="131" t="s">
        <v>140</v>
      </c>
      <c r="E291" s="99" t="s">
        <v>27</v>
      </c>
      <c r="F291" s="128">
        <v>45901.0</v>
      </c>
      <c r="G291" s="102">
        <v>46265.0</v>
      </c>
      <c r="H291" s="103" t="s">
        <v>268</v>
      </c>
      <c r="I291" s="115">
        <v>3570.0</v>
      </c>
      <c r="J291" s="115">
        <v>3570.0</v>
      </c>
      <c r="K291" s="117">
        <f t="shared" si="42"/>
        <v>0</v>
      </c>
      <c r="L291" s="118"/>
      <c r="M291" s="112"/>
      <c r="N291" s="119"/>
      <c r="O291" s="132"/>
      <c r="P291" s="133"/>
      <c r="Q291" s="134"/>
      <c r="R291" s="1"/>
      <c r="S291" s="1"/>
      <c r="T291" s="1"/>
      <c r="U291" s="1"/>
      <c r="V291" s="1"/>
      <c r="W291" s="1"/>
      <c r="X291" s="1"/>
    </row>
    <row r="292" ht="18.75" customHeight="1">
      <c r="A292" s="9">
        <f t="shared" si="5"/>
        <v>289</v>
      </c>
      <c r="B292" s="116" t="s">
        <v>612</v>
      </c>
      <c r="C292" s="116" t="s">
        <v>613</v>
      </c>
      <c r="D292" s="120" t="s">
        <v>614</v>
      </c>
      <c r="E292" s="99" t="s">
        <v>27</v>
      </c>
      <c r="F292" s="128">
        <v>45898.0</v>
      </c>
      <c r="G292" s="102">
        <v>46262.0</v>
      </c>
      <c r="H292" s="109" t="s">
        <v>291</v>
      </c>
      <c r="I292" s="115">
        <f>106200*2</f>
        <v>212400</v>
      </c>
      <c r="J292" s="115">
        <v>106200.0</v>
      </c>
      <c r="K292" s="117">
        <f t="shared" si="42"/>
        <v>106200</v>
      </c>
      <c r="L292" s="135" t="s">
        <v>615</v>
      </c>
      <c r="M292" s="119"/>
      <c r="N292" s="119"/>
      <c r="O292" s="119"/>
      <c r="P292" s="119"/>
      <c r="Q292" s="119"/>
      <c r="R292" s="1"/>
      <c r="S292" s="1"/>
      <c r="T292" s="1"/>
      <c r="U292" s="1"/>
      <c r="V292" s="1"/>
      <c r="W292" s="1"/>
      <c r="X292" s="1"/>
    </row>
    <row r="293" ht="18.75" customHeight="1">
      <c r="A293" s="9">
        <f t="shared" si="5"/>
        <v>290</v>
      </c>
      <c r="B293" s="116" t="s">
        <v>234</v>
      </c>
      <c r="C293" s="116" t="s">
        <v>616</v>
      </c>
      <c r="D293" s="108" t="s">
        <v>31</v>
      </c>
      <c r="E293" s="99" t="s">
        <v>27</v>
      </c>
      <c r="F293" s="128">
        <v>45901.0</v>
      </c>
      <c r="G293" s="102">
        <v>46265.0</v>
      </c>
      <c r="H293" s="103" t="s">
        <v>268</v>
      </c>
      <c r="I293" s="115">
        <v>708000.0</v>
      </c>
      <c r="J293" s="115">
        <v>708000.0</v>
      </c>
      <c r="K293" s="117">
        <f t="shared" si="42"/>
        <v>0</v>
      </c>
      <c r="L293" s="118"/>
      <c r="M293" s="119"/>
      <c r="N293" s="119"/>
      <c r="O293" s="119"/>
      <c r="P293" s="119"/>
      <c r="Q293" s="119"/>
      <c r="R293" s="1"/>
      <c r="S293" s="1"/>
      <c r="T293" s="1"/>
      <c r="U293" s="1"/>
      <c r="V293" s="1"/>
      <c r="W293" s="1"/>
      <c r="X293" s="1"/>
    </row>
    <row r="294" ht="18.75" customHeight="1">
      <c r="A294" s="9">
        <f t="shared" si="5"/>
        <v>291</v>
      </c>
      <c r="B294" s="116" t="s">
        <v>169</v>
      </c>
      <c r="C294" s="116" t="s">
        <v>617</v>
      </c>
      <c r="D294" s="108" t="s">
        <v>244</v>
      </c>
      <c r="E294" s="99" t="s">
        <v>27</v>
      </c>
      <c r="F294" s="128">
        <v>45896.0</v>
      </c>
      <c r="G294" s="102">
        <v>46260.0</v>
      </c>
      <c r="H294" s="109" t="s">
        <v>291</v>
      </c>
      <c r="I294" s="115">
        <f>82600*2</f>
        <v>165200</v>
      </c>
      <c r="J294" s="115">
        <v>82600.0</v>
      </c>
      <c r="K294" s="117">
        <f t="shared" si="42"/>
        <v>82600</v>
      </c>
      <c r="L294" s="136">
        <v>46080.0</v>
      </c>
      <c r="M294" s="119"/>
      <c r="N294" s="119"/>
      <c r="O294" s="119"/>
      <c r="P294" s="119"/>
      <c r="Q294" s="119"/>
      <c r="R294" s="1"/>
      <c r="S294" s="1"/>
      <c r="T294" s="1"/>
      <c r="U294" s="1"/>
      <c r="V294" s="1"/>
      <c r="W294" s="1"/>
      <c r="X294" s="1"/>
    </row>
    <row r="295" ht="18.75" customHeight="1">
      <c r="A295" s="9">
        <f t="shared" si="5"/>
        <v>292</v>
      </c>
      <c r="B295" s="116" t="s">
        <v>618</v>
      </c>
      <c r="C295" s="116" t="s">
        <v>619</v>
      </c>
      <c r="D295" s="100" t="s">
        <v>45</v>
      </c>
      <c r="E295" s="99" t="s">
        <v>27</v>
      </c>
      <c r="F295" s="128">
        <v>45901.0</v>
      </c>
      <c r="G295" s="102">
        <v>46265.0</v>
      </c>
      <c r="H295" s="103" t="s">
        <v>268</v>
      </c>
      <c r="I295" s="115">
        <v>140000.0</v>
      </c>
      <c r="J295" s="115">
        <v>140000.0</v>
      </c>
      <c r="K295" s="117">
        <f t="shared" si="42"/>
        <v>0</v>
      </c>
      <c r="L295" s="118"/>
      <c r="M295" s="119"/>
      <c r="N295" s="119"/>
      <c r="O295" s="119"/>
      <c r="P295" s="119"/>
      <c r="Q295" s="119"/>
      <c r="R295" s="1"/>
      <c r="S295" s="1"/>
      <c r="T295" s="1"/>
      <c r="U295" s="1"/>
      <c r="V295" s="1"/>
      <c r="W295" s="1"/>
      <c r="X295" s="1"/>
    </row>
    <row r="296" ht="18.75" customHeight="1">
      <c r="A296" s="9">
        <f t="shared" si="5"/>
        <v>293</v>
      </c>
      <c r="B296" s="116" t="s">
        <v>136</v>
      </c>
      <c r="C296" s="116" t="s">
        <v>620</v>
      </c>
      <c r="D296" s="100" t="s">
        <v>159</v>
      </c>
      <c r="E296" s="99" t="s">
        <v>27</v>
      </c>
      <c r="F296" s="128">
        <v>45901.0</v>
      </c>
      <c r="G296" s="102">
        <v>46265.0</v>
      </c>
      <c r="H296" s="103" t="s">
        <v>268</v>
      </c>
      <c r="I296" s="115">
        <f t="shared" ref="I296:J296" si="43">254880</f>
        <v>254880</v>
      </c>
      <c r="J296" s="115">
        <f t="shared" si="43"/>
        <v>254880</v>
      </c>
      <c r="K296" s="117">
        <f t="shared" si="42"/>
        <v>0</v>
      </c>
      <c r="L296" s="118"/>
      <c r="M296" s="112" t="s">
        <v>621</v>
      </c>
      <c r="N296" s="112"/>
      <c r="O296" s="126"/>
      <c r="P296" s="119"/>
      <c r="Q296" s="119"/>
      <c r="R296" s="1"/>
      <c r="S296" s="1"/>
      <c r="T296" s="1"/>
      <c r="U296" s="1"/>
      <c r="V296" s="1"/>
      <c r="W296" s="1"/>
      <c r="X296" s="1"/>
    </row>
    <row r="297" ht="18.75" customHeight="1">
      <c r="A297" s="9">
        <f t="shared" si="5"/>
        <v>294</v>
      </c>
      <c r="B297" s="116" t="s">
        <v>622</v>
      </c>
      <c r="C297" s="116" t="s">
        <v>623</v>
      </c>
      <c r="D297" s="100" t="s">
        <v>31</v>
      </c>
      <c r="E297" s="99" t="s">
        <v>27</v>
      </c>
      <c r="F297" s="128">
        <v>45901.0</v>
      </c>
      <c r="G297" s="102">
        <v>45930.0</v>
      </c>
      <c r="H297" s="109" t="s">
        <v>55</v>
      </c>
      <c r="I297" s="115">
        <v>38350.0</v>
      </c>
      <c r="J297" s="115">
        <v>38350.0</v>
      </c>
      <c r="K297" s="117">
        <f t="shared" si="42"/>
        <v>0</v>
      </c>
      <c r="L297" s="118"/>
      <c r="M297" s="112"/>
      <c r="N297" s="112"/>
      <c r="O297" s="126"/>
      <c r="P297" s="119"/>
      <c r="Q297" s="119"/>
      <c r="R297" s="1"/>
      <c r="S297" s="1"/>
      <c r="T297" s="1"/>
      <c r="U297" s="1"/>
      <c r="V297" s="1"/>
      <c r="W297" s="1"/>
      <c r="X297" s="1"/>
    </row>
    <row r="298" ht="18.75" customHeight="1">
      <c r="A298" s="9">
        <f t="shared" si="5"/>
        <v>295</v>
      </c>
      <c r="B298" s="116" t="s">
        <v>248</v>
      </c>
      <c r="C298" s="116" t="s">
        <v>624</v>
      </c>
      <c r="D298" s="131" t="s">
        <v>140</v>
      </c>
      <c r="E298" s="99" t="s">
        <v>27</v>
      </c>
      <c r="F298" s="128">
        <v>45882.0</v>
      </c>
      <c r="G298" s="102">
        <v>45900.0</v>
      </c>
      <c r="H298" s="109" t="s">
        <v>625</v>
      </c>
      <c r="I298" s="115">
        <v>13018.0</v>
      </c>
      <c r="J298" s="115">
        <v>13018.0</v>
      </c>
      <c r="K298" s="117">
        <f t="shared" si="42"/>
        <v>0</v>
      </c>
      <c r="L298" s="118"/>
      <c r="M298" s="122"/>
      <c r="N298" s="112"/>
      <c r="O298" s="126"/>
      <c r="P298" s="119"/>
      <c r="Q298" s="119"/>
      <c r="R298" s="1"/>
      <c r="S298" s="1"/>
      <c r="T298" s="1"/>
      <c r="U298" s="1"/>
      <c r="V298" s="1"/>
      <c r="W298" s="1"/>
      <c r="X298" s="1"/>
    </row>
    <row r="299" ht="18.75" customHeight="1">
      <c r="A299" s="9">
        <f t="shared" si="5"/>
        <v>296</v>
      </c>
      <c r="B299" s="116" t="s">
        <v>248</v>
      </c>
      <c r="C299" s="116" t="s">
        <v>626</v>
      </c>
      <c r="D299" s="131" t="s">
        <v>140</v>
      </c>
      <c r="E299" s="99" t="s">
        <v>27</v>
      </c>
      <c r="F299" s="128">
        <v>45901.0</v>
      </c>
      <c r="G299" s="102">
        <v>46265.0</v>
      </c>
      <c r="H299" s="103" t="s">
        <v>268</v>
      </c>
      <c r="I299" s="115">
        <v>254880.0</v>
      </c>
      <c r="J299" s="115">
        <v>254880.0</v>
      </c>
      <c r="K299" s="117">
        <f t="shared" si="42"/>
        <v>0</v>
      </c>
      <c r="L299" s="136"/>
      <c r="M299" s="137"/>
      <c r="N299" s="137"/>
      <c r="O299" s="138"/>
      <c r="P299" s="119"/>
      <c r="Q299" s="119"/>
      <c r="R299" s="1"/>
      <c r="S299" s="1"/>
      <c r="T299" s="1"/>
      <c r="U299" s="1"/>
      <c r="V299" s="1"/>
      <c r="W299" s="1"/>
      <c r="X299" s="1"/>
    </row>
    <row r="300" ht="18.75" customHeight="1">
      <c r="A300" s="9">
        <f t="shared" si="5"/>
        <v>297</v>
      </c>
      <c r="B300" s="116" t="s">
        <v>627</v>
      </c>
      <c r="C300" s="116" t="s">
        <v>628</v>
      </c>
      <c r="D300" s="139" t="s">
        <v>629</v>
      </c>
      <c r="E300" s="99" t="s">
        <v>27</v>
      </c>
      <c r="F300" s="128">
        <v>45909.0</v>
      </c>
      <c r="G300" s="102">
        <v>45923.0</v>
      </c>
      <c r="H300" s="109" t="s">
        <v>630</v>
      </c>
      <c r="I300" s="115">
        <v>4720.0</v>
      </c>
      <c r="J300" s="115">
        <v>4720.0</v>
      </c>
      <c r="K300" s="117">
        <f t="shared" si="42"/>
        <v>0</v>
      </c>
      <c r="L300" s="118"/>
      <c r="M300" s="119"/>
      <c r="N300" s="119"/>
      <c r="O300" s="119"/>
      <c r="P300" s="119"/>
      <c r="Q300" s="119"/>
      <c r="R300" s="1"/>
      <c r="S300" s="1"/>
      <c r="T300" s="1"/>
      <c r="U300" s="1"/>
      <c r="V300" s="1"/>
      <c r="W300" s="1"/>
      <c r="X300" s="1"/>
    </row>
    <row r="301" ht="18.75" customHeight="1">
      <c r="A301" s="9">
        <f t="shared" si="5"/>
        <v>298</v>
      </c>
      <c r="B301" s="116" t="s">
        <v>631</v>
      </c>
      <c r="C301" s="116" t="s">
        <v>632</v>
      </c>
      <c r="D301" s="139" t="s">
        <v>381</v>
      </c>
      <c r="E301" s="99" t="s">
        <v>27</v>
      </c>
      <c r="F301" s="128">
        <v>45901.0</v>
      </c>
      <c r="G301" s="102">
        <v>46265.0</v>
      </c>
      <c r="H301" s="103" t="s">
        <v>268</v>
      </c>
      <c r="I301" s="115">
        <v>74340.0</v>
      </c>
      <c r="J301" s="115">
        <v>74340.0</v>
      </c>
      <c r="K301" s="117">
        <f t="shared" si="42"/>
        <v>0</v>
      </c>
      <c r="L301" s="118"/>
      <c r="M301" s="119"/>
      <c r="N301" s="119"/>
      <c r="O301" s="119"/>
      <c r="P301" s="119"/>
      <c r="Q301" s="119"/>
      <c r="R301" s="1"/>
      <c r="S301" s="1"/>
      <c r="T301" s="1"/>
      <c r="U301" s="1"/>
      <c r="V301" s="1"/>
      <c r="W301" s="1"/>
      <c r="X301" s="1"/>
    </row>
    <row r="302" ht="18.75" customHeight="1">
      <c r="A302" s="9">
        <f t="shared" si="5"/>
        <v>299</v>
      </c>
      <c r="B302" s="116" t="s">
        <v>90</v>
      </c>
      <c r="C302" s="116" t="s">
        <v>633</v>
      </c>
      <c r="D302" s="139" t="s">
        <v>381</v>
      </c>
      <c r="E302" s="99" t="s">
        <v>27</v>
      </c>
      <c r="F302" s="128">
        <v>45901.0</v>
      </c>
      <c r="G302" s="102">
        <v>46265.0</v>
      </c>
      <c r="H302" s="103" t="s">
        <v>268</v>
      </c>
      <c r="I302" s="115">
        <v>82600.0</v>
      </c>
      <c r="J302" s="115">
        <v>82600.0</v>
      </c>
      <c r="K302" s="117">
        <f t="shared" si="42"/>
        <v>0</v>
      </c>
      <c r="L302" s="118"/>
      <c r="M302" s="119"/>
      <c r="N302" s="119"/>
      <c r="O302" s="119"/>
      <c r="P302" s="119"/>
      <c r="Q302" s="119"/>
      <c r="R302" s="1"/>
      <c r="S302" s="1"/>
      <c r="T302" s="1"/>
      <c r="U302" s="1"/>
      <c r="V302" s="1"/>
      <c r="W302" s="1"/>
      <c r="X302" s="1"/>
    </row>
    <row r="303" ht="18.75" customHeight="1">
      <c r="A303" s="9">
        <f t="shared" si="5"/>
        <v>300</v>
      </c>
      <c r="B303" s="116" t="s">
        <v>260</v>
      </c>
      <c r="C303" s="116" t="s">
        <v>634</v>
      </c>
      <c r="D303" s="131" t="s">
        <v>188</v>
      </c>
      <c r="E303" s="99" t="s">
        <v>27</v>
      </c>
      <c r="F303" s="128">
        <v>45901.0</v>
      </c>
      <c r="G303" s="102">
        <v>46265.0</v>
      </c>
      <c r="H303" s="109" t="s">
        <v>291</v>
      </c>
      <c r="I303" s="115">
        <f>179360*2</f>
        <v>358720</v>
      </c>
      <c r="J303" s="115">
        <v>179360.0</v>
      </c>
      <c r="K303" s="117">
        <f t="shared" si="42"/>
        <v>179360</v>
      </c>
      <c r="L303" s="136">
        <v>46082.0</v>
      </c>
      <c r="M303" s="112"/>
      <c r="N303" s="112"/>
      <c r="O303" s="126"/>
      <c r="P303" s="119"/>
      <c r="Q303" s="119"/>
      <c r="R303" s="1"/>
      <c r="S303" s="1"/>
      <c r="T303" s="1"/>
      <c r="U303" s="1"/>
      <c r="V303" s="1"/>
      <c r="W303" s="1"/>
      <c r="X303" s="1"/>
    </row>
    <row r="304" ht="18.75" customHeight="1">
      <c r="A304" s="9">
        <f t="shared" si="5"/>
        <v>301</v>
      </c>
      <c r="B304" s="116" t="s">
        <v>635</v>
      </c>
      <c r="C304" s="116" t="s">
        <v>636</v>
      </c>
      <c r="D304" s="131" t="s">
        <v>140</v>
      </c>
      <c r="E304" s="99" t="s">
        <v>27</v>
      </c>
      <c r="F304" s="128">
        <v>45901.0</v>
      </c>
      <c r="G304" s="102">
        <v>46081.0</v>
      </c>
      <c r="H304" s="109" t="s">
        <v>38</v>
      </c>
      <c r="I304" s="115">
        <v>70800.0</v>
      </c>
      <c r="J304" s="115">
        <v>70800.0</v>
      </c>
      <c r="K304" s="117">
        <f t="shared" si="42"/>
        <v>0</v>
      </c>
      <c r="L304" s="118"/>
      <c r="M304" s="112"/>
      <c r="N304" s="112"/>
      <c r="O304" s="126"/>
      <c r="P304" s="119"/>
      <c r="Q304" s="119"/>
      <c r="R304" s="1"/>
      <c r="S304" s="1"/>
      <c r="T304" s="1"/>
      <c r="U304" s="1"/>
      <c r="V304" s="1"/>
      <c r="W304" s="1"/>
      <c r="X304" s="1"/>
    </row>
    <row r="305" ht="18.75" customHeight="1">
      <c r="A305" s="9">
        <f t="shared" si="5"/>
        <v>302</v>
      </c>
      <c r="B305" s="116" t="s">
        <v>637</v>
      </c>
      <c r="C305" s="116" t="s">
        <v>638</v>
      </c>
      <c r="D305" s="131" t="s">
        <v>188</v>
      </c>
      <c r="E305" s="99" t="s">
        <v>27</v>
      </c>
      <c r="F305" s="128">
        <v>45902.0</v>
      </c>
      <c r="G305" s="102">
        <v>46266.0</v>
      </c>
      <c r="H305" s="103" t="s">
        <v>268</v>
      </c>
      <c r="I305" s="115">
        <f t="shared" ref="I305:J305" si="44">82600-1652</f>
        <v>80948</v>
      </c>
      <c r="J305" s="115">
        <f t="shared" si="44"/>
        <v>80948</v>
      </c>
      <c r="K305" s="117">
        <f t="shared" si="42"/>
        <v>0</v>
      </c>
      <c r="L305" s="118"/>
      <c r="M305" s="124" t="s">
        <v>639</v>
      </c>
      <c r="N305" s="119"/>
      <c r="O305" s="119"/>
      <c r="P305" s="119"/>
      <c r="Q305" s="119"/>
      <c r="R305" s="1"/>
      <c r="S305" s="1"/>
      <c r="T305" s="1"/>
      <c r="U305" s="1"/>
      <c r="V305" s="1"/>
      <c r="W305" s="1"/>
      <c r="X305" s="1"/>
    </row>
    <row r="306" ht="18.75" customHeight="1">
      <c r="A306" s="9">
        <f t="shared" si="5"/>
        <v>303</v>
      </c>
      <c r="B306" s="116" t="s">
        <v>640</v>
      </c>
      <c r="C306" s="116" t="s">
        <v>641</v>
      </c>
      <c r="D306" s="131" t="s">
        <v>140</v>
      </c>
      <c r="E306" s="99" t="s">
        <v>27</v>
      </c>
      <c r="F306" s="140">
        <v>45915.0</v>
      </c>
      <c r="G306" s="141">
        <v>46279.0</v>
      </c>
      <c r="H306" s="103" t="s">
        <v>268</v>
      </c>
      <c r="I306" s="115">
        <v>250000.0</v>
      </c>
      <c r="J306" s="115">
        <v>250000.0</v>
      </c>
      <c r="K306" s="117">
        <f t="shared" si="42"/>
        <v>0</v>
      </c>
      <c r="L306" s="118"/>
      <c r="M306" s="112"/>
      <c r="N306" s="112"/>
      <c r="O306" s="126"/>
      <c r="P306" s="119"/>
      <c r="Q306" s="119"/>
      <c r="R306" s="1"/>
      <c r="S306" s="1"/>
      <c r="T306" s="1"/>
      <c r="U306" s="1"/>
      <c r="V306" s="1"/>
      <c r="W306" s="1"/>
      <c r="X306" s="1"/>
    </row>
    <row r="307" ht="18.75" customHeight="1">
      <c r="A307" s="9">
        <f t="shared" si="5"/>
        <v>304</v>
      </c>
      <c r="B307" s="142" t="s">
        <v>248</v>
      </c>
      <c r="C307" s="142" t="s">
        <v>642</v>
      </c>
      <c r="D307" s="143" t="s">
        <v>159</v>
      </c>
      <c r="E307" s="142" t="s">
        <v>27</v>
      </c>
      <c r="F307" s="144">
        <v>45882.0</v>
      </c>
      <c r="G307" s="145">
        <v>45894.0</v>
      </c>
      <c r="H307" s="109" t="s">
        <v>643</v>
      </c>
      <c r="I307" s="146">
        <v>13018.0</v>
      </c>
      <c r="J307" s="146">
        <v>13018.0</v>
      </c>
      <c r="K307" s="117">
        <f t="shared" si="42"/>
        <v>0</v>
      </c>
      <c r="L307" s="147"/>
      <c r="M307" s="148"/>
      <c r="N307" s="148"/>
      <c r="O307" s="148"/>
      <c r="P307" s="148"/>
      <c r="Q307" s="148"/>
      <c r="R307" s="149"/>
      <c r="S307" s="149"/>
      <c r="T307" s="149"/>
      <c r="U307" s="149"/>
      <c r="V307" s="149"/>
      <c r="W307" s="149"/>
      <c r="X307" s="149"/>
    </row>
    <row r="308" ht="18.75" customHeight="1">
      <c r="A308" s="9">
        <f t="shared" si="5"/>
        <v>305</v>
      </c>
      <c r="B308" s="150" t="s">
        <v>50</v>
      </c>
      <c r="C308" s="150" t="s">
        <v>644</v>
      </c>
      <c r="D308" s="151" t="s">
        <v>159</v>
      </c>
      <c r="E308" s="150" t="s">
        <v>27</v>
      </c>
      <c r="F308" s="152">
        <v>45845.0</v>
      </c>
      <c r="G308" s="153">
        <v>46209.0</v>
      </c>
      <c r="H308" s="109" t="s">
        <v>645</v>
      </c>
      <c r="I308" s="154">
        <f t="shared" ref="I308:J308" si="45">118000*3</f>
        <v>354000</v>
      </c>
      <c r="J308" s="154">
        <f t="shared" si="45"/>
        <v>354000</v>
      </c>
      <c r="K308" s="155">
        <f t="shared" si="42"/>
        <v>0</v>
      </c>
      <c r="L308" s="156"/>
      <c r="M308" s="157"/>
      <c r="N308" s="157"/>
      <c r="O308" s="157"/>
      <c r="P308" s="157"/>
      <c r="Q308" s="157"/>
      <c r="R308" s="158"/>
      <c r="S308" s="158"/>
      <c r="T308" s="158"/>
      <c r="U308" s="158"/>
      <c r="V308" s="158"/>
      <c r="W308" s="158"/>
      <c r="X308" s="158"/>
    </row>
    <row r="309" ht="18.75" customHeight="1">
      <c r="A309" s="9">
        <f t="shared" si="5"/>
        <v>306</v>
      </c>
      <c r="B309" s="116" t="s">
        <v>646</v>
      </c>
      <c r="C309" s="116" t="s">
        <v>647</v>
      </c>
      <c r="D309" s="131" t="s">
        <v>188</v>
      </c>
      <c r="E309" s="120" t="s">
        <v>54</v>
      </c>
      <c r="F309" s="101">
        <v>45904.0</v>
      </c>
      <c r="G309" s="102">
        <v>45933.0</v>
      </c>
      <c r="H309" s="109" t="s">
        <v>55</v>
      </c>
      <c r="I309" s="115">
        <v>11800.0</v>
      </c>
      <c r="J309" s="115">
        <v>11800.0</v>
      </c>
      <c r="K309" s="117">
        <f t="shared" si="42"/>
        <v>0</v>
      </c>
      <c r="L309" s="118"/>
      <c r="M309" s="119"/>
      <c r="N309" s="119"/>
      <c r="O309" s="119"/>
      <c r="P309" s="119"/>
      <c r="Q309" s="119"/>
      <c r="R309" s="1"/>
      <c r="S309" s="1"/>
      <c r="T309" s="1"/>
      <c r="U309" s="1"/>
      <c r="V309" s="1"/>
      <c r="W309" s="1"/>
      <c r="X309" s="1"/>
    </row>
    <row r="310" ht="18.75" customHeight="1">
      <c r="A310" s="9">
        <f t="shared" si="5"/>
        <v>307</v>
      </c>
      <c r="B310" s="116" t="s">
        <v>509</v>
      </c>
      <c r="C310" s="116" t="s">
        <v>648</v>
      </c>
      <c r="D310" s="131" t="s">
        <v>649</v>
      </c>
      <c r="E310" s="99" t="s">
        <v>27</v>
      </c>
      <c r="F310" s="128">
        <v>45859.0</v>
      </c>
      <c r="G310" s="102">
        <v>46223.0</v>
      </c>
      <c r="H310" s="103" t="s">
        <v>268</v>
      </c>
      <c r="I310" s="115">
        <v>3540.0</v>
      </c>
      <c r="J310" s="115">
        <v>3540.0</v>
      </c>
      <c r="K310" s="117">
        <f t="shared" si="42"/>
        <v>0</v>
      </c>
      <c r="L310" s="118"/>
      <c r="M310" s="119"/>
      <c r="N310" s="119"/>
      <c r="O310" s="119"/>
      <c r="P310" s="119"/>
      <c r="Q310" s="119"/>
      <c r="R310" s="1"/>
      <c r="S310" s="1"/>
      <c r="T310" s="1"/>
      <c r="U310" s="1"/>
      <c r="V310" s="1"/>
      <c r="W310" s="1"/>
      <c r="X310" s="1"/>
    </row>
    <row r="311" ht="18.75" customHeight="1">
      <c r="A311" s="9">
        <f t="shared" si="5"/>
        <v>308</v>
      </c>
      <c r="B311" s="116" t="s">
        <v>650</v>
      </c>
      <c r="C311" s="116" t="s">
        <v>651</v>
      </c>
      <c r="D311" s="139" t="s">
        <v>381</v>
      </c>
      <c r="E311" s="99" t="s">
        <v>27</v>
      </c>
      <c r="F311" s="128">
        <v>45905.0</v>
      </c>
      <c r="G311" s="102">
        <v>46269.0</v>
      </c>
      <c r="H311" s="103" t="s">
        <v>28</v>
      </c>
      <c r="I311" s="115">
        <f t="shared" ref="I311:I312" si="46">10620*12</f>
        <v>127440</v>
      </c>
      <c r="J311" s="115">
        <f t="shared" ref="J311:J312" si="47">10620*1</f>
        <v>10620</v>
      </c>
      <c r="K311" s="117">
        <f t="shared" si="42"/>
        <v>116820</v>
      </c>
      <c r="L311" s="136"/>
      <c r="M311" s="124" t="s">
        <v>652</v>
      </c>
      <c r="N311" s="119"/>
      <c r="O311" s="119"/>
      <c r="P311" s="119"/>
      <c r="Q311" s="119"/>
      <c r="R311" s="1"/>
      <c r="S311" s="1"/>
      <c r="T311" s="1"/>
      <c r="U311" s="1"/>
      <c r="V311" s="1"/>
      <c r="W311" s="1"/>
      <c r="X311" s="1"/>
    </row>
    <row r="312" ht="18.75" customHeight="1">
      <c r="A312" s="9">
        <f t="shared" si="5"/>
        <v>309</v>
      </c>
      <c r="B312" s="116" t="s">
        <v>653</v>
      </c>
      <c r="C312" s="116" t="s">
        <v>654</v>
      </c>
      <c r="D312" s="131" t="s">
        <v>45</v>
      </c>
      <c r="E312" s="99" t="s">
        <v>27</v>
      </c>
      <c r="F312" s="128">
        <v>45905.0</v>
      </c>
      <c r="G312" s="102">
        <v>46269.0</v>
      </c>
      <c r="H312" s="103" t="s">
        <v>28</v>
      </c>
      <c r="I312" s="115">
        <f t="shared" si="46"/>
        <v>127440</v>
      </c>
      <c r="J312" s="115">
        <f t="shared" si="47"/>
        <v>10620</v>
      </c>
      <c r="K312" s="117">
        <f t="shared" si="42"/>
        <v>116820</v>
      </c>
      <c r="L312" s="136"/>
      <c r="M312" s="124" t="s">
        <v>655</v>
      </c>
      <c r="N312" s="119"/>
      <c r="O312" s="119"/>
      <c r="P312" s="119"/>
      <c r="Q312" s="119"/>
      <c r="R312" s="1"/>
      <c r="S312" s="1"/>
      <c r="T312" s="1"/>
      <c r="U312" s="1"/>
      <c r="V312" s="1"/>
      <c r="W312" s="1"/>
      <c r="X312" s="1"/>
    </row>
    <row r="313" ht="18.75" customHeight="1">
      <c r="A313" s="9">
        <f t="shared" si="5"/>
        <v>310</v>
      </c>
      <c r="B313" s="116" t="s">
        <v>410</v>
      </c>
      <c r="C313" s="116" t="s">
        <v>656</v>
      </c>
      <c r="D313" s="131" t="s">
        <v>657</v>
      </c>
      <c r="E313" s="99" t="s">
        <v>27</v>
      </c>
      <c r="F313" s="128">
        <v>45907.0</v>
      </c>
      <c r="G313" s="102">
        <v>46171.0</v>
      </c>
      <c r="H313" s="159" t="s">
        <v>658</v>
      </c>
      <c r="I313" s="115">
        <v>1513044.0</v>
      </c>
      <c r="J313" s="115">
        <v>480780.0</v>
      </c>
      <c r="K313" s="117">
        <f t="shared" si="42"/>
        <v>1032264</v>
      </c>
      <c r="L313" s="111">
        <v>45992.0</v>
      </c>
      <c r="M313" s="112"/>
      <c r="N313" s="112"/>
      <c r="O313" s="126"/>
      <c r="P313" s="119"/>
      <c r="Q313" s="119"/>
      <c r="R313" s="1"/>
      <c r="S313" s="1"/>
      <c r="T313" s="1"/>
      <c r="U313" s="1"/>
      <c r="V313" s="1"/>
      <c r="W313" s="1"/>
      <c r="X313" s="1"/>
    </row>
    <row r="314" ht="18.75" customHeight="1">
      <c r="A314" s="9">
        <f t="shared" si="5"/>
        <v>311</v>
      </c>
      <c r="B314" s="116" t="s">
        <v>100</v>
      </c>
      <c r="C314" s="116" t="s">
        <v>659</v>
      </c>
      <c r="D314" s="131" t="s">
        <v>140</v>
      </c>
      <c r="E314" s="99" t="s">
        <v>27</v>
      </c>
      <c r="F314" s="128">
        <v>45908.0</v>
      </c>
      <c r="G314" s="102">
        <v>46272.0</v>
      </c>
      <c r="H314" s="103" t="s">
        <v>268</v>
      </c>
      <c r="I314" s="146">
        <v>85000.0</v>
      </c>
      <c r="J314" s="146">
        <v>85000.0</v>
      </c>
      <c r="K314" s="117">
        <f t="shared" si="42"/>
        <v>0</v>
      </c>
      <c r="L314" s="118"/>
      <c r="M314" s="119"/>
      <c r="N314" s="119"/>
      <c r="O314" s="119"/>
      <c r="P314" s="119"/>
      <c r="Q314" s="119"/>
      <c r="R314" s="1"/>
      <c r="S314" s="1"/>
      <c r="T314" s="1"/>
      <c r="U314" s="1"/>
      <c r="V314" s="1"/>
      <c r="W314" s="1"/>
      <c r="X314" s="1"/>
    </row>
    <row r="315" ht="18.75" customHeight="1">
      <c r="A315" s="9">
        <f t="shared" si="5"/>
        <v>312</v>
      </c>
      <c r="B315" s="116" t="s">
        <v>660</v>
      </c>
      <c r="C315" s="116" t="s">
        <v>661</v>
      </c>
      <c r="D315" s="131" t="s">
        <v>45</v>
      </c>
      <c r="E315" s="99" t="s">
        <v>27</v>
      </c>
      <c r="F315" s="128">
        <v>45908.0</v>
      </c>
      <c r="G315" s="102">
        <v>46272.0</v>
      </c>
      <c r="H315" s="103" t="s">
        <v>268</v>
      </c>
      <c r="I315" s="115">
        <v>79060.0</v>
      </c>
      <c r="J315" s="115">
        <v>79060.0</v>
      </c>
      <c r="K315" s="117">
        <f t="shared" si="42"/>
        <v>0</v>
      </c>
      <c r="L315" s="118"/>
      <c r="M315" s="119"/>
      <c r="N315" s="119"/>
      <c r="O315" s="119"/>
      <c r="P315" s="119"/>
      <c r="Q315" s="119"/>
      <c r="R315" s="1"/>
      <c r="S315" s="1"/>
      <c r="T315" s="1"/>
      <c r="U315" s="1"/>
      <c r="V315" s="1"/>
      <c r="W315" s="1"/>
      <c r="X315" s="1"/>
    </row>
    <row r="316" ht="18.75" customHeight="1">
      <c r="A316" s="9">
        <f t="shared" si="5"/>
        <v>313</v>
      </c>
      <c r="B316" s="116" t="s">
        <v>278</v>
      </c>
      <c r="C316" s="116" t="s">
        <v>662</v>
      </c>
      <c r="D316" s="131" t="s">
        <v>140</v>
      </c>
      <c r="E316" s="99" t="s">
        <v>27</v>
      </c>
      <c r="F316" s="128">
        <v>45915.0</v>
      </c>
      <c r="G316" s="102">
        <v>46279.0</v>
      </c>
      <c r="H316" s="103" t="s">
        <v>268</v>
      </c>
      <c r="I316" s="115">
        <v>490000.0</v>
      </c>
      <c r="J316" s="115">
        <v>490000.0</v>
      </c>
      <c r="K316" s="117">
        <f t="shared" si="42"/>
        <v>0</v>
      </c>
      <c r="L316" s="118"/>
      <c r="M316" s="112"/>
      <c r="N316" s="112"/>
      <c r="O316" s="126"/>
      <c r="P316" s="119"/>
      <c r="Q316" s="119"/>
      <c r="R316" s="1"/>
      <c r="S316" s="1"/>
      <c r="T316" s="1"/>
      <c r="U316" s="1"/>
      <c r="V316" s="1"/>
      <c r="W316" s="1"/>
      <c r="X316" s="1"/>
    </row>
    <row r="317" ht="18.75" customHeight="1">
      <c r="A317" s="9">
        <f t="shared" si="5"/>
        <v>314</v>
      </c>
      <c r="B317" s="116" t="s">
        <v>663</v>
      </c>
      <c r="C317" s="116" t="s">
        <v>664</v>
      </c>
      <c r="D317" s="160" t="s">
        <v>657</v>
      </c>
      <c r="E317" s="99" t="s">
        <v>27</v>
      </c>
      <c r="F317" s="128">
        <v>45903.0</v>
      </c>
      <c r="G317" s="102">
        <v>46267.0</v>
      </c>
      <c r="H317" s="159" t="s">
        <v>294</v>
      </c>
      <c r="I317" s="115">
        <f>30000*4</f>
        <v>120000</v>
      </c>
      <c r="J317" s="115">
        <f>30000*1</f>
        <v>30000</v>
      </c>
      <c r="K317" s="117">
        <f t="shared" si="42"/>
        <v>90000</v>
      </c>
      <c r="L317" s="111">
        <v>45994.0</v>
      </c>
      <c r="M317" s="119"/>
      <c r="N317" s="119"/>
      <c r="O317" s="119"/>
      <c r="P317" s="119"/>
      <c r="Q317" s="119"/>
      <c r="R317" s="1"/>
      <c r="S317" s="1"/>
      <c r="T317" s="1"/>
      <c r="U317" s="1"/>
      <c r="V317" s="1"/>
      <c r="W317" s="1"/>
      <c r="X317" s="1"/>
    </row>
    <row r="318" ht="18.75" customHeight="1">
      <c r="A318" s="9">
        <f t="shared" si="5"/>
        <v>315</v>
      </c>
      <c r="B318" s="116" t="s">
        <v>251</v>
      </c>
      <c r="C318" s="116" t="s">
        <v>665</v>
      </c>
      <c r="D318" s="131" t="s">
        <v>45</v>
      </c>
      <c r="E318" s="99" t="s">
        <v>27</v>
      </c>
      <c r="F318" s="128">
        <v>45901.0</v>
      </c>
      <c r="G318" s="102">
        <v>46265.0</v>
      </c>
      <c r="H318" s="103" t="s">
        <v>28</v>
      </c>
      <c r="I318" s="115">
        <f>4000*12</f>
        <v>48000</v>
      </c>
      <c r="J318" s="115">
        <f>4000*3</f>
        <v>12000</v>
      </c>
      <c r="K318" s="117">
        <f t="shared" si="42"/>
        <v>36000</v>
      </c>
      <c r="L318" s="111">
        <v>45992.0</v>
      </c>
      <c r="M318" s="119"/>
      <c r="N318" s="119"/>
      <c r="O318" s="119"/>
      <c r="P318" s="119"/>
      <c r="Q318" s="119"/>
      <c r="R318" s="1"/>
      <c r="S318" s="1"/>
      <c r="T318" s="1"/>
      <c r="U318" s="1"/>
      <c r="V318" s="1"/>
      <c r="W318" s="1"/>
      <c r="X318" s="1"/>
    </row>
    <row r="319" ht="18.75" customHeight="1">
      <c r="A319" s="9">
        <f t="shared" si="5"/>
        <v>316</v>
      </c>
      <c r="B319" s="116" t="s">
        <v>666</v>
      </c>
      <c r="C319" s="116" t="s">
        <v>667</v>
      </c>
      <c r="D319" s="131" t="s">
        <v>188</v>
      </c>
      <c r="E319" s="99" t="s">
        <v>27</v>
      </c>
      <c r="F319" s="128">
        <v>45910.0</v>
      </c>
      <c r="G319" s="102">
        <v>46274.0</v>
      </c>
      <c r="H319" s="159" t="s">
        <v>291</v>
      </c>
      <c r="I319" s="115">
        <f>37170*2</f>
        <v>74340</v>
      </c>
      <c r="J319" s="115">
        <f>37170*1</f>
        <v>37170</v>
      </c>
      <c r="K319" s="117">
        <f t="shared" si="42"/>
        <v>37170</v>
      </c>
      <c r="L319" s="111">
        <v>46063.0</v>
      </c>
      <c r="M319" s="119"/>
      <c r="N319" s="119"/>
      <c r="O319" s="119"/>
      <c r="P319" s="119"/>
      <c r="Q319" s="119"/>
      <c r="R319" s="1"/>
      <c r="S319" s="1"/>
      <c r="T319" s="1"/>
      <c r="U319" s="1"/>
      <c r="V319" s="1"/>
      <c r="W319" s="1"/>
      <c r="X319" s="1"/>
    </row>
    <row r="320" ht="18.75" customHeight="1">
      <c r="A320" s="9">
        <f t="shared" si="5"/>
        <v>317</v>
      </c>
      <c r="B320" s="116" t="s">
        <v>668</v>
      </c>
      <c r="C320" s="116" t="s">
        <v>669</v>
      </c>
      <c r="D320" s="131" t="s">
        <v>45</v>
      </c>
      <c r="E320" s="99" t="s">
        <v>27</v>
      </c>
      <c r="F320" s="128">
        <v>45912.0</v>
      </c>
      <c r="G320" s="102">
        <v>46276.0</v>
      </c>
      <c r="H320" s="103" t="s">
        <v>268</v>
      </c>
      <c r="I320" s="115">
        <v>371700.0</v>
      </c>
      <c r="J320" s="115">
        <v>371700.0</v>
      </c>
      <c r="K320" s="117">
        <f t="shared" si="42"/>
        <v>0</v>
      </c>
      <c r="L320" s="118"/>
      <c r="M320" s="119"/>
      <c r="N320" s="119"/>
      <c r="O320" s="119"/>
      <c r="P320" s="119"/>
      <c r="Q320" s="119"/>
      <c r="R320" s="1"/>
      <c r="S320" s="1"/>
      <c r="T320" s="1"/>
      <c r="U320" s="1"/>
      <c r="V320" s="1"/>
      <c r="W320" s="1"/>
      <c r="X320" s="1"/>
    </row>
    <row r="321" ht="18.75" customHeight="1">
      <c r="A321" s="9">
        <f t="shared" si="5"/>
        <v>318</v>
      </c>
      <c r="B321" s="116" t="s">
        <v>280</v>
      </c>
      <c r="C321" s="116" t="s">
        <v>670</v>
      </c>
      <c r="D321" s="131" t="s">
        <v>45</v>
      </c>
      <c r="E321" s="120" t="s">
        <v>54</v>
      </c>
      <c r="F321" s="128">
        <v>45916.0</v>
      </c>
      <c r="G321" s="128">
        <v>45945.0</v>
      </c>
      <c r="H321" s="109" t="s">
        <v>55</v>
      </c>
      <c r="I321" s="115">
        <v>23600.0</v>
      </c>
      <c r="J321" s="115">
        <v>23600.0</v>
      </c>
      <c r="K321" s="117">
        <f t="shared" si="42"/>
        <v>0</v>
      </c>
      <c r="L321" s="118"/>
      <c r="M321" s="119"/>
      <c r="N321" s="119"/>
      <c r="O321" s="119"/>
      <c r="P321" s="119"/>
      <c r="Q321" s="119"/>
      <c r="R321" s="1"/>
      <c r="S321" s="1"/>
      <c r="T321" s="1"/>
      <c r="U321" s="1"/>
      <c r="V321" s="1"/>
      <c r="W321" s="1"/>
      <c r="X321" s="1"/>
    </row>
    <row r="322" ht="18.75" customHeight="1">
      <c r="A322" s="9">
        <f t="shared" si="5"/>
        <v>319</v>
      </c>
      <c r="B322" s="116" t="s">
        <v>272</v>
      </c>
      <c r="C322" s="116" t="s">
        <v>671</v>
      </c>
      <c r="D322" s="131" t="s">
        <v>45</v>
      </c>
      <c r="E322" s="99" t="s">
        <v>27</v>
      </c>
      <c r="F322" s="128">
        <v>45917.0</v>
      </c>
      <c r="G322" s="128">
        <v>46281.0</v>
      </c>
      <c r="H322" s="159" t="s">
        <v>291</v>
      </c>
      <c r="I322" s="115">
        <f>41300*2</f>
        <v>82600</v>
      </c>
      <c r="J322" s="115">
        <v>41300.0</v>
      </c>
      <c r="K322" s="117">
        <f t="shared" si="42"/>
        <v>41300</v>
      </c>
      <c r="L322" s="111">
        <v>46098.0</v>
      </c>
      <c r="M322" s="119"/>
      <c r="N322" s="119"/>
      <c r="O322" s="119"/>
      <c r="P322" s="119"/>
      <c r="Q322" s="119"/>
      <c r="R322" s="1"/>
      <c r="S322" s="1"/>
      <c r="T322" s="1"/>
      <c r="U322" s="1"/>
      <c r="V322" s="1"/>
      <c r="W322" s="1"/>
      <c r="X322" s="1"/>
    </row>
    <row r="323" ht="18.75" customHeight="1">
      <c r="A323" s="9">
        <f t="shared" si="5"/>
        <v>320</v>
      </c>
      <c r="B323" s="116" t="s">
        <v>672</v>
      </c>
      <c r="C323" s="116" t="s">
        <v>673</v>
      </c>
      <c r="D323" s="131" t="s">
        <v>45</v>
      </c>
      <c r="E323" s="99" t="s">
        <v>27</v>
      </c>
      <c r="F323" s="128">
        <v>45917.0</v>
      </c>
      <c r="G323" s="128">
        <v>46281.0</v>
      </c>
      <c r="H323" s="103" t="s">
        <v>268</v>
      </c>
      <c r="I323" s="115">
        <v>165200.0</v>
      </c>
      <c r="J323" s="115">
        <v>165200.0</v>
      </c>
      <c r="K323" s="117">
        <f t="shared" si="42"/>
        <v>0</v>
      </c>
      <c r="L323" s="118"/>
      <c r="M323" s="119"/>
      <c r="N323" s="119"/>
      <c r="O323" s="119"/>
      <c r="P323" s="119"/>
      <c r="Q323" s="119"/>
      <c r="R323" s="1"/>
      <c r="S323" s="1"/>
      <c r="T323" s="1"/>
      <c r="U323" s="1"/>
      <c r="V323" s="1"/>
      <c r="W323" s="1"/>
      <c r="X323" s="1"/>
    </row>
    <row r="324" ht="18.75" customHeight="1">
      <c r="A324" s="9">
        <f t="shared" si="5"/>
        <v>321</v>
      </c>
      <c r="B324" s="116" t="s">
        <v>556</v>
      </c>
      <c r="C324" s="116" t="s">
        <v>674</v>
      </c>
      <c r="D324" s="131" t="s">
        <v>45</v>
      </c>
      <c r="E324" s="99" t="s">
        <v>27</v>
      </c>
      <c r="F324" s="128">
        <v>45877.0</v>
      </c>
      <c r="G324" s="128">
        <v>46241.0</v>
      </c>
      <c r="H324" s="103" t="s">
        <v>268</v>
      </c>
      <c r="I324" s="115">
        <v>23600.0</v>
      </c>
      <c r="J324" s="115">
        <v>23600.0</v>
      </c>
      <c r="K324" s="117">
        <f t="shared" si="42"/>
        <v>0</v>
      </c>
      <c r="L324" s="118"/>
      <c r="M324" s="119"/>
      <c r="N324" s="119"/>
      <c r="O324" s="119"/>
      <c r="P324" s="119"/>
      <c r="Q324" s="119"/>
      <c r="R324" s="1"/>
      <c r="S324" s="1"/>
      <c r="T324" s="1"/>
      <c r="U324" s="1"/>
      <c r="V324" s="1"/>
      <c r="W324" s="1"/>
      <c r="X324" s="1"/>
    </row>
    <row r="325" ht="18.75" customHeight="1">
      <c r="A325" s="9">
        <f t="shared" si="5"/>
        <v>322</v>
      </c>
      <c r="B325" s="116" t="s">
        <v>50</v>
      </c>
      <c r="C325" s="116" t="s">
        <v>675</v>
      </c>
      <c r="D325" s="143" t="s">
        <v>159</v>
      </c>
      <c r="E325" s="99" t="s">
        <v>27</v>
      </c>
      <c r="F325" s="128">
        <v>45901.0</v>
      </c>
      <c r="G325" s="102">
        <v>45930.0</v>
      </c>
      <c r="H325" s="109" t="s">
        <v>55</v>
      </c>
      <c r="I325" s="115">
        <v>29000.0</v>
      </c>
      <c r="J325" s="115">
        <v>29000.0</v>
      </c>
      <c r="K325" s="117">
        <f t="shared" si="42"/>
        <v>0</v>
      </c>
      <c r="L325" s="118"/>
      <c r="M325" s="119"/>
      <c r="N325" s="119"/>
      <c r="O325" s="119"/>
      <c r="P325" s="119"/>
      <c r="Q325" s="119"/>
      <c r="R325" s="1"/>
      <c r="S325" s="1"/>
      <c r="T325" s="1"/>
      <c r="U325" s="1"/>
      <c r="V325" s="1"/>
      <c r="W325" s="1"/>
      <c r="X325" s="1"/>
    </row>
    <row r="326" ht="18.75" customHeight="1">
      <c r="A326" s="9">
        <f t="shared" si="5"/>
        <v>323</v>
      </c>
      <c r="B326" s="116" t="s">
        <v>676</v>
      </c>
      <c r="C326" s="116" t="s">
        <v>677</v>
      </c>
      <c r="D326" s="160" t="s">
        <v>678</v>
      </c>
      <c r="E326" s="99" t="s">
        <v>27</v>
      </c>
      <c r="F326" s="128">
        <v>45922.0</v>
      </c>
      <c r="G326" s="102">
        <v>46286.0</v>
      </c>
      <c r="H326" s="103" t="s">
        <v>268</v>
      </c>
      <c r="I326" s="115">
        <v>62640.0</v>
      </c>
      <c r="J326" s="115">
        <v>62640.0</v>
      </c>
      <c r="K326" s="117">
        <f t="shared" si="42"/>
        <v>0</v>
      </c>
      <c r="L326" s="118"/>
      <c r="M326" s="119"/>
      <c r="N326" s="119"/>
      <c r="O326" s="119"/>
      <c r="P326" s="119"/>
      <c r="Q326" s="119"/>
      <c r="R326" s="1"/>
      <c r="S326" s="1"/>
      <c r="T326" s="1"/>
      <c r="U326" s="1"/>
      <c r="V326" s="1"/>
      <c r="W326" s="1"/>
      <c r="X326" s="1"/>
    </row>
    <row r="327" ht="18.75" customHeight="1">
      <c r="A327" s="9">
        <f t="shared" si="5"/>
        <v>324</v>
      </c>
      <c r="B327" s="142" t="s">
        <v>679</v>
      </c>
      <c r="C327" s="142" t="s">
        <v>680</v>
      </c>
      <c r="D327" s="131" t="s">
        <v>45</v>
      </c>
      <c r="E327" s="99" t="s">
        <v>27</v>
      </c>
      <c r="F327" s="161">
        <v>45917.0</v>
      </c>
      <c r="G327" s="162">
        <v>46281.0</v>
      </c>
      <c r="H327" s="103" t="s">
        <v>28</v>
      </c>
      <c r="I327" s="115">
        <f>6000*12</f>
        <v>72000</v>
      </c>
      <c r="J327" s="115">
        <f>6000*3</f>
        <v>18000</v>
      </c>
      <c r="K327" s="117">
        <f t="shared" si="42"/>
        <v>54000</v>
      </c>
      <c r="L327" s="111">
        <v>46008.0</v>
      </c>
      <c r="M327" s="119"/>
      <c r="N327" s="119"/>
      <c r="O327" s="119"/>
      <c r="P327" s="119"/>
      <c r="Q327" s="119"/>
      <c r="R327" s="1"/>
      <c r="S327" s="1"/>
      <c r="T327" s="1"/>
      <c r="U327" s="1"/>
      <c r="V327" s="1"/>
      <c r="W327" s="1"/>
      <c r="X327" s="1"/>
    </row>
    <row r="328" ht="18.75" customHeight="1">
      <c r="A328" s="9">
        <f t="shared" si="5"/>
        <v>325</v>
      </c>
      <c r="B328" s="116" t="s">
        <v>165</v>
      </c>
      <c r="C328" s="116" t="s">
        <v>681</v>
      </c>
      <c r="D328" s="160" t="s">
        <v>678</v>
      </c>
      <c r="E328" s="99" t="s">
        <v>27</v>
      </c>
      <c r="F328" s="128">
        <v>45866.0</v>
      </c>
      <c r="G328" s="102">
        <v>45896.0</v>
      </c>
      <c r="H328" s="109" t="s">
        <v>55</v>
      </c>
      <c r="I328" s="115">
        <v>15340.0</v>
      </c>
      <c r="J328" s="115">
        <v>15340.0</v>
      </c>
      <c r="K328" s="117">
        <f t="shared" si="42"/>
        <v>0</v>
      </c>
      <c r="L328" s="118"/>
      <c r="M328" s="119"/>
      <c r="N328" s="119"/>
      <c r="O328" s="119"/>
      <c r="P328" s="119"/>
      <c r="Q328" s="119"/>
      <c r="R328" s="1"/>
      <c r="S328" s="1"/>
      <c r="T328" s="1"/>
      <c r="U328" s="1"/>
      <c r="V328" s="1"/>
      <c r="W328" s="1"/>
      <c r="X328" s="1"/>
    </row>
    <row r="329" ht="18.75" customHeight="1">
      <c r="A329" s="9">
        <f t="shared" si="5"/>
        <v>326</v>
      </c>
      <c r="B329" s="142" t="s">
        <v>682</v>
      </c>
      <c r="C329" s="142" t="s">
        <v>683</v>
      </c>
      <c r="D329" s="143" t="s">
        <v>159</v>
      </c>
      <c r="E329" s="99" t="s">
        <v>27</v>
      </c>
      <c r="F329" s="128">
        <v>45917.0</v>
      </c>
      <c r="G329" s="102">
        <v>46281.0</v>
      </c>
      <c r="H329" s="103" t="s">
        <v>268</v>
      </c>
      <c r="I329" s="115">
        <v>127440.0</v>
      </c>
      <c r="J329" s="115">
        <v>127440.0</v>
      </c>
      <c r="K329" s="117">
        <f t="shared" si="42"/>
        <v>0</v>
      </c>
      <c r="L329" s="118"/>
      <c r="M329" s="119"/>
      <c r="N329" s="119"/>
      <c r="O329" s="119"/>
      <c r="P329" s="119"/>
      <c r="Q329" s="119"/>
      <c r="R329" s="1"/>
      <c r="S329" s="1"/>
      <c r="T329" s="1"/>
      <c r="U329" s="1"/>
      <c r="V329" s="1"/>
      <c r="W329" s="1"/>
      <c r="X329" s="1"/>
    </row>
    <row r="330" ht="18.75" customHeight="1">
      <c r="A330" s="9">
        <f t="shared" si="5"/>
        <v>327</v>
      </c>
      <c r="B330" s="116" t="s">
        <v>684</v>
      </c>
      <c r="C330" s="116" t="s">
        <v>685</v>
      </c>
      <c r="D330" s="131" t="s">
        <v>45</v>
      </c>
      <c r="E330" s="99" t="s">
        <v>27</v>
      </c>
      <c r="F330" s="128">
        <v>45876.0</v>
      </c>
      <c r="G330" s="102">
        <v>45967.0</v>
      </c>
      <c r="H330" s="109" t="s">
        <v>686</v>
      </c>
      <c r="I330" s="115">
        <v>37760.0</v>
      </c>
      <c r="J330" s="115">
        <v>37760.0</v>
      </c>
      <c r="K330" s="117">
        <f t="shared" si="42"/>
        <v>0</v>
      </c>
      <c r="L330" s="118"/>
      <c r="M330" s="119"/>
      <c r="N330" s="119"/>
      <c r="O330" s="119"/>
      <c r="P330" s="119"/>
      <c r="Q330" s="119"/>
      <c r="R330" s="1"/>
      <c r="S330" s="1"/>
      <c r="T330" s="1"/>
      <c r="U330" s="1"/>
      <c r="V330" s="1"/>
      <c r="W330" s="1"/>
      <c r="X330" s="1"/>
    </row>
    <row r="331" ht="18.75" customHeight="1">
      <c r="A331" s="9">
        <f t="shared" si="5"/>
        <v>328</v>
      </c>
      <c r="B331" s="116" t="s">
        <v>687</v>
      </c>
      <c r="C331" s="116" t="s">
        <v>688</v>
      </c>
      <c r="D331" s="143" t="s">
        <v>159</v>
      </c>
      <c r="E331" s="99" t="s">
        <v>27</v>
      </c>
      <c r="F331" s="128">
        <v>45918.0</v>
      </c>
      <c r="G331" s="102">
        <v>46098.0</v>
      </c>
      <c r="H331" s="109" t="s">
        <v>38</v>
      </c>
      <c r="I331" s="115">
        <v>47200.0</v>
      </c>
      <c r="J331" s="115">
        <v>47200.0</v>
      </c>
      <c r="K331" s="117">
        <f t="shared" si="42"/>
        <v>0</v>
      </c>
      <c r="L331" s="118"/>
      <c r="M331" s="119"/>
      <c r="N331" s="119"/>
      <c r="O331" s="119"/>
      <c r="P331" s="119"/>
      <c r="Q331" s="119"/>
      <c r="R331" s="1"/>
      <c r="S331" s="1"/>
      <c r="T331" s="1"/>
      <c r="U331" s="1"/>
      <c r="V331" s="1"/>
      <c r="W331" s="1"/>
      <c r="X331" s="1"/>
    </row>
    <row r="332" ht="18.75" customHeight="1">
      <c r="A332" s="9">
        <f t="shared" si="5"/>
        <v>329</v>
      </c>
      <c r="B332" s="116" t="s">
        <v>284</v>
      </c>
      <c r="C332" s="116" t="s">
        <v>689</v>
      </c>
      <c r="D332" s="160" t="s">
        <v>690</v>
      </c>
      <c r="E332" s="99" t="s">
        <v>27</v>
      </c>
      <c r="F332" s="128">
        <v>45918.0</v>
      </c>
      <c r="G332" s="102">
        <v>46282.0</v>
      </c>
      <c r="H332" s="103" t="s">
        <v>28</v>
      </c>
      <c r="I332" s="115">
        <f>33040*12-66080</f>
        <v>330400</v>
      </c>
      <c r="J332" s="115">
        <f>33040*2-66080</f>
        <v>0</v>
      </c>
      <c r="K332" s="117">
        <f t="shared" si="42"/>
        <v>330400</v>
      </c>
      <c r="L332" s="111">
        <v>45979.0</v>
      </c>
      <c r="M332" s="124" t="s">
        <v>691</v>
      </c>
      <c r="N332" s="119"/>
      <c r="O332" s="119"/>
      <c r="P332" s="119"/>
      <c r="Q332" s="119"/>
      <c r="R332" s="1"/>
      <c r="S332" s="1"/>
      <c r="T332" s="1"/>
      <c r="U332" s="1"/>
      <c r="V332" s="1"/>
      <c r="W332" s="1"/>
      <c r="X332" s="1"/>
    </row>
    <row r="333" ht="18.75" customHeight="1">
      <c r="A333" s="9">
        <f t="shared" si="5"/>
        <v>330</v>
      </c>
      <c r="B333" s="116" t="s">
        <v>692</v>
      </c>
      <c r="C333" s="116" t="s">
        <v>693</v>
      </c>
      <c r="D333" s="131" t="s">
        <v>45</v>
      </c>
      <c r="E333" s="99" t="s">
        <v>27</v>
      </c>
      <c r="F333" s="128">
        <v>45922.0</v>
      </c>
      <c r="G333" s="102">
        <v>46286.0</v>
      </c>
      <c r="H333" s="103" t="s">
        <v>28</v>
      </c>
      <c r="I333" s="115">
        <f>6000*12</f>
        <v>72000</v>
      </c>
      <c r="J333" s="115">
        <f>6000*3</f>
        <v>18000</v>
      </c>
      <c r="K333" s="117">
        <f t="shared" si="42"/>
        <v>54000</v>
      </c>
      <c r="L333" s="111">
        <v>46013.0</v>
      </c>
      <c r="M333" s="119"/>
      <c r="N333" s="119"/>
      <c r="O333" s="119"/>
      <c r="P333" s="119"/>
      <c r="Q333" s="119"/>
      <c r="R333" s="1"/>
      <c r="S333" s="1"/>
      <c r="T333" s="1"/>
      <c r="U333" s="1"/>
      <c r="V333" s="1"/>
      <c r="W333" s="1"/>
      <c r="X333" s="1"/>
    </row>
    <row r="334" ht="18.75" customHeight="1">
      <c r="A334" s="9">
        <f t="shared" si="5"/>
        <v>331</v>
      </c>
      <c r="B334" s="116" t="s">
        <v>136</v>
      </c>
      <c r="C334" s="116" t="s">
        <v>694</v>
      </c>
      <c r="D334" s="143" t="s">
        <v>159</v>
      </c>
      <c r="E334" s="99" t="s">
        <v>27</v>
      </c>
      <c r="F334" s="128">
        <v>45901.0</v>
      </c>
      <c r="G334" s="102">
        <v>46265.0</v>
      </c>
      <c r="H334" s="159" t="s">
        <v>291</v>
      </c>
      <c r="I334" s="115">
        <f>141600*2</f>
        <v>283200</v>
      </c>
      <c r="J334" s="115">
        <f>141600*1</f>
        <v>141600</v>
      </c>
      <c r="K334" s="117">
        <f t="shared" si="42"/>
        <v>141600</v>
      </c>
      <c r="L334" s="111">
        <v>46082.0</v>
      </c>
      <c r="M334" s="119"/>
      <c r="N334" s="119"/>
      <c r="O334" s="119"/>
      <c r="P334" s="119"/>
      <c r="Q334" s="119"/>
      <c r="R334" s="1"/>
      <c r="S334" s="1"/>
      <c r="T334" s="1"/>
      <c r="U334" s="1"/>
      <c r="V334" s="1"/>
      <c r="W334" s="1"/>
      <c r="X334" s="1"/>
    </row>
    <row r="335" ht="18.75" customHeight="1">
      <c r="A335" s="9">
        <f t="shared" si="5"/>
        <v>332</v>
      </c>
      <c r="B335" s="116" t="s">
        <v>146</v>
      </c>
      <c r="C335" s="116" t="s">
        <v>695</v>
      </c>
      <c r="D335" s="143" t="s">
        <v>696</v>
      </c>
      <c r="E335" s="99" t="s">
        <v>27</v>
      </c>
      <c r="F335" s="128">
        <v>45931.0</v>
      </c>
      <c r="G335" s="102">
        <v>46295.0</v>
      </c>
      <c r="H335" s="103" t="s">
        <v>28</v>
      </c>
      <c r="I335" s="115">
        <f>2950*12</f>
        <v>35400</v>
      </c>
      <c r="J335" s="115">
        <f>2950*3</f>
        <v>8850</v>
      </c>
      <c r="K335" s="117">
        <f t="shared" si="42"/>
        <v>26550</v>
      </c>
      <c r="L335" s="111">
        <v>45992.0</v>
      </c>
      <c r="M335" s="119"/>
      <c r="N335" s="119"/>
      <c r="O335" s="119"/>
      <c r="P335" s="119"/>
      <c r="Q335" s="119"/>
      <c r="R335" s="1"/>
      <c r="S335" s="1"/>
      <c r="T335" s="1"/>
      <c r="U335" s="1"/>
      <c r="V335" s="1"/>
      <c r="W335" s="1"/>
      <c r="X335" s="1"/>
    </row>
    <row r="336" ht="18.75" customHeight="1">
      <c r="A336" s="9">
        <f t="shared" si="5"/>
        <v>333</v>
      </c>
      <c r="B336" s="116" t="s">
        <v>697</v>
      </c>
      <c r="C336" s="116" t="s">
        <v>698</v>
      </c>
      <c r="D336" s="131" t="s">
        <v>188</v>
      </c>
      <c r="E336" s="99" t="s">
        <v>27</v>
      </c>
      <c r="F336" s="128">
        <v>45918.0</v>
      </c>
      <c r="G336" s="102">
        <v>46098.0</v>
      </c>
      <c r="H336" s="109" t="s">
        <v>38</v>
      </c>
      <c r="I336" s="115">
        <v>41300.0</v>
      </c>
      <c r="J336" s="115">
        <v>41300.0</v>
      </c>
      <c r="K336" s="117">
        <f t="shared" si="42"/>
        <v>0</v>
      </c>
      <c r="L336" s="118"/>
      <c r="M336" s="119"/>
      <c r="N336" s="119"/>
      <c r="O336" s="119"/>
      <c r="P336" s="119"/>
      <c r="Q336" s="119"/>
      <c r="R336" s="1"/>
      <c r="S336" s="1"/>
      <c r="T336" s="1"/>
      <c r="U336" s="1"/>
      <c r="V336" s="1"/>
      <c r="W336" s="1"/>
      <c r="X336" s="1"/>
    </row>
    <row r="337" ht="18.75" customHeight="1">
      <c r="A337" s="9">
        <f t="shared" si="5"/>
        <v>334</v>
      </c>
      <c r="B337" s="116" t="s">
        <v>699</v>
      </c>
      <c r="C337" s="116" t="s">
        <v>700</v>
      </c>
      <c r="D337" s="131" t="s">
        <v>45</v>
      </c>
      <c r="E337" s="99" t="s">
        <v>27</v>
      </c>
      <c r="F337" s="128">
        <v>45919.0</v>
      </c>
      <c r="G337" s="102">
        <v>46283.0</v>
      </c>
      <c r="H337" s="103" t="s">
        <v>268</v>
      </c>
      <c r="I337" s="115">
        <v>82600.0</v>
      </c>
      <c r="J337" s="115">
        <v>82600.0</v>
      </c>
      <c r="K337" s="117">
        <f t="shared" si="42"/>
        <v>0</v>
      </c>
      <c r="L337" s="118"/>
      <c r="M337" s="119"/>
      <c r="N337" s="119"/>
      <c r="O337" s="119"/>
      <c r="P337" s="119"/>
      <c r="Q337" s="119"/>
      <c r="R337" s="1"/>
      <c r="S337" s="1"/>
      <c r="T337" s="1"/>
      <c r="U337" s="1"/>
      <c r="V337" s="1"/>
      <c r="W337" s="1"/>
      <c r="X337" s="1"/>
    </row>
    <row r="338" ht="18.75" customHeight="1">
      <c r="A338" s="9">
        <f t="shared" si="5"/>
        <v>335</v>
      </c>
      <c r="B338" s="116" t="s">
        <v>701</v>
      </c>
      <c r="C338" s="116" t="s">
        <v>702</v>
      </c>
      <c r="D338" s="160" t="s">
        <v>703</v>
      </c>
      <c r="E338" s="99" t="s">
        <v>27</v>
      </c>
      <c r="F338" s="128">
        <v>45920.0</v>
      </c>
      <c r="G338" s="102">
        <v>46284.0</v>
      </c>
      <c r="H338" s="103" t="s">
        <v>28</v>
      </c>
      <c r="I338" s="115">
        <f>6000*12</f>
        <v>72000</v>
      </c>
      <c r="J338" s="115">
        <f>6000*3</f>
        <v>18000</v>
      </c>
      <c r="K338" s="117">
        <f t="shared" si="42"/>
        <v>54000</v>
      </c>
      <c r="L338" s="111">
        <v>46011.0</v>
      </c>
      <c r="M338" s="119"/>
      <c r="N338" s="119"/>
      <c r="O338" s="119"/>
      <c r="P338" s="119"/>
      <c r="Q338" s="119"/>
      <c r="R338" s="1"/>
      <c r="S338" s="1"/>
      <c r="T338" s="1"/>
      <c r="U338" s="1"/>
      <c r="V338" s="1"/>
      <c r="W338" s="1"/>
      <c r="X338" s="1"/>
    </row>
    <row r="339" ht="18.75" customHeight="1">
      <c r="A339" s="9">
        <f t="shared" si="5"/>
        <v>336</v>
      </c>
      <c r="B339" s="116" t="s">
        <v>704</v>
      </c>
      <c r="C339" s="116" t="s">
        <v>705</v>
      </c>
      <c r="D339" s="131" t="s">
        <v>188</v>
      </c>
      <c r="E339" s="99" t="s">
        <v>27</v>
      </c>
      <c r="F339" s="128">
        <v>45937.0</v>
      </c>
      <c r="G339" s="102">
        <v>46301.0</v>
      </c>
      <c r="H339" s="103" t="s">
        <v>268</v>
      </c>
      <c r="I339" s="115">
        <v>82600.0</v>
      </c>
      <c r="J339" s="115">
        <v>82600.0</v>
      </c>
      <c r="K339" s="117">
        <f t="shared" si="42"/>
        <v>0</v>
      </c>
      <c r="L339" s="118"/>
      <c r="M339" s="119"/>
      <c r="N339" s="119"/>
      <c r="O339" s="119"/>
      <c r="P339" s="119"/>
      <c r="Q339" s="119"/>
      <c r="R339" s="1"/>
      <c r="S339" s="1"/>
      <c r="T339" s="1"/>
      <c r="U339" s="1"/>
      <c r="V339" s="1"/>
      <c r="W339" s="1"/>
      <c r="X339" s="1"/>
    </row>
    <row r="340" ht="18.75" customHeight="1">
      <c r="A340" s="9">
        <f t="shared" si="5"/>
        <v>337</v>
      </c>
      <c r="B340" s="116" t="s">
        <v>706</v>
      </c>
      <c r="C340" s="116" t="s">
        <v>707</v>
      </c>
      <c r="D340" s="143" t="s">
        <v>159</v>
      </c>
      <c r="E340" s="99" t="s">
        <v>27</v>
      </c>
      <c r="F340" s="128">
        <v>45924.0</v>
      </c>
      <c r="G340" s="102">
        <v>45953.0</v>
      </c>
      <c r="H340" s="109" t="s">
        <v>55</v>
      </c>
      <c r="I340" s="115">
        <v>10000.0</v>
      </c>
      <c r="J340" s="115">
        <v>10000.0</v>
      </c>
      <c r="K340" s="117">
        <f t="shared" si="42"/>
        <v>0</v>
      </c>
      <c r="L340" s="118"/>
      <c r="M340" s="119"/>
      <c r="N340" s="119"/>
      <c r="O340" s="119"/>
      <c r="P340" s="119"/>
      <c r="Q340" s="119"/>
      <c r="R340" s="1"/>
      <c r="S340" s="1"/>
      <c r="T340" s="1"/>
      <c r="U340" s="1"/>
      <c r="V340" s="1"/>
      <c r="W340" s="1"/>
      <c r="X340" s="1"/>
    </row>
    <row r="341" ht="18.75" customHeight="1">
      <c r="A341" s="9">
        <f t="shared" si="5"/>
        <v>338</v>
      </c>
      <c r="B341" s="116" t="s">
        <v>708</v>
      </c>
      <c r="C341" s="116" t="s">
        <v>709</v>
      </c>
      <c r="D341" s="131" t="s">
        <v>188</v>
      </c>
      <c r="E341" s="99" t="s">
        <v>27</v>
      </c>
      <c r="F341" s="128">
        <v>45925.0</v>
      </c>
      <c r="G341" s="102">
        <v>45954.0</v>
      </c>
      <c r="H341" s="109" t="s">
        <v>55</v>
      </c>
      <c r="I341" s="115">
        <v>11800.0</v>
      </c>
      <c r="J341" s="115">
        <v>11800.0</v>
      </c>
      <c r="K341" s="117">
        <f t="shared" si="42"/>
        <v>0</v>
      </c>
      <c r="L341" s="118"/>
      <c r="M341" s="119"/>
      <c r="N341" s="119"/>
      <c r="O341" s="119"/>
      <c r="P341" s="119"/>
      <c r="Q341" s="119"/>
      <c r="R341" s="1"/>
      <c r="S341" s="1"/>
      <c r="T341" s="1"/>
      <c r="U341" s="1"/>
      <c r="V341" s="1"/>
      <c r="W341" s="1"/>
      <c r="X341" s="1"/>
    </row>
    <row r="342" ht="18.75" customHeight="1">
      <c r="A342" s="9">
        <f t="shared" si="5"/>
        <v>339</v>
      </c>
      <c r="B342" s="142" t="s">
        <v>213</v>
      </c>
      <c r="C342" s="142" t="s">
        <v>710</v>
      </c>
      <c r="D342" s="143" t="s">
        <v>159</v>
      </c>
      <c r="E342" s="99" t="s">
        <v>27</v>
      </c>
      <c r="F342" s="128">
        <v>45927.0</v>
      </c>
      <c r="G342" s="102">
        <v>45956.0</v>
      </c>
      <c r="H342" s="109" t="s">
        <v>55</v>
      </c>
      <c r="I342" s="115">
        <v>21240.0</v>
      </c>
      <c r="J342" s="115">
        <v>21240.0</v>
      </c>
      <c r="K342" s="117">
        <f t="shared" si="42"/>
        <v>0</v>
      </c>
      <c r="L342" s="118"/>
      <c r="M342" s="119"/>
      <c r="N342" s="119"/>
      <c r="O342" s="119"/>
      <c r="P342" s="119"/>
      <c r="Q342" s="119"/>
      <c r="R342" s="1"/>
      <c r="S342" s="1"/>
      <c r="T342" s="1"/>
      <c r="U342" s="1"/>
      <c r="V342" s="1"/>
      <c r="W342" s="1"/>
      <c r="X342" s="1"/>
    </row>
    <row r="343" ht="18.75" customHeight="1">
      <c r="A343" s="9">
        <f t="shared" si="5"/>
        <v>340</v>
      </c>
      <c r="B343" s="116" t="s">
        <v>711</v>
      </c>
      <c r="C343" s="116" t="s">
        <v>712</v>
      </c>
      <c r="D343" s="143" t="s">
        <v>159</v>
      </c>
      <c r="E343" s="99" t="s">
        <v>27</v>
      </c>
      <c r="F343" s="128">
        <v>45925.0</v>
      </c>
      <c r="G343" s="102">
        <v>46105.0</v>
      </c>
      <c r="H343" s="109" t="s">
        <v>38</v>
      </c>
      <c r="I343" s="115">
        <v>47200.0</v>
      </c>
      <c r="J343" s="115">
        <v>47200.0</v>
      </c>
      <c r="K343" s="117">
        <f t="shared" si="42"/>
        <v>0</v>
      </c>
      <c r="L343" s="118"/>
      <c r="M343" s="119"/>
      <c r="N343" s="119"/>
      <c r="O343" s="119"/>
      <c r="P343" s="119"/>
      <c r="Q343" s="119"/>
      <c r="R343" s="1"/>
      <c r="S343" s="1"/>
      <c r="T343" s="1"/>
      <c r="U343" s="1"/>
      <c r="V343" s="1"/>
      <c r="W343" s="1"/>
      <c r="X343" s="1"/>
    </row>
    <row r="344" ht="18.75" customHeight="1">
      <c r="A344" s="9">
        <f t="shared" si="5"/>
        <v>341</v>
      </c>
      <c r="B344" s="116" t="s">
        <v>713</v>
      </c>
      <c r="C344" s="163" t="s">
        <v>714</v>
      </c>
      <c r="D344" s="131" t="s">
        <v>45</v>
      </c>
      <c r="E344" s="99" t="s">
        <v>27</v>
      </c>
      <c r="F344" s="128">
        <v>45931.0</v>
      </c>
      <c r="G344" s="102">
        <v>46295.0</v>
      </c>
      <c r="H344" s="103" t="s">
        <v>28</v>
      </c>
      <c r="I344" s="115">
        <f>8000*12</f>
        <v>96000</v>
      </c>
      <c r="J344" s="115">
        <f>8000*3</f>
        <v>24000</v>
      </c>
      <c r="K344" s="117">
        <f t="shared" si="42"/>
        <v>72000</v>
      </c>
      <c r="L344" s="111">
        <v>46381.0</v>
      </c>
      <c r="M344" s="119"/>
      <c r="N344" s="119"/>
      <c r="O344" s="119"/>
      <c r="P344" s="119"/>
      <c r="Q344" s="119"/>
      <c r="R344" s="1"/>
      <c r="S344" s="1"/>
      <c r="T344" s="1"/>
      <c r="U344" s="1"/>
      <c r="V344" s="1"/>
      <c r="W344" s="1"/>
      <c r="X344" s="1"/>
    </row>
    <row r="345" ht="18.75" customHeight="1">
      <c r="A345" s="9">
        <f t="shared" si="5"/>
        <v>342</v>
      </c>
      <c r="B345" s="116" t="s">
        <v>715</v>
      </c>
      <c r="C345" s="116" t="s">
        <v>716</v>
      </c>
      <c r="D345" s="131" t="s">
        <v>45</v>
      </c>
      <c r="E345" s="99" t="s">
        <v>27</v>
      </c>
      <c r="F345" s="128">
        <v>45925.0</v>
      </c>
      <c r="G345" s="102">
        <v>45954.0</v>
      </c>
      <c r="H345" s="109" t="s">
        <v>55</v>
      </c>
      <c r="I345" s="115">
        <v>11800.0</v>
      </c>
      <c r="J345" s="115">
        <v>11800.0</v>
      </c>
      <c r="K345" s="117">
        <f t="shared" si="42"/>
        <v>0</v>
      </c>
      <c r="L345" s="118"/>
      <c r="M345" s="119"/>
      <c r="N345" s="119"/>
      <c r="O345" s="119"/>
      <c r="P345" s="119"/>
      <c r="Q345" s="119"/>
      <c r="R345" s="1"/>
      <c r="S345" s="1"/>
      <c r="T345" s="1"/>
      <c r="U345" s="1"/>
      <c r="V345" s="1"/>
      <c r="W345" s="1"/>
      <c r="X345" s="1"/>
    </row>
    <row r="346" ht="18.75" customHeight="1">
      <c r="A346" s="9">
        <f t="shared" si="5"/>
        <v>343</v>
      </c>
      <c r="B346" s="116" t="s">
        <v>717</v>
      </c>
      <c r="C346" s="116" t="s">
        <v>718</v>
      </c>
      <c r="D346" s="131" t="s">
        <v>45</v>
      </c>
      <c r="E346" s="99" t="s">
        <v>27</v>
      </c>
      <c r="F346" s="128">
        <v>45923.0</v>
      </c>
      <c r="G346" s="102">
        <v>45952.0</v>
      </c>
      <c r="H346" s="109" t="s">
        <v>55</v>
      </c>
      <c r="I346" s="115">
        <v>11086.47</v>
      </c>
      <c r="J346" s="115">
        <v>11086.47</v>
      </c>
      <c r="K346" s="117">
        <f t="shared" si="42"/>
        <v>0</v>
      </c>
      <c r="L346" s="135"/>
      <c r="M346" s="164" t="s">
        <v>719</v>
      </c>
      <c r="N346" s="119"/>
      <c r="O346" s="119"/>
      <c r="P346" s="119"/>
      <c r="Q346" s="119"/>
      <c r="R346" s="1"/>
      <c r="S346" s="1"/>
      <c r="T346" s="1"/>
      <c r="U346" s="1"/>
      <c r="V346" s="1"/>
      <c r="W346" s="1"/>
      <c r="X346" s="1"/>
    </row>
    <row r="347" ht="18.75" customHeight="1">
      <c r="A347" s="9">
        <f t="shared" si="5"/>
        <v>344</v>
      </c>
      <c r="B347" s="116" t="s">
        <v>720</v>
      </c>
      <c r="C347" s="116" t="s">
        <v>721</v>
      </c>
      <c r="D347" s="160" t="s">
        <v>690</v>
      </c>
      <c r="E347" s="99" t="s">
        <v>27</v>
      </c>
      <c r="F347" s="128">
        <v>45926.0</v>
      </c>
      <c r="G347" s="102">
        <v>46290.0</v>
      </c>
      <c r="H347" s="159" t="s">
        <v>291</v>
      </c>
      <c r="I347" s="115">
        <f>47200*2</f>
        <v>94400</v>
      </c>
      <c r="J347" s="115">
        <f>47200*1</f>
        <v>47200</v>
      </c>
      <c r="K347" s="117">
        <f t="shared" si="42"/>
        <v>47200</v>
      </c>
      <c r="L347" s="111">
        <v>46106.0</v>
      </c>
      <c r="M347" s="119"/>
      <c r="N347" s="119"/>
      <c r="O347" s="119"/>
      <c r="P347" s="119"/>
      <c r="Q347" s="119"/>
      <c r="R347" s="1"/>
      <c r="S347" s="1"/>
      <c r="T347" s="1"/>
      <c r="U347" s="1"/>
      <c r="V347" s="1"/>
      <c r="W347" s="1"/>
      <c r="X347" s="1"/>
    </row>
    <row r="348" ht="18.75" customHeight="1">
      <c r="A348" s="9">
        <f t="shared" si="5"/>
        <v>345</v>
      </c>
      <c r="B348" s="116" t="s">
        <v>722</v>
      </c>
      <c r="C348" s="116" t="s">
        <v>723</v>
      </c>
      <c r="D348" s="131" t="s">
        <v>45</v>
      </c>
      <c r="E348" s="99" t="s">
        <v>27</v>
      </c>
      <c r="F348" s="128">
        <v>45926.0</v>
      </c>
      <c r="G348" s="102">
        <v>46290.0</v>
      </c>
      <c r="H348" s="103" t="s">
        <v>268</v>
      </c>
      <c r="I348" s="115">
        <v>70000.0</v>
      </c>
      <c r="J348" s="115">
        <v>70000.0</v>
      </c>
      <c r="K348" s="117">
        <f t="shared" si="42"/>
        <v>0</v>
      </c>
      <c r="L348" s="118"/>
      <c r="M348" s="119"/>
      <c r="N348" s="119"/>
      <c r="O348" s="119"/>
      <c r="P348" s="119"/>
      <c r="Q348" s="119"/>
      <c r="R348" s="1"/>
      <c r="S348" s="1"/>
      <c r="T348" s="1"/>
      <c r="U348" s="1"/>
      <c r="V348" s="1"/>
      <c r="W348" s="1"/>
      <c r="X348" s="1"/>
    </row>
    <row r="349" ht="18.75" customHeight="1">
      <c r="A349" s="9">
        <f t="shared" si="5"/>
        <v>346</v>
      </c>
      <c r="B349" s="116" t="s">
        <v>724</v>
      </c>
      <c r="C349" s="116" t="s">
        <v>725</v>
      </c>
      <c r="D349" s="143" t="s">
        <v>159</v>
      </c>
      <c r="E349" s="99" t="s">
        <v>27</v>
      </c>
      <c r="F349" s="128">
        <v>45926.0</v>
      </c>
      <c r="G349" s="102">
        <v>45955.0</v>
      </c>
      <c r="H349" s="109" t="s">
        <v>55</v>
      </c>
      <c r="I349" s="115">
        <v>19116.0</v>
      </c>
      <c r="J349" s="115">
        <v>19116.0</v>
      </c>
      <c r="K349" s="117">
        <f t="shared" si="42"/>
        <v>0</v>
      </c>
      <c r="L349" s="118"/>
      <c r="M349" s="119"/>
      <c r="N349" s="119"/>
      <c r="O349" s="119"/>
      <c r="P349" s="119"/>
      <c r="Q349" s="119"/>
      <c r="R349" s="1"/>
      <c r="S349" s="1"/>
      <c r="T349" s="1"/>
      <c r="U349" s="1"/>
      <c r="V349" s="1"/>
      <c r="W349" s="1"/>
      <c r="X349" s="1"/>
    </row>
    <row r="350" ht="18.75" customHeight="1">
      <c r="A350" s="9">
        <f t="shared" si="5"/>
        <v>347</v>
      </c>
      <c r="B350" s="116" t="s">
        <v>726</v>
      </c>
      <c r="C350" s="116" t="s">
        <v>727</v>
      </c>
      <c r="D350" s="160" t="s">
        <v>678</v>
      </c>
      <c r="E350" s="99" t="s">
        <v>27</v>
      </c>
      <c r="F350" s="128">
        <v>45929.0</v>
      </c>
      <c r="G350" s="102">
        <v>46293.0</v>
      </c>
      <c r="H350" s="103" t="s">
        <v>268</v>
      </c>
      <c r="I350" s="115">
        <v>80000.0</v>
      </c>
      <c r="J350" s="115">
        <v>80000.0</v>
      </c>
      <c r="K350" s="117">
        <f t="shared" si="42"/>
        <v>0</v>
      </c>
      <c r="L350" s="118"/>
      <c r="M350" s="119"/>
      <c r="N350" s="119"/>
      <c r="O350" s="119"/>
      <c r="P350" s="119"/>
      <c r="Q350" s="119"/>
      <c r="R350" s="1"/>
      <c r="S350" s="1"/>
      <c r="T350" s="1"/>
      <c r="U350" s="1"/>
      <c r="V350" s="1"/>
      <c r="W350" s="1"/>
      <c r="X350" s="1"/>
    </row>
    <row r="351" ht="18.75" customHeight="1">
      <c r="A351" s="9">
        <f t="shared" si="5"/>
        <v>348</v>
      </c>
      <c r="B351" s="116" t="s">
        <v>728</v>
      </c>
      <c r="C351" s="116" t="s">
        <v>729</v>
      </c>
      <c r="D351" s="160" t="s">
        <v>696</v>
      </c>
      <c r="E351" s="116" t="s">
        <v>27</v>
      </c>
      <c r="F351" s="128">
        <v>45929.0</v>
      </c>
      <c r="G351" s="102">
        <v>46293.0</v>
      </c>
      <c r="H351" s="103" t="s">
        <v>268</v>
      </c>
      <c r="I351" s="115">
        <f>200000</f>
        <v>200000</v>
      </c>
      <c r="J351" s="115">
        <f t="shared" ref="J351:J353" si="48">I351</f>
        <v>200000</v>
      </c>
      <c r="K351" s="117">
        <f t="shared" si="42"/>
        <v>0</v>
      </c>
      <c r="L351" s="118"/>
      <c r="M351" s="119"/>
      <c r="N351" s="119"/>
      <c r="O351" s="119"/>
      <c r="P351" s="119"/>
      <c r="Q351" s="119"/>
      <c r="R351" s="1"/>
      <c r="S351" s="1"/>
      <c r="T351" s="1"/>
      <c r="U351" s="1"/>
      <c r="V351" s="1"/>
      <c r="W351" s="1"/>
      <c r="X351" s="1"/>
    </row>
    <row r="352" ht="18.75" customHeight="1">
      <c r="A352" s="9">
        <f t="shared" si="5"/>
        <v>349</v>
      </c>
      <c r="B352" s="116" t="s">
        <v>730</v>
      </c>
      <c r="C352" s="116" t="s">
        <v>731</v>
      </c>
      <c r="D352" s="160" t="s">
        <v>678</v>
      </c>
      <c r="E352" s="116" t="s">
        <v>27</v>
      </c>
      <c r="F352" s="128">
        <v>45929.0</v>
      </c>
      <c r="G352" s="102">
        <v>46323.0</v>
      </c>
      <c r="H352" s="109" t="s">
        <v>732</v>
      </c>
      <c r="I352" s="115">
        <f>99120-99120</f>
        <v>0</v>
      </c>
      <c r="J352" s="115">
        <f t="shared" si="48"/>
        <v>0</v>
      </c>
      <c r="K352" s="117">
        <f t="shared" si="42"/>
        <v>0</v>
      </c>
      <c r="L352" s="118"/>
      <c r="M352" s="165" t="s">
        <v>733</v>
      </c>
      <c r="N352" s="119"/>
      <c r="O352" s="119"/>
      <c r="P352" s="119"/>
      <c r="Q352" s="119"/>
      <c r="R352" s="1"/>
      <c r="S352" s="1"/>
      <c r="T352" s="1"/>
      <c r="U352" s="1"/>
      <c r="V352" s="1"/>
      <c r="W352" s="1"/>
      <c r="X352" s="1"/>
    </row>
    <row r="353" ht="18.75" customHeight="1">
      <c r="A353" s="9">
        <f t="shared" si="5"/>
        <v>350</v>
      </c>
      <c r="B353" s="116" t="s">
        <v>734</v>
      </c>
      <c r="C353" s="116" t="s">
        <v>735</v>
      </c>
      <c r="D353" s="160" t="s">
        <v>696</v>
      </c>
      <c r="E353" s="116" t="s">
        <v>27</v>
      </c>
      <c r="F353" s="128">
        <v>45931.0</v>
      </c>
      <c r="G353" s="102">
        <v>46295.0</v>
      </c>
      <c r="H353" s="103" t="s">
        <v>268</v>
      </c>
      <c r="I353" s="115">
        <v>50000.0</v>
      </c>
      <c r="J353" s="115">
        <f t="shared" si="48"/>
        <v>50000</v>
      </c>
      <c r="K353" s="117">
        <f t="shared" si="42"/>
        <v>0</v>
      </c>
      <c r="L353" s="118"/>
      <c r="M353" s="119"/>
      <c r="N353" s="119"/>
      <c r="O353" s="119"/>
      <c r="P353" s="119"/>
      <c r="Q353" s="119"/>
      <c r="R353" s="1"/>
      <c r="S353" s="1"/>
      <c r="T353" s="1"/>
      <c r="U353" s="1"/>
      <c r="V353" s="1"/>
      <c r="W353" s="1"/>
      <c r="X353" s="1"/>
    </row>
    <row r="354" ht="18.75" customHeight="1">
      <c r="A354" s="9">
        <f t="shared" si="5"/>
        <v>351</v>
      </c>
      <c r="B354" s="116" t="s">
        <v>240</v>
      </c>
      <c r="C354" s="116" t="s">
        <v>736</v>
      </c>
      <c r="D354" s="160" t="s">
        <v>188</v>
      </c>
      <c r="E354" s="116" t="s">
        <v>27</v>
      </c>
      <c r="F354" s="128">
        <v>45929.0</v>
      </c>
      <c r="G354" s="102">
        <v>46293.0</v>
      </c>
      <c r="H354" s="159" t="s">
        <v>294</v>
      </c>
      <c r="I354" s="115">
        <f>(63000+11340)*4</f>
        <v>297360</v>
      </c>
      <c r="J354" s="115">
        <f>(63000+11340)</f>
        <v>74340</v>
      </c>
      <c r="K354" s="117">
        <f t="shared" si="42"/>
        <v>223020</v>
      </c>
      <c r="L354" s="118"/>
      <c r="M354" s="119"/>
      <c r="N354" s="119"/>
      <c r="O354" s="119"/>
      <c r="P354" s="119"/>
      <c r="Q354" s="119"/>
      <c r="R354" s="1"/>
      <c r="S354" s="1"/>
      <c r="T354" s="1"/>
      <c r="U354" s="1"/>
      <c r="V354" s="1"/>
      <c r="W354" s="1"/>
      <c r="X354" s="1"/>
    </row>
    <row r="355" ht="18.75" customHeight="1">
      <c r="A355" s="9">
        <f t="shared" si="5"/>
        <v>352</v>
      </c>
      <c r="B355" s="116" t="s">
        <v>737</v>
      </c>
      <c r="C355" s="116" t="s">
        <v>738</v>
      </c>
      <c r="D355" s="160"/>
      <c r="E355" s="116" t="s">
        <v>27</v>
      </c>
      <c r="F355" s="128">
        <v>45748.0</v>
      </c>
      <c r="G355" s="102">
        <v>46295.0</v>
      </c>
      <c r="H355" s="109" t="s">
        <v>739</v>
      </c>
      <c r="I355" s="115">
        <f>41300*3</f>
        <v>123900</v>
      </c>
      <c r="J355" s="115">
        <f>41300*2</f>
        <v>82600</v>
      </c>
      <c r="K355" s="117">
        <f t="shared" si="42"/>
        <v>41300</v>
      </c>
      <c r="L355" s="111">
        <v>46112.0</v>
      </c>
      <c r="M355" s="119"/>
      <c r="N355" s="119"/>
      <c r="O355" s="119"/>
      <c r="P355" s="119"/>
      <c r="Q355" s="119"/>
      <c r="R355" s="1"/>
      <c r="S355" s="1"/>
      <c r="T355" s="1"/>
      <c r="U355" s="1"/>
      <c r="V355" s="1"/>
      <c r="W355" s="1"/>
      <c r="X355" s="1"/>
    </row>
    <row r="356" ht="18.75" customHeight="1">
      <c r="A356" s="9">
        <f t="shared" si="5"/>
        <v>353</v>
      </c>
      <c r="B356" s="116" t="s">
        <v>740</v>
      </c>
      <c r="C356" s="116" t="s">
        <v>741</v>
      </c>
      <c r="D356" s="160" t="s">
        <v>678</v>
      </c>
      <c r="E356" s="116" t="s">
        <v>27</v>
      </c>
      <c r="F356" s="128">
        <v>45931.0</v>
      </c>
      <c r="G356" s="102">
        <v>46295.0</v>
      </c>
      <c r="H356" s="103" t="s">
        <v>268</v>
      </c>
      <c r="I356" s="115">
        <v>130000.02</v>
      </c>
      <c r="J356" s="115">
        <v>130000.02</v>
      </c>
      <c r="K356" s="117">
        <f t="shared" si="42"/>
        <v>0</v>
      </c>
      <c r="L356" s="118"/>
      <c r="M356" s="119"/>
      <c r="N356" s="119"/>
      <c r="O356" s="119"/>
      <c r="P356" s="119"/>
      <c r="Q356" s="119"/>
      <c r="R356" s="1"/>
      <c r="S356" s="1"/>
      <c r="T356" s="1"/>
      <c r="U356" s="1"/>
      <c r="V356" s="1"/>
      <c r="W356" s="1"/>
      <c r="X356" s="1"/>
    </row>
    <row r="357" ht="18.75" customHeight="1">
      <c r="A357" s="9">
        <f t="shared" si="5"/>
        <v>354</v>
      </c>
      <c r="B357" s="166" t="s">
        <v>230</v>
      </c>
      <c r="C357" s="166" t="s">
        <v>742</v>
      </c>
      <c r="D357" s="167" t="s">
        <v>45</v>
      </c>
      <c r="E357" s="166" t="s">
        <v>27</v>
      </c>
      <c r="F357" s="168">
        <v>45843.0</v>
      </c>
      <c r="G357" s="169">
        <v>45873.0</v>
      </c>
      <c r="H357" s="170" t="s">
        <v>55</v>
      </c>
      <c r="I357" s="171">
        <v>23600.0</v>
      </c>
      <c r="J357" s="171">
        <v>23600.0</v>
      </c>
      <c r="K357" s="172">
        <f t="shared" si="42"/>
        <v>0</v>
      </c>
      <c r="L357" s="173"/>
      <c r="M357" s="174"/>
      <c r="N357" s="174"/>
      <c r="O357" s="174"/>
      <c r="P357" s="174"/>
      <c r="Q357" s="174"/>
      <c r="R357" s="149"/>
      <c r="S357" s="149"/>
      <c r="T357" s="149"/>
      <c r="U357" s="149"/>
      <c r="V357" s="149"/>
      <c r="W357" s="149"/>
      <c r="X357" s="149"/>
    </row>
    <row r="358" ht="18.75" customHeight="1">
      <c r="A358" s="9">
        <f t="shared" si="5"/>
        <v>355</v>
      </c>
      <c r="B358" s="166" t="s">
        <v>743</v>
      </c>
      <c r="C358" s="166" t="s">
        <v>744</v>
      </c>
      <c r="D358" s="167" t="s">
        <v>45</v>
      </c>
      <c r="E358" s="166" t="s">
        <v>27</v>
      </c>
      <c r="F358" s="168">
        <v>45932.0</v>
      </c>
      <c r="G358" s="169">
        <v>45962.0</v>
      </c>
      <c r="H358" s="170" t="s">
        <v>55</v>
      </c>
      <c r="I358" s="171">
        <v>11800.0</v>
      </c>
      <c r="J358" s="171">
        <v>11800.0</v>
      </c>
      <c r="K358" s="172">
        <f t="shared" si="42"/>
        <v>0</v>
      </c>
      <c r="L358" s="173"/>
      <c r="M358" s="174"/>
      <c r="N358" s="174"/>
      <c r="O358" s="174"/>
      <c r="P358" s="174"/>
      <c r="Q358" s="174"/>
      <c r="R358" s="149"/>
      <c r="S358" s="149"/>
      <c r="T358" s="149"/>
      <c r="U358" s="149"/>
      <c r="V358" s="149"/>
      <c r="W358" s="149"/>
      <c r="X358" s="149"/>
    </row>
    <row r="359" ht="18.75" customHeight="1">
      <c r="A359" s="9">
        <f t="shared" si="5"/>
        <v>356</v>
      </c>
      <c r="B359" s="166" t="s">
        <v>50</v>
      </c>
      <c r="C359" s="166" t="s">
        <v>745</v>
      </c>
      <c r="D359" s="175" t="s">
        <v>159</v>
      </c>
      <c r="E359" s="166" t="s">
        <v>27</v>
      </c>
      <c r="F359" s="168">
        <v>45931.0</v>
      </c>
      <c r="G359" s="169">
        <v>45961.0</v>
      </c>
      <c r="H359" s="170" t="s">
        <v>55</v>
      </c>
      <c r="I359" s="171">
        <v>41300.0</v>
      </c>
      <c r="J359" s="171">
        <v>41300.0</v>
      </c>
      <c r="K359" s="172">
        <f t="shared" si="42"/>
        <v>0</v>
      </c>
      <c r="L359" s="173"/>
      <c r="M359" s="174"/>
      <c r="N359" s="174"/>
      <c r="O359" s="174"/>
      <c r="P359" s="174"/>
      <c r="Q359" s="174"/>
      <c r="R359" s="149"/>
      <c r="S359" s="149"/>
      <c r="T359" s="149"/>
      <c r="U359" s="149"/>
      <c r="V359" s="149"/>
      <c r="W359" s="149"/>
      <c r="X359" s="149"/>
    </row>
    <row r="360" ht="18.75" customHeight="1">
      <c r="A360" s="9">
        <f t="shared" si="5"/>
        <v>357</v>
      </c>
      <c r="B360" s="166" t="s">
        <v>746</v>
      </c>
      <c r="C360" s="166" t="s">
        <v>747</v>
      </c>
      <c r="D360" s="175" t="s">
        <v>159</v>
      </c>
      <c r="E360" s="166" t="s">
        <v>27</v>
      </c>
      <c r="F360" s="168">
        <v>45933.0</v>
      </c>
      <c r="G360" s="169">
        <v>46114.0</v>
      </c>
      <c r="H360" s="170" t="s">
        <v>38</v>
      </c>
      <c r="I360" s="171">
        <v>50000.0</v>
      </c>
      <c r="J360" s="171">
        <v>50000.0</v>
      </c>
      <c r="K360" s="172">
        <f t="shared" si="42"/>
        <v>0</v>
      </c>
      <c r="L360" s="173"/>
      <c r="M360" s="174"/>
      <c r="N360" s="174"/>
      <c r="O360" s="174"/>
      <c r="P360" s="174"/>
      <c r="Q360" s="174"/>
      <c r="R360" s="149"/>
      <c r="S360" s="149"/>
      <c r="T360" s="149"/>
      <c r="U360" s="149"/>
      <c r="V360" s="149"/>
      <c r="W360" s="149"/>
      <c r="X360" s="149"/>
    </row>
    <row r="361" ht="18.75" customHeight="1">
      <c r="A361" s="9">
        <f t="shared" si="5"/>
        <v>358</v>
      </c>
      <c r="B361" s="166" t="s">
        <v>119</v>
      </c>
      <c r="C361" s="166" t="s">
        <v>748</v>
      </c>
      <c r="D361" s="176" t="s">
        <v>749</v>
      </c>
      <c r="E361" s="166" t="s">
        <v>27</v>
      </c>
      <c r="F361" s="168">
        <v>45933.0</v>
      </c>
      <c r="G361" s="169">
        <v>46297.0</v>
      </c>
      <c r="H361" s="177" t="s">
        <v>294</v>
      </c>
      <c r="I361" s="171">
        <f>122130*4</f>
        <v>488520</v>
      </c>
      <c r="J361" s="171">
        <f>122130*1</f>
        <v>122130</v>
      </c>
      <c r="K361" s="172">
        <f t="shared" si="42"/>
        <v>366390</v>
      </c>
      <c r="L361" s="178">
        <v>46025.0</v>
      </c>
      <c r="M361" s="174"/>
      <c r="N361" s="174"/>
      <c r="O361" s="174"/>
      <c r="P361" s="174"/>
      <c r="Q361" s="174"/>
      <c r="R361" s="149"/>
      <c r="S361" s="149"/>
      <c r="T361" s="149"/>
      <c r="U361" s="149"/>
      <c r="V361" s="149"/>
      <c r="W361" s="149"/>
      <c r="X361" s="149"/>
    </row>
    <row r="362" ht="18.75" customHeight="1">
      <c r="A362" s="9">
        <f t="shared" si="5"/>
        <v>359</v>
      </c>
      <c r="B362" s="166" t="s">
        <v>750</v>
      </c>
      <c r="C362" s="166" t="s">
        <v>751</v>
      </c>
      <c r="D362" s="176" t="s">
        <v>749</v>
      </c>
      <c r="E362" s="166" t="s">
        <v>27</v>
      </c>
      <c r="F362" s="168">
        <v>45934.0</v>
      </c>
      <c r="G362" s="169">
        <v>46298.0</v>
      </c>
      <c r="H362" s="179" t="s">
        <v>28</v>
      </c>
      <c r="I362" s="171">
        <f>5900*12</f>
        <v>70800</v>
      </c>
      <c r="J362" s="171">
        <f>5900*1</f>
        <v>5900</v>
      </c>
      <c r="K362" s="172">
        <f t="shared" si="42"/>
        <v>64900</v>
      </c>
      <c r="L362" s="178">
        <v>45965.0</v>
      </c>
      <c r="M362" s="174"/>
      <c r="N362" s="174"/>
      <c r="O362" s="174"/>
      <c r="P362" s="174"/>
      <c r="Q362" s="174"/>
      <c r="R362" s="149"/>
      <c r="S362" s="149"/>
      <c r="T362" s="149"/>
      <c r="U362" s="149"/>
      <c r="V362" s="149"/>
      <c r="W362" s="149"/>
      <c r="X362" s="149"/>
    </row>
    <row r="363" ht="18.75" customHeight="1">
      <c r="A363" s="9">
        <f t="shared" si="5"/>
        <v>360</v>
      </c>
      <c r="B363" s="166" t="s">
        <v>752</v>
      </c>
      <c r="C363" s="166" t="s">
        <v>753</v>
      </c>
      <c r="D363" s="175" t="s">
        <v>159</v>
      </c>
      <c r="E363" s="166" t="s">
        <v>54</v>
      </c>
      <c r="F363" s="168">
        <v>45936.0</v>
      </c>
      <c r="G363" s="169">
        <v>45966.0</v>
      </c>
      <c r="H363" s="170" t="s">
        <v>55</v>
      </c>
      <c r="I363" s="171">
        <v>35400.0</v>
      </c>
      <c r="J363" s="171">
        <v>35400.0</v>
      </c>
      <c r="K363" s="172">
        <f t="shared" si="42"/>
        <v>0</v>
      </c>
      <c r="L363" s="173"/>
      <c r="M363" s="174"/>
      <c r="N363" s="174"/>
      <c r="O363" s="174"/>
      <c r="P363" s="174"/>
      <c r="Q363" s="174"/>
      <c r="R363" s="149"/>
      <c r="S363" s="149"/>
      <c r="T363" s="149"/>
      <c r="U363" s="149"/>
      <c r="V363" s="149"/>
      <c r="W363" s="149"/>
      <c r="X363" s="149"/>
    </row>
    <row r="364" ht="18.75" customHeight="1">
      <c r="A364" s="9">
        <f t="shared" si="5"/>
        <v>361</v>
      </c>
      <c r="B364" s="166" t="s">
        <v>754</v>
      </c>
      <c r="C364" s="166" t="s">
        <v>755</v>
      </c>
      <c r="D364" s="176" t="s">
        <v>690</v>
      </c>
      <c r="E364" s="166" t="s">
        <v>54</v>
      </c>
      <c r="F364" s="168">
        <v>45936.0</v>
      </c>
      <c r="G364" s="169">
        <v>45966.0</v>
      </c>
      <c r="H364" s="170" t="s">
        <v>55</v>
      </c>
      <c r="I364" s="171">
        <v>8850.0</v>
      </c>
      <c r="J364" s="171">
        <v>8850.0</v>
      </c>
      <c r="K364" s="172">
        <f t="shared" si="42"/>
        <v>0</v>
      </c>
      <c r="L364" s="173"/>
      <c r="M364" s="174"/>
      <c r="N364" s="174"/>
      <c r="O364" s="174"/>
      <c r="P364" s="174"/>
      <c r="Q364" s="174"/>
      <c r="R364" s="149"/>
      <c r="S364" s="149"/>
      <c r="T364" s="149"/>
      <c r="U364" s="149"/>
      <c r="V364" s="149"/>
      <c r="W364" s="149"/>
      <c r="X364" s="149"/>
    </row>
    <row r="365" ht="18.75" customHeight="1">
      <c r="A365" s="9">
        <f t="shared" si="5"/>
        <v>362</v>
      </c>
      <c r="B365" s="166" t="s">
        <v>507</v>
      </c>
      <c r="C365" s="166" t="s">
        <v>756</v>
      </c>
      <c r="D365" s="176" t="s">
        <v>749</v>
      </c>
      <c r="E365" s="166" t="s">
        <v>27</v>
      </c>
      <c r="F365" s="168">
        <v>45937.0</v>
      </c>
      <c r="G365" s="169">
        <v>46223.0</v>
      </c>
      <c r="H365" s="170" t="s">
        <v>757</v>
      </c>
      <c r="I365" s="180">
        <v>180677.03</v>
      </c>
      <c r="J365" s="180">
        <v>180677.03</v>
      </c>
      <c r="K365" s="172">
        <f t="shared" si="42"/>
        <v>0</v>
      </c>
      <c r="L365" s="173"/>
      <c r="M365" s="174"/>
      <c r="N365" s="174"/>
      <c r="O365" s="174"/>
      <c r="P365" s="174"/>
      <c r="Q365" s="174"/>
      <c r="R365" s="149"/>
      <c r="S365" s="149"/>
      <c r="T365" s="149"/>
      <c r="U365" s="149"/>
      <c r="V365" s="149"/>
      <c r="W365" s="149"/>
      <c r="X365" s="149"/>
    </row>
    <row r="366" ht="18.75" customHeight="1">
      <c r="A366" s="9">
        <f t="shared" si="5"/>
        <v>363</v>
      </c>
      <c r="B366" s="166" t="s">
        <v>758</v>
      </c>
      <c r="C366" s="166" t="s">
        <v>759</v>
      </c>
      <c r="D366" s="181" t="s">
        <v>45</v>
      </c>
      <c r="E366" s="166" t="s">
        <v>54</v>
      </c>
      <c r="F366" s="168">
        <v>45938.0</v>
      </c>
      <c r="G366" s="169">
        <v>45969.0</v>
      </c>
      <c r="H366" s="170" t="s">
        <v>55</v>
      </c>
      <c r="I366" s="171">
        <v>14750.0</v>
      </c>
      <c r="J366" s="171">
        <v>14750.0</v>
      </c>
      <c r="K366" s="172">
        <f t="shared" si="42"/>
        <v>0</v>
      </c>
      <c r="L366" s="173"/>
      <c r="M366" s="174"/>
      <c r="N366" s="174"/>
      <c r="O366" s="174"/>
      <c r="P366" s="174"/>
      <c r="Q366" s="174"/>
      <c r="R366" s="149"/>
      <c r="S366" s="149"/>
      <c r="T366" s="149"/>
      <c r="U366" s="149"/>
      <c r="V366" s="149"/>
      <c r="W366" s="149"/>
      <c r="X366" s="149"/>
    </row>
    <row r="367" ht="18.75" customHeight="1">
      <c r="A367" s="9">
        <f t="shared" si="5"/>
        <v>364</v>
      </c>
      <c r="B367" s="166" t="s">
        <v>760</v>
      </c>
      <c r="C367" s="166" t="s">
        <v>761</v>
      </c>
      <c r="D367" s="181" t="s">
        <v>140</v>
      </c>
      <c r="E367" s="166" t="s">
        <v>27</v>
      </c>
      <c r="F367" s="168">
        <v>45942.0</v>
      </c>
      <c r="G367" s="169">
        <v>46306.0</v>
      </c>
      <c r="H367" s="179" t="s">
        <v>268</v>
      </c>
      <c r="I367" s="171">
        <v>100300.0</v>
      </c>
      <c r="J367" s="171">
        <v>100300.0</v>
      </c>
      <c r="K367" s="172">
        <f t="shared" si="42"/>
        <v>0</v>
      </c>
      <c r="L367" s="173"/>
      <c r="M367" s="174"/>
      <c r="N367" s="174"/>
      <c r="O367" s="174"/>
      <c r="P367" s="174"/>
      <c r="Q367" s="174"/>
      <c r="R367" s="149"/>
      <c r="S367" s="149"/>
      <c r="T367" s="149"/>
      <c r="U367" s="149"/>
      <c r="V367" s="149"/>
      <c r="W367" s="149"/>
      <c r="X367" s="149"/>
    </row>
    <row r="368" ht="18.75" customHeight="1">
      <c r="A368" s="9">
        <f t="shared" si="5"/>
        <v>365</v>
      </c>
      <c r="B368" s="166" t="s">
        <v>762</v>
      </c>
      <c r="C368" s="166" t="s">
        <v>763</v>
      </c>
      <c r="D368" s="181" t="s">
        <v>45</v>
      </c>
      <c r="E368" s="166" t="s">
        <v>27</v>
      </c>
      <c r="F368" s="182">
        <v>45939.0</v>
      </c>
      <c r="G368" s="183">
        <v>46303.0</v>
      </c>
      <c r="H368" s="179" t="s">
        <v>28</v>
      </c>
      <c r="I368" s="171">
        <f>7080*12</f>
        <v>84960</v>
      </c>
      <c r="J368" s="171">
        <v>7080.0</v>
      </c>
      <c r="K368" s="172">
        <f t="shared" si="42"/>
        <v>77880</v>
      </c>
      <c r="L368" s="178">
        <v>45970.0</v>
      </c>
      <c r="M368" s="174"/>
      <c r="N368" s="174"/>
      <c r="O368" s="174"/>
      <c r="P368" s="174"/>
      <c r="Q368" s="174"/>
      <c r="R368" s="149"/>
      <c r="S368" s="149"/>
      <c r="T368" s="149"/>
      <c r="U368" s="149"/>
      <c r="V368" s="149"/>
      <c r="W368" s="149"/>
      <c r="X368" s="149"/>
    </row>
    <row r="369" ht="18.75" customHeight="1">
      <c r="A369" s="9">
        <f t="shared" si="5"/>
        <v>366</v>
      </c>
      <c r="B369" s="166" t="s">
        <v>46</v>
      </c>
      <c r="C369" s="166" t="s">
        <v>764</v>
      </c>
      <c r="D369" s="181" t="s">
        <v>45</v>
      </c>
      <c r="E369" s="166" t="s">
        <v>27</v>
      </c>
      <c r="F369" s="168">
        <v>45939.0</v>
      </c>
      <c r="G369" s="169">
        <v>46234.0</v>
      </c>
      <c r="H369" s="177" t="s">
        <v>765</v>
      </c>
      <c r="I369" s="184">
        <f>30908.39*2</f>
        <v>61816.78</v>
      </c>
      <c r="J369" s="184">
        <v>30908.39</v>
      </c>
      <c r="K369" s="172">
        <f t="shared" si="42"/>
        <v>30908.39</v>
      </c>
      <c r="L369" s="178">
        <v>45756.0</v>
      </c>
      <c r="M369" s="174"/>
      <c r="N369" s="174"/>
      <c r="O369" s="174"/>
      <c r="P369" s="174"/>
      <c r="Q369" s="174"/>
      <c r="R369" s="149"/>
      <c r="S369" s="149"/>
      <c r="T369" s="149"/>
      <c r="U369" s="149"/>
      <c r="V369" s="149"/>
      <c r="W369" s="149"/>
      <c r="X369" s="149"/>
    </row>
    <row r="370" ht="18.75" customHeight="1">
      <c r="A370" s="9">
        <f t="shared" si="5"/>
        <v>367</v>
      </c>
      <c r="B370" s="166" t="s">
        <v>242</v>
      </c>
      <c r="C370" s="166" t="s">
        <v>766</v>
      </c>
      <c r="D370" s="176" t="s">
        <v>690</v>
      </c>
      <c r="E370" s="166" t="s">
        <v>27</v>
      </c>
      <c r="F370" s="168">
        <v>45940.0</v>
      </c>
      <c r="G370" s="169">
        <v>45939.0</v>
      </c>
      <c r="H370" s="177" t="s">
        <v>291</v>
      </c>
      <c r="I370" s="171">
        <f>1299888*2</f>
        <v>2599776</v>
      </c>
      <c r="J370" s="171">
        <v>1299888.0</v>
      </c>
      <c r="K370" s="172">
        <f t="shared" si="42"/>
        <v>1299888</v>
      </c>
      <c r="L370" s="178">
        <v>45971.0</v>
      </c>
      <c r="M370" s="174"/>
      <c r="N370" s="174"/>
      <c r="O370" s="174"/>
      <c r="P370" s="174"/>
      <c r="Q370" s="174"/>
      <c r="R370" s="149"/>
      <c r="S370" s="149"/>
      <c r="T370" s="149"/>
      <c r="U370" s="149"/>
      <c r="V370" s="149"/>
      <c r="W370" s="149"/>
      <c r="X370" s="149"/>
    </row>
    <row r="371" ht="18.75" customHeight="1">
      <c r="A371" s="9">
        <f t="shared" si="5"/>
        <v>368</v>
      </c>
      <c r="B371" s="166" t="s">
        <v>133</v>
      </c>
      <c r="C371" s="166" t="s">
        <v>767</v>
      </c>
      <c r="D371" s="176" t="s">
        <v>768</v>
      </c>
      <c r="E371" s="166" t="s">
        <v>27</v>
      </c>
      <c r="F371" s="168">
        <v>45943.0</v>
      </c>
      <c r="G371" s="169">
        <v>46013.0</v>
      </c>
      <c r="H371" s="177" t="s">
        <v>769</v>
      </c>
      <c r="I371" s="171">
        <v>19184.52</v>
      </c>
      <c r="J371" s="171">
        <v>19184.52</v>
      </c>
      <c r="K371" s="172">
        <f t="shared" si="42"/>
        <v>0</v>
      </c>
      <c r="L371" s="173"/>
      <c r="M371" s="174"/>
      <c r="N371" s="174"/>
      <c r="O371" s="174"/>
      <c r="P371" s="174"/>
      <c r="Q371" s="174"/>
      <c r="R371" s="149"/>
      <c r="S371" s="149"/>
      <c r="T371" s="149"/>
      <c r="U371" s="149"/>
      <c r="V371" s="149"/>
      <c r="W371" s="149"/>
      <c r="X371" s="149"/>
    </row>
    <row r="372" ht="18.75" customHeight="1">
      <c r="A372" s="9">
        <f t="shared" si="5"/>
        <v>369</v>
      </c>
      <c r="B372" s="166" t="s">
        <v>770</v>
      </c>
      <c r="C372" s="166" t="s">
        <v>771</v>
      </c>
      <c r="D372" s="181" t="s">
        <v>45</v>
      </c>
      <c r="E372" s="166" t="s">
        <v>54</v>
      </c>
      <c r="F372" s="168">
        <v>45943.0</v>
      </c>
      <c r="G372" s="169">
        <v>45974.0</v>
      </c>
      <c r="H372" s="170" t="s">
        <v>55</v>
      </c>
      <c r="I372" s="171">
        <v>29500.0</v>
      </c>
      <c r="J372" s="171">
        <v>29500.0</v>
      </c>
      <c r="K372" s="172">
        <f t="shared" si="42"/>
        <v>0</v>
      </c>
      <c r="L372" s="173"/>
      <c r="M372" s="174"/>
      <c r="N372" s="174"/>
      <c r="O372" s="174"/>
      <c r="P372" s="174"/>
      <c r="Q372" s="174"/>
      <c r="R372" s="149"/>
      <c r="S372" s="149"/>
      <c r="T372" s="149"/>
      <c r="U372" s="149"/>
      <c r="V372" s="149"/>
      <c r="W372" s="149"/>
      <c r="X372" s="149"/>
    </row>
    <row r="373" ht="18.75" customHeight="1">
      <c r="A373" s="9">
        <f t="shared" si="5"/>
        <v>370</v>
      </c>
      <c r="B373" s="166" t="s">
        <v>772</v>
      </c>
      <c r="C373" s="166" t="s">
        <v>773</v>
      </c>
      <c r="D373" s="181" t="s">
        <v>45</v>
      </c>
      <c r="E373" s="166" t="s">
        <v>27</v>
      </c>
      <c r="F373" s="168">
        <v>45941.0</v>
      </c>
      <c r="G373" s="169">
        <v>45940.0</v>
      </c>
      <c r="H373" s="179" t="s">
        <v>268</v>
      </c>
      <c r="I373" s="171">
        <v>82600.0</v>
      </c>
      <c r="J373" s="171">
        <v>82600.0</v>
      </c>
      <c r="K373" s="172">
        <f t="shared" si="42"/>
        <v>0</v>
      </c>
      <c r="L373" s="173"/>
      <c r="M373" s="174"/>
      <c r="N373" s="174"/>
      <c r="O373" s="174"/>
      <c r="P373" s="174"/>
      <c r="Q373" s="174"/>
      <c r="R373" s="149"/>
      <c r="S373" s="149"/>
      <c r="T373" s="149"/>
      <c r="U373" s="149"/>
      <c r="V373" s="149"/>
      <c r="W373" s="149"/>
      <c r="X373" s="149"/>
    </row>
    <row r="374" ht="18.75" customHeight="1">
      <c r="A374" s="9">
        <f t="shared" si="5"/>
        <v>371</v>
      </c>
      <c r="B374" s="166" t="s">
        <v>774</v>
      </c>
      <c r="C374" s="166" t="s">
        <v>775</v>
      </c>
      <c r="D374" s="181" t="s">
        <v>140</v>
      </c>
      <c r="E374" s="166" t="s">
        <v>27</v>
      </c>
      <c r="F374" s="182">
        <v>45944.0</v>
      </c>
      <c r="G374" s="183">
        <v>46308.0</v>
      </c>
      <c r="H374" s="179" t="s">
        <v>28</v>
      </c>
      <c r="I374" s="171">
        <f>5310*12</f>
        <v>63720</v>
      </c>
      <c r="J374" s="171">
        <v>5310.0</v>
      </c>
      <c r="K374" s="172">
        <f t="shared" si="42"/>
        <v>58410</v>
      </c>
      <c r="L374" s="178">
        <v>45975.0</v>
      </c>
      <c r="M374" s="174"/>
      <c r="N374" s="174"/>
      <c r="O374" s="174"/>
      <c r="P374" s="174"/>
      <c r="Q374" s="174"/>
      <c r="R374" s="149"/>
      <c r="S374" s="149"/>
      <c r="T374" s="149"/>
      <c r="U374" s="149"/>
      <c r="V374" s="149"/>
      <c r="W374" s="149"/>
      <c r="X374" s="149"/>
    </row>
    <row r="375" ht="18.75" customHeight="1">
      <c r="A375" s="9">
        <f t="shared" si="5"/>
        <v>372</v>
      </c>
      <c r="B375" s="166" t="s">
        <v>776</v>
      </c>
      <c r="C375" s="166" t="s">
        <v>777</v>
      </c>
      <c r="D375" s="181" t="s">
        <v>140</v>
      </c>
      <c r="E375" s="166" t="s">
        <v>27</v>
      </c>
      <c r="F375" s="185">
        <v>45982.0</v>
      </c>
      <c r="G375" s="186">
        <v>46346.0</v>
      </c>
      <c r="H375" s="177" t="s">
        <v>294</v>
      </c>
      <c r="I375" s="171">
        <f t="shared" ref="I375:I376" si="49">14750*4</f>
        <v>59000</v>
      </c>
      <c r="J375" s="171">
        <f>14750*1</f>
        <v>14750</v>
      </c>
      <c r="K375" s="172">
        <f t="shared" si="42"/>
        <v>44250</v>
      </c>
      <c r="L375" s="178">
        <v>46074.0</v>
      </c>
      <c r="M375" s="174"/>
      <c r="N375" s="174"/>
      <c r="O375" s="174"/>
      <c r="P375" s="174"/>
      <c r="Q375" s="174"/>
      <c r="R375" s="149"/>
      <c r="S375" s="149"/>
      <c r="T375" s="149"/>
      <c r="U375" s="149"/>
      <c r="V375" s="149"/>
      <c r="W375" s="149"/>
      <c r="X375" s="149"/>
    </row>
    <row r="376" ht="18.75" customHeight="1">
      <c r="A376" s="9">
        <f t="shared" si="5"/>
        <v>373</v>
      </c>
      <c r="B376" s="166" t="s">
        <v>778</v>
      </c>
      <c r="C376" s="166" t="s">
        <v>779</v>
      </c>
      <c r="D376" s="181" t="s">
        <v>140</v>
      </c>
      <c r="E376" s="166" t="s">
        <v>27</v>
      </c>
      <c r="F376" s="182">
        <v>45944.0</v>
      </c>
      <c r="G376" s="183">
        <v>46308.0</v>
      </c>
      <c r="H376" s="177" t="s">
        <v>294</v>
      </c>
      <c r="I376" s="171">
        <f t="shared" si="49"/>
        <v>59000</v>
      </c>
      <c r="J376" s="171">
        <v>14750.0</v>
      </c>
      <c r="K376" s="172">
        <f t="shared" si="42"/>
        <v>44250</v>
      </c>
      <c r="L376" s="178">
        <v>46036.0</v>
      </c>
      <c r="M376" s="174"/>
      <c r="N376" s="174"/>
      <c r="O376" s="174"/>
      <c r="P376" s="174"/>
      <c r="Q376" s="174"/>
      <c r="R376" s="149"/>
      <c r="S376" s="149"/>
      <c r="T376" s="149"/>
      <c r="U376" s="149"/>
      <c r="V376" s="149"/>
      <c r="W376" s="149"/>
      <c r="X376" s="149"/>
    </row>
    <row r="377" ht="18.75" customHeight="1">
      <c r="A377" s="9">
        <f t="shared" si="5"/>
        <v>374</v>
      </c>
      <c r="B377" s="166" t="s">
        <v>780</v>
      </c>
      <c r="C377" s="166" t="s">
        <v>781</v>
      </c>
      <c r="D377" s="181" t="s">
        <v>140</v>
      </c>
      <c r="E377" s="166" t="s">
        <v>27</v>
      </c>
      <c r="F377" s="182">
        <v>45944.0</v>
      </c>
      <c r="G377" s="183">
        <v>46308.0</v>
      </c>
      <c r="H377" s="179" t="s">
        <v>28</v>
      </c>
      <c r="I377" s="171">
        <f>5310*12</f>
        <v>63720</v>
      </c>
      <c r="J377" s="171">
        <f>5310*2</f>
        <v>10620</v>
      </c>
      <c r="K377" s="172">
        <f t="shared" si="42"/>
        <v>53100</v>
      </c>
      <c r="L377" s="178">
        <v>46005.0</v>
      </c>
      <c r="M377" s="174"/>
      <c r="N377" s="174"/>
      <c r="O377" s="174"/>
      <c r="P377" s="174"/>
      <c r="Q377" s="174"/>
      <c r="R377" s="149"/>
      <c r="S377" s="149"/>
      <c r="T377" s="149"/>
      <c r="U377" s="149"/>
      <c r="V377" s="149"/>
      <c r="W377" s="149"/>
      <c r="X377" s="149"/>
    </row>
    <row r="378" ht="18.75" customHeight="1">
      <c r="A378" s="9">
        <f t="shared" si="5"/>
        <v>375</v>
      </c>
      <c r="B378" s="166" t="s">
        <v>782</v>
      </c>
      <c r="C378" s="166" t="s">
        <v>783</v>
      </c>
      <c r="D378" s="181" t="s">
        <v>140</v>
      </c>
      <c r="E378" s="166" t="s">
        <v>27</v>
      </c>
      <c r="F378" s="182">
        <v>45944.0</v>
      </c>
      <c r="G378" s="183">
        <v>46308.0</v>
      </c>
      <c r="H378" s="177" t="s">
        <v>294</v>
      </c>
      <c r="I378" s="171">
        <f t="shared" ref="I378:I379" si="50">14750*4</f>
        <v>59000</v>
      </c>
      <c r="J378" s="171">
        <v>14750.0</v>
      </c>
      <c r="K378" s="172">
        <f t="shared" si="42"/>
        <v>44250</v>
      </c>
      <c r="L378" s="178">
        <v>46036.0</v>
      </c>
      <c r="M378" s="174"/>
      <c r="N378" s="174"/>
      <c r="O378" s="174"/>
      <c r="P378" s="174"/>
      <c r="Q378" s="174"/>
      <c r="R378" s="149"/>
      <c r="S378" s="149"/>
      <c r="T378" s="149"/>
      <c r="U378" s="149"/>
      <c r="V378" s="149"/>
      <c r="W378" s="149"/>
      <c r="X378" s="149"/>
    </row>
    <row r="379" ht="18.75" customHeight="1">
      <c r="A379" s="9">
        <f t="shared" si="5"/>
        <v>376</v>
      </c>
      <c r="B379" s="166" t="s">
        <v>784</v>
      </c>
      <c r="C379" s="166" t="s">
        <v>785</v>
      </c>
      <c r="D379" s="181" t="s">
        <v>140</v>
      </c>
      <c r="E379" s="166" t="s">
        <v>27</v>
      </c>
      <c r="F379" s="182">
        <v>45944.0</v>
      </c>
      <c r="G379" s="183">
        <v>46308.0</v>
      </c>
      <c r="H379" s="177" t="s">
        <v>294</v>
      </c>
      <c r="I379" s="171">
        <f t="shared" si="50"/>
        <v>59000</v>
      </c>
      <c r="J379" s="171">
        <v>14750.0</v>
      </c>
      <c r="K379" s="172">
        <f t="shared" si="42"/>
        <v>44250</v>
      </c>
      <c r="L379" s="178">
        <v>46036.0</v>
      </c>
      <c r="M379" s="174"/>
      <c r="N379" s="174"/>
      <c r="O379" s="174"/>
      <c r="P379" s="174"/>
      <c r="Q379" s="174"/>
      <c r="R379" s="149"/>
      <c r="S379" s="149"/>
      <c r="T379" s="149"/>
      <c r="U379" s="149"/>
      <c r="V379" s="149"/>
      <c r="W379" s="149"/>
      <c r="X379" s="149"/>
    </row>
    <row r="380" ht="18.75" customHeight="1">
      <c r="A380" s="9">
        <f t="shared" si="5"/>
        <v>377</v>
      </c>
      <c r="B380" s="166" t="s">
        <v>786</v>
      </c>
      <c r="C380" s="166" t="s">
        <v>787</v>
      </c>
      <c r="D380" s="181" t="s">
        <v>140</v>
      </c>
      <c r="E380" s="166" t="s">
        <v>27</v>
      </c>
      <c r="F380" s="182">
        <v>45944.0</v>
      </c>
      <c r="G380" s="183">
        <v>46308.0</v>
      </c>
      <c r="H380" s="179" t="s">
        <v>28</v>
      </c>
      <c r="I380" s="171">
        <f>5310*12</f>
        <v>63720</v>
      </c>
      <c r="J380" s="171">
        <f>5310*2</f>
        <v>10620</v>
      </c>
      <c r="K380" s="172">
        <f t="shared" si="42"/>
        <v>53100</v>
      </c>
      <c r="L380" s="178">
        <v>46005.0</v>
      </c>
      <c r="M380" s="174"/>
      <c r="N380" s="174"/>
      <c r="O380" s="174"/>
      <c r="P380" s="174"/>
      <c r="Q380" s="174"/>
      <c r="R380" s="149"/>
      <c r="S380" s="149"/>
      <c r="T380" s="149"/>
      <c r="U380" s="149"/>
      <c r="V380" s="149"/>
      <c r="W380" s="149"/>
      <c r="X380" s="149"/>
    </row>
    <row r="381" ht="18.75" customHeight="1">
      <c r="A381" s="9">
        <f t="shared" si="5"/>
        <v>378</v>
      </c>
      <c r="B381" s="166" t="s">
        <v>788</v>
      </c>
      <c r="C381" s="166" t="s">
        <v>789</v>
      </c>
      <c r="D381" s="181" t="s">
        <v>696</v>
      </c>
      <c r="E381" s="166" t="s">
        <v>27</v>
      </c>
      <c r="F381" s="168">
        <v>45962.0</v>
      </c>
      <c r="G381" s="169">
        <v>46325.0</v>
      </c>
      <c r="H381" s="179" t="s">
        <v>268</v>
      </c>
      <c r="I381" s="187">
        <v>82600.0</v>
      </c>
      <c r="J381" s="187">
        <v>82600.0</v>
      </c>
      <c r="K381" s="172">
        <f t="shared" si="42"/>
        <v>0</v>
      </c>
      <c r="L381" s="173"/>
      <c r="M381" s="174"/>
      <c r="N381" s="174"/>
      <c r="O381" s="174"/>
      <c r="P381" s="174"/>
      <c r="Q381" s="174"/>
      <c r="R381" s="149"/>
      <c r="S381" s="149"/>
      <c r="T381" s="149"/>
      <c r="U381" s="149"/>
      <c r="V381" s="149"/>
      <c r="W381" s="149"/>
      <c r="X381" s="149"/>
    </row>
    <row r="382" ht="18.75" customHeight="1">
      <c r="A382" s="9">
        <f t="shared" si="5"/>
        <v>379</v>
      </c>
      <c r="B382" s="166" t="s">
        <v>790</v>
      </c>
      <c r="C382" s="166" t="s">
        <v>791</v>
      </c>
      <c r="D382" s="176" t="s">
        <v>690</v>
      </c>
      <c r="E382" s="166" t="s">
        <v>27</v>
      </c>
      <c r="F382" s="182">
        <v>45944.0</v>
      </c>
      <c r="G382" s="183">
        <v>46308.0</v>
      </c>
      <c r="H382" s="179" t="s">
        <v>28</v>
      </c>
      <c r="I382" s="171">
        <f>5900*12</f>
        <v>70800</v>
      </c>
      <c r="J382" s="171">
        <f>5900*2</f>
        <v>11800</v>
      </c>
      <c r="K382" s="172">
        <f t="shared" si="42"/>
        <v>59000</v>
      </c>
      <c r="L382" s="178">
        <v>46005.0</v>
      </c>
      <c r="M382" s="174"/>
      <c r="N382" s="174"/>
      <c r="O382" s="174"/>
      <c r="P382" s="174"/>
      <c r="Q382" s="174"/>
      <c r="R382" s="149"/>
      <c r="S382" s="149"/>
      <c r="T382" s="149"/>
      <c r="U382" s="149"/>
      <c r="V382" s="149"/>
      <c r="W382" s="149"/>
      <c r="X382" s="149"/>
    </row>
    <row r="383" ht="18.75" customHeight="1">
      <c r="A383" s="9">
        <f t="shared" si="5"/>
        <v>380</v>
      </c>
      <c r="B383" s="166" t="s">
        <v>792</v>
      </c>
      <c r="C383" s="166" t="s">
        <v>793</v>
      </c>
      <c r="D383" s="176" t="s">
        <v>690</v>
      </c>
      <c r="E383" s="166" t="s">
        <v>27</v>
      </c>
      <c r="F383" s="182">
        <v>45944.0</v>
      </c>
      <c r="G383" s="183">
        <v>46308.0</v>
      </c>
      <c r="H383" s="179" t="s">
        <v>28</v>
      </c>
      <c r="I383" s="171">
        <f>9440*12</f>
        <v>113280</v>
      </c>
      <c r="J383" s="171">
        <f>9440*2</f>
        <v>18880</v>
      </c>
      <c r="K383" s="172">
        <f t="shared" si="42"/>
        <v>94400</v>
      </c>
      <c r="L383" s="178">
        <v>46005.0</v>
      </c>
      <c r="M383" s="174"/>
      <c r="N383" s="174"/>
      <c r="O383" s="174"/>
      <c r="P383" s="174"/>
      <c r="Q383" s="174"/>
      <c r="R383" s="149"/>
      <c r="S383" s="149"/>
      <c r="T383" s="149"/>
      <c r="U383" s="149"/>
      <c r="V383" s="149"/>
      <c r="W383" s="149"/>
      <c r="X383" s="149"/>
    </row>
    <row r="384" ht="18.75" customHeight="1">
      <c r="A384" s="9">
        <f t="shared" si="5"/>
        <v>381</v>
      </c>
      <c r="B384" s="166" t="s">
        <v>794</v>
      </c>
      <c r="C384" s="166" t="s">
        <v>795</v>
      </c>
      <c r="D384" s="181" t="s">
        <v>140</v>
      </c>
      <c r="E384" s="166" t="s">
        <v>27</v>
      </c>
      <c r="F384" s="182">
        <v>45945.0</v>
      </c>
      <c r="G384" s="183">
        <v>46309.0</v>
      </c>
      <c r="H384" s="179" t="s">
        <v>28</v>
      </c>
      <c r="I384" s="171">
        <f t="shared" ref="I384:I386" si="51">5310*12</f>
        <v>63720</v>
      </c>
      <c r="J384" s="171">
        <v>5310.0</v>
      </c>
      <c r="K384" s="172">
        <f t="shared" si="42"/>
        <v>58410</v>
      </c>
      <c r="L384" s="178">
        <v>45976.0</v>
      </c>
      <c r="M384" s="174"/>
      <c r="N384" s="174"/>
      <c r="O384" s="174"/>
      <c r="P384" s="174"/>
      <c r="Q384" s="174"/>
      <c r="R384" s="149"/>
      <c r="S384" s="149"/>
      <c r="T384" s="149"/>
      <c r="U384" s="149"/>
      <c r="V384" s="149"/>
      <c r="W384" s="149"/>
      <c r="X384" s="149"/>
    </row>
    <row r="385" ht="18.75" customHeight="1">
      <c r="A385" s="9">
        <f t="shared" si="5"/>
        <v>382</v>
      </c>
      <c r="B385" s="166" t="s">
        <v>796</v>
      </c>
      <c r="C385" s="166" t="s">
        <v>797</v>
      </c>
      <c r="D385" s="176" t="s">
        <v>798</v>
      </c>
      <c r="E385" s="166" t="s">
        <v>27</v>
      </c>
      <c r="F385" s="182">
        <v>45945.0</v>
      </c>
      <c r="G385" s="183">
        <v>46309.0</v>
      </c>
      <c r="H385" s="179" t="s">
        <v>28</v>
      </c>
      <c r="I385" s="171">
        <f t="shared" si="51"/>
        <v>63720</v>
      </c>
      <c r="J385" s="171">
        <f>5310*2</f>
        <v>10620</v>
      </c>
      <c r="K385" s="172">
        <f t="shared" si="42"/>
        <v>53100</v>
      </c>
      <c r="L385" s="178">
        <v>46006.0</v>
      </c>
      <c r="M385" s="174"/>
      <c r="N385" s="174"/>
      <c r="O385" s="174"/>
      <c r="P385" s="174"/>
      <c r="Q385" s="174"/>
      <c r="R385" s="149"/>
      <c r="S385" s="149"/>
      <c r="T385" s="149"/>
      <c r="U385" s="149"/>
      <c r="V385" s="149"/>
      <c r="W385" s="149"/>
      <c r="X385" s="149"/>
    </row>
    <row r="386" ht="18.75" customHeight="1">
      <c r="A386" s="9">
        <f t="shared" si="5"/>
        <v>383</v>
      </c>
      <c r="B386" s="166" t="s">
        <v>799</v>
      </c>
      <c r="C386" s="166" t="s">
        <v>800</v>
      </c>
      <c r="D386" s="176" t="s">
        <v>798</v>
      </c>
      <c r="E386" s="166" t="s">
        <v>27</v>
      </c>
      <c r="F386" s="182">
        <v>45945.0</v>
      </c>
      <c r="G386" s="183">
        <v>46309.0</v>
      </c>
      <c r="H386" s="179" t="s">
        <v>28</v>
      </c>
      <c r="I386" s="171">
        <f t="shared" si="51"/>
        <v>63720</v>
      </c>
      <c r="J386" s="171">
        <v>5310.0</v>
      </c>
      <c r="K386" s="172">
        <f t="shared" si="42"/>
        <v>58410</v>
      </c>
      <c r="L386" s="178">
        <v>45976.0</v>
      </c>
      <c r="M386" s="174"/>
      <c r="N386" s="174"/>
      <c r="O386" s="174"/>
      <c r="P386" s="174"/>
      <c r="Q386" s="174"/>
      <c r="R386" s="149"/>
      <c r="S386" s="149"/>
      <c r="T386" s="149"/>
      <c r="U386" s="149"/>
      <c r="V386" s="149"/>
      <c r="W386" s="149"/>
      <c r="X386" s="149"/>
    </row>
    <row r="387" ht="18.75" customHeight="1">
      <c r="A387" s="9">
        <f t="shared" si="5"/>
        <v>384</v>
      </c>
      <c r="B387" s="166" t="s">
        <v>801</v>
      </c>
      <c r="C387" s="166" t="s">
        <v>802</v>
      </c>
      <c r="D387" s="176" t="s">
        <v>798</v>
      </c>
      <c r="E387" s="166" t="s">
        <v>27</v>
      </c>
      <c r="F387" s="182">
        <v>45945.0</v>
      </c>
      <c r="G387" s="183">
        <v>46309.0</v>
      </c>
      <c r="H387" s="177" t="s">
        <v>294</v>
      </c>
      <c r="I387" s="171">
        <f>14750*4</f>
        <v>59000</v>
      </c>
      <c r="J387" s="171">
        <v>14750.0</v>
      </c>
      <c r="K387" s="172">
        <f t="shared" si="42"/>
        <v>44250</v>
      </c>
      <c r="L387" s="178">
        <v>46037.0</v>
      </c>
      <c r="M387" s="174"/>
      <c r="N387" s="174"/>
      <c r="O387" s="174"/>
      <c r="P387" s="174"/>
      <c r="Q387" s="174"/>
      <c r="R387" s="149"/>
      <c r="S387" s="149"/>
      <c r="T387" s="149"/>
      <c r="U387" s="149"/>
      <c r="V387" s="149"/>
      <c r="W387" s="149"/>
      <c r="X387" s="149"/>
    </row>
    <row r="388" ht="18.75" customHeight="1">
      <c r="A388" s="9">
        <f t="shared" si="5"/>
        <v>385</v>
      </c>
      <c r="B388" s="166" t="s">
        <v>803</v>
      </c>
      <c r="C388" s="166" t="s">
        <v>804</v>
      </c>
      <c r="D388" s="181" t="s">
        <v>188</v>
      </c>
      <c r="E388" s="166" t="s">
        <v>27</v>
      </c>
      <c r="F388" s="182">
        <v>45945.0</v>
      </c>
      <c r="G388" s="183">
        <v>46309.0</v>
      </c>
      <c r="H388" s="179" t="s">
        <v>28</v>
      </c>
      <c r="I388" s="171">
        <f>9440*12</f>
        <v>113280</v>
      </c>
      <c r="J388" s="171">
        <f>9440*2</f>
        <v>18880</v>
      </c>
      <c r="K388" s="172">
        <f t="shared" si="42"/>
        <v>94400</v>
      </c>
      <c r="L388" s="178">
        <v>46006.0</v>
      </c>
      <c r="M388" s="174"/>
      <c r="N388" s="174"/>
      <c r="O388" s="174"/>
      <c r="P388" s="174"/>
      <c r="Q388" s="174"/>
      <c r="R388" s="149"/>
      <c r="S388" s="149"/>
      <c r="T388" s="149"/>
      <c r="U388" s="149"/>
      <c r="V388" s="149"/>
      <c r="W388" s="149"/>
      <c r="X388" s="149"/>
    </row>
    <row r="389" ht="18.75" customHeight="1">
      <c r="A389" s="9">
        <f t="shared" si="5"/>
        <v>386</v>
      </c>
      <c r="B389" s="166" t="s">
        <v>56</v>
      </c>
      <c r="C389" s="166" t="s">
        <v>805</v>
      </c>
      <c r="D389" s="181" t="s">
        <v>31</v>
      </c>
      <c r="E389" s="166" t="s">
        <v>27</v>
      </c>
      <c r="F389" s="182">
        <v>45940.0</v>
      </c>
      <c r="G389" s="183">
        <v>45756.0</v>
      </c>
      <c r="H389" s="170" t="s">
        <v>38</v>
      </c>
      <c r="I389" s="171">
        <v>1172448.0</v>
      </c>
      <c r="J389" s="171">
        <v>1172448.0</v>
      </c>
      <c r="K389" s="172">
        <f t="shared" si="42"/>
        <v>0</v>
      </c>
      <c r="L389" s="173"/>
      <c r="M389" s="174"/>
      <c r="N389" s="174"/>
      <c r="O389" s="174"/>
      <c r="P389" s="174"/>
      <c r="Q389" s="174"/>
      <c r="R389" s="149"/>
      <c r="S389" s="149"/>
      <c r="T389" s="149"/>
      <c r="U389" s="149"/>
      <c r="V389" s="149"/>
      <c r="W389" s="149"/>
      <c r="X389" s="149"/>
    </row>
    <row r="390" ht="18.75" customHeight="1">
      <c r="A390" s="9">
        <f t="shared" si="5"/>
        <v>387</v>
      </c>
      <c r="B390" s="166" t="s">
        <v>806</v>
      </c>
      <c r="C390" s="166" t="s">
        <v>807</v>
      </c>
      <c r="D390" s="176" t="s">
        <v>798</v>
      </c>
      <c r="E390" s="166" t="s">
        <v>27</v>
      </c>
      <c r="F390" s="168">
        <v>45962.0</v>
      </c>
      <c r="G390" s="169">
        <v>46326.0</v>
      </c>
      <c r="H390" s="179" t="s">
        <v>268</v>
      </c>
      <c r="I390" s="171">
        <v>1197936.0</v>
      </c>
      <c r="J390" s="171">
        <v>1197936.0</v>
      </c>
      <c r="K390" s="172">
        <f t="shared" si="42"/>
        <v>0</v>
      </c>
      <c r="L390" s="173"/>
      <c r="M390" s="174"/>
      <c r="N390" s="174"/>
      <c r="O390" s="174"/>
      <c r="P390" s="174"/>
      <c r="Q390" s="174"/>
      <c r="R390" s="149"/>
      <c r="S390" s="149"/>
      <c r="T390" s="149"/>
      <c r="U390" s="149"/>
      <c r="V390" s="149"/>
      <c r="W390" s="149"/>
      <c r="X390" s="149"/>
    </row>
    <row r="391" ht="18.75" customHeight="1">
      <c r="A391" s="9">
        <f t="shared" si="5"/>
        <v>388</v>
      </c>
      <c r="B391" s="166" t="s">
        <v>808</v>
      </c>
      <c r="C391" s="166" t="s">
        <v>809</v>
      </c>
      <c r="D391" s="176" t="s">
        <v>798</v>
      </c>
      <c r="E391" s="166" t="s">
        <v>27</v>
      </c>
      <c r="F391" s="182">
        <v>45946.0</v>
      </c>
      <c r="G391" s="183">
        <v>45945.0</v>
      </c>
      <c r="H391" s="179" t="s">
        <v>28</v>
      </c>
      <c r="I391" s="171">
        <f>5310*12-5310</f>
        <v>58410</v>
      </c>
      <c r="J391" s="171">
        <f>5310*2-5310</f>
        <v>5310</v>
      </c>
      <c r="K391" s="172">
        <f t="shared" si="42"/>
        <v>53100</v>
      </c>
      <c r="L391" s="178">
        <v>46007.0</v>
      </c>
      <c r="M391" s="188" t="s">
        <v>810</v>
      </c>
      <c r="N391" s="174"/>
      <c r="O391" s="174"/>
      <c r="P391" s="174"/>
      <c r="Q391" s="174"/>
      <c r="R391" s="149"/>
      <c r="S391" s="149"/>
      <c r="T391" s="149"/>
      <c r="U391" s="149"/>
      <c r="V391" s="149"/>
      <c r="W391" s="149"/>
      <c r="X391" s="149"/>
    </row>
    <row r="392" ht="18.75" customHeight="1">
      <c r="A392" s="9">
        <f t="shared" si="5"/>
        <v>389</v>
      </c>
      <c r="B392" s="166" t="s">
        <v>811</v>
      </c>
      <c r="C392" s="166" t="s">
        <v>812</v>
      </c>
      <c r="D392" s="181" t="s">
        <v>159</v>
      </c>
      <c r="E392" s="166" t="s">
        <v>27</v>
      </c>
      <c r="F392" s="168">
        <v>45957.0</v>
      </c>
      <c r="G392" s="169">
        <v>46321.0</v>
      </c>
      <c r="H392" s="179" t="s">
        <v>268</v>
      </c>
      <c r="I392" s="171">
        <v>354000.0</v>
      </c>
      <c r="J392" s="171">
        <v>354000.0</v>
      </c>
      <c r="K392" s="172">
        <f t="shared" si="42"/>
        <v>0</v>
      </c>
      <c r="L392" s="173"/>
      <c r="M392" s="174"/>
      <c r="N392" s="174"/>
      <c r="O392" s="174"/>
      <c r="P392" s="174"/>
      <c r="Q392" s="174"/>
      <c r="R392" s="149"/>
      <c r="S392" s="149"/>
      <c r="T392" s="149"/>
      <c r="U392" s="149"/>
      <c r="V392" s="149"/>
      <c r="W392" s="149"/>
      <c r="X392" s="149"/>
    </row>
    <row r="393" ht="18.75" customHeight="1">
      <c r="A393" s="9">
        <f t="shared" si="5"/>
        <v>390</v>
      </c>
      <c r="B393" s="189" t="s">
        <v>813</v>
      </c>
      <c r="C393" s="166" t="s">
        <v>814</v>
      </c>
      <c r="D393" s="181" t="s">
        <v>159</v>
      </c>
      <c r="E393" s="166" t="s">
        <v>27</v>
      </c>
      <c r="F393" s="190">
        <v>45992.0</v>
      </c>
      <c r="G393" s="191">
        <v>46356.0</v>
      </c>
      <c r="H393" s="179" t="s">
        <v>28</v>
      </c>
      <c r="I393" s="171">
        <f>6000*12</f>
        <v>72000</v>
      </c>
      <c r="J393" s="171">
        <f>6000*1</f>
        <v>6000</v>
      </c>
      <c r="K393" s="171">
        <f>6000*2-6000</f>
        <v>6000</v>
      </c>
      <c r="L393" s="178">
        <v>46009.0</v>
      </c>
      <c r="M393" s="188" t="s">
        <v>815</v>
      </c>
      <c r="N393" s="174"/>
      <c r="O393" s="174"/>
      <c r="P393" s="174"/>
      <c r="Q393" s="174"/>
      <c r="R393" s="149"/>
      <c r="S393" s="149"/>
      <c r="T393" s="149"/>
      <c r="U393" s="149"/>
      <c r="V393" s="149"/>
      <c r="W393" s="149"/>
      <c r="X393" s="149"/>
    </row>
    <row r="394" ht="18.75" customHeight="1">
      <c r="A394" s="9">
        <f t="shared" si="5"/>
        <v>391</v>
      </c>
      <c r="B394" s="166" t="s">
        <v>816</v>
      </c>
      <c r="C394" s="166" t="s">
        <v>817</v>
      </c>
      <c r="D394" s="176" t="s">
        <v>690</v>
      </c>
      <c r="E394" s="166" t="s">
        <v>27</v>
      </c>
      <c r="F394" s="168">
        <v>45953.0</v>
      </c>
      <c r="G394" s="169">
        <v>46317.0</v>
      </c>
      <c r="H394" s="179" t="s">
        <v>268</v>
      </c>
      <c r="I394" s="171">
        <v>212400.0</v>
      </c>
      <c r="J394" s="171">
        <v>212400.0</v>
      </c>
      <c r="K394" s="172">
        <f t="shared" ref="K394:K504" si="52">I394-J394</f>
        <v>0</v>
      </c>
      <c r="L394" s="173"/>
      <c r="M394" s="174"/>
      <c r="N394" s="174"/>
      <c r="O394" s="174"/>
      <c r="P394" s="174"/>
      <c r="Q394" s="174"/>
      <c r="R394" s="149"/>
      <c r="S394" s="149"/>
      <c r="T394" s="149"/>
      <c r="U394" s="149"/>
      <c r="V394" s="149"/>
      <c r="W394" s="149"/>
      <c r="X394" s="149"/>
    </row>
    <row r="395" ht="18.75" customHeight="1">
      <c r="A395" s="9">
        <f t="shared" si="5"/>
        <v>392</v>
      </c>
      <c r="B395" s="166" t="s">
        <v>818</v>
      </c>
      <c r="C395" s="166" t="s">
        <v>819</v>
      </c>
      <c r="D395" s="181" t="s">
        <v>45</v>
      </c>
      <c r="E395" s="166" t="s">
        <v>27</v>
      </c>
      <c r="F395" s="168">
        <v>45953.0</v>
      </c>
      <c r="G395" s="169">
        <v>46317.0</v>
      </c>
      <c r="H395" s="179" t="s">
        <v>28</v>
      </c>
      <c r="I395" s="171">
        <f>9440*12</f>
        <v>113280</v>
      </c>
      <c r="J395" s="171">
        <f>9440*1</f>
        <v>9440</v>
      </c>
      <c r="K395" s="172">
        <f t="shared" si="52"/>
        <v>103840</v>
      </c>
      <c r="L395" s="178">
        <v>45984.0</v>
      </c>
      <c r="M395" s="174"/>
      <c r="N395" s="174"/>
      <c r="O395" s="174"/>
      <c r="P395" s="174"/>
      <c r="Q395" s="174"/>
      <c r="R395" s="149"/>
      <c r="S395" s="149"/>
      <c r="T395" s="149"/>
      <c r="U395" s="149"/>
      <c r="V395" s="149"/>
      <c r="W395" s="149"/>
      <c r="X395" s="149"/>
    </row>
    <row r="396" ht="18.75" customHeight="1">
      <c r="A396" s="9">
        <f t="shared" si="5"/>
        <v>393</v>
      </c>
      <c r="B396" s="166" t="s">
        <v>646</v>
      </c>
      <c r="C396" s="166" t="s">
        <v>820</v>
      </c>
      <c r="D396" s="181" t="s">
        <v>188</v>
      </c>
      <c r="E396" s="166" t="s">
        <v>27</v>
      </c>
      <c r="F396" s="168">
        <v>45962.0</v>
      </c>
      <c r="G396" s="169" t="s">
        <v>821</v>
      </c>
      <c r="H396" s="179" t="s">
        <v>268</v>
      </c>
      <c r="I396" s="171">
        <v>141600.0</v>
      </c>
      <c r="J396" s="171">
        <v>141600.0</v>
      </c>
      <c r="K396" s="172">
        <f t="shared" si="52"/>
        <v>0</v>
      </c>
      <c r="L396" s="173"/>
      <c r="M396" s="174"/>
      <c r="N396" s="174"/>
      <c r="O396" s="174"/>
      <c r="P396" s="174"/>
      <c r="Q396" s="174"/>
      <c r="R396" s="149"/>
      <c r="S396" s="149"/>
      <c r="T396" s="149"/>
      <c r="U396" s="149"/>
      <c r="V396" s="149"/>
      <c r="W396" s="149"/>
      <c r="X396" s="149"/>
    </row>
    <row r="397" ht="18.75" customHeight="1">
      <c r="A397" s="9">
        <f t="shared" si="5"/>
        <v>394</v>
      </c>
      <c r="B397" s="166" t="s">
        <v>717</v>
      </c>
      <c r="C397" s="166" t="s">
        <v>822</v>
      </c>
      <c r="D397" s="181" t="s">
        <v>45</v>
      </c>
      <c r="E397" s="166" t="s">
        <v>27</v>
      </c>
      <c r="F397" s="168">
        <v>45955.0</v>
      </c>
      <c r="G397" s="169">
        <v>45985.0</v>
      </c>
      <c r="H397" s="170" t="s">
        <v>55</v>
      </c>
      <c r="I397" s="192">
        <v>10970.69</v>
      </c>
      <c r="J397" s="192">
        <v>10970.69</v>
      </c>
      <c r="K397" s="172">
        <f t="shared" si="52"/>
        <v>0</v>
      </c>
      <c r="L397" s="173"/>
      <c r="M397" s="193" t="s">
        <v>823</v>
      </c>
      <c r="N397" s="194">
        <f>87.765491*125</f>
        <v>10970.68638</v>
      </c>
      <c r="O397" s="195" t="s">
        <v>824</v>
      </c>
      <c r="P397" s="174"/>
      <c r="Q397" s="174"/>
      <c r="R397" s="149"/>
      <c r="S397" s="149"/>
      <c r="T397" s="149"/>
      <c r="U397" s="149"/>
      <c r="V397" s="149"/>
      <c r="W397" s="149"/>
      <c r="X397" s="149"/>
    </row>
    <row r="398" ht="18.75" customHeight="1">
      <c r="A398" s="9">
        <f t="shared" si="5"/>
        <v>395</v>
      </c>
      <c r="B398" s="166" t="s">
        <v>825</v>
      </c>
      <c r="C398" s="166" t="s">
        <v>826</v>
      </c>
      <c r="D398" s="181" t="s">
        <v>696</v>
      </c>
      <c r="E398" s="166" t="s">
        <v>27</v>
      </c>
      <c r="F398" s="168">
        <v>45954.0</v>
      </c>
      <c r="G398" s="169">
        <v>46318.0</v>
      </c>
      <c r="H398" s="179" t="s">
        <v>268</v>
      </c>
      <c r="I398" s="171">
        <v>71000.0</v>
      </c>
      <c r="J398" s="171">
        <v>71000.0</v>
      </c>
      <c r="K398" s="172">
        <f t="shared" si="52"/>
        <v>0</v>
      </c>
      <c r="L398" s="173"/>
      <c r="M398" s="174"/>
      <c r="N398" s="174"/>
      <c r="O398" s="174"/>
      <c r="P398" s="174"/>
      <c r="Q398" s="174"/>
      <c r="R398" s="149"/>
      <c r="S398" s="149"/>
      <c r="T398" s="149"/>
      <c r="U398" s="149"/>
      <c r="V398" s="149"/>
      <c r="W398" s="149"/>
      <c r="X398" s="149"/>
    </row>
    <row r="399" ht="18.75" customHeight="1">
      <c r="A399" s="9">
        <f t="shared" si="5"/>
        <v>396</v>
      </c>
      <c r="B399" s="166" t="s">
        <v>827</v>
      </c>
      <c r="C399" s="166" t="s">
        <v>828</v>
      </c>
      <c r="D399" s="176" t="s">
        <v>829</v>
      </c>
      <c r="E399" s="166" t="s">
        <v>27</v>
      </c>
      <c r="F399" s="182">
        <v>45957.0</v>
      </c>
      <c r="G399" s="183">
        <v>46321.0</v>
      </c>
      <c r="H399" s="177" t="s">
        <v>294</v>
      </c>
      <c r="I399" s="171">
        <f>35000*4</f>
        <v>140000</v>
      </c>
      <c r="J399" s="171">
        <f>35000*1</f>
        <v>35000</v>
      </c>
      <c r="K399" s="172">
        <f t="shared" si="52"/>
        <v>105000</v>
      </c>
      <c r="L399" s="178">
        <v>45988.0</v>
      </c>
      <c r="M399" s="174"/>
      <c r="N399" s="174"/>
      <c r="O399" s="174"/>
      <c r="P399" s="174"/>
      <c r="Q399" s="174"/>
      <c r="R399" s="149"/>
      <c r="S399" s="149"/>
      <c r="T399" s="149"/>
      <c r="U399" s="149"/>
      <c r="V399" s="149"/>
      <c r="W399" s="149"/>
      <c r="X399" s="149"/>
    </row>
    <row r="400" ht="18.75" customHeight="1">
      <c r="A400" s="9">
        <f t="shared" si="5"/>
        <v>397</v>
      </c>
      <c r="B400" s="166" t="s">
        <v>730</v>
      </c>
      <c r="C400" s="166" t="s">
        <v>830</v>
      </c>
      <c r="D400" s="176" t="s">
        <v>196</v>
      </c>
      <c r="E400" s="166" t="s">
        <v>27</v>
      </c>
      <c r="F400" s="168">
        <v>45962.0</v>
      </c>
      <c r="G400" s="169">
        <v>46356.0</v>
      </c>
      <c r="H400" s="179" t="s">
        <v>305</v>
      </c>
      <c r="I400" s="171">
        <f>11800*13</f>
        <v>153400</v>
      </c>
      <c r="J400" s="171">
        <f>11800*1</f>
        <v>11800</v>
      </c>
      <c r="K400" s="172">
        <f t="shared" si="52"/>
        <v>141600</v>
      </c>
      <c r="L400" s="178">
        <v>45992.0</v>
      </c>
      <c r="M400" s="174"/>
      <c r="N400" s="174"/>
      <c r="O400" s="174"/>
      <c r="P400" s="174"/>
      <c r="Q400" s="174"/>
      <c r="R400" s="149"/>
      <c r="S400" s="149"/>
      <c r="T400" s="149"/>
      <c r="U400" s="149"/>
      <c r="V400" s="149"/>
      <c r="W400" s="149"/>
      <c r="X400" s="149"/>
    </row>
    <row r="401" ht="18.75" customHeight="1">
      <c r="A401" s="9">
        <f t="shared" si="5"/>
        <v>398</v>
      </c>
      <c r="B401" s="166" t="s">
        <v>224</v>
      </c>
      <c r="C401" s="166" t="s">
        <v>831</v>
      </c>
      <c r="D401" s="181" t="s">
        <v>31</v>
      </c>
      <c r="E401" s="166" t="s">
        <v>27</v>
      </c>
      <c r="F401" s="168">
        <v>45957.0</v>
      </c>
      <c r="G401" s="169">
        <v>46263.0</v>
      </c>
      <c r="H401" s="179" t="s">
        <v>832</v>
      </c>
      <c r="I401" s="171">
        <v>38940.0</v>
      </c>
      <c r="J401" s="171">
        <v>15576.0</v>
      </c>
      <c r="K401" s="172">
        <f t="shared" si="52"/>
        <v>23364</v>
      </c>
      <c r="L401" s="178">
        <v>46081.0</v>
      </c>
      <c r="M401" s="174"/>
      <c r="N401" s="174"/>
      <c r="O401" s="174"/>
      <c r="P401" s="174"/>
      <c r="Q401" s="174"/>
      <c r="R401" s="149"/>
      <c r="S401" s="149"/>
      <c r="T401" s="149"/>
      <c r="U401" s="149"/>
      <c r="V401" s="149"/>
      <c r="W401" s="149"/>
      <c r="X401" s="149"/>
    </row>
    <row r="402" ht="18.75" customHeight="1">
      <c r="A402" s="9">
        <f t="shared" si="5"/>
        <v>399</v>
      </c>
      <c r="B402" s="166" t="s">
        <v>833</v>
      </c>
      <c r="C402" s="166" t="s">
        <v>834</v>
      </c>
      <c r="D402" s="176" t="s">
        <v>188</v>
      </c>
      <c r="E402" s="166" t="s">
        <v>27</v>
      </c>
      <c r="F402" s="168">
        <v>45958.0</v>
      </c>
      <c r="G402" s="169">
        <v>46322.0</v>
      </c>
      <c r="H402" s="179" t="s">
        <v>268</v>
      </c>
      <c r="I402" s="171">
        <v>74340.0</v>
      </c>
      <c r="J402" s="171">
        <v>74340.0</v>
      </c>
      <c r="K402" s="172">
        <f t="shared" si="52"/>
        <v>0</v>
      </c>
      <c r="L402" s="173"/>
      <c r="M402" s="174"/>
      <c r="N402" s="174"/>
      <c r="O402" s="174"/>
      <c r="P402" s="174"/>
      <c r="Q402" s="174"/>
      <c r="R402" s="149"/>
      <c r="S402" s="149"/>
      <c r="T402" s="149"/>
      <c r="U402" s="149"/>
      <c r="V402" s="149"/>
      <c r="W402" s="149"/>
      <c r="X402" s="149"/>
    </row>
    <row r="403" ht="18.75" customHeight="1">
      <c r="A403" s="9">
        <f t="shared" si="5"/>
        <v>400</v>
      </c>
      <c r="B403" s="166" t="s">
        <v>835</v>
      </c>
      <c r="C403" s="166" t="s">
        <v>836</v>
      </c>
      <c r="D403" s="176" t="s">
        <v>159</v>
      </c>
      <c r="E403" s="166" t="s">
        <v>54</v>
      </c>
      <c r="F403" s="168">
        <v>45958.0</v>
      </c>
      <c r="G403" s="169">
        <v>45988.0</v>
      </c>
      <c r="H403" s="170" t="s">
        <v>55</v>
      </c>
      <c r="I403" s="196">
        <v>35313.85</v>
      </c>
      <c r="J403" s="196">
        <v>35313.85</v>
      </c>
      <c r="K403" s="172">
        <f t="shared" si="52"/>
        <v>0</v>
      </c>
      <c r="L403" s="173"/>
      <c r="M403" s="197" t="s">
        <v>837</v>
      </c>
      <c r="N403" s="198">
        <f>88.28463*400</f>
        <v>35313.852</v>
      </c>
      <c r="O403" s="199" t="s">
        <v>838</v>
      </c>
      <c r="P403" s="174"/>
      <c r="Q403" s="174"/>
      <c r="R403" s="149"/>
      <c r="S403" s="149"/>
      <c r="T403" s="149"/>
      <c r="U403" s="149"/>
      <c r="V403" s="149"/>
      <c r="W403" s="149"/>
      <c r="X403" s="149"/>
    </row>
    <row r="404" ht="18.75" customHeight="1">
      <c r="A404" s="9">
        <f t="shared" si="5"/>
        <v>401</v>
      </c>
      <c r="B404" s="166" t="s">
        <v>839</v>
      </c>
      <c r="C404" s="166" t="s">
        <v>840</v>
      </c>
      <c r="D404" s="200" t="s">
        <v>31</v>
      </c>
      <c r="E404" s="166" t="s">
        <v>54</v>
      </c>
      <c r="F404" s="168">
        <v>45964.0</v>
      </c>
      <c r="G404" s="169">
        <v>45993.0</v>
      </c>
      <c r="H404" s="170" t="s">
        <v>55</v>
      </c>
      <c r="I404" s="171">
        <v>7080.0</v>
      </c>
      <c r="J404" s="171">
        <v>7080.0</v>
      </c>
      <c r="K404" s="172">
        <f t="shared" si="52"/>
        <v>0</v>
      </c>
      <c r="L404" s="173"/>
      <c r="M404" s="174"/>
      <c r="N404" s="174"/>
      <c r="O404" s="174"/>
      <c r="P404" s="174"/>
      <c r="Q404" s="174"/>
      <c r="R404" s="149"/>
      <c r="S404" s="149"/>
      <c r="T404" s="149"/>
      <c r="U404" s="149"/>
      <c r="V404" s="149"/>
      <c r="W404" s="149"/>
      <c r="X404" s="149"/>
    </row>
    <row r="405" ht="18.75" customHeight="1">
      <c r="A405" s="9">
        <f t="shared" si="5"/>
        <v>402</v>
      </c>
      <c r="B405" s="166" t="s">
        <v>841</v>
      </c>
      <c r="C405" s="166" t="s">
        <v>842</v>
      </c>
      <c r="D405" s="181" t="s">
        <v>696</v>
      </c>
      <c r="E405" s="166" t="s">
        <v>54</v>
      </c>
      <c r="F405" s="168">
        <v>45960.0</v>
      </c>
      <c r="G405" s="169">
        <v>45991.0</v>
      </c>
      <c r="H405" s="170" t="s">
        <v>55</v>
      </c>
      <c r="I405" s="171">
        <v>8260.0</v>
      </c>
      <c r="J405" s="171">
        <f>I405</f>
        <v>8260</v>
      </c>
      <c r="K405" s="172">
        <f t="shared" si="52"/>
        <v>0</v>
      </c>
      <c r="L405" s="173"/>
      <c r="M405" s="174"/>
      <c r="N405" s="174"/>
      <c r="O405" s="174"/>
      <c r="P405" s="174"/>
      <c r="Q405" s="174"/>
      <c r="R405" s="149"/>
      <c r="S405" s="149"/>
      <c r="T405" s="149"/>
      <c r="U405" s="149"/>
      <c r="V405" s="149"/>
      <c r="W405" s="149"/>
      <c r="X405" s="149"/>
    </row>
    <row r="406" ht="18.75" customHeight="1">
      <c r="A406" s="9">
        <f t="shared" si="5"/>
        <v>403</v>
      </c>
      <c r="B406" s="166" t="s">
        <v>715</v>
      </c>
      <c r="C406" s="166" t="s">
        <v>843</v>
      </c>
      <c r="D406" s="201" t="s">
        <v>45</v>
      </c>
      <c r="E406" s="166" t="s">
        <v>27</v>
      </c>
      <c r="F406" s="168">
        <v>45959.0</v>
      </c>
      <c r="G406" s="169">
        <v>46323.0</v>
      </c>
      <c r="H406" s="177" t="s">
        <v>291</v>
      </c>
      <c r="I406" s="171">
        <v>82600.0</v>
      </c>
      <c r="J406" s="171">
        <v>41300.0</v>
      </c>
      <c r="K406" s="172">
        <f t="shared" si="52"/>
        <v>41300</v>
      </c>
      <c r="L406" s="202">
        <v>46141.0</v>
      </c>
      <c r="M406" s="174"/>
      <c r="N406" s="174"/>
      <c r="O406" s="174"/>
      <c r="P406" s="174"/>
      <c r="Q406" s="174"/>
      <c r="R406" s="149"/>
      <c r="S406" s="149"/>
      <c r="T406" s="149"/>
      <c r="U406" s="149"/>
      <c r="V406" s="149"/>
      <c r="W406" s="149"/>
      <c r="X406" s="149"/>
    </row>
    <row r="407" ht="18.75" customHeight="1">
      <c r="A407" s="9">
        <f t="shared" si="5"/>
        <v>404</v>
      </c>
      <c r="B407" s="166" t="s">
        <v>631</v>
      </c>
      <c r="C407" s="166" t="s">
        <v>844</v>
      </c>
      <c r="D407" s="201" t="s">
        <v>45</v>
      </c>
      <c r="E407" s="166" t="s">
        <v>27</v>
      </c>
      <c r="F407" s="168">
        <v>374619.0</v>
      </c>
      <c r="G407" s="169">
        <v>46265.0</v>
      </c>
      <c r="H407" s="179" t="s">
        <v>268</v>
      </c>
      <c r="I407" s="171">
        <v>236.0</v>
      </c>
      <c r="J407" s="171">
        <f t="shared" ref="J407:J408" si="53">I407</f>
        <v>236</v>
      </c>
      <c r="K407" s="172">
        <f t="shared" si="52"/>
        <v>0</v>
      </c>
      <c r="L407" s="173"/>
      <c r="M407" s="174"/>
      <c r="N407" s="174"/>
      <c r="O407" s="174"/>
      <c r="P407" s="174"/>
      <c r="Q407" s="174"/>
      <c r="R407" s="149"/>
      <c r="S407" s="149"/>
      <c r="T407" s="149"/>
      <c r="U407" s="149"/>
      <c r="V407" s="149"/>
      <c r="W407" s="149"/>
      <c r="X407" s="149"/>
    </row>
    <row r="408" ht="18.75" customHeight="1">
      <c r="A408" s="9">
        <f t="shared" si="5"/>
        <v>405</v>
      </c>
      <c r="B408" s="166" t="s">
        <v>845</v>
      </c>
      <c r="C408" s="166" t="s">
        <v>846</v>
      </c>
      <c r="D408" s="201" t="s">
        <v>45</v>
      </c>
      <c r="E408" s="166" t="s">
        <v>27</v>
      </c>
      <c r="F408" s="168">
        <v>45964.0</v>
      </c>
      <c r="G408" s="169">
        <v>46328.0</v>
      </c>
      <c r="H408" s="179" t="s">
        <v>268</v>
      </c>
      <c r="I408" s="171">
        <v>82600.0</v>
      </c>
      <c r="J408" s="171">
        <f t="shared" si="53"/>
        <v>82600</v>
      </c>
      <c r="K408" s="172">
        <f t="shared" si="52"/>
        <v>0</v>
      </c>
      <c r="L408" s="173"/>
      <c r="M408" s="174"/>
      <c r="N408" s="174"/>
      <c r="O408" s="174"/>
      <c r="P408" s="174"/>
      <c r="Q408" s="174"/>
      <c r="R408" s="149"/>
      <c r="S408" s="149"/>
      <c r="T408" s="149"/>
      <c r="U408" s="149"/>
      <c r="V408" s="149"/>
      <c r="W408" s="149"/>
      <c r="X408" s="149"/>
    </row>
    <row r="409" ht="18.75" customHeight="1">
      <c r="A409" s="9">
        <f t="shared" si="5"/>
        <v>406</v>
      </c>
      <c r="B409" s="166" t="s">
        <v>847</v>
      </c>
      <c r="C409" s="166" t="s">
        <v>848</v>
      </c>
      <c r="D409" s="201" t="s">
        <v>45</v>
      </c>
      <c r="E409" s="166" t="s">
        <v>27</v>
      </c>
      <c r="F409" s="168">
        <v>45960.0</v>
      </c>
      <c r="G409" s="169">
        <v>46324.0</v>
      </c>
      <c r="H409" s="179" t="s">
        <v>28</v>
      </c>
      <c r="I409" s="171">
        <v>300000.0</v>
      </c>
      <c r="J409" s="171">
        <f>21186.44+3813.56</f>
        <v>25000</v>
      </c>
      <c r="K409" s="172">
        <f t="shared" si="52"/>
        <v>275000</v>
      </c>
      <c r="L409" s="203">
        <v>45991.0</v>
      </c>
      <c r="M409" s="174"/>
      <c r="N409" s="174"/>
      <c r="O409" s="174"/>
      <c r="P409" s="174"/>
      <c r="Q409" s="174"/>
      <c r="R409" s="149"/>
      <c r="S409" s="149"/>
      <c r="T409" s="149"/>
      <c r="U409" s="149"/>
      <c r="V409" s="149"/>
      <c r="W409" s="149"/>
      <c r="X409" s="149"/>
    </row>
    <row r="410" ht="18.75" customHeight="1">
      <c r="A410" s="9">
        <f t="shared" si="5"/>
        <v>407</v>
      </c>
      <c r="B410" s="166" t="s">
        <v>849</v>
      </c>
      <c r="C410" s="166" t="s">
        <v>850</v>
      </c>
      <c r="D410" s="176" t="s">
        <v>851</v>
      </c>
      <c r="E410" s="166" t="s">
        <v>27</v>
      </c>
      <c r="F410" s="168">
        <v>45960.0</v>
      </c>
      <c r="G410" s="169">
        <v>46324.0</v>
      </c>
      <c r="H410" s="179" t="s">
        <v>268</v>
      </c>
      <c r="I410" s="171">
        <v>118000.0</v>
      </c>
      <c r="J410" s="171">
        <f t="shared" ref="J410:J415" si="54">I410</f>
        <v>118000</v>
      </c>
      <c r="K410" s="172">
        <f t="shared" si="52"/>
        <v>0</v>
      </c>
      <c r="L410" s="173"/>
      <c r="M410" s="174"/>
      <c r="N410" s="174"/>
      <c r="O410" s="174"/>
      <c r="P410" s="174"/>
      <c r="Q410" s="174"/>
      <c r="R410" s="149"/>
      <c r="S410" s="149"/>
      <c r="T410" s="149"/>
      <c r="U410" s="149"/>
      <c r="V410" s="149"/>
      <c r="W410" s="149"/>
      <c r="X410" s="149"/>
    </row>
    <row r="411" ht="18.75" customHeight="1">
      <c r="A411" s="9">
        <f t="shared" si="5"/>
        <v>408</v>
      </c>
      <c r="B411" s="166" t="s">
        <v>852</v>
      </c>
      <c r="C411" s="166" t="s">
        <v>853</v>
      </c>
      <c r="D411" s="176" t="s">
        <v>851</v>
      </c>
      <c r="E411" s="166" t="s">
        <v>54</v>
      </c>
      <c r="F411" s="168">
        <v>45960.0</v>
      </c>
      <c r="G411" s="204">
        <v>45990.0</v>
      </c>
      <c r="H411" s="170" t="s">
        <v>55</v>
      </c>
      <c r="I411" s="171">
        <v>9440.0</v>
      </c>
      <c r="J411" s="171">
        <f t="shared" si="54"/>
        <v>9440</v>
      </c>
      <c r="K411" s="172">
        <f t="shared" si="52"/>
        <v>0</v>
      </c>
      <c r="L411" s="173"/>
      <c r="M411" s="174"/>
      <c r="N411" s="174"/>
      <c r="O411" s="174"/>
      <c r="P411" s="174"/>
      <c r="Q411" s="174"/>
      <c r="R411" s="149"/>
      <c r="S411" s="149"/>
      <c r="T411" s="149"/>
      <c r="U411" s="149"/>
      <c r="V411" s="149"/>
      <c r="W411" s="149"/>
      <c r="X411" s="149"/>
    </row>
    <row r="412" ht="18.75" customHeight="1">
      <c r="A412" s="9">
        <f t="shared" si="5"/>
        <v>409</v>
      </c>
      <c r="B412" s="166" t="s">
        <v>854</v>
      </c>
      <c r="C412" s="166" t="s">
        <v>855</v>
      </c>
      <c r="D412" s="176" t="s">
        <v>851</v>
      </c>
      <c r="E412" s="166" t="s">
        <v>54</v>
      </c>
      <c r="F412" s="168">
        <v>45960.0</v>
      </c>
      <c r="G412" s="204">
        <v>45990.0</v>
      </c>
      <c r="H412" s="170" t="s">
        <v>55</v>
      </c>
      <c r="I412" s="171">
        <v>21240.0</v>
      </c>
      <c r="J412" s="171">
        <f t="shared" si="54"/>
        <v>21240</v>
      </c>
      <c r="K412" s="172">
        <f t="shared" si="52"/>
        <v>0</v>
      </c>
      <c r="L412" s="173"/>
      <c r="M412" s="174"/>
      <c r="N412" s="174"/>
      <c r="O412" s="174"/>
      <c r="P412" s="174"/>
      <c r="Q412" s="174"/>
      <c r="R412" s="149"/>
      <c r="S412" s="149"/>
      <c r="T412" s="149"/>
      <c r="U412" s="149"/>
      <c r="V412" s="149"/>
      <c r="W412" s="149"/>
      <c r="X412" s="149"/>
    </row>
    <row r="413" ht="18.75" customHeight="1">
      <c r="A413" s="9">
        <f t="shared" si="5"/>
        <v>410</v>
      </c>
      <c r="B413" s="166" t="s">
        <v>856</v>
      </c>
      <c r="C413" s="166" t="s">
        <v>857</v>
      </c>
      <c r="D413" s="181" t="s">
        <v>696</v>
      </c>
      <c r="E413" s="166" t="s">
        <v>54</v>
      </c>
      <c r="F413" s="168">
        <v>45961.0</v>
      </c>
      <c r="G413" s="169">
        <v>45991.0</v>
      </c>
      <c r="H413" s="170" t="s">
        <v>55</v>
      </c>
      <c r="I413" s="171">
        <v>5000.0</v>
      </c>
      <c r="J413" s="171">
        <f t="shared" si="54"/>
        <v>5000</v>
      </c>
      <c r="K413" s="172">
        <f t="shared" si="52"/>
        <v>0</v>
      </c>
      <c r="L413" s="173"/>
      <c r="M413" s="174"/>
      <c r="N413" s="174"/>
      <c r="O413" s="174"/>
      <c r="P413" s="174"/>
      <c r="Q413" s="174"/>
      <c r="R413" s="149"/>
      <c r="S413" s="149"/>
      <c r="T413" s="149"/>
      <c r="U413" s="149"/>
      <c r="V413" s="149"/>
      <c r="W413" s="149"/>
      <c r="X413" s="149"/>
    </row>
    <row r="414" ht="18.75" customHeight="1">
      <c r="A414" s="9">
        <f t="shared" si="5"/>
        <v>411</v>
      </c>
      <c r="B414" s="166" t="s">
        <v>858</v>
      </c>
      <c r="C414" s="166" t="s">
        <v>859</v>
      </c>
      <c r="D414" s="176" t="s">
        <v>188</v>
      </c>
      <c r="E414" s="166" t="s">
        <v>54</v>
      </c>
      <c r="F414" s="168">
        <v>45961.0</v>
      </c>
      <c r="G414" s="169">
        <v>45991.0</v>
      </c>
      <c r="H414" s="170" t="s">
        <v>55</v>
      </c>
      <c r="I414" s="171">
        <v>8000.0</v>
      </c>
      <c r="J414" s="171">
        <f t="shared" si="54"/>
        <v>8000</v>
      </c>
      <c r="K414" s="172">
        <f t="shared" si="52"/>
        <v>0</v>
      </c>
      <c r="L414" s="173"/>
      <c r="M414" s="174"/>
      <c r="N414" s="174"/>
      <c r="O414" s="174"/>
      <c r="P414" s="174"/>
      <c r="Q414" s="174"/>
      <c r="R414" s="149"/>
      <c r="S414" s="149"/>
      <c r="T414" s="149"/>
      <c r="U414" s="149"/>
      <c r="V414" s="149"/>
      <c r="W414" s="149"/>
      <c r="X414" s="149"/>
    </row>
    <row r="415" ht="18.75" customHeight="1">
      <c r="A415" s="9">
        <f t="shared" si="5"/>
        <v>412</v>
      </c>
      <c r="B415" s="166" t="s">
        <v>860</v>
      </c>
      <c r="C415" s="166" t="s">
        <v>861</v>
      </c>
      <c r="D415" s="176" t="s">
        <v>395</v>
      </c>
      <c r="E415" s="166" t="s">
        <v>27</v>
      </c>
      <c r="F415" s="168">
        <v>45962.0</v>
      </c>
      <c r="G415" s="169">
        <v>46053.0</v>
      </c>
      <c r="H415" s="170" t="s">
        <v>48</v>
      </c>
      <c r="I415" s="171">
        <v>44250.0</v>
      </c>
      <c r="J415" s="171">
        <f t="shared" si="54"/>
        <v>44250</v>
      </c>
      <c r="K415" s="172">
        <f t="shared" si="52"/>
        <v>0</v>
      </c>
      <c r="L415" s="173"/>
      <c r="M415" s="174"/>
      <c r="N415" s="174"/>
      <c r="O415" s="174"/>
      <c r="P415" s="174"/>
      <c r="Q415" s="174"/>
      <c r="R415" s="149"/>
      <c r="S415" s="149"/>
      <c r="T415" s="149"/>
      <c r="U415" s="149"/>
      <c r="V415" s="149"/>
      <c r="W415" s="149"/>
      <c r="X415" s="149"/>
    </row>
    <row r="416" ht="18.75" customHeight="1">
      <c r="A416" s="9">
        <f t="shared" si="5"/>
        <v>413</v>
      </c>
      <c r="B416" s="116" t="s">
        <v>730</v>
      </c>
      <c r="C416" s="116" t="s">
        <v>862</v>
      </c>
      <c r="D416" s="160" t="s">
        <v>863</v>
      </c>
      <c r="E416" s="116" t="s">
        <v>27</v>
      </c>
      <c r="F416" s="128">
        <v>45962.0</v>
      </c>
      <c r="G416" s="102">
        <v>46356.0</v>
      </c>
      <c r="H416" s="109" t="s">
        <v>864</v>
      </c>
      <c r="I416" s="164">
        <v>153400.0</v>
      </c>
      <c r="J416" s="115">
        <v>11800.0</v>
      </c>
      <c r="K416" s="117">
        <f t="shared" si="52"/>
        <v>141600</v>
      </c>
      <c r="L416" s="130">
        <v>45992.0</v>
      </c>
      <c r="M416" s="119"/>
      <c r="N416" s="119"/>
      <c r="O416" s="119"/>
      <c r="P416" s="119"/>
      <c r="Q416" s="119"/>
      <c r="R416" s="1"/>
      <c r="S416" s="1"/>
      <c r="T416" s="1"/>
      <c r="U416" s="1"/>
      <c r="V416" s="1"/>
      <c r="W416" s="1"/>
      <c r="X416" s="1"/>
    </row>
    <row r="417" ht="18.75" customHeight="1">
      <c r="A417" s="9">
        <f t="shared" si="5"/>
        <v>414</v>
      </c>
      <c r="B417" s="116" t="s">
        <v>298</v>
      </c>
      <c r="C417" s="116" t="s">
        <v>865</v>
      </c>
      <c r="D417" s="160" t="s">
        <v>395</v>
      </c>
      <c r="E417" s="116" t="s">
        <v>27</v>
      </c>
      <c r="F417" s="128">
        <v>45964.0</v>
      </c>
      <c r="G417" s="102">
        <v>46328.0</v>
      </c>
      <c r="H417" s="159" t="s">
        <v>294</v>
      </c>
      <c r="I417" s="115">
        <f>109197*4</f>
        <v>436788</v>
      </c>
      <c r="J417" s="115">
        <f>92540+16657</f>
        <v>109197</v>
      </c>
      <c r="K417" s="117">
        <f t="shared" si="52"/>
        <v>327591</v>
      </c>
      <c r="L417" s="136">
        <v>46055.0</v>
      </c>
      <c r="M417" s="119"/>
      <c r="N417" s="119"/>
      <c r="O417" s="119"/>
      <c r="P417" s="119"/>
      <c r="Q417" s="119"/>
      <c r="R417" s="1"/>
      <c r="S417" s="1"/>
      <c r="T417" s="1"/>
      <c r="U417" s="1"/>
      <c r="V417" s="1"/>
      <c r="W417" s="1"/>
      <c r="X417" s="1"/>
    </row>
    <row r="418" ht="18.75" customHeight="1">
      <c r="A418" s="9">
        <f t="shared" si="5"/>
        <v>415</v>
      </c>
      <c r="B418" s="116" t="s">
        <v>50</v>
      </c>
      <c r="C418" s="116" t="s">
        <v>866</v>
      </c>
      <c r="D418" s="160" t="s">
        <v>159</v>
      </c>
      <c r="E418" s="116" t="s">
        <v>54</v>
      </c>
      <c r="F418" s="128">
        <v>45962.0</v>
      </c>
      <c r="G418" s="102">
        <v>45991.0</v>
      </c>
      <c r="H418" s="109" t="s">
        <v>55</v>
      </c>
      <c r="I418" s="115">
        <v>47200.0</v>
      </c>
      <c r="J418" s="115">
        <f t="shared" ref="J418:J419" si="55">I418</f>
        <v>47200</v>
      </c>
      <c r="K418" s="117">
        <f t="shared" si="52"/>
        <v>0</v>
      </c>
      <c r="L418" s="118"/>
      <c r="M418" s="119"/>
      <c r="N418" s="119"/>
      <c r="O418" s="119"/>
      <c r="P418" s="119"/>
      <c r="Q418" s="119"/>
      <c r="R418" s="1"/>
      <c r="S418" s="1"/>
      <c r="T418" s="1"/>
      <c r="U418" s="1"/>
      <c r="V418" s="1"/>
      <c r="W418" s="1"/>
      <c r="X418" s="1"/>
    </row>
    <row r="419" ht="18.75" customHeight="1">
      <c r="A419" s="9">
        <f t="shared" si="5"/>
        <v>416</v>
      </c>
      <c r="B419" s="116" t="s">
        <v>849</v>
      </c>
      <c r="C419" s="116" t="s">
        <v>867</v>
      </c>
      <c r="D419" s="160" t="s">
        <v>851</v>
      </c>
      <c r="E419" s="116" t="s">
        <v>27</v>
      </c>
      <c r="F419" s="128">
        <v>45964.0</v>
      </c>
      <c r="G419" s="102">
        <v>46324.0</v>
      </c>
      <c r="H419" s="103" t="s">
        <v>268</v>
      </c>
      <c r="I419" s="115">
        <v>59000.0</v>
      </c>
      <c r="J419" s="115">
        <f t="shared" si="55"/>
        <v>59000</v>
      </c>
      <c r="K419" s="117">
        <f t="shared" si="52"/>
        <v>0</v>
      </c>
      <c r="L419" s="118"/>
      <c r="M419" s="119"/>
      <c r="N419" s="119"/>
      <c r="O419" s="119"/>
      <c r="P419" s="119"/>
      <c r="Q419" s="119"/>
      <c r="R419" s="1"/>
      <c r="S419" s="1"/>
      <c r="T419" s="1"/>
      <c r="U419" s="1"/>
      <c r="V419" s="1"/>
      <c r="W419" s="1"/>
      <c r="X419" s="1"/>
    </row>
    <row r="420" ht="18.75" customHeight="1">
      <c r="A420" s="9">
        <f t="shared" si="5"/>
        <v>417</v>
      </c>
      <c r="B420" s="116" t="s">
        <v>868</v>
      </c>
      <c r="C420" s="116" t="s">
        <v>869</v>
      </c>
      <c r="D420" s="160" t="s">
        <v>140</v>
      </c>
      <c r="E420" s="116" t="s">
        <v>27</v>
      </c>
      <c r="F420" s="128">
        <v>45965.0</v>
      </c>
      <c r="G420" s="102">
        <v>46329.0</v>
      </c>
      <c r="H420" s="103" t="s">
        <v>268</v>
      </c>
      <c r="I420" s="115">
        <v>82600.0</v>
      </c>
      <c r="J420" s="115">
        <v>82600.0</v>
      </c>
      <c r="K420" s="117">
        <f t="shared" si="52"/>
        <v>0</v>
      </c>
      <c r="L420" s="118"/>
      <c r="M420" s="119"/>
      <c r="N420" s="119"/>
      <c r="O420" s="119"/>
      <c r="P420" s="119"/>
      <c r="Q420" s="119"/>
      <c r="R420" s="1"/>
      <c r="S420" s="1"/>
      <c r="T420" s="1"/>
      <c r="U420" s="1"/>
      <c r="V420" s="1"/>
      <c r="W420" s="1"/>
      <c r="X420" s="1"/>
    </row>
    <row r="421" ht="18.75" customHeight="1">
      <c r="A421" s="9">
        <f t="shared" si="5"/>
        <v>418</v>
      </c>
      <c r="B421" s="116" t="s">
        <v>870</v>
      </c>
      <c r="C421" s="116" t="s">
        <v>871</v>
      </c>
      <c r="D421" s="160" t="s">
        <v>140</v>
      </c>
      <c r="E421" s="116" t="s">
        <v>27</v>
      </c>
      <c r="F421" s="128">
        <v>45965.0</v>
      </c>
      <c r="G421" s="102">
        <v>46329.0</v>
      </c>
      <c r="H421" s="103" t="s">
        <v>28</v>
      </c>
      <c r="I421" s="115">
        <f>5900*12</f>
        <v>70800</v>
      </c>
      <c r="J421" s="115">
        <v>5900.0</v>
      </c>
      <c r="K421" s="117">
        <f t="shared" si="52"/>
        <v>64900</v>
      </c>
      <c r="L421" s="111">
        <v>45995.0</v>
      </c>
      <c r="M421" s="119"/>
      <c r="N421" s="119"/>
      <c r="O421" s="119"/>
      <c r="P421" s="119"/>
      <c r="Q421" s="119"/>
      <c r="R421" s="1"/>
      <c r="S421" s="1"/>
      <c r="T421" s="1"/>
      <c r="U421" s="1"/>
      <c r="V421" s="1"/>
      <c r="W421" s="1"/>
      <c r="X421" s="1"/>
    </row>
    <row r="422" ht="18.75" customHeight="1">
      <c r="A422" s="9">
        <f t="shared" si="5"/>
        <v>419</v>
      </c>
      <c r="B422" s="116" t="s">
        <v>872</v>
      </c>
      <c r="C422" s="116" t="s">
        <v>873</v>
      </c>
      <c r="D422" s="160" t="s">
        <v>140</v>
      </c>
      <c r="E422" s="116" t="s">
        <v>54</v>
      </c>
      <c r="F422" s="128">
        <v>45960.0</v>
      </c>
      <c r="G422" s="102">
        <v>46355.0</v>
      </c>
      <c r="H422" s="109" t="s">
        <v>55</v>
      </c>
      <c r="I422" s="115">
        <v>2950.0</v>
      </c>
      <c r="J422" s="115">
        <v>2950.0</v>
      </c>
      <c r="K422" s="117">
        <f t="shared" si="52"/>
        <v>0</v>
      </c>
      <c r="L422" s="118"/>
      <c r="M422" s="119"/>
      <c r="N422" s="119"/>
      <c r="O422" s="119"/>
      <c r="P422" s="119"/>
      <c r="Q422" s="119"/>
      <c r="R422" s="1"/>
      <c r="S422" s="1"/>
      <c r="T422" s="1"/>
      <c r="U422" s="1"/>
      <c r="V422" s="1"/>
      <c r="W422" s="1"/>
      <c r="X422" s="1"/>
    </row>
    <row r="423" ht="18.75" customHeight="1">
      <c r="A423" s="9">
        <f t="shared" si="5"/>
        <v>420</v>
      </c>
      <c r="B423" s="116" t="s">
        <v>868</v>
      </c>
      <c r="C423" s="116" t="s">
        <v>874</v>
      </c>
      <c r="D423" s="160" t="s">
        <v>140</v>
      </c>
      <c r="E423" s="116" t="s">
        <v>27</v>
      </c>
      <c r="F423" s="136">
        <v>45965.0</v>
      </c>
      <c r="G423" s="205">
        <v>46329.0</v>
      </c>
      <c r="H423" s="103" t="s">
        <v>268</v>
      </c>
      <c r="I423" s="115">
        <v>82600.0</v>
      </c>
      <c r="J423" s="115">
        <v>82600.0</v>
      </c>
      <c r="K423" s="117">
        <f t="shared" si="52"/>
        <v>0</v>
      </c>
      <c r="L423" s="118"/>
      <c r="M423" s="119"/>
      <c r="N423" s="119"/>
      <c r="O423" s="119"/>
      <c r="P423" s="119"/>
      <c r="Q423" s="119"/>
      <c r="R423" s="1"/>
      <c r="S423" s="1"/>
      <c r="T423" s="1"/>
      <c r="U423" s="1"/>
      <c r="V423" s="1"/>
      <c r="W423" s="1"/>
      <c r="X423" s="1"/>
    </row>
    <row r="424" ht="18.75" customHeight="1">
      <c r="A424" s="9">
        <f t="shared" si="5"/>
        <v>421</v>
      </c>
      <c r="B424" s="116" t="s">
        <v>226</v>
      </c>
      <c r="C424" s="116" t="s">
        <v>875</v>
      </c>
      <c r="D424" s="160"/>
      <c r="E424" s="160" t="s">
        <v>27</v>
      </c>
      <c r="F424" s="136">
        <v>45965.0</v>
      </c>
      <c r="G424" s="205">
        <v>46329.0</v>
      </c>
      <c r="H424" s="206"/>
      <c r="I424" s="115">
        <v>1.18</v>
      </c>
      <c r="J424" s="115">
        <v>1.18</v>
      </c>
      <c r="K424" s="117">
        <f t="shared" si="52"/>
        <v>0</v>
      </c>
      <c r="L424" s="118"/>
      <c r="M424" s="119"/>
      <c r="N424" s="119"/>
      <c r="O424" s="119"/>
      <c r="P424" s="119"/>
      <c r="Q424" s="119"/>
      <c r="R424" s="1"/>
      <c r="S424" s="1"/>
      <c r="T424" s="1"/>
      <c r="U424" s="1"/>
      <c r="V424" s="1"/>
      <c r="W424" s="1"/>
      <c r="X424" s="1"/>
    </row>
    <row r="425" ht="18.75" customHeight="1">
      <c r="A425" s="9">
        <f t="shared" si="5"/>
        <v>422</v>
      </c>
      <c r="B425" s="116" t="s">
        <v>876</v>
      </c>
      <c r="C425" s="116" t="s">
        <v>877</v>
      </c>
      <c r="D425" s="160" t="s">
        <v>244</v>
      </c>
      <c r="E425" s="160" t="s">
        <v>27</v>
      </c>
      <c r="F425" s="136">
        <v>45965.0</v>
      </c>
      <c r="G425" s="205">
        <v>46329.0</v>
      </c>
      <c r="H425" s="206" t="s">
        <v>268</v>
      </c>
      <c r="I425" s="115">
        <v>212400.0</v>
      </c>
      <c r="J425" s="115">
        <v>212400.0</v>
      </c>
      <c r="K425" s="117">
        <f t="shared" si="52"/>
        <v>0</v>
      </c>
      <c r="L425" s="118"/>
      <c r="M425" s="119"/>
      <c r="N425" s="119"/>
      <c r="O425" s="119"/>
      <c r="P425" s="119"/>
      <c r="Q425" s="119"/>
      <c r="R425" s="1"/>
      <c r="S425" s="1"/>
      <c r="T425" s="1"/>
      <c r="U425" s="1"/>
      <c r="V425" s="1"/>
      <c r="W425" s="1"/>
      <c r="X425" s="1"/>
    </row>
    <row r="426" ht="18.75" customHeight="1">
      <c r="A426" s="9">
        <f t="shared" si="5"/>
        <v>423</v>
      </c>
      <c r="B426" s="116" t="s">
        <v>878</v>
      </c>
      <c r="C426" s="116" t="s">
        <v>879</v>
      </c>
      <c r="D426" s="160" t="s">
        <v>696</v>
      </c>
      <c r="E426" s="160" t="s">
        <v>27</v>
      </c>
      <c r="F426" s="136">
        <v>45965.0</v>
      </c>
      <c r="G426" s="205">
        <v>46329.0</v>
      </c>
      <c r="H426" s="206" t="s">
        <v>268</v>
      </c>
      <c r="I426" s="115">
        <v>82600.0</v>
      </c>
      <c r="J426" s="115">
        <v>82600.0</v>
      </c>
      <c r="K426" s="117">
        <f t="shared" si="52"/>
        <v>0</v>
      </c>
      <c r="L426" s="118"/>
      <c r="M426" s="119"/>
      <c r="N426" s="119"/>
      <c r="O426" s="119"/>
      <c r="P426" s="119"/>
      <c r="Q426" s="119"/>
      <c r="R426" s="1"/>
      <c r="S426" s="1"/>
      <c r="T426" s="1"/>
      <c r="U426" s="1"/>
      <c r="V426" s="1"/>
      <c r="W426" s="1"/>
      <c r="X426" s="1"/>
    </row>
    <row r="427" ht="18.75" customHeight="1">
      <c r="A427" s="9">
        <f t="shared" si="5"/>
        <v>424</v>
      </c>
      <c r="B427" s="116" t="s">
        <v>880</v>
      </c>
      <c r="C427" s="116" t="s">
        <v>881</v>
      </c>
      <c r="D427" s="160" t="s">
        <v>140</v>
      </c>
      <c r="E427" s="160" t="s">
        <v>27</v>
      </c>
      <c r="F427" s="207">
        <v>45966.0</v>
      </c>
      <c r="G427" s="207">
        <v>46330.0</v>
      </c>
      <c r="H427" s="206" t="s">
        <v>268</v>
      </c>
      <c r="I427" s="137">
        <v>206500.0</v>
      </c>
      <c r="J427" s="137">
        <v>206500.0</v>
      </c>
      <c r="K427" s="117">
        <f t="shared" si="52"/>
        <v>0</v>
      </c>
      <c r="L427" s="118"/>
      <c r="M427" s="119"/>
      <c r="N427" s="119"/>
      <c r="O427" s="119"/>
      <c r="P427" s="119"/>
      <c r="Q427" s="119"/>
      <c r="R427" s="1"/>
      <c r="S427" s="1"/>
      <c r="T427" s="1"/>
      <c r="U427" s="1"/>
      <c r="V427" s="1"/>
      <c r="W427" s="1"/>
      <c r="X427" s="1"/>
    </row>
    <row r="428" ht="18.75" customHeight="1">
      <c r="A428" s="9">
        <f t="shared" si="5"/>
        <v>425</v>
      </c>
      <c r="B428" s="116" t="s">
        <v>839</v>
      </c>
      <c r="C428" s="116" t="s">
        <v>882</v>
      </c>
      <c r="D428" s="160" t="s">
        <v>31</v>
      </c>
      <c r="E428" s="160" t="s">
        <v>54</v>
      </c>
      <c r="F428" s="136">
        <v>45964.0</v>
      </c>
      <c r="G428" s="205">
        <v>45993.0</v>
      </c>
      <c r="H428" s="208" t="s">
        <v>55</v>
      </c>
      <c r="I428" s="115">
        <v>4720.0</v>
      </c>
      <c r="J428" s="115">
        <v>4720.0</v>
      </c>
      <c r="K428" s="117">
        <f t="shared" si="52"/>
        <v>0</v>
      </c>
      <c r="L428" s="118"/>
      <c r="M428" s="119"/>
      <c r="N428" s="119"/>
      <c r="O428" s="119"/>
      <c r="P428" s="119"/>
      <c r="Q428" s="119"/>
      <c r="R428" s="1"/>
      <c r="S428" s="1"/>
      <c r="T428" s="1"/>
      <c r="U428" s="1"/>
      <c r="V428" s="1"/>
      <c r="W428" s="1"/>
      <c r="X428" s="1"/>
    </row>
    <row r="429" ht="18.75" customHeight="1">
      <c r="A429" s="9">
        <f t="shared" si="5"/>
        <v>426</v>
      </c>
      <c r="B429" s="116" t="s">
        <v>883</v>
      </c>
      <c r="C429" s="116" t="s">
        <v>884</v>
      </c>
      <c r="D429" s="133" t="s">
        <v>45</v>
      </c>
      <c r="E429" s="160" t="s">
        <v>27</v>
      </c>
      <c r="F429" s="207">
        <v>45966.0</v>
      </c>
      <c r="G429" s="207">
        <v>46330.0</v>
      </c>
      <c r="H429" s="206" t="s">
        <v>268</v>
      </c>
      <c r="I429" s="115">
        <v>82600.0</v>
      </c>
      <c r="J429" s="115">
        <v>82600.0</v>
      </c>
      <c r="K429" s="117">
        <f t="shared" si="52"/>
        <v>0</v>
      </c>
      <c r="L429" s="118"/>
      <c r="M429" s="119"/>
      <c r="N429" s="119"/>
      <c r="O429" s="119"/>
      <c r="P429" s="119"/>
      <c r="Q429" s="119"/>
      <c r="R429" s="1"/>
      <c r="S429" s="1"/>
      <c r="T429" s="1"/>
      <c r="U429" s="1"/>
      <c r="V429" s="1"/>
      <c r="W429" s="1"/>
      <c r="X429" s="1"/>
    </row>
    <row r="430" ht="18.75" customHeight="1">
      <c r="A430" s="9">
        <f t="shared" si="5"/>
        <v>427</v>
      </c>
      <c r="B430" s="116" t="s">
        <v>885</v>
      </c>
      <c r="C430" s="116" t="s">
        <v>886</v>
      </c>
      <c r="D430" s="160" t="s">
        <v>244</v>
      </c>
      <c r="E430" s="160" t="s">
        <v>27</v>
      </c>
      <c r="F430" s="128">
        <v>45967.0</v>
      </c>
      <c r="G430" s="102">
        <v>46331.0</v>
      </c>
      <c r="H430" s="103" t="s">
        <v>28</v>
      </c>
      <c r="I430" s="115">
        <f>11800*12</f>
        <v>141600</v>
      </c>
      <c r="J430" s="115">
        <f>11800*1</f>
        <v>11800</v>
      </c>
      <c r="K430" s="117">
        <f t="shared" si="52"/>
        <v>129800</v>
      </c>
      <c r="L430" s="111">
        <v>46362.0</v>
      </c>
      <c r="M430" s="119"/>
      <c r="N430" s="119"/>
      <c r="O430" s="119"/>
      <c r="P430" s="119"/>
      <c r="Q430" s="119"/>
      <c r="R430" s="1"/>
      <c r="S430" s="1"/>
      <c r="T430" s="1"/>
      <c r="U430" s="1"/>
      <c r="V430" s="1"/>
      <c r="W430" s="1"/>
      <c r="X430" s="1"/>
    </row>
    <row r="431" ht="18.75" customHeight="1">
      <c r="A431" s="9">
        <f t="shared" si="5"/>
        <v>428</v>
      </c>
      <c r="B431" s="116" t="s">
        <v>887</v>
      </c>
      <c r="C431" s="116" t="s">
        <v>888</v>
      </c>
      <c r="D431" s="133" t="s">
        <v>45</v>
      </c>
      <c r="E431" s="160" t="s">
        <v>27</v>
      </c>
      <c r="F431" s="207">
        <v>45966.0</v>
      </c>
      <c r="G431" s="102">
        <v>46331.0</v>
      </c>
      <c r="H431" s="206" t="s">
        <v>268</v>
      </c>
      <c r="I431" s="115">
        <v>70000.0</v>
      </c>
      <c r="J431" s="115">
        <v>70000.0</v>
      </c>
      <c r="K431" s="117">
        <f t="shared" si="52"/>
        <v>0</v>
      </c>
      <c r="L431" s="111"/>
      <c r="M431" s="119"/>
      <c r="N431" s="119"/>
      <c r="O431" s="119"/>
      <c r="P431" s="119"/>
      <c r="Q431" s="119"/>
      <c r="R431" s="1"/>
      <c r="S431" s="1"/>
      <c r="T431" s="1"/>
      <c r="U431" s="1"/>
      <c r="V431" s="1"/>
      <c r="W431" s="1"/>
      <c r="X431" s="1"/>
    </row>
    <row r="432" ht="18.75" customHeight="1">
      <c r="A432" s="9">
        <f t="shared" si="5"/>
        <v>429</v>
      </c>
      <c r="B432" s="116" t="s">
        <v>889</v>
      </c>
      <c r="C432" s="116" t="s">
        <v>890</v>
      </c>
      <c r="D432" s="160" t="s">
        <v>188</v>
      </c>
      <c r="E432" s="160" t="s">
        <v>27</v>
      </c>
      <c r="F432" s="128">
        <v>45967.0</v>
      </c>
      <c r="G432" s="102">
        <v>46331.0</v>
      </c>
      <c r="H432" s="206" t="s">
        <v>268</v>
      </c>
      <c r="I432" s="115">
        <v>74340.0</v>
      </c>
      <c r="J432" s="115">
        <v>74340.0</v>
      </c>
      <c r="K432" s="117">
        <f t="shared" si="52"/>
        <v>0</v>
      </c>
      <c r="L432" s="118"/>
      <c r="M432" s="119"/>
      <c r="N432" s="119"/>
      <c r="O432" s="119"/>
      <c r="P432" s="119"/>
      <c r="Q432" s="119"/>
      <c r="R432" s="1"/>
      <c r="S432" s="1"/>
      <c r="T432" s="1"/>
      <c r="U432" s="1"/>
      <c r="V432" s="1"/>
      <c r="W432" s="1"/>
      <c r="X432" s="1"/>
    </row>
    <row r="433" ht="18.75" customHeight="1">
      <c r="A433" s="9">
        <f t="shared" si="5"/>
        <v>430</v>
      </c>
      <c r="B433" s="116" t="s">
        <v>891</v>
      </c>
      <c r="C433" s="116" t="s">
        <v>892</v>
      </c>
      <c r="D433" s="160" t="s">
        <v>188</v>
      </c>
      <c r="E433" s="160" t="s">
        <v>54</v>
      </c>
      <c r="F433" s="136">
        <v>45968.0</v>
      </c>
      <c r="G433" s="136">
        <v>45997.0</v>
      </c>
      <c r="H433" s="208" t="s">
        <v>55</v>
      </c>
      <c r="I433" s="115">
        <v>8000.0</v>
      </c>
      <c r="J433" s="115">
        <v>8000.0</v>
      </c>
      <c r="K433" s="117">
        <f t="shared" si="52"/>
        <v>0</v>
      </c>
      <c r="L433" s="118"/>
      <c r="M433" s="119"/>
      <c r="N433" s="119"/>
      <c r="O433" s="119"/>
      <c r="P433" s="119"/>
      <c r="Q433" s="119"/>
      <c r="R433" s="1"/>
      <c r="S433" s="1"/>
      <c r="T433" s="1"/>
      <c r="U433" s="1"/>
      <c r="V433" s="1"/>
      <c r="W433" s="1"/>
      <c r="X433" s="1"/>
    </row>
    <row r="434" ht="18.75" customHeight="1">
      <c r="A434" s="9">
        <f t="shared" si="5"/>
        <v>431</v>
      </c>
      <c r="B434" s="116" t="s">
        <v>762</v>
      </c>
      <c r="C434" s="116" t="s">
        <v>893</v>
      </c>
      <c r="D434" s="160" t="s">
        <v>45</v>
      </c>
      <c r="E434" s="160" t="s">
        <v>27</v>
      </c>
      <c r="F434" s="207">
        <v>45939.0</v>
      </c>
      <c r="G434" s="102">
        <v>46303.0</v>
      </c>
      <c r="H434" s="103" t="s">
        <v>28</v>
      </c>
      <c r="I434" s="115">
        <f>7080*12</f>
        <v>84960</v>
      </c>
      <c r="J434" s="115">
        <v>7080.0</v>
      </c>
      <c r="K434" s="117">
        <f t="shared" si="52"/>
        <v>77880</v>
      </c>
      <c r="L434" s="111">
        <v>46000.0</v>
      </c>
      <c r="M434" s="119"/>
      <c r="N434" s="119"/>
      <c r="O434" s="119"/>
      <c r="P434" s="119"/>
      <c r="Q434" s="119"/>
      <c r="R434" s="1"/>
      <c r="S434" s="1"/>
      <c r="T434" s="1"/>
      <c r="U434" s="1"/>
      <c r="V434" s="1"/>
      <c r="W434" s="1"/>
      <c r="X434" s="1"/>
    </row>
    <row r="435" ht="18.75" customHeight="1">
      <c r="A435" s="9">
        <f t="shared" si="5"/>
        <v>432</v>
      </c>
      <c r="B435" s="116" t="s">
        <v>894</v>
      </c>
      <c r="C435" s="116" t="s">
        <v>895</v>
      </c>
      <c r="D435" s="160" t="s">
        <v>45</v>
      </c>
      <c r="E435" s="160" t="s">
        <v>27</v>
      </c>
      <c r="F435" s="128">
        <v>45972.0</v>
      </c>
      <c r="G435" s="102">
        <v>46336.0</v>
      </c>
      <c r="H435" s="206" t="s">
        <v>268</v>
      </c>
      <c r="I435" s="115">
        <v>82600.0</v>
      </c>
      <c r="J435" s="115">
        <v>82600.0</v>
      </c>
      <c r="K435" s="117">
        <f t="shared" si="52"/>
        <v>0</v>
      </c>
      <c r="L435" s="118"/>
      <c r="M435" s="119"/>
      <c r="N435" s="119"/>
      <c r="O435" s="119"/>
      <c r="P435" s="119"/>
      <c r="Q435" s="119"/>
      <c r="R435" s="1"/>
      <c r="S435" s="1"/>
      <c r="T435" s="1"/>
      <c r="U435" s="1"/>
      <c r="V435" s="1"/>
      <c r="W435" s="1"/>
      <c r="X435" s="1"/>
    </row>
    <row r="436" ht="18.75" customHeight="1">
      <c r="A436" s="9">
        <f t="shared" si="5"/>
        <v>433</v>
      </c>
      <c r="B436" s="116" t="s">
        <v>896</v>
      </c>
      <c r="C436" s="116" t="s">
        <v>897</v>
      </c>
      <c r="D436" s="209" t="s">
        <v>188</v>
      </c>
      <c r="E436" s="160" t="s">
        <v>54</v>
      </c>
      <c r="F436" s="128">
        <v>45972.0</v>
      </c>
      <c r="G436" s="136">
        <v>46001.0</v>
      </c>
      <c r="H436" s="208" t="s">
        <v>55</v>
      </c>
      <c r="I436" s="115">
        <v>8000.0</v>
      </c>
      <c r="J436" s="115">
        <v>8000.0</v>
      </c>
      <c r="K436" s="117">
        <f t="shared" si="52"/>
        <v>0</v>
      </c>
      <c r="L436" s="118"/>
      <c r="M436" s="119"/>
      <c r="N436" s="119"/>
      <c r="O436" s="119"/>
      <c r="P436" s="119"/>
      <c r="Q436" s="119"/>
      <c r="R436" s="1"/>
      <c r="S436" s="1"/>
      <c r="T436" s="1"/>
      <c r="U436" s="1"/>
      <c r="V436" s="1"/>
      <c r="W436" s="1"/>
      <c r="X436" s="1"/>
    </row>
    <row r="437" ht="18.75" customHeight="1">
      <c r="A437" s="9">
        <f t="shared" si="5"/>
        <v>434</v>
      </c>
      <c r="B437" s="116" t="s">
        <v>898</v>
      </c>
      <c r="C437" s="116" t="s">
        <v>899</v>
      </c>
      <c r="D437" s="160" t="s">
        <v>159</v>
      </c>
      <c r="E437" s="160" t="s">
        <v>54</v>
      </c>
      <c r="F437" s="128">
        <v>45973.0</v>
      </c>
      <c r="G437" s="136">
        <v>46002.0</v>
      </c>
      <c r="H437" s="208" t="s">
        <v>55</v>
      </c>
      <c r="I437" s="115">
        <v>10000.0</v>
      </c>
      <c r="J437" s="115">
        <v>10000.0</v>
      </c>
      <c r="K437" s="117">
        <f t="shared" si="52"/>
        <v>0</v>
      </c>
      <c r="L437" s="118"/>
      <c r="M437" s="119"/>
      <c r="N437" s="119"/>
      <c r="O437" s="119"/>
      <c r="P437" s="119"/>
      <c r="Q437" s="119"/>
      <c r="R437" s="1"/>
      <c r="S437" s="1"/>
      <c r="T437" s="1"/>
      <c r="U437" s="1"/>
      <c r="V437" s="1"/>
      <c r="W437" s="1"/>
      <c r="X437" s="1"/>
    </row>
    <row r="438" ht="18.75" customHeight="1">
      <c r="A438" s="9">
        <f t="shared" si="5"/>
        <v>435</v>
      </c>
      <c r="B438" s="116" t="s">
        <v>455</v>
      </c>
      <c r="C438" s="116" t="s">
        <v>900</v>
      </c>
      <c r="D438" s="209" t="s">
        <v>159</v>
      </c>
      <c r="E438" s="160" t="s">
        <v>27</v>
      </c>
      <c r="F438" s="128">
        <v>45845.0</v>
      </c>
      <c r="G438" s="102">
        <v>46209.0</v>
      </c>
      <c r="H438" s="109" t="s">
        <v>901</v>
      </c>
      <c r="I438" s="115">
        <f>118000*9</f>
        <v>1062000</v>
      </c>
      <c r="J438" s="115">
        <f>118000*1</f>
        <v>118000</v>
      </c>
      <c r="K438" s="117">
        <f t="shared" si="52"/>
        <v>944000</v>
      </c>
      <c r="L438" s="111">
        <v>45998.0</v>
      </c>
      <c r="M438" s="119"/>
      <c r="N438" s="119"/>
      <c r="O438" s="119"/>
      <c r="P438" s="119"/>
      <c r="Q438" s="119"/>
      <c r="R438" s="1"/>
      <c r="S438" s="1"/>
      <c r="T438" s="1"/>
      <c r="U438" s="1"/>
      <c r="V438" s="1"/>
      <c r="W438" s="1"/>
      <c r="X438" s="1"/>
    </row>
    <row r="439" ht="18.75" customHeight="1">
      <c r="A439" s="9">
        <f t="shared" si="5"/>
        <v>436</v>
      </c>
      <c r="B439" s="116" t="s">
        <v>902</v>
      </c>
      <c r="C439" s="116" t="s">
        <v>903</v>
      </c>
      <c r="D439" s="209" t="s">
        <v>188</v>
      </c>
      <c r="E439" s="160" t="s">
        <v>27</v>
      </c>
      <c r="F439" s="128">
        <v>45967.0</v>
      </c>
      <c r="G439" s="102">
        <v>46148.0</v>
      </c>
      <c r="H439" s="208" t="s">
        <v>38</v>
      </c>
      <c r="I439" s="115">
        <v>41300.0</v>
      </c>
      <c r="J439" s="115">
        <v>41300.0</v>
      </c>
      <c r="K439" s="117">
        <f t="shared" si="52"/>
        <v>0</v>
      </c>
      <c r="L439" s="118"/>
      <c r="M439" s="119"/>
      <c r="N439" s="119"/>
      <c r="O439" s="119"/>
      <c r="P439" s="119"/>
      <c r="Q439" s="119"/>
      <c r="R439" s="1"/>
      <c r="S439" s="1"/>
      <c r="T439" s="1"/>
      <c r="U439" s="1"/>
      <c r="V439" s="1"/>
      <c r="W439" s="1"/>
      <c r="X439" s="1"/>
    </row>
    <row r="440" ht="18.75" customHeight="1">
      <c r="A440" s="9">
        <f t="shared" si="5"/>
        <v>437</v>
      </c>
      <c r="B440" s="116" t="s">
        <v>904</v>
      </c>
      <c r="C440" s="116" t="s">
        <v>905</v>
      </c>
      <c r="D440" s="209" t="s">
        <v>188</v>
      </c>
      <c r="E440" s="160" t="s">
        <v>27</v>
      </c>
      <c r="F440" s="128">
        <v>45973.0</v>
      </c>
      <c r="G440" s="102">
        <v>46337.0</v>
      </c>
      <c r="H440" s="206" t="s">
        <v>268</v>
      </c>
      <c r="I440" s="115">
        <v>153400.0</v>
      </c>
      <c r="J440" s="115">
        <v>153400.0</v>
      </c>
      <c r="K440" s="117">
        <f t="shared" si="52"/>
        <v>0</v>
      </c>
      <c r="L440" s="118"/>
      <c r="M440" s="119"/>
      <c r="N440" s="119"/>
      <c r="O440" s="119"/>
      <c r="P440" s="119"/>
      <c r="Q440" s="119"/>
      <c r="R440" s="1"/>
      <c r="S440" s="1"/>
      <c r="T440" s="1"/>
      <c r="U440" s="1"/>
      <c r="V440" s="1"/>
      <c r="W440" s="1"/>
      <c r="X440" s="1"/>
    </row>
    <row r="441" ht="18.75" customHeight="1">
      <c r="A441" s="9">
        <f t="shared" si="5"/>
        <v>438</v>
      </c>
      <c r="B441" s="116" t="s">
        <v>774</v>
      </c>
      <c r="C441" s="116" t="s">
        <v>906</v>
      </c>
      <c r="D441" s="160" t="s">
        <v>140</v>
      </c>
      <c r="E441" s="160" t="s">
        <v>27</v>
      </c>
      <c r="F441" s="128">
        <v>45944.0</v>
      </c>
      <c r="G441" s="102">
        <v>46308.0</v>
      </c>
      <c r="H441" s="206" t="s">
        <v>268</v>
      </c>
      <c r="I441" s="115">
        <f>5310*12</f>
        <v>63720</v>
      </c>
      <c r="J441" s="115">
        <f>5310*1</f>
        <v>5310</v>
      </c>
      <c r="K441" s="117">
        <f t="shared" si="52"/>
        <v>58410</v>
      </c>
      <c r="L441" s="111">
        <v>46005.0</v>
      </c>
      <c r="M441" s="119"/>
      <c r="N441" s="119"/>
      <c r="O441" s="119"/>
      <c r="P441" s="119"/>
      <c r="Q441" s="119"/>
      <c r="R441" s="1"/>
      <c r="S441" s="1"/>
      <c r="T441" s="1"/>
      <c r="U441" s="1"/>
      <c r="V441" s="1"/>
      <c r="W441" s="1"/>
      <c r="X441" s="1"/>
    </row>
    <row r="442" ht="18.75" customHeight="1">
      <c r="A442" s="9">
        <f t="shared" si="5"/>
        <v>439</v>
      </c>
      <c r="B442" s="210" t="s">
        <v>907</v>
      </c>
      <c r="C442" s="210" t="s">
        <v>908</v>
      </c>
      <c r="D442" s="160" t="s">
        <v>140</v>
      </c>
      <c r="E442" s="160" t="s">
        <v>27</v>
      </c>
      <c r="F442" s="128">
        <v>45973.0</v>
      </c>
      <c r="G442" s="102">
        <v>46337.0</v>
      </c>
      <c r="H442" s="206" t="s">
        <v>268</v>
      </c>
      <c r="I442" s="115">
        <v>49000.0</v>
      </c>
      <c r="J442" s="115">
        <v>49000.0</v>
      </c>
      <c r="K442" s="117">
        <f t="shared" si="52"/>
        <v>0</v>
      </c>
      <c r="L442" s="118"/>
      <c r="M442" s="119"/>
      <c r="N442" s="119"/>
      <c r="O442" s="119"/>
      <c r="P442" s="119"/>
      <c r="Q442" s="119"/>
      <c r="R442" s="1"/>
      <c r="S442" s="1"/>
      <c r="T442" s="1"/>
      <c r="U442" s="1"/>
      <c r="V442" s="1"/>
      <c r="W442" s="1"/>
      <c r="X442" s="1"/>
    </row>
    <row r="443" ht="18.75" customHeight="1">
      <c r="A443" s="9">
        <f t="shared" si="5"/>
        <v>440</v>
      </c>
      <c r="B443" s="116" t="s">
        <v>909</v>
      </c>
      <c r="C443" s="116" t="s">
        <v>910</v>
      </c>
      <c r="D443" s="160" t="s">
        <v>188</v>
      </c>
      <c r="E443" s="160" t="s">
        <v>54</v>
      </c>
      <c r="F443" s="128">
        <v>45972.0</v>
      </c>
      <c r="G443" s="102">
        <v>46001.0</v>
      </c>
      <c r="H443" s="208" t="s">
        <v>55</v>
      </c>
      <c r="I443" s="115">
        <v>8000.0</v>
      </c>
      <c r="J443" s="115">
        <v>8000.0</v>
      </c>
      <c r="K443" s="117">
        <f t="shared" si="52"/>
        <v>0</v>
      </c>
      <c r="L443" s="118"/>
      <c r="M443" s="119"/>
      <c r="N443" s="119"/>
      <c r="O443" s="119"/>
      <c r="P443" s="119"/>
      <c r="Q443" s="119"/>
      <c r="R443" s="1"/>
      <c r="S443" s="1"/>
      <c r="T443" s="1"/>
      <c r="U443" s="1"/>
      <c r="V443" s="1"/>
      <c r="W443" s="1"/>
      <c r="X443" s="1"/>
    </row>
    <row r="444" ht="18.75" customHeight="1">
      <c r="A444" s="9">
        <f t="shared" si="5"/>
        <v>441</v>
      </c>
      <c r="B444" s="116" t="s">
        <v>280</v>
      </c>
      <c r="C444" s="116" t="s">
        <v>911</v>
      </c>
      <c r="D444" s="160" t="s">
        <v>45</v>
      </c>
      <c r="E444" s="160" t="s">
        <v>27</v>
      </c>
      <c r="F444" s="128">
        <v>45975.0</v>
      </c>
      <c r="G444" s="102">
        <v>46339.0</v>
      </c>
      <c r="H444" s="103" t="s">
        <v>28</v>
      </c>
      <c r="I444" s="115">
        <f>59000*12</f>
        <v>708000</v>
      </c>
      <c r="J444" s="115">
        <f>59000*1</f>
        <v>59000</v>
      </c>
      <c r="K444" s="117">
        <f t="shared" si="52"/>
        <v>649000</v>
      </c>
      <c r="L444" s="111">
        <v>46005.0</v>
      </c>
      <c r="M444" s="119"/>
      <c r="N444" s="119"/>
      <c r="O444" s="119"/>
      <c r="P444" s="119"/>
      <c r="Q444" s="119"/>
      <c r="R444" s="1"/>
      <c r="S444" s="1"/>
      <c r="T444" s="1"/>
      <c r="U444" s="1"/>
      <c r="V444" s="1"/>
      <c r="W444" s="1"/>
      <c r="X444" s="1"/>
    </row>
    <row r="445" ht="18.75" customHeight="1">
      <c r="A445" s="9">
        <f t="shared" si="5"/>
        <v>442</v>
      </c>
      <c r="B445" s="116" t="s">
        <v>912</v>
      </c>
      <c r="C445" s="116" t="s">
        <v>913</v>
      </c>
      <c r="D445" s="160" t="s">
        <v>696</v>
      </c>
      <c r="E445" s="160" t="s">
        <v>27</v>
      </c>
      <c r="F445" s="128">
        <v>45975.0</v>
      </c>
      <c r="G445" s="102">
        <v>46369.0</v>
      </c>
      <c r="H445" s="208" t="s">
        <v>732</v>
      </c>
      <c r="I445" s="115">
        <v>82600.0</v>
      </c>
      <c r="J445" s="115">
        <v>82600.0</v>
      </c>
      <c r="K445" s="117">
        <f t="shared" si="52"/>
        <v>0</v>
      </c>
      <c r="L445" s="118"/>
      <c r="M445" s="119"/>
      <c r="N445" s="119"/>
      <c r="O445" s="119"/>
      <c r="P445" s="119"/>
      <c r="Q445" s="119"/>
      <c r="R445" s="1"/>
      <c r="S445" s="1"/>
      <c r="T445" s="1"/>
      <c r="U445" s="1"/>
      <c r="V445" s="1"/>
      <c r="W445" s="1"/>
      <c r="X445" s="1"/>
    </row>
    <row r="446" ht="18.75" customHeight="1">
      <c r="A446" s="9">
        <f t="shared" si="5"/>
        <v>443</v>
      </c>
      <c r="B446" s="116" t="s">
        <v>914</v>
      </c>
      <c r="C446" s="116" t="s">
        <v>915</v>
      </c>
      <c r="D446" s="160" t="s">
        <v>45</v>
      </c>
      <c r="E446" s="160" t="s">
        <v>27</v>
      </c>
      <c r="F446" s="128">
        <v>45967.0</v>
      </c>
      <c r="G446" s="102">
        <v>46059.0</v>
      </c>
      <c r="H446" s="109" t="s">
        <v>48</v>
      </c>
      <c r="I446" s="115">
        <v>37760.0</v>
      </c>
      <c r="J446" s="115">
        <v>37760.0</v>
      </c>
      <c r="K446" s="117">
        <f t="shared" si="52"/>
        <v>0</v>
      </c>
      <c r="L446" s="118"/>
      <c r="M446" s="119"/>
      <c r="N446" s="119"/>
      <c r="O446" s="119"/>
      <c r="P446" s="119"/>
      <c r="Q446" s="119"/>
      <c r="R446" s="1"/>
      <c r="S446" s="1"/>
      <c r="T446" s="1"/>
      <c r="U446" s="1"/>
      <c r="V446" s="1"/>
      <c r="W446" s="1"/>
      <c r="X446" s="1"/>
    </row>
    <row r="447" ht="18.75" customHeight="1">
      <c r="A447" s="9">
        <f t="shared" si="5"/>
        <v>444</v>
      </c>
      <c r="B447" s="116" t="s">
        <v>25</v>
      </c>
      <c r="C447" s="116" t="s">
        <v>916</v>
      </c>
      <c r="D447" s="160" t="s">
        <v>696</v>
      </c>
      <c r="E447" s="160" t="s">
        <v>27</v>
      </c>
      <c r="F447" s="128">
        <v>45974.0</v>
      </c>
      <c r="G447" s="102">
        <v>46338.0</v>
      </c>
      <c r="H447" s="206" t="s">
        <v>268</v>
      </c>
      <c r="I447" s="115">
        <v>84960.0</v>
      </c>
      <c r="J447" s="115">
        <v>84960.0</v>
      </c>
      <c r="K447" s="117">
        <f t="shared" si="52"/>
        <v>0</v>
      </c>
      <c r="L447" s="118"/>
      <c r="M447" s="119"/>
      <c r="N447" s="119"/>
      <c r="O447" s="119"/>
      <c r="P447" s="119"/>
      <c r="Q447" s="119"/>
      <c r="R447" s="1"/>
      <c r="S447" s="1"/>
      <c r="T447" s="1"/>
      <c r="U447" s="1"/>
      <c r="V447" s="1"/>
      <c r="W447" s="1"/>
      <c r="X447" s="1"/>
    </row>
    <row r="448" ht="18.75" customHeight="1">
      <c r="A448" s="9">
        <f t="shared" si="5"/>
        <v>445</v>
      </c>
      <c r="B448" s="116" t="s">
        <v>917</v>
      </c>
      <c r="C448" s="116" t="s">
        <v>918</v>
      </c>
      <c r="D448" s="160" t="s">
        <v>696</v>
      </c>
      <c r="E448" s="160" t="s">
        <v>27</v>
      </c>
      <c r="F448" s="128">
        <v>45971.0</v>
      </c>
      <c r="G448" s="102">
        <v>46335.0</v>
      </c>
      <c r="H448" s="206" t="s">
        <v>268</v>
      </c>
      <c r="I448" s="115">
        <v>82600.0</v>
      </c>
      <c r="J448" s="115">
        <v>82600.0</v>
      </c>
      <c r="K448" s="117">
        <f t="shared" si="52"/>
        <v>0</v>
      </c>
      <c r="L448" s="118"/>
      <c r="M448" s="119"/>
      <c r="N448" s="119"/>
      <c r="O448" s="119"/>
      <c r="P448" s="119"/>
      <c r="Q448" s="119"/>
      <c r="R448" s="1"/>
      <c r="S448" s="1"/>
      <c r="T448" s="1"/>
      <c r="U448" s="1"/>
      <c r="V448" s="1"/>
      <c r="W448" s="1"/>
      <c r="X448" s="1"/>
    </row>
    <row r="449" ht="18.75" customHeight="1">
      <c r="A449" s="9">
        <f t="shared" si="5"/>
        <v>446</v>
      </c>
      <c r="B449" s="116" t="s">
        <v>919</v>
      </c>
      <c r="C449" s="116" t="s">
        <v>920</v>
      </c>
      <c r="D449" s="160" t="s">
        <v>696</v>
      </c>
      <c r="E449" s="160" t="s">
        <v>54</v>
      </c>
      <c r="F449" s="128">
        <v>45978.0</v>
      </c>
      <c r="G449" s="102">
        <v>46007.0</v>
      </c>
      <c r="H449" s="208" t="s">
        <v>55</v>
      </c>
      <c r="I449" s="115">
        <v>14160.0</v>
      </c>
      <c r="J449" s="115">
        <v>14160.0</v>
      </c>
      <c r="K449" s="117">
        <f t="shared" si="52"/>
        <v>0</v>
      </c>
      <c r="L449" s="118"/>
      <c r="M449" s="119"/>
      <c r="N449" s="119"/>
      <c r="O449" s="119"/>
      <c r="P449" s="119"/>
      <c r="Q449" s="119"/>
      <c r="R449" s="1"/>
      <c r="S449" s="1"/>
      <c r="T449" s="1"/>
      <c r="U449" s="1"/>
      <c r="V449" s="1"/>
      <c r="W449" s="1"/>
      <c r="X449" s="1"/>
    </row>
    <row r="450" ht="18.75" customHeight="1">
      <c r="A450" s="9">
        <f t="shared" si="5"/>
        <v>447</v>
      </c>
      <c r="B450" s="116" t="s">
        <v>29</v>
      </c>
      <c r="C450" s="116" t="s">
        <v>921</v>
      </c>
      <c r="D450" s="160" t="s">
        <v>922</v>
      </c>
      <c r="E450" s="160" t="s">
        <v>27</v>
      </c>
      <c r="F450" s="128">
        <v>45971.0</v>
      </c>
      <c r="G450" s="102">
        <v>46335.0</v>
      </c>
      <c r="H450" s="206" t="s">
        <v>268</v>
      </c>
      <c r="I450" s="115">
        <v>90000.0</v>
      </c>
      <c r="J450" s="115">
        <v>90000.0</v>
      </c>
      <c r="K450" s="117">
        <f t="shared" si="52"/>
        <v>0</v>
      </c>
      <c r="L450" s="118"/>
      <c r="M450" s="119"/>
      <c r="N450" s="119"/>
      <c r="O450" s="119"/>
      <c r="P450" s="119"/>
      <c r="Q450" s="119"/>
      <c r="R450" s="1"/>
      <c r="S450" s="1"/>
      <c r="T450" s="1"/>
      <c r="U450" s="1"/>
      <c r="V450" s="1"/>
      <c r="W450" s="1"/>
      <c r="X450" s="1"/>
    </row>
    <row r="451" ht="18.75" customHeight="1">
      <c r="A451" s="9">
        <f t="shared" si="5"/>
        <v>448</v>
      </c>
      <c r="B451" s="116" t="s">
        <v>923</v>
      </c>
      <c r="C451" s="116" t="s">
        <v>924</v>
      </c>
      <c r="D451" s="160" t="s">
        <v>922</v>
      </c>
      <c r="E451" s="160" t="s">
        <v>27</v>
      </c>
      <c r="F451" s="128">
        <v>45976.0</v>
      </c>
      <c r="G451" s="102">
        <v>46340.0</v>
      </c>
      <c r="H451" s="206" t="s">
        <v>268</v>
      </c>
      <c r="I451" s="115">
        <v>56640.0</v>
      </c>
      <c r="J451" s="115">
        <v>56640.0</v>
      </c>
      <c r="K451" s="117">
        <f t="shared" si="52"/>
        <v>0</v>
      </c>
      <c r="L451" s="118"/>
      <c r="M451" s="119"/>
      <c r="N451" s="119"/>
      <c r="O451" s="119"/>
      <c r="P451" s="119"/>
      <c r="Q451" s="119"/>
      <c r="R451" s="1"/>
      <c r="S451" s="1"/>
      <c r="T451" s="1"/>
      <c r="U451" s="1"/>
      <c r="V451" s="1"/>
      <c r="W451" s="1"/>
      <c r="X451" s="1"/>
    </row>
    <row r="452" ht="18.75" customHeight="1">
      <c r="A452" s="9">
        <f t="shared" si="5"/>
        <v>449</v>
      </c>
      <c r="B452" s="116" t="s">
        <v>143</v>
      </c>
      <c r="C452" s="116" t="s">
        <v>925</v>
      </c>
      <c r="D452" s="160" t="s">
        <v>45</v>
      </c>
      <c r="E452" s="160" t="s">
        <v>27</v>
      </c>
      <c r="F452" s="128">
        <v>45907.0</v>
      </c>
      <c r="G452" s="102">
        <v>46209.0</v>
      </c>
      <c r="H452" s="211" t="s">
        <v>291</v>
      </c>
      <c r="I452" s="115">
        <f>99120*2</f>
        <v>198240</v>
      </c>
      <c r="J452" s="115">
        <f>99120*1</f>
        <v>99120</v>
      </c>
      <c r="K452" s="117">
        <f t="shared" si="52"/>
        <v>99120</v>
      </c>
      <c r="L452" s="111">
        <v>45733.0</v>
      </c>
      <c r="M452" s="119"/>
      <c r="N452" s="119"/>
      <c r="O452" s="119"/>
      <c r="P452" s="119"/>
      <c r="Q452" s="119"/>
      <c r="R452" s="1"/>
      <c r="S452" s="1"/>
      <c r="T452" s="1"/>
      <c r="U452" s="1"/>
      <c r="V452" s="1"/>
      <c r="W452" s="1"/>
      <c r="X452" s="1"/>
    </row>
    <row r="453" ht="18.75" customHeight="1">
      <c r="A453" s="9">
        <f t="shared" si="5"/>
        <v>450</v>
      </c>
      <c r="B453" s="116" t="s">
        <v>143</v>
      </c>
      <c r="C453" s="116" t="s">
        <v>926</v>
      </c>
      <c r="D453" s="160" t="s">
        <v>45</v>
      </c>
      <c r="E453" s="160" t="s">
        <v>27</v>
      </c>
      <c r="F453" s="128">
        <v>45814.0</v>
      </c>
      <c r="G453" s="102">
        <v>45905.0</v>
      </c>
      <c r="H453" s="109" t="s">
        <v>48</v>
      </c>
      <c r="I453" s="115">
        <v>14160.0</v>
      </c>
      <c r="J453" s="115">
        <v>14160.0</v>
      </c>
      <c r="K453" s="117">
        <f t="shared" si="52"/>
        <v>0</v>
      </c>
      <c r="L453" s="118"/>
      <c r="M453" s="119"/>
      <c r="N453" s="119"/>
      <c r="O453" s="119"/>
      <c r="P453" s="119"/>
      <c r="Q453" s="119"/>
      <c r="R453" s="1"/>
      <c r="S453" s="1"/>
      <c r="T453" s="1"/>
      <c r="U453" s="1"/>
      <c r="V453" s="1"/>
      <c r="W453" s="1"/>
      <c r="X453" s="1"/>
    </row>
    <row r="454" ht="18.75" customHeight="1">
      <c r="A454" s="9">
        <f t="shared" si="5"/>
        <v>451</v>
      </c>
      <c r="B454" s="116" t="s">
        <v>927</v>
      </c>
      <c r="C454" s="116" t="s">
        <v>928</v>
      </c>
      <c r="D454" s="160" t="s">
        <v>696</v>
      </c>
      <c r="E454" s="160" t="s">
        <v>54</v>
      </c>
      <c r="F454" s="128">
        <v>45978.0</v>
      </c>
      <c r="G454" s="102">
        <v>46007.0</v>
      </c>
      <c r="H454" s="208" t="s">
        <v>55</v>
      </c>
      <c r="I454" s="115">
        <v>9440.0</v>
      </c>
      <c r="J454" s="115">
        <v>9440.0</v>
      </c>
      <c r="K454" s="117">
        <f t="shared" si="52"/>
        <v>0</v>
      </c>
      <c r="L454" s="118"/>
      <c r="M454" s="119"/>
      <c r="N454" s="119"/>
      <c r="O454" s="119"/>
      <c r="P454" s="119"/>
      <c r="Q454" s="119"/>
      <c r="R454" s="1"/>
      <c r="S454" s="1"/>
      <c r="T454" s="1"/>
      <c r="U454" s="1"/>
      <c r="V454" s="1"/>
      <c r="W454" s="1"/>
      <c r="X454" s="1"/>
    </row>
    <row r="455" ht="18.75" customHeight="1">
      <c r="A455" s="9">
        <f t="shared" si="5"/>
        <v>452</v>
      </c>
      <c r="B455" s="116" t="s">
        <v>929</v>
      </c>
      <c r="C455" s="116" t="s">
        <v>930</v>
      </c>
      <c r="D455" s="160" t="s">
        <v>188</v>
      </c>
      <c r="E455" s="160" t="s">
        <v>54</v>
      </c>
      <c r="F455" s="128">
        <v>45976.0</v>
      </c>
      <c r="G455" s="102">
        <v>46005.0</v>
      </c>
      <c r="H455" s="208" t="s">
        <v>55</v>
      </c>
      <c r="I455" s="115">
        <v>7080.0</v>
      </c>
      <c r="J455" s="115">
        <v>7080.0</v>
      </c>
      <c r="K455" s="117">
        <f t="shared" si="52"/>
        <v>0</v>
      </c>
      <c r="L455" s="118"/>
      <c r="M455" s="119"/>
      <c r="N455" s="119"/>
      <c r="O455" s="119"/>
      <c r="P455" s="119"/>
      <c r="Q455" s="119"/>
      <c r="R455" s="1"/>
      <c r="S455" s="1"/>
      <c r="T455" s="1"/>
      <c r="U455" s="1"/>
      <c r="V455" s="1"/>
      <c r="W455" s="1"/>
      <c r="X455" s="1"/>
    </row>
    <row r="456" ht="18.75" customHeight="1">
      <c r="A456" s="9">
        <f t="shared" si="5"/>
        <v>453</v>
      </c>
      <c r="B456" s="116" t="s">
        <v>772</v>
      </c>
      <c r="C456" s="116" t="s">
        <v>931</v>
      </c>
      <c r="D456" s="160" t="s">
        <v>45</v>
      </c>
      <c r="E456" s="160" t="s">
        <v>27</v>
      </c>
      <c r="F456" s="128">
        <v>45978.0</v>
      </c>
      <c r="G456" s="102">
        <v>46342.0</v>
      </c>
      <c r="H456" s="206" t="s">
        <v>268</v>
      </c>
      <c r="I456" s="115">
        <v>448400.0</v>
      </c>
      <c r="J456" s="115">
        <v>448400.0</v>
      </c>
      <c r="K456" s="117">
        <f t="shared" si="52"/>
        <v>0</v>
      </c>
      <c r="L456" s="118"/>
      <c r="M456" s="119"/>
      <c r="N456" s="119"/>
      <c r="O456" s="119"/>
      <c r="P456" s="119"/>
      <c r="Q456" s="119"/>
      <c r="R456" s="1"/>
      <c r="S456" s="1"/>
      <c r="T456" s="1"/>
      <c r="U456" s="1"/>
      <c r="V456" s="1"/>
      <c r="W456" s="1"/>
      <c r="X456" s="1"/>
    </row>
    <row r="457" ht="18.75" customHeight="1">
      <c r="A457" s="9">
        <f t="shared" si="5"/>
        <v>454</v>
      </c>
      <c r="B457" s="116" t="s">
        <v>932</v>
      </c>
      <c r="C457" s="116" t="s">
        <v>933</v>
      </c>
      <c r="D457" s="160" t="s">
        <v>188</v>
      </c>
      <c r="E457" s="160" t="s">
        <v>27</v>
      </c>
      <c r="F457" s="128">
        <v>45978.0</v>
      </c>
      <c r="G457" s="102">
        <v>46342.0</v>
      </c>
      <c r="H457" s="206" t="s">
        <v>268</v>
      </c>
      <c r="I457" s="115">
        <v>259600.0</v>
      </c>
      <c r="J457" s="115">
        <v>259600.0</v>
      </c>
      <c r="K457" s="117">
        <f t="shared" si="52"/>
        <v>0</v>
      </c>
      <c r="L457" s="118"/>
      <c r="M457" s="119"/>
      <c r="N457" s="119"/>
      <c r="O457" s="119"/>
      <c r="P457" s="119"/>
      <c r="Q457" s="119"/>
      <c r="R457" s="1"/>
      <c r="S457" s="1"/>
      <c r="T457" s="1"/>
      <c r="U457" s="1"/>
      <c r="V457" s="1"/>
      <c r="W457" s="1"/>
      <c r="X457" s="1"/>
    </row>
    <row r="458" ht="18.75" customHeight="1">
      <c r="A458" s="9">
        <f t="shared" si="5"/>
        <v>455</v>
      </c>
      <c r="B458" s="116" t="s">
        <v>934</v>
      </c>
      <c r="C458" s="116" t="s">
        <v>935</v>
      </c>
      <c r="D458" s="160" t="s">
        <v>45</v>
      </c>
      <c r="E458" s="160" t="s">
        <v>27</v>
      </c>
      <c r="F458" s="128">
        <v>45978.0</v>
      </c>
      <c r="G458" s="102">
        <v>46342.0</v>
      </c>
      <c r="H458" s="103" t="s">
        <v>28</v>
      </c>
      <c r="I458" s="115">
        <f>7080*12</f>
        <v>84960</v>
      </c>
      <c r="J458" s="115">
        <f>7080*1</f>
        <v>7080</v>
      </c>
      <c r="K458" s="117">
        <f t="shared" si="52"/>
        <v>77880</v>
      </c>
      <c r="L458" s="111">
        <v>46008.0</v>
      </c>
      <c r="M458" s="119"/>
      <c r="N458" s="119"/>
      <c r="O458" s="119"/>
      <c r="P458" s="119"/>
      <c r="Q458" s="119"/>
      <c r="R458" s="1"/>
      <c r="S458" s="1"/>
      <c r="T458" s="1"/>
      <c r="U458" s="1"/>
      <c r="V458" s="1"/>
      <c r="W458" s="1"/>
      <c r="X458" s="1"/>
    </row>
    <row r="459" ht="18.75" customHeight="1">
      <c r="A459" s="9">
        <f t="shared" si="5"/>
        <v>456</v>
      </c>
      <c r="B459" s="116" t="s">
        <v>936</v>
      </c>
      <c r="C459" s="116" t="s">
        <v>937</v>
      </c>
      <c r="D459" s="160" t="s">
        <v>696</v>
      </c>
      <c r="E459" s="160" t="s">
        <v>54</v>
      </c>
      <c r="F459" s="128">
        <v>45979.0</v>
      </c>
      <c r="G459" s="102">
        <v>46008.0</v>
      </c>
      <c r="H459" s="208" t="s">
        <v>55</v>
      </c>
      <c r="I459" s="115">
        <v>9440.0</v>
      </c>
      <c r="J459" s="115">
        <v>9440.0</v>
      </c>
      <c r="K459" s="117">
        <f t="shared" si="52"/>
        <v>0</v>
      </c>
      <c r="L459" s="118"/>
      <c r="M459" s="119"/>
      <c r="N459" s="119"/>
      <c r="O459" s="119"/>
      <c r="P459" s="119"/>
      <c r="Q459" s="119"/>
      <c r="R459" s="1"/>
      <c r="S459" s="1"/>
      <c r="T459" s="1"/>
      <c r="U459" s="1"/>
      <c r="V459" s="1"/>
      <c r="W459" s="1"/>
      <c r="X459" s="1"/>
    </row>
    <row r="460" ht="18.75" customHeight="1">
      <c r="A460" s="9">
        <f t="shared" si="5"/>
        <v>457</v>
      </c>
      <c r="B460" s="116" t="s">
        <v>938</v>
      </c>
      <c r="C460" s="116" t="s">
        <v>939</v>
      </c>
      <c r="D460" s="160" t="s">
        <v>188</v>
      </c>
      <c r="E460" s="160" t="s">
        <v>54</v>
      </c>
      <c r="F460" s="128">
        <v>45972.0</v>
      </c>
      <c r="G460" s="102">
        <v>46002.0</v>
      </c>
      <c r="H460" s="208" t="s">
        <v>55</v>
      </c>
      <c r="I460" s="115">
        <v>5900.0</v>
      </c>
      <c r="J460" s="115">
        <v>5900.0</v>
      </c>
      <c r="K460" s="117">
        <f t="shared" si="52"/>
        <v>0</v>
      </c>
      <c r="L460" s="118"/>
      <c r="M460" s="119"/>
      <c r="N460" s="119"/>
      <c r="O460" s="119"/>
      <c r="P460" s="119"/>
      <c r="Q460" s="119"/>
      <c r="R460" s="1"/>
      <c r="S460" s="1"/>
      <c r="T460" s="1"/>
      <c r="U460" s="1"/>
      <c r="V460" s="1"/>
      <c r="W460" s="1"/>
      <c r="X460" s="1"/>
    </row>
    <row r="461" ht="18.75" customHeight="1">
      <c r="A461" s="9">
        <f t="shared" si="5"/>
        <v>458</v>
      </c>
      <c r="B461" s="116" t="s">
        <v>940</v>
      </c>
      <c r="C461" s="116" t="s">
        <v>941</v>
      </c>
      <c r="D461" s="160" t="s">
        <v>696</v>
      </c>
      <c r="E461" s="160" t="s">
        <v>54</v>
      </c>
      <c r="F461" s="128">
        <v>45979.0</v>
      </c>
      <c r="G461" s="102">
        <v>46008.0</v>
      </c>
      <c r="H461" s="208" t="s">
        <v>55</v>
      </c>
      <c r="I461" s="115">
        <v>6500.62</v>
      </c>
      <c r="J461" s="115">
        <v>6500.62</v>
      </c>
      <c r="K461" s="117">
        <f t="shared" si="52"/>
        <v>0</v>
      </c>
      <c r="L461" s="118"/>
      <c r="M461" s="119"/>
      <c r="N461" s="119"/>
      <c r="O461" s="119"/>
      <c r="P461" s="119"/>
      <c r="Q461" s="119"/>
      <c r="R461" s="1"/>
      <c r="S461" s="1"/>
      <c r="T461" s="1"/>
      <c r="U461" s="1"/>
      <c r="V461" s="1"/>
      <c r="W461" s="1"/>
      <c r="X461" s="1"/>
    </row>
    <row r="462" ht="18.75" customHeight="1">
      <c r="A462" s="9">
        <f t="shared" si="5"/>
        <v>459</v>
      </c>
      <c r="B462" s="116" t="s">
        <v>942</v>
      </c>
      <c r="C462" s="116" t="s">
        <v>943</v>
      </c>
      <c r="D462" s="160" t="s">
        <v>140</v>
      </c>
      <c r="E462" s="160" t="s">
        <v>27</v>
      </c>
      <c r="F462" s="128">
        <v>45979.0</v>
      </c>
      <c r="G462" s="102">
        <v>46373.0</v>
      </c>
      <c r="H462" s="206" t="s">
        <v>268</v>
      </c>
      <c r="I462" s="115">
        <v>145000.0</v>
      </c>
      <c r="J462" s="115">
        <v>145000.0</v>
      </c>
      <c r="K462" s="117">
        <f t="shared" si="52"/>
        <v>0</v>
      </c>
      <c r="L462" s="118"/>
      <c r="M462" s="119"/>
      <c r="N462" s="119"/>
      <c r="O462" s="119"/>
      <c r="P462" s="119"/>
      <c r="Q462" s="119"/>
      <c r="R462" s="1"/>
      <c r="S462" s="1"/>
      <c r="T462" s="1"/>
      <c r="U462" s="1"/>
      <c r="V462" s="1"/>
      <c r="W462" s="1"/>
      <c r="X462" s="1"/>
    </row>
    <row r="463" ht="18.75" customHeight="1">
      <c r="A463" s="9">
        <f t="shared" si="5"/>
        <v>460</v>
      </c>
      <c r="B463" s="116" t="s">
        <v>944</v>
      </c>
      <c r="C463" s="116" t="s">
        <v>945</v>
      </c>
      <c r="D463" s="160" t="s">
        <v>188</v>
      </c>
      <c r="E463" s="160" t="s">
        <v>27</v>
      </c>
      <c r="F463" s="128">
        <v>45979.0</v>
      </c>
      <c r="G463" s="102">
        <v>45978.0</v>
      </c>
      <c r="H463" s="206" t="s">
        <v>268</v>
      </c>
      <c r="I463" s="115">
        <v>135000.0</v>
      </c>
      <c r="J463" s="115">
        <v>135000.0</v>
      </c>
      <c r="K463" s="117">
        <f t="shared" si="52"/>
        <v>0</v>
      </c>
      <c r="L463" s="118"/>
      <c r="M463" s="119"/>
      <c r="N463" s="119"/>
      <c r="O463" s="119"/>
      <c r="P463" s="119"/>
      <c r="Q463" s="119"/>
      <c r="R463" s="1"/>
      <c r="S463" s="1"/>
      <c r="T463" s="1"/>
      <c r="U463" s="1"/>
      <c r="V463" s="1"/>
      <c r="W463" s="1"/>
      <c r="X463" s="1"/>
    </row>
    <row r="464" ht="18.75" customHeight="1">
      <c r="A464" s="9">
        <f t="shared" si="5"/>
        <v>461</v>
      </c>
      <c r="B464" s="116" t="s">
        <v>117</v>
      </c>
      <c r="C464" s="116" t="s">
        <v>946</v>
      </c>
      <c r="D464" s="160" t="s">
        <v>188</v>
      </c>
      <c r="E464" s="160" t="s">
        <v>27</v>
      </c>
      <c r="F464" s="128">
        <v>45962.0</v>
      </c>
      <c r="G464" s="102">
        <v>46174.0</v>
      </c>
      <c r="H464" s="103" t="s">
        <v>947</v>
      </c>
      <c r="I464" s="115">
        <f>5310*7</f>
        <v>37170</v>
      </c>
      <c r="J464" s="115">
        <v>5310.0</v>
      </c>
      <c r="K464" s="117">
        <f t="shared" si="52"/>
        <v>31860</v>
      </c>
      <c r="L464" s="111">
        <v>46010.0</v>
      </c>
      <c r="M464" s="119"/>
      <c r="N464" s="119"/>
      <c r="O464" s="119"/>
      <c r="P464" s="119"/>
      <c r="Q464" s="119"/>
      <c r="R464" s="1"/>
      <c r="S464" s="1"/>
      <c r="T464" s="1"/>
      <c r="U464" s="1"/>
      <c r="V464" s="1"/>
      <c r="W464" s="1"/>
      <c r="X464" s="1"/>
    </row>
    <row r="465" ht="18.75" customHeight="1">
      <c r="A465" s="9">
        <f t="shared" si="5"/>
        <v>462</v>
      </c>
      <c r="B465" s="116" t="s">
        <v>948</v>
      </c>
      <c r="C465" s="116" t="s">
        <v>949</v>
      </c>
      <c r="D465" s="160" t="s">
        <v>31</v>
      </c>
      <c r="E465" s="160" t="s">
        <v>27</v>
      </c>
      <c r="F465" s="128">
        <v>45980.0</v>
      </c>
      <c r="G465" s="102">
        <v>46344.0</v>
      </c>
      <c r="H465" s="206" t="s">
        <v>268</v>
      </c>
      <c r="I465" s="115">
        <v>74340.0</v>
      </c>
      <c r="J465" s="115">
        <v>74340.0</v>
      </c>
      <c r="K465" s="117">
        <f t="shared" si="52"/>
        <v>0</v>
      </c>
      <c r="L465" s="118"/>
      <c r="M465" s="119"/>
      <c r="N465" s="119"/>
      <c r="O465" s="119"/>
      <c r="P465" s="119"/>
      <c r="Q465" s="119"/>
      <c r="R465" s="1"/>
      <c r="S465" s="1"/>
      <c r="T465" s="1"/>
      <c r="U465" s="1"/>
      <c r="V465" s="1"/>
      <c r="W465" s="1"/>
      <c r="X465" s="1"/>
    </row>
    <row r="466" ht="18.75" customHeight="1">
      <c r="A466" s="9">
        <f t="shared" si="5"/>
        <v>463</v>
      </c>
      <c r="B466" s="116" t="s">
        <v>113</v>
      </c>
      <c r="C466" s="116" t="s">
        <v>950</v>
      </c>
      <c r="D466" s="160" t="s">
        <v>159</v>
      </c>
      <c r="E466" s="160" t="s">
        <v>27</v>
      </c>
      <c r="F466" s="128">
        <v>45981.0</v>
      </c>
      <c r="G466" s="102">
        <v>46345.0</v>
      </c>
      <c r="H466" s="206" t="s">
        <v>268</v>
      </c>
      <c r="I466" s="115">
        <v>156000.0</v>
      </c>
      <c r="J466" s="115">
        <v>156000.0</v>
      </c>
      <c r="K466" s="117">
        <f t="shared" si="52"/>
        <v>0</v>
      </c>
      <c r="L466" s="118"/>
      <c r="M466" s="119"/>
      <c r="N466" s="119"/>
      <c r="O466" s="119"/>
      <c r="P466" s="119"/>
      <c r="Q466" s="119"/>
      <c r="R466" s="1"/>
      <c r="S466" s="1"/>
      <c r="T466" s="1"/>
      <c r="U466" s="1"/>
      <c r="V466" s="1"/>
      <c r="W466" s="1"/>
      <c r="X466" s="1"/>
    </row>
    <row r="467" ht="18.75" customHeight="1">
      <c r="A467" s="9">
        <f t="shared" si="5"/>
        <v>464</v>
      </c>
      <c r="B467" s="116" t="s">
        <v>951</v>
      </c>
      <c r="C467" s="116" t="s">
        <v>952</v>
      </c>
      <c r="D467" s="160" t="s">
        <v>696</v>
      </c>
      <c r="E467" s="160" t="s">
        <v>54</v>
      </c>
      <c r="F467" s="128">
        <v>45981.0</v>
      </c>
      <c r="G467" s="102">
        <v>46010.0</v>
      </c>
      <c r="H467" s="208" t="s">
        <v>55</v>
      </c>
      <c r="I467" s="115">
        <v>7080.0</v>
      </c>
      <c r="J467" s="115">
        <v>7080.0</v>
      </c>
      <c r="K467" s="117">
        <f t="shared" si="52"/>
        <v>0</v>
      </c>
      <c r="L467" s="118"/>
      <c r="M467" s="119"/>
      <c r="N467" s="119"/>
      <c r="O467" s="119"/>
      <c r="P467" s="119"/>
      <c r="Q467" s="119"/>
      <c r="R467" s="1"/>
      <c r="S467" s="1"/>
      <c r="T467" s="1"/>
      <c r="U467" s="1"/>
      <c r="V467" s="1"/>
      <c r="W467" s="1"/>
      <c r="X467" s="1"/>
    </row>
    <row r="468" ht="18.75" customHeight="1">
      <c r="A468" s="9">
        <f t="shared" si="5"/>
        <v>465</v>
      </c>
      <c r="B468" s="116" t="s">
        <v>953</v>
      </c>
      <c r="C468" s="116" t="s">
        <v>954</v>
      </c>
      <c r="D468" s="212" t="s">
        <v>159</v>
      </c>
      <c r="E468" s="160" t="s">
        <v>54</v>
      </c>
      <c r="F468" s="128">
        <v>45981.0</v>
      </c>
      <c r="G468" s="102">
        <v>46011.0</v>
      </c>
      <c r="H468" s="208" t="s">
        <v>55</v>
      </c>
      <c r="I468" s="115">
        <v>5900.0</v>
      </c>
      <c r="J468" s="115">
        <v>5900.0</v>
      </c>
      <c r="K468" s="117">
        <f t="shared" si="52"/>
        <v>0</v>
      </c>
      <c r="L468" s="118"/>
      <c r="M468" s="119"/>
      <c r="N468" s="119"/>
      <c r="O468" s="119"/>
      <c r="P468" s="119"/>
      <c r="Q468" s="119"/>
      <c r="R468" s="1"/>
      <c r="S468" s="1"/>
      <c r="T468" s="1"/>
      <c r="U468" s="1"/>
      <c r="V468" s="1"/>
      <c r="W468" s="1"/>
      <c r="X468" s="1"/>
    </row>
    <row r="469" ht="18.75" customHeight="1">
      <c r="A469" s="9">
        <f t="shared" si="5"/>
        <v>466</v>
      </c>
      <c r="B469" s="116" t="s">
        <v>955</v>
      </c>
      <c r="C469" s="116" t="s">
        <v>956</v>
      </c>
      <c r="D469" s="212" t="s">
        <v>188</v>
      </c>
      <c r="E469" s="160" t="s">
        <v>27</v>
      </c>
      <c r="F469" s="128">
        <v>45981.0</v>
      </c>
      <c r="G469" s="102">
        <v>46346.0</v>
      </c>
      <c r="H469" s="206" t="s">
        <v>268</v>
      </c>
      <c r="I469" s="115">
        <v>82600.0</v>
      </c>
      <c r="J469" s="115">
        <v>82600.0</v>
      </c>
      <c r="K469" s="117">
        <f t="shared" si="52"/>
        <v>0</v>
      </c>
      <c r="L469" s="118"/>
      <c r="M469" s="119"/>
      <c r="N469" s="119"/>
      <c r="O469" s="119"/>
      <c r="P469" s="119"/>
      <c r="Q469" s="119"/>
      <c r="R469" s="1"/>
      <c r="S469" s="1"/>
      <c r="T469" s="1"/>
      <c r="U469" s="1"/>
      <c r="V469" s="1"/>
      <c r="W469" s="1"/>
      <c r="X469" s="1"/>
    </row>
    <row r="470" ht="18.75" customHeight="1">
      <c r="A470" s="9">
        <f t="shared" si="5"/>
        <v>467</v>
      </c>
      <c r="B470" s="116" t="s">
        <v>957</v>
      </c>
      <c r="C470" s="116" t="s">
        <v>958</v>
      </c>
      <c r="D470" s="160" t="s">
        <v>45</v>
      </c>
      <c r="E470" s="160" t="s">
        <v>27</v>
      </c>
      <c r="F470" s="128">
        <v>45982.0</v>
      </c>
      <c r="G470" s="102">
        <v>46346.0</v>
      </c>
      <c r="H470" s="103" t="s">
        <v>28</v>
      </c>
      <c r="I470" s="115">
        <f>9440*12</f>
        <v>113280</v>
      </c>
      <c r="J470" s="115">
        <f>9440*1</f>
        <v>9440</v>
      </c>
      <c r="K470" s="117">
        <f t="shared" si="52"/>
        <v>103840</v>
      </c>
      <c r="L470" s="111">
        <v>46377.0</v>
      </c>
      <c r="M470" s="119"/>
      <c r="N470" s="119"/>
      <c r="O470" s="119"/>
      <c r="P470" s="119"/>
      <c r="Q470" s="119"/>
      <c r="R470" s="1"/>
      <c r="S470" s="1"/>
      <c r="T470" s="1"/>
      <c r="U470" s="1"/>
      <c r="V470" s="1"/>
      <c r="W470" s="1"/>
      <c r="X470" s="1"/>
    </row>
    <row r="471" ht="18.75" customHeight="1">
      <c r="A471" s="9">
        <f t="shared" si="5"/>
        <v>468</v>
      </c>
      <c r="B471" s="116" t="s">
        <v>262</v>
      </c>
      <c r="C471" s="116" t="s">
        <v>959</v>
      </c>
      <c r="D471" s="160" t="s">
        <v>829</v>
      </c>
      <c r="E471" s="160" t="s">
        <v>27</v>
      </c>
      <c r="F471" s="128">
        <v>45982.0</v>
      </c>
      <c r="G471" s="102">
        <v>46346.0</v>
      </c>
      <c r="H471" s="159" t="s">
        <v>294</v>
      </c>
      <c r="I471" s="115">
        <f>20000*4</f>
        <v>80000</v>
      </c>
      <c r="J471" s="115">
        <f>20000*1</f>
        <v>20000</v>
      </c>
      <c r="K471" s="117">
        <f t="shared" si="52"/>
        <v>60000</v>
      </c>
      <c r="L471" s="111">
        <v>46074.0</v>
      </c>
      <c r="M471" s="119"/>
      <c r="N471" s="119"/>
      <c r="O471" s="119"/>
      <c r="P471" s="119"/>
      <c r="Q471" s="119"/>
      <c r="R471" s="1"/>
      <c r="S471" s="1"/>
      <c r="T471" s="1"/>
      <c r="U471" s="1"/>
      <c r="V471" s="1"/>
      <c r="W471" s="1"/>
      <c r="X471" s="1"/>
    </row>
    <row r="472" ht="18.75" customHeight="1">
      <c r="A472" s="9">
        <f t="shared" si="5"/>
        <v>469</v>
      </c>
      <c r="B472" s="116" t="s">
        <v>960</v>
      </c>
      <c r="C472" s="116" t="s">
        <v>961</v>
      </c>
      <c r="D472" s="160" t="s">
        <v>159</v>
      </c>
      <c r="E472" s="160" t="s">
        <v>27</v>
      </c>
      <c r="F472" s="128">
        <v>45983.0</v>
      </c>
      <c r="G472" s="102">
        <v>46347.0</v>
      </c>
      <c r="H472" s="103" t="s">
        <v>28</v>
      </c>
      <c r="I472" s="115">
        <f>9440*12</f>
        <v>113280</v>
      </c>
      <c r="J472" s="115">
        <f>9440*1</f>
        <v>9440</v>
      </c>
      <c r="K472" s="117">
        <f t="shared" si="52"/>
        <v>103840</v>
      </c>
      <c r="L472" s="111">
        <v>46013.0</v>
      </c>
      <c r="M472" s="119"/>
      <c r="N472" s="119"/>
      <c r="O472" s="119"/>
      <c r="P472" s="119"/>
      <c r="Q472" s="119"/>
      <c r="R472" s="1"/>
      <c r="S472" s="1"/>
      <c r="T472" s="1"/>
      <c r="U472" s="1"/>
      <c r="V472" s="1"/>
      <c r="W472" s="1"/>
      <c r="X472" s="1"/>
    </row>
    <row r="473" ht="18.75" customHeight="1">
      <c r="A473" s="9">
        <f t="shared" si="5"/>
        <v>470</v>
      </c>
      <c r="B473" s="116" t="s">
        <v>962</v>
      </c>
      <c r="C473" s="116" t="s">
        <v>963</v>
      </c>
      <c r="D473" s="160" t="s">
        <v>696</v>
      </c>
      <c r="E473" s="160" t="s">
        <v>27</v>
      </c>
      <c r="F473" s="128">
        <v>45982.0</v>
      </c>
      <c r="G473" s="102">
        <v>46346.0</v>
      </c>
      <c r="H473" s="103" t="s">
        <v>268</v>
      </c>
      <c r="I473" s="115">
        <v>82600.0</v>
      </c>
      <c r="J473" s="115">
        <v>82600.0</v>
      </c>
      <c r="K473" s="117">
        <f t="shared" si="52"/>
        <v>0</v>
      </c>
      <c r="L473" s="111"/>
      <c r="M473" s="119"/>
      <c r="N473" s="119"/>
      <c r="O473" s="119"/>
      <c r="P473" s="119"/>
      <c r="Q473" s="119"/>
      <c r="R473" s="1"/>
      <c r="S473" s="1"/>
      <c r="T473" s="1"/>
      <c r="U473" s="1"/>
      <c r="V473" s="1"/>
      <c r="W473" s="1"/>
      <c r="X473" s="1"/>
    </row>
    <row r="474" ht="18.75" customHeight="1">
      <c r="A474" s="9">
        <f t="shared" si="5"/>
        <v>471</v>
      </c>
      <c r="B474" s="116" t="s">
        <v>964</v>
      </c>
      <c r="C474" s="116" t="s">
        <v>965</v>
      </c>
      <c r="D474" s="212" t="s">
        <v>159</v>
      </c>
      <c r="E474" s="160" t="s">
        <v>54</v>
      </c>
      <c r="F474" s="128">
        <v>45904.0</v>
      </c>
      <c r="G474" s="102">
        <v>45971.0</v>
      </c>
      <c r="H474" s="109" t="s">
        <v>966</v>
      </c>
      <c r="I474" s="115">
        <v>47200.0</v>
      </c>
      <c r="J474" s="115">
        <v>47200.0</v>
      </c>
      <c r="K474" s="117">
        <f t="shared" si="52"/>
        <v>0</v>
      </c>
      <c r="L474" s="118"/>
      <c r="M474" s="119"/>
      <c r="N474" s="119"/>
      <c r="O474" s="119"/>
      <c r="P474" s="119"/>
      <c r="Q474" s="119"/>
      <c r="R474" s="1"/>
      <c r="S474" s="1"/>
      <c r="T474" s="1"/>
      <c r="U474" s="1"/>
      <c r="V474" s="1"/>
      <c r="W474" s="1"/>
      <c r="X474" s="1"/>
    </row>
    <row r="475" ht="18.75" customHeight="1">
      <c r="A475" s="9">
        <f t="shared" si="5"/>
        <v>472</v>
      </c>
      <c r="B475" s="116" t="s">
        <v>163</v>
      </c>
      <c r="C475" s="116" t="s">
        <v>967</v>
      </c>
      <c r="D475" s="160" t="s">
        <v>159</v>
      </c>
      <c r="E475" s="160" t="s">
        <v>27</v>
      </c>
      <c r="F475" s="128">
        <v>45987.0</v>
      </c>
      <c r="G475" s="102">
        <v>46167.0</v>
      </c>
      <c r="H475" s="208" t="s">
        <v>38</v>
      </c>
      <c r="I475" s="115">
        <v>44604.0</v>
      </c>
      <c r="J475" s="115">
        <v>44604.0</v>
      </c>
      <c r="K475" s="117">
        <f t="shared" si="52"/>
        <v>0</v>
      </c>
      <c r="L475" s="118"/>
      <c r="M475" s="119"/>
      <c r="N475" s="119"/>
      <c r="O475" s="119"/>
      <c r="P475" s="119"/>
      <c r="Q475" s="119"/>
      <c r="R475" s="1"/>
      <c r="S475" s="1"/>
      <c r="T475" s="1"/>
      <c r="U475" s="1"/>
      <c r="V475" s="1"/>
      <c r="W475" s="1"/>
      <c r="X475" s="1"/>
    </row>
    <row r="476" ht="18.75" customHeight="1">
      <c r="A476" s="9">
        <f t="shared" si="5"/>
        <v>473</v>
      </c>
      <c r="B476" s="116" t="s">
        <v>968</v>
      </c>
      <c r="C476" s="116" t="s">
        <v>969</v>
      </c>
      <c r="D476" s="116" t="s">
        <v>140</v>
      </c>
      <c r="E476" s="160" t="s">
        <v>27</v>
      </c>
      <c r="F476" s="128">
        <v>45985.0</v>
      </c>
      <c r="G476" s="102">
        <v>46349.0</v>
      </c>
      <c r="H476" s="103" t="s">
        <v>268</v>
      </c>
      <c r="I476" s="115">
        <v>120000.0</v>
      </c>
      <c r="J476" s="115">
        <v>120000.0</v>
      </c>
      <c r="K476" s="117">
        <f t="shared" si="52"/>
        <v>0</v>
      </c>
      <c r="L476" s="118"/>
      <c r="M476" s="119"/>
      <c r="N476" s="119"/>
      <c r="O476" s="119"/>
      <c r="P476" s="119"/>
      <c r="Q476" s="119"/>
      <c r="R476" s="1"/>
      <c r="S476" s="1"/>
      <c r="T476" s="1"/>
      <c r="U476" s="1"/>
      <c r="V476" s="1"/>
      <c r="W476" s="1"/>
      <c r="X476" s="1"/>
    </row>
    <row r="477" ht="18.75" customHeight="1">
      <c r="A477" s="9">
        <f t="shared" si="5"/>
        <v>474</v>
      </c>
      <c r="B477" s="116" t="s">
        <v>970</v>
      </c>
      <c r="C477" s="116" t="s">
        <v>971</v>
      </c>
      <c r="D477" s="212" t="s">
        <v>159</v>
      </c>
      <c r="E477" s="160" t="s">
        <v>27</v>
      </c>
      <c r="F477" s="128">
        <v>45986.0</v>
      </c>
      <c r="G477" s="102">
        <v>46350.0</v>
      </c>
      <c r="H477" s="103" t="s">
        <v>268</v>
      </c>
      <c r="I477" s="115">
        <v>262102.0</v>
      </c>
      <c r="J477" s="115">
        <v>262102.0</v>
      </c>
      <c r="K477" s="117">
        <f t="shared" si="52"/>
        <v>0</v>
      </c>
      <c r="L477" s="118"/>
      <c r="M477" s="213" t="s">
        <v>972</v>
      </c>
      <c r="N477" s="119"/>
      <c r="O477" s="119"/>
      <c r="P477" s="119"/>
      <c r="Q477" s="119"/>
      <c r="R477" s="1"/>
      <c r="S477" s="1"/>
      <c r="T477" s="1"/>
      <c r="U477" s="1"/>
      <c r="V477" s="1"/>
      <c r="W477" s="1"/>
      <c r="X477" s="1"/>
    </row>
    <row r="478" ht="18.75" customHeight="1">
      <c r="A478" s="9">
        <f t="shared" si="5"/>
        <v>475</v>
      </c>
      <c r="B478" s="116" t="s">
        <v>973</v>
      </c>
      <c r="C478" s="116" t="s">
        <v>974</v>
      </c>
      <c r="D478" s="214" t="s">
        <v>159</v>
      </c>
      <c r="E478" s="160" t="s">
        <v>54</v>
      </c>
      <c r="F478" s="128">
        <v>45985.0</v>
      </c>
      <c r="G478" s="102">
        <v>46022.0</v>
      </c>
      <c r="H478" s="109" t="s">
        <v>975</v>
      </c>
      <c r="I478" s="115">
        <v>35400.0</v>
      </c>
      <c r="J478" s="115">
        <v>35400.0</v>
      </c>
      <c r="K478" s="117">
        <f t="shared" si="52"/>
        <v>0</v>
      </c>
      <c r="L478" s="118"/>
      <c r="M478" s="119"/>
      <c r="N478" s="119"/>
      <c r="O478" s="119"/>
      <c r="P478" s="119"/>
      <c r="Q478" s="119"/>
      <c r="R478" s="1"/>
      <c r="S478" s="1"/>
      <c r="T478" s="1"/>
      <c r="U478" s="1"/>
      <c r="V478" s="1"/>
      <c r="W478" s="1"/>
      <c r="X478" s="1"/>
    </row>
    <row r="479" ht="18.75" customHeight="1">
      <c r="A479" s="9">
        <f t="shared" si="5"/>
        <v>476</v>
      </c>
      <c r="B479" s="116" t="s">
        <v>976</v>
      </c>
      <c r="C479" s="116" t="s">
        <v>977</v>
      </c>
      <c r="D479" s="160" t="s">
        <v>159</v>
      </c>
      <c r="E479" s="160" t="s">
        <v>54</v>
      </c>
      <c r="F479" s="128">
        <v>45986.0</v>
      </c>
      <c r="G479" s="102">
        <v>46022.0</v>
      </c>
      <c r="H479" s="208" t="s">
        <v>55</v>
      </c>
      <c r="I479" s="115">
        <v>23600.0</v>
      </c>
      <c r="J479" s="115">
        <v>23600.0</v>
      </c>
      <c r="K479" s="117">
        <f t="shared" si="52"/>
        <v>0</v>
      </c>
      <c r="L479" s="118"/>
      <c r="M479" s="119"/>
      <c r="N479" s="119"/>
      <c r="O479" s="119"/>
      <c r="P479" s="119"/>
      <c r="Q479" s="119"/>
      <c r="R479" s="1"/>
      <c r="S479" s="1"/>
      <c r="T479" s="1"/>
      <c r="U479" s="1"/>
      <c r="V479" s="1"/>
      <c r="W479" s="1"/>
      <c r="X479" s="1"/>
    </row>
    <row r="480" ht="18.75" customHeight="1">
      <c r="A480" s="9">
        <f t="shared" si="5"/>
        <v>477</v>
      </c>
      <c r="B480" s="116" t="s">
        <v>770</v>
      </c>
      <c r="C480" s="116" t="s">
        <v>978</v>
      </c>
      <c r="D480" s="160" t="s">
        <v>45</v>
      </c>
      <c r="E480" s="160" t="s">
        <v>27</v>
      </c>
      <c r="F480" s="128">
        <v>45976.0</v>
      </c>
      <c r="G480" s="102">
        <v>46340.0</v>
      </c>
      <c r="H480" s="103" t="s">
        <v>268</v>
      </c>
      <c r="I480" s="115">
        <v>413000.0</v>
      </c>
      <c r="J480" s="115">
        <v>413000.0</v>
      </c>
      <c r="K480" s="117">
        <f t="shared" si="52"/>
        <v>0</v>
      </c>
      <c r="L480" s="118"/>
      <c r="M480" s="119"/>
      <c r="N480" s="119"/>
      <c r="O480" s="119"/>
      <c r="P480" s="119"/>
      <c r="Q480" s="119"/>
      <c r="R480" s="1"/>
      <c r="S480" s="1"/>
      <c r="T480" s="1"/>
      <c r="U480" s="1"/>
      <c r="V480" s="1"/>
      <c r="W480" s="1"/>
      <c r="X480" s="1"/>
    </row>
    <row r="481" ht="18.75" customHeight="1">
      <c r="A481" s="9">
        <f t="shared" si="5"/>
        <v>478</v>
      </c>
      <c r="B481" s="116" t="s">
        <v>979</v>
      </c>
      <c r="C481" s="116" t="s">
        <v>980</v>
      </c>
      <c r="D481" s="160" t="s">
        <v>244</v>
      </c>
      <c r="E481" s="160" t="s">
        <v>27</v>
      </c>
      <c r="F481" s="128">
        <v>45986.0</v>
      </c>
      <c r="G481" s="102">
        <v>46350.0</v>
      </c>
      <c r="H481" s="103" t="s">
        <v>268</v>
      </c>
      <c r="I481" s="115">
        <v>708000.0</v>
      </c>
      <c r="J481" s="115">
        <v>708000.0</v>
      </c>
      <c r="K481" s="117">
        <f t="shared" si="52"/>
        <v>0</v>
      </c>
      <c r="L481" s="118"/>
      <c r="M481" s="119"/>
      <c r="N481" s="119"/>
      <c r="O481" s="119"/>
      <c r="P481" s="119"/>
      <c r="Q481" s="119"/>
      <c r="R481" s="1"/>
      <c r="S481" s="1"/>
      <c r="T481" s="1"/>
      <c r="U481" s="1"/>
      <c r="V481" s="1"/>
      <c r="W481" s="1"/>
      <c r="X481" s="1"/>
    </row>
    <row r="482" ht="18.75" customHeight="1">
      <c r="A482" s="9">
        <f t="shared" si="5"/>
        <v>479</v>
      </c>
      <c r="B482" s="116" t="s">
        <v>981</v>
      </c>
      <c r="C482" s="116" t="s">
        <v>982</v>
      </c>
      <c r="D482" s="160" t="s">
        <v>45</v>
      </c>
      <c r="E482" s="160" t="s">
        <v>27</v>
      </c>
      <c r="F482" s="128">
        <v>45986.0</v>
      </c>
      <c r="G482" s="102">
        <v>46350.0</v>
      </c>
      <c r="H482" s="103" t="s">
        <v>28</v>
      </c>
      <c r="I482" s="115">
        <f>6000*12</f>
        <v>72000</v>
      </c>
      <c r="J482" s="115">
        <f>6000*1</f>
        <v>6000</v>
      </c>
      <c r="K482" s="117">
        <f t="shared" si="52"/>
        <v>66000</v>
      </c>
      <c r="L482" s="111">
        <v>46016.0</v>
      </c>
      <c r="M482" s="119"/>
      <c r="N482" s="119"/>
      <c r="O482" s="119"/>
      <c r="P482" s="119"/>
      <c r="Q482" s="119"/>
      <c r="R482" s="1"/>
      <c r="S482" s="1"/>
      <c r="T482" s="1"/>
      <c r="U482" s="1"/>
      <c r="V482" s="1"/>
      <c r="W482" s="1"/>
      <c r="X482" s="1"/>
    </row>
    <row r="483" ht="18.75" customHeight="1">
      <c r="A483" s="9">
        <f t="shared" si="5"/>
        <v>480</v>
      </c>
      <c r="B483" s="116" t="s">
        <v>983</v>
      </c>
      <c r="C483" s="116" t="s">
        <v>984</v>
      </c>
      <c r="D483" s="160" t="s">
        <v>140</v>
      </c>
      <c r="E483" s="160" t="s">
        <v>27</v>
      </c>
      <c r="F483" s="128">
        <v>45987.0</v>
      </c>
      <c r="G483" s="102">
        <v>46381.0</v>
      </c>
      <c r="H483" s="103" t="s">
        <v>268</v>
      </c>
      <c r="I483" s="115">
        <v>78500.0</v>
      </c>
      <c r="J483" s="115">
        <v>78500.0</v>
      </c>
      <c r="K483" s="117">
        <f t="shared" si="52"/>
        <v>0</v>
      </c>
      <c r="L483" s="118"/>
      <c r="M483" s="119"/>
      <c r="N483" s="119"/>
      <c r="O483" s="119"/>
      <c r="P483" s="119"/>
      <c r="Q483" s="119"/>
      <c r="R483" s="1"/>
      <c r="S483" s="1"/>
      <c r="T483" s="1"/>
      <c r="U483" s="1"/>
      <c r="V483" s="1"/>
      <c r="W483" s="1"/>
      <c r="X483" s="1"/>
    </row>
    <row r="484" ht="18.75" customHeight="1">
      <c r="A484" s="9">
        <f t="shared" si="5"/>
        <v>481</v>
      </c>
      <c r="B484" s="116" t="s">
        <v>985</v>
      </c>
      <c r="C484" s="116" t="s">
        <v>986</v>
      </c>
      <c r="D484" s="160" t="s">
        <v>696</v>
      </c>
      <c r="E484" s="160" t="s">
        <v>27</v>
      </c>
      <c r="F484" s="128">
        <v>45987.0</v>
      </c>
      <c r="G484" s="102">
        <v>46351.0</v>
      </c>
      <c r="H484" s="103" t="s">
        <v>268</v>
      </c>
      <c r="I484" s="115">
        <v>82600.0</v>
      </c>
      <c r="J484" s="115">
        <v>82600.0</v>
      </c>
      <c r="K484" s="117">
        <f t="shared" si="52"/>
        <v>0</v>
      </c>
      <c r="L484" s="118"/>
      <c r="M484" s="119"/>
      <c r="N484" s="119"/>
      <c r="O484" s="119"/>
      <c r="P484" s="119"/>
      <c r="Q484" s="119"/>
      <c r="R484" s="1"/>
      <c r="S484" s="1"/>
      <c r="T484" s="1"/>
      <c r="U484" s="1"/>
      <c r="V484" s="1"/>
      <c r="W484" s="1"/>
      <c r="X484" s="1"/>
    </row>
    <row r="485" ht="18.75" customHeight="1">
      <c r="A485" s="9">
        <f t="shared" si="5"/>
        <v>482</v>
      </c>
      <c r="B485" s="116" t="s">
        <v>987</v>
      </c>
      <c r="C485" s="116" t="s">
        <v>988</v>
      </c>
      <c r="D485" s="160" t="s">
        <v>244</v>
      </c>
      <c r="E485" s="160" t="s">
        <v>27</v>
      </c>
      <c r="F485" s="128">
        <v>45987.0</v>
      </c>
      <c r="G485" s="102">
        <v>46351.0</v>
      </c>
      <c r="H485" s="103" t="s">
        <v>268</v>
      </c>
      <c r="I485" s="115">
        <v>82600.0</v>
      </c>
      <c r="J485" s="115">
        <v>82600.0</v>
      </c>
      <c r="K485" s="117">
        <f t="shared" si="52"/>
        <v>0</v>
      </c>
      <c r="L485" s="118"/>
      <c r="M485" s="119"/>
      <c r="N485" s="119"/>
      <c r="O485" s="119"/>
      <c r="P485" s="119"/>
      <c r="Q485" s="119"/>
      <c r="R485" s="1"/>
      <c r="S485" s="1"/>
      <c r="T485" s="1"/>
      <c r="U485" s="1"/>
      <c r="V485" s="1"/>
      <c r="W485" s="1"/>
      <c r="X485" s="1"/>
    </row>
    <row r="486" ht="18.75" customHeight="1">
      <c r="A486" s="9">
        <f t="shared" si="5"/>
        <v>483</v>
      </c>
      <c r="B486" s="116" t="s">
        <v>717</v>
      </c>
      <c r="C486" s="116" t="s">
        <v>989</v>
      </c>
      <c r="D486" s="160" t="s">
        <v>45</v>
      </c>
      <c r="E486" s="160" t="s">
        <v>27</v>
      </c>
      <c r="F486" s="128">
        <v>45955.0</v>
      </c>
      <c r="G486" s="102">
        <v>46319.0</v>
      </c>
      <c r="H486" s="103" t="s">
        <v>28</v>
      </c>
      <c r="I486" s="115">
        <f>11148.77*12</f>
        <v>133785.24</v>
      </c>
      <c r="J486" s="115">
        <f>11148.77*1</f>
        <v>11148.77</v>
      </c>
      <c r="K486" s="117">
        <f t="shared" si="52"/>
        <v>122636.47</v>
      </c>
      <c r="L486" s="111">
        <v>46381.0</v>
      </c>
      <c r="M486" s="215" t="s">
        <v>990</v>
      </c>
      <c r="N486" s="216">
        <v>89.190153</v>
      </c>
      <c r="O486" s="216">
        <v>11148.77</v>
      </c>
      <c r="P486" s="119"/>
      <c r="Q486" s="119"/>
      <c r="R486" s="1"/>
      <c r="S486" s="1"/>
      <c r="T486" s="1"/>
      <c r="U486" s="1"/>
      <c r="V486" s="1"/>
      <c r="W486" s="1"/>
      <c r="X486" s="1"/>
    </row>
    <row r="487" ht="18.75" customHeight="1">
      <c r="A487" s="9">
        <f t="shared" si="5"/>
        <v>484</v>
      </c>
      <c r="B487" s="116" t="s">
        <v>991</v>
      </c>
      <c r="C487" s="116" t="s">
        <v>992</v>
      </c>
      <c r="D487" s="160" t="s">
        <v>696</v>
      </c>
      <c r="E487" s="160" t="s">
        <v>27</v>
      </c>
      <c r="F487" s="128">
        <v>45989.0</v>
      </c>
      <c r="G487" s="102">
        <v>46080.0</v>
      </c>
      <c r="H487" s="109" t="s">
        <v>48</v>
      </c>
      <c r="I487" s="115">
        <v>18000.0</v>
      </c>
      <c r="J487" s="115">
        <v>18000.0</v>
      </c>
      <c r="K487" s="117">
        <f t="shared" si="52"/>
        <v>0</v>
      </c>
      <c r="L487" s="118"/>
      <c r="M487" s="119"/>
      <c r="N487" s="119"/>
      <c r="O487" s="119"/>
      <c r="P487" s="119"/>
      <c r="Q487" s="119"/>
      <c r="R487" s="1"/>
      <c r="S487" s="1"/>
      <c r="T487" s="1"/>
      <c r="U487" s="1"/>
      <c r="V487" s="1"/>
      <c r="W487" s="1"/>
      <c r="X487" s="1"/>
    </row>
    <row r="488" ht="18.75" customHeight="1">
      <c r="A488" s="9">
        <f t="shared" si="5"/>
        <v>485</v>
      </c>
      <c r="B488" s="116"/>
      <c r="C488" s="116"/>
      <c r="D488" s="160"/>
      <c r="E488" s="116"/>
      <c r="F488" s="128"/>
      <c r="G488" s="102"/>
      <c r="H488" s="109"/>
      <c r="I488" s="115"/>
      <c r="J488" s="115"/>
      <c r="K488" s="117">
        <f t="shared" si="52"/>
        <v>0</v>
      </c>
      <c r="L488" s="118"/>
      <c r="M488" s="119"/>
      <c r="N488" s="119"/>
      <c r="O488" s="119"/>
      <c r="P488" s="119"/>
      <c r="Q488" s="119"/>
      <c r="R488" s="1"/>
      <c r="S488" s="1"/>
      <c r="T488" s="1"/>
      <c r="U488" s="1"/>
      <c r="V488" s="1"/>
      <c r="W488" s="1"/>
      <c r="X488" s="1"/>
    </row>
    <row r="489" ht="18.75" customHeight="1">
      <c r="A489" s="9">
        <f t="shared" si="5"/>
        <v>486</v>
      </c>
      <c r="B489" s="116"/>
      <c r="C489" s="116"/>
      <c r="D489" s="160"/>
      <c r="E489" s="116"/>
      <c r="F489" s="128"/>
      <c r="G489" s="102"/>
      <c r="H489" s="109"/>
      <c r="I489" s="115"/>
      <c r="J489" s="115"/>
      <c r="K489" s="117">
        <f t="shared" si="52"/>
        <v>0</v>
      </c>
      <c r="L489" s="118"/>
      <c r="M489" s="119"/>
      <c r="N489" s="119"/>
      <c r="O489" s="119"/>
      <c r="P489" s="119"/>
      <c r="Q489" s="119"/>
      <c r="R489" s="1"/>
      <c r="S489" s="1"/>
      <c r="T489" s="1"/>
      <c r="U489" s="1"/>
      <c r="V489" s="1"/>
      <c r="W489" s="1"/>
      <c r="X489" s="1"/>
    </row>
    <row r="490" ht="18.75" customHeight="1">
      <c r="A490" s="9">
        <f t="shared" si="5"/>
        <v>487</v>
      </c>
      <c r="B490" s="116"/>
      <c r="C490" s="116"/>
      <c r="D490" s="160"/>
      <c r="E490" s="116"/>
      <c r="F490" s="128"/>
      <c r="G490" s="102"/>
      <c r="H490" s="109"/>
      <c r="I490" s="115"/>
      <c r="J490" s="115"/>
      <c r="K490" s="117">
        <f t="shared" si="52"/>
        <v>0</v>
      </c>
      <c r="L490" s="118"/>
      <c r="M490" s="119"/>
      <c r="N490" s="119"/>
      <c r="O490" s="119"/>
      <c r="P490" s="119"/>
      <c r="Q490" s="119"/>
      <c r="R490" s="1"/>
      <c r="S490" s="1"/>
      <c r="T490" s="1"/>
      <c r="U490" s="1"/>
      <c r="V490" s="1"/>
      <c r="W490" s="1"/>
      <c r="X490" s="1"/>
    </row>
    <row r="491" ht="18.75" customHeight="1">
      <c r="A491" s="9">
        <f t="shared" si="5"/>
        <v>488</v>
      </c>
      <c r="B491" s="116"/>
      <c r="C491" s="116"/>
      <c r="D491" s="160"/>
      <c r="E491" s="116"/>
      <c r="F491" s="128"/>
      <c r="G491" s="102"/>
      <c r="H491" s="109"/>
      <c r="I491" s="115"/>
      <c r="J491" s="115"/>
      <c r="K491" s="117">
        <f t="shared" si="52"/>
        <v>0</v>
      </c>
      <c r="L491" s="118"/>
      <c r="M491" s="119"/>
      <c r="N491" s="119"/>
      <c r="O491" s="119"/>
      <c r="P491" s="119"/>
      <c r="Q491" s="119"/>
      <c r="R491" s="1"/>
      <c r="S491" s="1"/>
      <c r="T491" s="1"/>
      <c r="U491" s="1"/>
      <c r="V491" s="1"/>
      <c r="W491" s="1"/>
      <c r="X491" s="1"/>
    </row>
    <row r="492" ht="18.75" customHeight="1">
      <c r="A492" s="9">
        <f t="shared" si="5"/>
        <v>489</v>
      </c>
      <c r="B492" s="116"/>
      <c r="C492" s="116"/>
      <c r="D492" s="160"/>
      <c r="E492" s="116"/>
      <c r="F492" s="128"/>
      <c r="G492" s="102"/>
      <c r="H492" s="109"/>
      <c r="I492" s="115"/>
      <c r="J492" s="115"/>
      <c r="K492" s="117">
        <f t="shared" si="52"/>
        <v>0</v>
      </c>
      <c r="L492" s="118"/>
      <c r="M492" s="119"/>
      <c r="N492" s="119"/>
      <c r="O492" s="119"/>
      <c r="P492" s="119"/>
      <c r="Q492" s="119"/>
      <c r="R492" s="1"/>
      <c r="S492" s="1"/>
      <c r="T492" s="1"/>
      <c r="U492" s="1"/>
      <c r="V492" s="1"/>
      <c r="W492" s="1"/>
      <c r="X492" s="1"/>
    </row>
    <row r="493" ht="18.75" customHeight="1">
      <c r="A493" s="9">
        <f t="shared" si="5"/>
        <v>490</v>
      </c>
      <c r="B493" s="116"/>
      <c r="C493" s="116"/>
      <c r="D493" s="160"/>
      <c r="E493" s="116"/>
      <c r="F493" s="128"/>
      <c r="G493" s="102"/>
      <c r="H493" s="109"/>
      <c r="I493" s="115"/>
      <c r="J493" s="115"/>
      <c r="K493" s="117">
        <f t="shared" si="52"/>
        <v>0</v>
      </c>
      <c r="L493" s="118"/>
      <c r="M493" s="119"/>
      <c r="N493" s="119"/>
      <c r="O493" s="119"/>
      <c r="P493" s="119"/>
      <c r="Q493" s="119"/>
      <c r="R493" s="1"/>
      <c r="S493" s="1"/>
      <c r="T493" s="1"/>
      <c r="U493" s="1"/>
      <c r="V493" s="1"/>
      <c r="W493" s="1"/>
      <c r="X493" s="1"/>
    </row>
    <row r="494" ht="18.75" customHeight="1">
      <c r="A494" s="9">
        <f t="shared" si="5"/>
        <v>491</v>
      </c>
      <c r="B494" s="116"/>
      <c r="C494" s="116"/>
      <c r="D494" s="160"/>
      <c r="E494" s="116"/>
      <c r="F494" s="128"/>
      <c r="G494" s="102"/>
      <c r="H494" s="109"/>
      <c r="I494" s="115"/>
      <c r="J494" s="115"/>
      <c r="K494" s="117">
        <f t="shared" si="52"/>
        <v>0</v>
      </c>
      <c r="L494" s="118"/>
      <c r="M494" s="119"/>
      <c r="N494" s="119"/>
      <c r="O494" s="119"/>
      <c r="P494" s="119"/>
      <c r="Q494" s="119"/>
      <c r="R494" s="1"/>
      <c r="S494" s="1"/>
      <c r="T494" s="1"/>
      <c r="U494" s="1"/>
      <c r="V494" s="1"/>
      <c r="W494" s="1"/>
      <c r="X494" s="1"/>
    </row>
    <row r="495" ht="18.75" customHeight="1">
      <c r="A495" s="9">
        <f t="shared" si="5"/>
        <v>492</v>
      </c>
      <c r="B495" s="116"/>
      <c r="C495" s="116"/>
      <c r="D495" s="160"/>
      <c r="E495" s="116"/>
      <c r="F495" s="128"/>
      <c r="G495" s="102"/>
      <c r="H495" s="109"/>
      <c r="I495" s="115"/>
      <c r="J495" s="115"/>
      <c r="K495" s="117">
        <f t="shared" si="52"/>
        <v>0</v>
      </c>
      <c r="L495" s="118"/>
      <c r="M495" s="119"/>
      <c r="N495" s="119"/>
      <c r="O495" s="119"/>
      <c r="P495" s="119"/>
      <c r="Q495" s="119"/>
      <c r="R495" s="1"/>
      <c r="S495" s="1"/>
      <c r="T495" s="1"/>
      <c r="U495" s="1"/>
      <c r="V495" s="1"/>
      <c r="W495" s="1"/>
      <c r="X495" s="1"/>
    </row>
    <row r="496" ht="18.75" customHeight="1">
      <c r="A496" s="9">
        <f t="shared" si="5"/>
        <v>493</v>
      </c>
      <c r="B496" s="116"/>
      <c r="C496" s="116"/>
      <c r="D496" s="160"/>
      <c r="E496" s="116"/>
      <c r="F496" s="128"/>
      <c r="G496" s="102"/>
      <c r="H496" s="109"/>
      <c r="I496" s="115"/>
      <c r="J496" s="115"/>
      <c r="K496" s="117">
        <f t="shared" si="52"/>
        <v>0</v>
      </c>
      <c r="L496" s="118"/>
      <c r="M496" s="119"/>
      <c r="N496" s="119"/>
      <c r="O496" s="119"/>
      <c r="P496" s="119"/>
      <c r="Q496" s="119"/>
      <c r="R496" s="1"/>
      <c r="S496" s="1"/>
      <c r="T496" s="1"/>
      <c r="U496" s="1"/>
      <c r="V496" s="1"/>
      <c r="W496" s="1"/>
      <c r="X496" s="1"/>
    </row>
    <row r="497" ht="18.75" customHeight="1">
      <c r="A497" s="9">
        <f t="shared" si="5"/>
        <v>494</v>
      </c>
      <c r="B497" s="116"/>
      <c r="C497" s="116"/>
      <c r="D497" s="160"/>
      <c r="E497" s="116"/>
      <c r="F497" s="128"/>
      <c r="G497" s="102"/>
      <c r="H497" s="109"/>
      <c r="I497" s="115"/>
      <c r="J497" s="115"/>
      <c r="K497" s="117">
        <f t="shared" si="52"/>
        <v>0</v>
      </c>
      <c r="L497" s="118"/>
      <c r="M497" s="119"/>
      <c r="N497" s="119"/>
      <c r="O497" s="119"/>
      <c r="P497" s="119"/>
      <c r="Q497" s="119"/>
      <c r="R497" s="1"/>
      <c r="S497" s="1"/>
      <c r="T497" s="1"/>
      <c r="U497" s="1"/>
      <c r="V497" s="1"/>
      <c r="W497" s="1"/>
      <c r="X497" s="1"/>
    </row>
    <row r="498" ht="18.75" customHeight="1">
      <c r="A498" s="9">
        <f t="shared" si="5"/>
        <v>495</v>
      </c>
      <c r="B498" s="116"/>
      <c r="C498" s="116"/>
      <c r="D498" s="160"/>
      <c r="E498" s="116"/>
      <c r="F498" s="128"/>
      <c r="G498" s="102"/>
      <c r="H498" s="109"/>
      <c r="I498" s="115"/>
      <c r="J498" s="115"/>
      <c r="K498" s="117">
        <f t="shared" si="52"/>
        <v>0</v>
      </c>
      <c r="L498" s="118"/>
      <c r="M498" s="119"/>
      <c r="N498" s="119"/>
      <c r="O498" s="119"/>
      <c r="P498" s="119"/>
      <c r="Q498" s="119"/>
      <c r="R498" s="1"/>
      <c r="S498" s="1"/>
      <c r="T498" s="1"/>
      <c r="U498" s="1"/>
      <c r="V498" s="1"/>
      <c r="W498" s="1"/>
      <c r="X498" s="1"/>
    </row>
    <row r="499" ht="18.75" customHeight="1">
      <c r="A499" s="9">
        <f t="shared" si="5"/>
        <v>496</v>
      </c>
      <c r="B499" s="116"/>
      <c r="C499" s="116"/>
      <c r="D499" s="160"/>
      <c r="E499" s="116"/>
      <c r="F499" s="128"/>
      <c r="G499" s="102"/>
      <c r="H499" s="109"/>
      <c r="I499" s="115"/>
      <c r="J499" s="115"/>
      <c r="K499" s="117">
        <f t="shared" si="52"/>
        <v>0</v>
      </c>
      <c r="L499" s="118"/>
      <c r="M499" s="119"/>
      <c r="N499" s="119"/>
      <c r="O499" s="119"/>
      <c r="P499" s="119"/>
      <c r="Q499" s="119"/>
      <c r="R499" s="1"/>
      <c r="S499" s="1"/>
      <c r="T499" s="1"/>
      <c r="U499" s="1"/>
      <c r="V499" s="1"/>
      <c r="W499" s="1"/>
      <c r="X499" s="1"/>
    </row>
    <row r="500" ht="18.75" customHeight="1">
      <c r="A500" s="9">
        <f t="shared" si="5"/>
        <v>497</v>
      </c>
      <c r="B500" s="116"/>
      <c r="C500" s="116"/>
      <c r="D500" s="160"/>
      <c r="E500" s="116"/>
      <c r="F500" s="128"/>
      <c r="G500" s="102"/>
      <c r="H500" s="109"/>
      <c r="I500" s="115"/>
      <c r="J500" s="115"/>
      <c r="K500" s="117">
        <f t="shared" si="52"/>
        <v>0</v>
      </c>
      <c r="L500" s="118"/>
      <c r="M500" s="119"/>
      <c r="N500" s="119"/>
      <c r="O500" s="119"/>
      <c r="P500" s="119"/>
      <c r="Q500" s="119"/>
      <c r="R500" s="1"/>
      <c r="S500" s="1"/>
      <c r="T500" s="1"/>
      <c r="U500" s="1"/>
      <c r="V500" s="1"/>
      <c r="W500" s="1"/>
      <c r="X500" s="1"/>
    </row>
    <row r="501" ht="18.75" customHeight="1">
      <c r="A501" s="9">
        <f t="shared" si="5"/>
        <v>498</v>
      </c>
      <c r="B501" s="116"/>
      <c r="C501" s="116"/>
      <c r="D501" s="160"/>
      <c r="E501" s="116"/>
      <c r="F501" s="128"/>
      <c r="G501" s="102"/>
      <c r="H501" s="109"/>
      <c r="I501" s="115"/>
      <c r="J501" s="115"/>
      <c r="K501" s="117">
        <f t="shared" si="52"/>
        <v>0</v>
      </c>
      <c r="L501" s="118"/>
      <c r="M501" s="119"/>
      <c r="N501" s="119"/>
      <c r="O501" s="119"/>
      <c r="P501" s="119"/>
      <c r="Q501" s="119"/>
      <c r="R501" s="1"/>
      <c r="S501" s="1"/>
      <c r="T501" s="1"/>
      <c r="U501" s="1"/>
      <c r="V501" s="1"/>
      <c r="W501" s="1"/>
      <c r="X501" s="1"/>
    </row>
    <row r="502" ht="18.75" customHeight="1">
      <c r="A502" s="9">
        <f t="shared" si="5"/>
        <v>499</v>
      </c>
      <c r="B502" s="116"/>
      <c r="C502" s="116"/>
      <c r="D502" s="160"/>
      <c r="E502" s="116"/>
      <c r="F502" s="128"/>
      <c r="G502" s="102"/>
      <c r="H502" s="109"/>
      <c r="I502" s="115"/>
      <c r="J502" s="115"/>
      <c r="K502" s="117">
        <f t="shared" si="52"/>
        <v>0</v>
      </c>
      <c r="L502" s="118"/>
      <c r="M502" s="119"/>
      <c r="N502" s="119"/>
      <c r="O502" s="119"/>
      <c r="P502" s="119"/>
      <c r="Q502" s="119"/>
      <c r="R502" s="1"/>
      <c r="S502" s="1"/>
      <c r="T502" s="1"/>
      <c r="U502" s="1"/>
      <c r="V502" s="1"/>
      <c r="W502" s="1"/>
      <c r="X502" s="1"/>
    </row>
    <row r="503" ht="18.75" customHeight="1">
      <c r="A503" s="9">
        <f t="shared" si="5"/>
        <v>500</v>
      </c>
      <c r="B503" s="116"/>
      <c r="C503" s="116"/>
      <c r="D503" s="160"/>
      <c r="E503" s="116"/>
      <c r="F503" s="128"/>
      <c r="G503" s="102"/>
      <c r="H503" s="109"/>
      <c r="I503" s="115"/>
      <c r="J503" s="115"/>
      <c r="K503" s="117">
        <f t="shared" si="52"/>
        <v>0</v>
      </c>
      <c r="L503" s="118"/>
      <c r="M503" s="119"/>
      <c r="N503" s="119"/>
      <c r="O503" s="119"/>
      <c r="P503" s="119"/>
      <c r="Q503" s="119"/>
      <c r="R503" s="1"/>
      <c r="S503" s="1"/>
      <c r="T503" s="1"/>
      <c r="U503" s="1"/>
      <c r="V503" s="1"/>
      <c r="W503" s="1"/>
      <c r="X503" s="1"/>
    </row>
    <row r="504" ht="18.75" customHeight="1">
      <c r="A504" s="9">
        <f t="shared" si="5"/>
        <v>501</v>
      </c>
      <c r="B504" s="116"/>
      <c r="C504" s="116"/>
      <c r="D504" s="160"/>
      <c r="E504" s="116"/>
      <c r="F504" s="128"/>
      <c r="G504" s="102"/>
      <c r="H504" s="109"/>
      <c r="I504" s="115"/>
      <c r="J504" s="115"/>
      <c r="K504" s="117">
        <f t="shared" si="52"/>
        <v>0</v>
      </c>
      <c r="L504" s="118"/>
      <c r="M504" s="119"/>
      <c r="N504" s="119"/>
      <c r="O504" s="119"/>
      <c r="P504" s="119"/>
      <c r="Q504" s="119"/>
      <c r="R504" s="1"/>
      <c r="S504" s="1"/>
      <c r="T504" s="1"/>
      <c r="U504" s="1"/>
      <c r="V504" s="1"/>
      <c r="W504" s="1"/>
      <c r="X504" s="1"/>
    </row>
    <row r="505" ht="18.75" customHeight="1">
      <c r="A505" s="1"/>
      <c r="B505" s="1"/>
      <c r="C505" s="1"/>
      <c r="D505" s="217"/>
      <c r="E505" s="1"/>
      <c r="F505" s="1"/>
      <c r="G505" s="1"/>
      <c r="H505" s="1"/>
      <c r="I505" s="1"/>
      <c r="J505" s="1"/>
      <c r="K505" s="1"/>
      <c r="L505" s="7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8.75" customHeight="1">
      <c r="A506" s="1"/>
      <c r="B506" s="1"/>
      <c r="C506" s="1"/>
      <c r="D506" s="217"/>
      <c r="E506" s="1"/>
      <c r="F506" s="1"/>
      <c r="G506" s="1"/>
      <c r="H506" s="1"/>
      <c r="I506" s="1"/>
      <c r="J506" s="1"/>
      <c r="K506" s="1"/>
      <c r="L506" s="7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8.75" customHeight="1">
      <c r="A507" s="1"/>
      <c r="B507" s="1"/>
      <c r="C507" s="1"/>
      <c r="D507" s="217"/>
      <c r="E507" s="1"/>
      <c r="F507" s="1"/>
      <c r="G507" s="1"/>
      <c r="H507" s="1"/>
      <c r="I507" s="1"/>
      <c r="J507" s="1"/>
      <c r="K507" s="1"/>
      <c r="L507" s="7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8.75" customHeight="1">
      <c r="A508" s="1"/>
      <c r="B508" s="1"/>
      <c r="C508" s="1"/>
      <c r="D508" s="217"/>
      <c r="E508" s="1"/>
      <c r="F508" s="1"/>
      <c r="G508" s="1"/>
      <c r="H508" s="1"/>
      <c r="I508" s="1"/>
      <c r="J508" s="1"/>
      <c r="K508" s="1"/>
      <c r="L508" s="7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8.75" customHeight="1">
      <c r="A509" s="1"/>
      <c r="B509" s="1"/>
      <c r="C509" s="1"/>
      <c r="D509" s="217"/>
      <c r="E509" s="1"/>
      <c r="F509" s="1"/>
      <c r="G509" s="1"/>
      <c r="H509" s="1"/>
      <c r="I509" s="1"/>
      <c r="J509" s="1"/>
      <c r="K509" s="1"/>
      <c r="L509" s="7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8.75" customHeight="1">
      <c r="A510" s="1"/>
      <c r="B510" s="1"/>
      <c r="C510" s="1"/>
      <c r="D510" s="217"/>
      <c r="E510" s="1"/>
      <c r="F510" s="1"/>
      <c r="G510" s="1"/>
      <c r="H510" s="1"/>
      <c r="I510" s="1"/>
      <c r="J510" s="1"/>
      <c r="K510" s="1"/>
      <c r="L510" s="7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8.75" customHeight="1">
      <c r="A511" s="1"/>
      <c r="B511" s="1"/>
      <c r="C511" s="1"/>
      <c r="D511" s="217"/>
      <c r="E511" s="1"/>
      <c r="F511" s="1"/>
      <c r="G511" s="1"/>
      <c r="H511" s="1"/>
      <c r="I511" s="1"/>
      <c r="J511" s="1"/>
      <c r="K511" s="1"/>
      <c r="L511" s="7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8.75" customHeight="1">
      <c r="A512" s="1"/>
      <c r="B512" s="1"/>
      <c r="C512" s="1"/>
      <c r="D512" s="217"/>
      <c r="E512" s="1"/>
      <c r="F512" s="1"/>
      <c r="G512" s="1"/>
      <c r="H512" s="1"/>
      <c r="I512" s="1"/>
      <c r="J512" s="1"/>
      <c r="K512" s="1"/>
      <c r="L512" s="7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8.75" customHeight="1">
      <c r="A513" s="1"/>
      <c r="B513" s="1"/>
      <c r="C513" s="1"/>
      <c r="D513" s="217"/>
      <c r="E513" s="1"/>
      <c r="F513" s="1"/>
      <c r="G513" s="1"/>
      <c r="H513" s="1"/>
      <c r="I513" s="1"/>
      <c r="J513" s="1"/>
      <c r="K513" s="1"/>
      <c r="L513" s="7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8.75" customHeight="1">
      <c r="A514" s="1"/>
      <c r="B514" s="1"/>
      <c r="C514" s="1"/>
      <c r="D514" s="217"/>
      <c r="E514" s="1"/>
      <c r="F514" s="1"/>
      <c r="G514" s="1"/>
      <c r="H514" s="1"/>
      <c r="I514" s="1"/>
      <c r="J514" s="1"/>
      <c r="K514" s="1"/>
      <c r="L514" s="7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8.75" customHeight="1">
      <c r="A515" s="1"/>
      <c r="B515" s="1"/>
      <c r="C515" s="1"/>
      <c r="D515" s="217"/>
      <c r="E515" s="1"/>
      <c r="F515" s="1"/>
      <c r="G515" s="1"/>
      <c r="H515" s="1"/>
      <c r="I515" s="1"/>
      <c r="J515" s="1"/>
      <c r="K515" s="1"/>
      <c r="L515" s="7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8.75" customHeight="1">
      <c r="A516" s="1"/>
      <c r="B516" s="1"/>
      <c r="C516" s="1"/>
      <c r="D516" s="217"/>
      <c r="E516" s="1"/>
      <c r="F516" s="1"/>
      <c r="G516" s="1"/>
      <c r="H516" s="1"/>
      <c r="I516" s="1"/>
      <c r="J516" s="1"/>
      <c r="K516" s="1"/>
      <c r="L516" s="7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8.75" customHeight="1">
      <c r="A517" s="1"/>
      <c r="B517" s="1"/>
      <c r="C517" s="1"/>
      <c r="D517" s="217"/>
      <c r="E517" s="1"/>
      <c r="F517" s="1"/>
      <c r="G517" s="1"/>
      <c r="H517" s="1"/>
      <c r="I517" s="1"/>
      <c r="J517" s="1"/>
      <c r="K517" s="1"/>
      <c r="L517" s="7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8.75" customHeight="1">
      <c r="A518" s="1"/>
      <c r="B518" s="1"/>
      <c r="C518" s="1"/>
      <c r="D518" s="217"/>
      <c r="E518" s="1"/>
      <c r="F518" s="1"/>
      <c r="G518" s="1"/>
      <c r="H518" s="1"/>
      <c r="I518" s="1"/>
      <c r="J518" s="1"/>
      <c r="K518" s="1"/>
      <c r="L518" s="7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8.75" customHeight="1">
      <c r="A519" s="1"/>
      <c r="B519" s="1"/>
      <c r="C519" s="1"/>
      <c r="D519" s="217"/>
      <c r="E519" s="1"/>
      <c r="F519" s="1"/>
      <c r="G519" s="1"/>
      <c r="H519" s="1"/>
      <c r="I519" s="1"/>
      <c r="J519" s="1"/>
      <c r="K519" s="1"/>
      <c r="L519" s="7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8.75" customHeight="1">
      <c r="A520" s="1"/>
      <c r="B520" s="1"/>
      <c r="C520" s="1"/>
      <c r="D520" s="217"/>
      <c r="E520" s="1"/>
      <c r="F520" s="1"/>
      <c r="G520" s="1"/>
      <c r="H520" s="1"/>
      <c r="I520" s="1"/>
      <c r="J520" s="1"/>
      <c r="K520" s="1"/>
      <c r="L520" s="7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8.75" customHeight="1">
      <c r="A521" s="1"/>
      <c r="B521" s="1"/>
      <c r="C521" s="1"/>
      <c r="D521" s="217"/>
      <c r="E521" s="1"/>
      <c r="F521" s="1"/>
      <c r="G521" s="1"/>
      <c r="H521" s="1"/>
      <c r="I521" s="1"/>
      <c r="J521" s="1"/>
      <c r="K521" s="1"/>
      <c r="L521" s="7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8.75" customHeight="1">
      <c r="A522" s="1"/>
      <c r="B522" s="1"/>
      <c r="C522" s="1"/>
      <c r="D522" s="217"/>
      <c r="E522" s="1"/>
      <c r="F522" s="1"/>
      <c r="G522" s="1"/>
      <c r="H522" s="1"/>
      <c r="I522" s="1"/>
      <c r="J522" s="1"/>
      <c r="K522" s="1"/>
      <c r="L522" s="7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8.75" customHeight="1">
      <c r="A523" s="1"/>
      <c r="B523" s="1"/>
      <c r="C523" s="1"/>
      <c r="D523" s="217"/>
      <c r="E523" s="1"/>
      <c r="F523" s="1"/>
      <c r="G523" s="1"/>
      <c r="H523" s="1"/>
      <c r="I523" s="1"/>
      <c r="J523" s="1"/>
      <c r="K523" s="1"/>
      <c r="L523" s="7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8.75" customHeight="1">
      <c r="A524" s="1"/>
      <c r="B524" s="1"/>
      <c r="C524" s="1"/>
      <c r="D524" s="217"/>
      <c r="E524" s="1"/>
      <c r="F524" s="1"/>
      <c r="G524" s="1"/>
      <c r="H524" s="1"/>
      <c r="I524" s="1"/>
      <c r="J524" s="1"/>
      <c r="K524" s="1"/>
      <c r="L524" s="7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8.75" customHeight="1">
      <c r="A525" s="1"/>
      <c r="B525" s="1"/>
      <c r="C525" s="1"/>
      <c r="D525" s="217"/>
      <c r="E525" s="1"/>
      <c r="F525" s="1"/>
      <c r="G525" s="1"/>
      <c r="H525" s="1"/>
      <c r="I525" s="1"/>
      <c r="J525" s="1"/>
      <c r="K525" s="1"/>
      <c r="L525" s="7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8.75" customHeight="1">
      <c r="A526" s="1"/>
      <c r="B526" s="1"/>
      <c r="C526" s="1"/>
      <c r="D526" s="217"/>
      <c r="E526" s="1"/>
      <c r="F526" s="1"/>
      <c r="G526" s="1"/>
      <c r="H526" s="1"/>
      <c r="I526" s="1"/>
      <c r="J526" s="1"/>
      <c r="K526" s="1"/>
      <c r="L526" s="7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8.75" customHeight="1">
      <c r="A527" s="1"/>
      <c r="B527" s="1"/>
      <c r="C527" s="1"/>
      <c r="D527" s="217"/>
      <c r="E527" s="1"/>
      <c r="F527" s="1"/>
      <c r="G527" s="1"/>
      <c r="H527" s="1"/>
      <c r="I527" s="1"/>
      <c r="J527" s="1"/>
      <c r="K527" s="1"/>
      <c r="L527" s="7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8.75" customHeight="1">
      <c r="A528" s="1"/>
      <c r="B528" s="1"/>
      <c r="C528" s="1"/>
      <c r="D528" s="217"/>
      <c r="E528" s="1"/>
      <c r="F528" s="1"/>
      <c r="G528" s="1"/>
      <c r="H528" s="1"/>
      <c r="I528" s="1"/>
      <c r="J528" s="1"/>
      <c r="K528" s="1"/>
      <c r="L528" s="7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8.75" customHeight="1">
      <c r="A529" s="1"/>
      <c r="B529" s="1"/>
      <c r="C529" s="1"/>
      <c r="D529" s="217"/>
      <c r="E529" s="1"/>
      <c r="F529" s="1"/>
      <c r="G529" s="1"/>
      <c r="H529" s="1"/>
      <c r="I529" s="1"/>
      <c r="J529" s="1"/>
      <c r="K529" s="1"/>
      <c r="L529" s="7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8.75" customHeight="1">
      <c r="A530" s="1"/>
      <c r="B530" s="1"/>
      <c r="C530" s="1"/>
      <c r="D530" s="217"/>
      <c r="E530" s="1"/>
      <c r="F530" s="1"/>
      <c r="G530" s="1"/>
      <c r="H530" s="1"/>
      <c r="I530" s="1"/>
      <c r="J530" s="1"/>
      <c r="K530" s="1"/>
      <c r="L530" s="7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8.75" customHeight="1">
      <c r="A531" s="1"/>
      <c r="B531" s="1"/>
      <c r="C531" s="1"/>
      <c r="D531" s="217"/>
      <c r="E531" s="1"/>
      <c r="F531" s="1"/>
      <c r="G531" s="1"/>
      <c r="H531" s="1"/>
      <c r="I531" s="1"/>
      <c r="J531" s="1"/>
      <c r="K531" s="1"/>
      <c r="L531" s="7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8.75" customHeight="1">
      <c r="A532" s="1"/>
      <c r="B532" s="1"/>
      <c r="C532" s="1"/>
      <c r="D532" s="217"/>
      <c r="E532" s="1"/>
      <c r="F532" s="1"/>
      <c r="G532" s="1"/>
      <c r="H532" s="1"/>
      <c r="I532" s="1"/>
      <c r="J532" s="1"/>
      <c r="K532" s="1"/>
      <c r="L532" s="7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8.75" customHeight="1">
      <c r="A533" s="1"/>
      <c r="B533" s="1"/>
      <c r="C533" s="1"/>
      <c r="D533" s="217"/>
      <c r="E533" s="1"/>
      <c r="F533" s="1"/>
      <c r="G533" s="1"/>
      <c r="H533" s="1"/>
      <c r="I533" s="1"/>
      <c r="J533" s="1"/>
      <c r="K533" s="1"/>
      <c r="L533" s="7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8.75" customHeight="1">
      <c r="A534" s="1"/>
      <c r="B534" s="1"/>
      <c r="C534" s="1"/>
      <c r="D534" s="217"/>
      <c r="E534" s="1"/>
      <c r="F534" s="1"/>
      <c r="G534" s="1"/>
      <c r="H534" s="1"/>
      <c r="I534" s="1"/>
      <c r="J534" s="1"/>
      <c r="K534" s="1"/>
      <c r="L534" s="7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8.75" customHeight="1">
      <c r="A535" s="1"/>
      <c r="B535" s="1"/>
      <c r="C535" s="1"/>
      <c r="D535" s="217"/>
      <c r="E535" s="1"/>
      <c r="F535" s="1"/>
      <c r="G535" s="1"/>
      <c r="H535" s="1"/>
      <c r="I535" s="1"/>
      <c r="J535" s="1"/>
      <c r="K535" s="1"/>
      <c r="L535" s="7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8.75" customHeight="1">
      <c r="A536" s="1"/>
      <c r="B536" s="1"/>
      <c r="C536" s="1"/>
      <c r="D536" s="217"/>
      <c r="E536" s="1"/>
      <c r="F536" s="1"/>
      <c r="G536" s="1"/>
      <c r="H536" s="1"/>
      <c r="I536" s="1"/>
      <c r="J536" s="1"/>
      <c r="K536" s="1"/>
      <c r="L536" s="7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8.75" customHeight="1">
      <c r="A537" s="1"/>
      <c r="B537" s="1"/>
      <c r="C537" s="1"/>
      <c r="D537" s="217"/>
      <c r="E537" s="1"/>
      <c r="F537" s="1"/>
      <c r="G537" s="1"/>
      <c r="H537" s="1"/>
      <c r="I537" s="1"/>
      <c r="J537" s="1"/>
      <c r="K537" s="1"/>
      <c r="L537" s="7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8.75" customHeight="1">
      <c r="A538" s="1"/>
      <c r="B538" s="1"/>
      <c r="C538" s="1"/>
      <c r="D538" s="217"/>
      <c r="E538" s="1"/>
      <c r="F538" s="1"/>
      <c r="G538" s="1"/>
      <c r="H538" s="1"/>
      <c r="I538" s="1"/>
      <c r="J538" s="1"/>
      <c r="K538" s="1"/>
      <c r="L538" s="7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8.75" customHeight="1">
      <c r="A539" s="1"/>
      <c r="B539" s="1"/>
      <c r="C539" s="1"/>
      <c r="D539" s="217"/>
      <c r="E539" s="1"/>
      <c r="F539" s="1"/>
      <c r="G539" s="1"/>
      <c r="H539" s="1"/>
      <c r="I539" s="1"/>
      <c r="J539" s="1"/>
      <c r="K539" s="1"/>
      <c r="L539" s="7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8.75" customHeight="1">
      <c r="A540" s="1"/>
      <c r="B540" s="1"/>
      <c r="C540" s="1"/>
      <c r="D540" s="217"/>
      <c r="E540" s="1"/>
      <c r="F540" s="1"/>
      <c r="G540" s="1"/>
      <c r="H540" s="1"/>
      <c r="I540" s="1"/>
      <c r="J540" s="1"/>
      <c r="K540" s="1"/>
      <c r="L540" s="7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8.75" customHeight="1">
      <c r="A541" s="1"/>
      <c r="B541" s="1"/>
      <c r="C541" s="1"/>
      <c r="D541" s="217"/>
      <c r="E541" s="1"/>
      <c r="F541" s="1"/>
      <c r="G541" s="1"/>
      <c r="H541" s="1"/>
      <c r="I541" s="1"/>
      <c r="J541" s="1"/>
      <c r="K541" s="1"/>
      <c r="L541" s="7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8.75" customHeight="1">
      <c r="A542" s="1"/>
      <c r="B542" s="1"/>
      <c r="C542" s="1"/>
      <c r="D542" s="217"/>
      <c r="E542" s="1"/>
      <c r="F542" s="1"/>
      <c r="G542" s="1"/>
      <c r="H542" s="1"/>
      <c r="I542" s="1"/>
      <c r="J542" s="1"/>
      <c r="K542" s="1"/>
      <c r="L542" s="7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8.75" customHeight="1">
      <c r="A543" s="1"/>
      <c r="B543" s="1"/>
      <c r="C543" s="1"/>
      <c r="D543" s="217"/>
      <c r="E543" s="1"/>
      <c r="F543" s="1"/>
      <c r="G543" s="1"/>
      <c r="H543" s="1"/>
      <c r="I543" s="1"/>
      <c r="J543" s="1"/>
      <c r="K543" s="1"/>
      <c r="L543" s="7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8.75" customHeight="1">
      <c r="A544" s="1"/>
      <c r="B544" s="1"/>
      <c r="C544" s="1"/>
      <c r="D544" s="217"/>
      <c r="E544" s="1"/>
      <c r="F544" s="1"/>
      <c r="G544" s="1"/>
      <c r="H544" s="1"/>
      <c r="I544" s="1"/>
      <c r="J544" s="1"/>
      <c r="K544" s="1"/>
      <c r="L544" s="7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8.75" customHeight="1">
      <c r="A545" s="1"/>
      <c r="B545" s="1"/>
      <c r="C545" s="1"/>
      <c r="D545" s="217"/>
      <c r="E545" s="1"/>
      <c r="F545" s="1"/>
      <c r="G545" s="1"/>
      <c r="H545" s="1"/>
      <c r="I545" s="1"/>
      <c r="J545" s="1"/>
      <c r="K545" s="1"/>
      <c r="L545" s="7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8.75" customHeight="1">
      <c r="A546" s="1"/>
      <c r="B546" s="1"/>
      <c r="C546" s="1"/>
      <c r="D546" s="217"/>
      <c r="E546" s="1"/>
      <c r="F546" s="1"/>
      <c r="G546" s="1"/>
      <c r="H546" s="1"/>
      <c r="I546" s="1"/>
      <c r="J546" s="1"/>
      <c r="K546" s="1"/>
      <c r="L546" s="7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8.75" customHeight="1">
      <c r="A547" s="1"/>
      <c r="B547" s="1"/>
      <c r="C547" s="1"/>
      <c r="D547" s="217"/>
      <c r="E547" s="1"/>
      <c r="F547" s="1"/>
      <c r="G547" s="1"/>
      <c r="H547" s="1"/>
      <c r="I547" s="1"/>
      <c r="J547" s="1"/>
      <c r="K547" s="1"/>
      <c r="L547" s="7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8.75" customHeight="1">
      <c r="A548" s="1"/>
      <c r="B548" s="1"/>
      <c r="C548" s="1"/>
      <c r="D548" s="217"/>
      <c r="E548" s="1"/>
      <c r="F548" s="1"/>
      <c r="G548" s="1"/>
      <c r="H548" s="1"/>
      <c r="I548" s="1"/>
      <c r="J548" s="1"/>
      <c r="K548" s="1"/>
      <c r="L548" s="7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8.75" customHeight="1">
      <c r="A549" s="1"/>
      <c r="B549" s="1"/>
      <c r="C549" s="1"/>
      <c r="D549" s="217"/>
      <c r="E549" s="1"/>
      <c r="F549" s="1"/>
      <c r="G549" s="1"/>
      <c r="H549" s="1"/>
      <c r="I549" s="1"/>
      <c r="J549" s="1"/>
      <c r="K549" s="1"/>
      <c r="L549" s="7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8.75" customHeight="1">
      <c r="A550" s="1"/>
      <c r="B550" s="1"/>
      <c r="C550" s="1"/>
      <c r="D550" s="217"/>
      <c r="E550" s="1"/>
      <c r="F550" s="1"/>
      <c r="G550" s="1"/>
      <c r="H550" s="1"/>
      <c r="I550" s="1"/>
      <c r="J550" s="1"/>
      <c r="K550" s="1"/>
      <c r="L550" s="7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8.75" customHeight="1">
      <c r="A551" s="1"/>
      <c r="B551" s="1"/>
      <c r="C551" s="1"/>
      <c r="D551" s="217"/>
      <c r="E551" s="1"/>
      <c r="F551" s="1"/>
      <c r="G551" s="1"/>
      <c r="H551" s="1"/>
      <c r="I551" s="1"/>
      <c r="J551" s="1"/>
      <c r="K551" s="1"/>
      <c r="L551" s="7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8.75" customHeight="1">
      <c r="A552" s="1"/>
      <c r="B552" s="1"/>
      <c r="C552" s="1"/>
      <c r="D552" s="217"/>
      <c r="E552" s="1"/>
      <c r="F552" s="1"/>
      <c r="G552" s="1"/>
      <c r="H552" s="1"/>
      <c r="I552" s="1"/>
      <c r="J552" s="1"/>
      <c r="K552" s="1"/>
      <c r="L552" s="7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8.75" customHeight="1">
      <c r="A553" s="1"/>
      <c r="B553" s="1"/>
      <c r="C553" s="1"/>
      <c r="D553" s="217"/>
      <c r="E553" s="1"/>
      <c r="F553" s="1"/>
      <c r="G553" s="1"/>
      <c r="H553" s="1"/>
      <c r="I553" s="1"/>
      <c r="J553" s="1"/>
      <c r="K553" s="1"/>
      <c r="L553" s="7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8.75" customHeight="1">
      <c r="A554" s="1"/>
      <c r="B554" s="1"/>
      <c r="C554" s="1"/>
      <c r="D554" s="217"/>
      <c r="E554" s="1"/>
      <c r="F554" s="1"/>
      <c r="G554" s="1"/>
      <c r="H554" s="1"/>
      <c r="I554" s="1"/>
      <c r="J554" s="1"/>
      <c r="K554" s="1"/>
      <c r="L554" s="7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8.75" customHeight="1">
      <c r="A555" s="1"/>
      <c r="B555" s="1"/>
      <c r="C555" s="1"/>
      <c r="D555" s="217"/>
      <c r="E555" s="1"/>
      <c r="F555" s="1"/>
      <c r="G555" s="1"/>
      <c r="H555" s="1"/>
      <c r="I555" s="1"/>
      <c r="J555" s="1"/>
      <c r="K555" s="1"/>
      <c r="L555" s="7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8.75" customHeight="1">
      <c r="A556" s="1"/>
      <c r="B556" s="1"/>
      <c r="C556" s="1"/>
      <c r="D556" s="217"/>
      <c r="E556" s="1"/>
      <c r="F556" s="1"/>
      <c r="G556" s="1"/>
      <c r="H556" s="1"/>
      <c r="I556" s="1"/>
      <c r="J556" s="1"/>
      <c r="K556" s="1"/>
      <c r="L556" s="7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8.75" customHeight="1">
      <c r="A557" s="1"/>
      <c r="B557" s="1"/>
      <c r="C557" s="1"/>
      <c r="D557" s="217"/>
      <c r="E557" s="1"/>
      <c r="F557" s="1"/>
      <c r="G557" s="1"/>
      <c r="H557" s="1"/>
      <c r="I557" s="1"/>
      <c r="J557" s="1"/>
      <c r="K557" s="1"/>
      <c r="L557" s="7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8.75" customHeight="1">
      <c r="A558" s="1"/>
      <c r="B558" s="1"/>
      <c r="C558" s="1"/>
      <c r="D558" s="217"/>
      <c r="E558" s="1"/>
      <c r="F558" s="1"/>
      <c r="G558" s="1"/>
      <c r="H558" s="1"/>
      <c r="I558" s="1"/>
      <c r="J558" s="1"/>
      <c r="K558" s="1"/>
      <c r="L558" s="7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8.75" customHeight="1">
      <c r="A559" s="1"/>
      <c r="B559" s="1"/>
      <c r="C559" s="1"/>
      <c r="D559" s="217"/>
      <c r="E559" s="1"/>
      <c r="F559" s="1"/>
      <c r="G559" s="1"/>
      <c r="H559" s="1"/>
      <c r="I559" s="1"/>
      <c r="J559" s="1"/>
      <c r="K559" s="1"/>
      <c r="L559" s="7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8.75" customHeight="1">
      <c r="A560" s="1"/>
      <c r="B560" s="1"/>
      <c r="C560" s="1"/>
      <c r="D560" s="217"/>
      <c r="E560" s="1"/>
      <c r="F560" s="1"/>
      <c r="G560" s="1"/>
      <c r="H560" s="1"/>
      <c r="I560" s="1"/>
      <c r="J560" s="1"/>
      <c r="K560" s="1"/>
      <c r="L560" s="7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8.75" customHeight="1">
      <c r="A561" s="1"/>
      <c r="B561" s="1"/>
      <c r="C561" s="1"/>
      <c r="D561" s="217"/>
      <c r="E561" s="1"/>
      <c r="F561" s="1"/>
      <c r="G561" s="1"/>
      <c r="H561" s="1"/>
      <c r="I561" s="1"/>
      <c r="J561" s="1"/>
      <c r="K561" s="1"/>
      <c r="L561" s="7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8.75" customHeight="1">
      <c r="A562" s="1"/>
      <c r="B562" s="1"/>
      <c r="C562" s="1"/>
      <c r="D562" s="217"/>
      <c r="E562" s="1"/>
      <c r="F562" s="1"/>
      <c r="G562" s="1"/>
      <c r="H562" s="1"/>
      <c r="I562" s="1"/>
      <c r="J562" s="1"/>
      <c r="K562" s="1"/>
      <c r="L562" s="7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8.75" customHeight="1">
      <c r="A563" s="1"/>
      <c r="B563" s="1"/>
      <c r="C563" s="1"/>
      <c r="D563" s="217"/>
      <c r="E563" s="1"/>
      <c r="F563" s="1"/>
      <c r="G563" s="1"/>
      <c r="H563" s="1"/>
      <c r="I563" s="1"/>
      <c r="J563" s="1"/>
      <c r="K563" s="1"/>
      <c r="L563" s="7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8.75" customHeight="1">
      <c r="A564" s="1"/>
      <c r="B564" s="1"/>
      <c r="C564" s="1"/>
      <c r="D564" s="217"/>
      <c r="E564" s="1"/>
      <c r="F564" s="1"/>
      <c r="G564" s="1"/>
      <c r="H564" s="1"/>
      <c r="I564" s="1"/>
      <c r="J564" s="1"/>
      <c r="K564" s="1"/>
      <c r="L564" s="7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8.75" customHeight="1">
      <c r="A565" s="1"/>
      <c r="B565" s="1"/>
      <c r="C565" s="1"/>
      <c r="D565" s="217"/>
      <c r="E565" s="1"/>
      <c r="F565" s="1"/>
      <c r="G565" s="1"/>
      <c r="H565" s="1"/>
      <c r="I565" s="1"/>
      <c r="J565" s="1"/>
      <c r="K565" s="1"/>
      <c r="L565" s="7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8.75" customHeight="1">
      <c r="A566" s="1"/>
      <c r="B566" s="1"/>
      <c r="C566" s="1"/>
      <c r="D566" s="217"/>
      <c r="E566" s="1"/>
      <c r="F566" s="1"/>
      <c r="G566" s="1"/>
      <c r="H566" s="1"/>
      <c r="I566" s="1"/>
      <c r="J566" s="1"/>
      <c r="K566" s="1"/>
      <c r="L566" s="7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8.75" customHeight="1">
      <c r="A567" s="1"/>
      <c r="B567" s="1"/>
      <c r="C567" s="1"/>
      <c r="D567" s="217"/>
      <c r="E567" s="1"/>
      <c r="F567" s="1"/>
      <c r="G567" s="1"/>
      <c r="H567" s="1"/>
      <c r="I567" s="1"/>
      <c r="J567" s="1"/>
      <c r="K567" s="1"/>
      <c r="L567" s="7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8.75" customHeight="1">
      <c r="A568" s="1"/>
      <c r="B568" s="1"/>
      <c r="C568" s="1"/>
      <c r="D568" s="217"/>
      <c r="E568" s="1"/>
      <c r="F568" s="1"/>
      <c r="G568" s="1"/>
      <c r="H568" s="1"/>
      <c r="I568" s="1"/>
      <c r="J568" s="1"/>
      <c r="K568" s="1"/>
      <c r="L568" s="7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8.75" customHeight="1">
      <c r="A569" s="1"/>
      <c r="B569" s="1"/>
      <c r="C569" s="1"/>
      <c r="D569" s="217"/>
      <c r="E569" s="1"/>
      <c r="F569" s="1"/>
      <c r="G569" s="1"/>
      <c r="H569" s="1"/>
      <c r="I569" s="1"/>
      <c r="J569" s="1"/>
      <c r="K569" s="1"/>
      <c r="L569" s="7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8.75" customHeight="1">
      <c r="A570" s="1"/>
      <c r="B570" s="1"/>
      <c r="C570" s="1"/>
      <c r="D570" s="217"/>
      <c r="E570" s="1"/>
      <c r="F570" s="1"/>
      <c r="G570" s="1"/>
      <c r="H570" s="1"/>
      <c r="I570" s="1"/>
      <c r="J570" s="1"/>
      <c r="K570" s="1"/>
      <c r="L570" s="7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8.75" customHeight="1">
      <c r="A571" s="1"/>
      <c r="B571" s="1"/>
      <c r="C571" s="1"/>
      <c r="D571" s="217"/>
      <c r="E571" s="1"/>
      <c r="F571" s="1"/>
      <c r="G571" s="1"/>
      <c r="H571" s="1"/>
      <c r="I571" s="1"/>
      <c r="J571" s="1"/>
      <c r="K571" s="1"/>
      <c r="L571" s="7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8.75" customHeight="1">
      <c r="A572" s="1"/>
      <c r="B572" s="1"/>
      <c r="C572" s="1"/>
      <c r="D572" s="217"/>
      <c r="E572" s="1"/>
      <c r="F572" s="1"/>
      <c r="G572" s="1"/>
      <c r="H572" s="1"/>
      <c r="I572" s="1"/>
      <c r="J572" s="1"/>
      <c r="K572" s="1"/>
      <c r="L572" s="7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8.75" customHeight="1">
      <c r="A573" s="1"/>
      <c r="B573" s="1"/>
      <c r="C573" s="1"/>
      <c r="D573" s="217"/>
      <c r="E573" s="1"/>
      <c r="F573" s="1"/>
      <c r="G573" s="1"/>
      <c r="H573" s="1"/>
      <c r="I573" s="1"/>
      <c r="J573" s="1"/>
      <c r="K573" s="1"/>
      <c r="L573" s="7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8.75" customHeight="1">
      <c r="A574" s="1"/>
      <c r="B574" s="1"/>
      <c r="C574" s="1"/>
      <c r="D574" s="217"/>
      <c r="E574" s="1"/>
      <c r="F574" s="1"/>
      <c r="G574" s="1"/>
      <c r="H574" s="1"/>
      <c r="I574" s="1"/>
      <c r="J574" s="1"/>
      <c r="K574" s="1"/>
      <c r="L574" s="7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8.75" customHeight="1">
      <c r="A575" s="1"/>
      <c r="B575" s="1"/>
      <c r="C575" s="1"/>
      <c r="D575" s="217"/>
      <c r="E575" s="1"/>
      <c r="F575" s="1"/>
      <c r="G575" s="1"/>
      <c r="H575" s="1"/>
      <c r="I575" s="1"/>
      <c r="J575" s="1"/>
      <c r="K575" s="1"/>
      <c r="L575" s="7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8.75" customHeight="1">
      <c r="A576" s="1"/>
      <c r="B576" s="1"/>
      <c r="C576" s="1"/>
      <c r="D576" s="217"/>
      <c r="E576" s="1"/>
      <c r="F576" s="1"/>
      <c r="G576" s="1"/>
      <c r="H576" s="1"/>
      <c r="I576" s="1"/>
      <c r="J576" s="1"/>
      <c r="K576" s="1"/>
      <c r="L576" s="7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8.75" customHeight="1">
      <c r="A577" s="1"/>
      <c r="B577" s="1"/>
      <c r="C577" s="1"/>
      <c r="D577" s="217"/>
      <c r="E577" s="1"/>
      <c r="F577" s="1"/>
      <c r="G577" s="1"/>
      <c r="H577" s="1"/>
      <c r="I577" s="1"/>
      <c r="J577" s="1"/>
      <c r="K577" s="1"/>
      <c r="L577" s="7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8.75" customHeight="1">
      <c r="A578" s="1"/>
      <c r="B578" s="1"/>
      <c r="C578" s="1"/>
      <c r="D578" s="217"/>
      <c r="E578" s="1"/>
      <c r="F578" s="1"/>
      <c r="G578" s="1"/>
      <c r="H578" s="1"/>
      <c r="I578" s="1"/>
      <c r="J578" s="1"/>
      <c r="K578" s="1"/>
      <c r="L578" s="7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8.75" customHeight="1">
      <c r="A579" s="1"/>
      <c r="B579" s="1"/>
      <c r="C579" s="1"/>
      <c r="D579" s="217"/>
      <c r="E579" s="1"/>
      <c r="F579" s="1"/>
      <c r="G579" s="1"/>
      <c r="H579" s="1"/>
      <c r="I579" s="1"/>
      <c r="J579" s="1"/>
      <c r="K579" s="1"/>
      <c r="L579" s="7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8.75" customHeight="1">
      <c r="A580" s="1"/>
      <c r="B580" s="1"/>
      <c r="C580" s="1"/>
      <c r="D580" s="217"/>
      <c r="E580" s="1"/>
      <c r="F580" s="1"/>
      <c r="G580" s="1"/>
      <c r="H580" s="1"/>
      <c r="I580" s="1"/>
      <c r="J580" s="1"/>
      <c r="K580" s="1"/>
      <c r="L580" s="7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8.75" customHeight="1">
      <c r="A581" s="1"/>
      <c r="B581" s="1"/>
      <c r="C581" s="1"/>
      <c r="D581" s="217"/>
      <c r="E581" s="1"/>
      <c r="F581" s="1"/>
      <c r="G581" s="1"/>
      <c r="H581" s="1"/>
      <c r="I581" s="1"/>
      <c r="J581" s="1"/>
      <c r="K581" s="1"/>
      <c r="L581" s="7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8.75" customHeight="1">
      <c r="A582" s="1"/>
      <c r="B582" s="1"/>
      <c r="C582" s="1"/>
      <c r="D582" s="217"/>
      <c r="E582" s="1"/>
      <c r="F582" s="1"/>
      <c r="G582" s="1"/>
      <c r="H582" s="1"/>
      <c r="I582" s="1"/>
      <c r="J582" s="1"/>
      <c r="K582" s="1"/>
      <c r="L582" s="7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8.75" customHeight="1">
      <c r="A583" s="1"/>
      <c r="B583" s="1"/>
      <c r="C583" s="1"/>
      <c r="D583" s="217"/>
      <c r="E583" s="1"/>
      <c r="F583" s="1"/>
      <c r="G583" s="1"/>
      <c r="H583" s="1"/>
      <c r="I583" s="1"/>
      <c r="J583" s="1"/>
      <c r="K583" s="1"/>
      <c r="L583" s="7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8.75" customHeight="1">
      <c r="A584" s="1"/>
      <c r="B584" s="1"/>
      <c r="C584" s="1"/>
      <c r="D584" s="217"/>
      <c r="E584" s="1"/>
      <c r="F584" s="1"/>
      <c r="G584" s="1"/>
      <c r="H584" s="1"/>
      <c r="I584" s="1"/>
      <c r="J584" s="1"/>
      <c r="K584" s="1"/>
      <c r="L584" s="7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8.75" customHeight="1">
      <c r="A585" s="1"/>
      <c r="B585" s="1"/>
      <c r="C585" s="1"/>
      <c r="D585" s="217"/>
      <c r="E585" s="1"/>
      <c r="F585" s="1"/>
      <c r="G585" s="1"/>
      <c r="H585" s="1"/>
      <c r="I585" s="1"/>
      <c r="J585" s="1"/>
      <c r="K585" s="1"/>
      <c r="L585" s="7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8.75" customHeight="1">
      <c r="A586" s="1"/>
      <c r="B586" s="1"/>
      <c r="C586" s="1"/>
      <c r="D586" s="217"/>
      <c r="E586" s="1"/>
      <c r="F586" s="1"/>
      <c r="G586" s="1"/>
      <c r="H586" s="1"/>
      <c r="I586" s="1"/>
      <c r="J586" s="1"/>
      <c r="K586" s="1"/>
      <c r="L586" s="7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8.75" customHeight="1">
      <c r="A587" s="1"/>
      <c r="B587" s="1"/>
      <c r="C587" s="1"/>
      <c r="D587" s="217"/>
      <c r="E587" s="1"/>
      <c r="F587" s="1"/>
      <c r="G587" s="1"/>
      <c r="H587" s="1"/>
      <c r="I587" s="1"/>
      <c r="J587" s="1"/>
      <c r="K587" s="1"/>
      <c r="L587" s="7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8.75" customHeight="1">
      <c r="A588" s="1"/>
      <c r="B588" s="1"/>
      <c r="C588" s="1"/>
      <c r="D588" s="217"/>
      <c r="E588" s="1"/>
      <c r="F588" s="1"/>
      <c r="G588" s="1"/>
      <c r="H588" s="1"/>
      <c r="I588" s="1"/>
      <c r="J588" s="1"/>
      <c r="K588" s="1"/>
      <c r="L588" s="7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8.75" customHeight="1">
      <c r="A589" s="1"/>
      <c r="B589" s="1"/>
      <c r="C589" s="1"/>
      <c r="D589" s="217"/>
      <c r="E589" s="1"/>
      <c r="F589" s="1"/>
      <c r="G589" s="1"/>
      <c r="H589" s="1"/>
      <c r="I589" s="1"/>
      <c r="J589" s="1"/>
      <c r="K589" s="1"/>
      <c r="L589" s="7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8.75" customHeight="1">
      <c r="A590" s="1"/>
      <c r="B590" s="1"/>
      <c r="C590" s="1"/>
      <c r="D590" s="217"/>
      <c r="E590" s="1"/>
      <c r="F590" s="1"/>
      <c r="G590" s="1"/>
      <c r="H590" s="1"/>
      <c r="I590" s="1"/>
      <c r="J590" s="1"/>
      <c r="K590" s="1"/>
      <c r="L590" s="7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8.75" customHeight="1">
      <c r="A591" s="1"/>
      <c r="B591" s="1"/>
      <c r="C591" s="1"/>
      <c r="D591" s="217"/>
      <c r="E591" s="1"/>
      <c r="F591" s="1"/>
      <c r="G591" s="1"/>
      <c r="H591" s="1"/>
      <c r="I591" s="1"/>
      <c r="J591" s="1"/>
      <c r="K591" s="1"/>
      <c r="L591" s="7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8.75" customHeight="1">
      <c r="A592" s="1"/>
      <c r="B592" s="1"/>
      <c r="C592" s="1"/>
      <c r="D592" s="217"/>
      <c r="E592" s="1"/>
      <c r="F592" s="1"/>
      <c r="G592" s="1"/>
      <c r="H592" s="1"/>
      <c r="I592" s="1"/>
      <c r="J592" s="1"/>
      <c r="K592" s="1"/>
      <c r="L592" s="7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8.75" customHeight="1">
      <c r="A593" s="1"/>
      <c r="B593" s="1"/>
      <c r="C593" s="1"/>
      <c r="D593" s="217"/>
      <c r="E593" s="1"/>
      <c r="F593" s="1"/>
      <c r="G593" s="1"/>
      <c r="H593" s="1"/>
      <c r="I593" s="1"/>
      <c r="J593" s="1"/>
      <c r="K593" s="1"/>
      <c r="L593" s="7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8.75" customHeight="1">
      <c r="A594" s="1"/>
      <c r="B594" s="1"/>
      <c r="C594" s="1"/>
      <c r="D594" s="217"/>
      <c r="E594" s="1"/>
      <c r="F594" s="1"/>
      <c r="G594" s="1"/>
      <c r="H594" s="1"/>
      <c r="I594" s="1"/>
      <c r="J594" s="1"/>
      <c r="K594" s="1"/>
      <c r="L594" s="7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8.75" customHeight="1">
      <c r="A595" s="1"/>
      <c r="B595" s="1"/>
      <c r="C595" s="1"/>
      <c r="D595" s="217"/>
      <c r="E595" s="1"/>
      <c r="F595" s="1"/>
      <c r="G595" s="1"/>
      <c r="H595" s="1"/>
      <c r="I595" s="1"/>
      <c r="J595" s="1"/>
      <c r="K595" s="1"/>
      <c r="L595" s="7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8.75" customHeight="1">
      <c r="A596" s="1"/>
      <c r="B596" s="1"/>
      <c r="C596" s="1"/>
      <c r="D596" s="217"/>
      <c r="E596" s="1"/>
      <c r="F596" s="1"/>
      <c r="G596" s="1"/>
      <c r="H596" s="1"/>
      <c r="I596" s="1"/>
      <c r="J596" s="1"/>
      <c r="K596" s="1"/>
      <c r="L596" s="7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8.75" customHeight="1">
      <c r="A597" s="1"/>
      <c r="B597" s="1"/>
      <c r="C597" s="1"/>
      <c r="D597" s="217"/>
      <c r="E597" s="1"/>
      <c r="F597" s="1"/>
      <c r="G597" s="1"/>
      <c r="H597" s="1"/>
      <c r="I597" s="1"/>
      <c r="J597" s="1"/>
      <c r="K597" s="1"/>
      <c r="L597" s="7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8.75" customHeight="1">
      <c r="A598" s="1"/>
      <c r="B598" s="1"/>
      <c r="C598" s="1"/>
      <c r="D598" s="217"/>
      <c r="E598" s="1"/>
      <c r="F598" s="1"/>
      <c r="G598" s="1"/>
      <c r="H598" s="1"/>
      <c r="I598" s="1"/>
      <c r="J598" s="1"/>
      <c r="K598" s="1"/>
      <c r="L598" s="7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8.75" customHeight="1">
      <c r="A599" s="1"/>
      <c r="B599" s="1"/>
      <c r="C599" s="1"/>
      <c r="D599" s="217"/>
      <c r="E599" s="1"/>
      <c r="F599" s="1"/>
      <c r="G599" s="1"/>
      <c r="H599" s="1"/>
      <c r="I599" s="1"/>
      <c r="J599" s="1"/>
      <c r="K599" s="1"/>
      <c r="L599" s="7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8.75" customHeight="1">
      <c r="A600" s="1"/>
      <c r="B600" s="1"/>
      <c r="C600" s="1"/>
      <c r="D600" s="217"/>
      <c r="E600" s="1"/>
      <c r="F600" s="1"/>
      <c r="G600" s="1"/>
      <c r="H600" s="1"/>
      <c r="I600" s="1"/>
      <c r="J600" s="1"/>
      <c r="K600" s="1"/>
      <c r="L600" s="7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8.75" customHeight="1">
      <c r="A601" s="1"/>
      <c r="B601" s="1"/>
      <c r="C601" s="1"/>
      <c r="D601" s="217"/>
      <c r="E601" s="1"/>
      <c r="F601" s="1"/>
      <c r="G601" s="1"/>
      <c r="H601" s="1"/>
      <c r="I601" s="1"/>
      <c r="J601" s="1"/>
      <c r="K601" s="1"/>
      <c r="L601" s="7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8.75" customHeight="1">
      <c r="A602" s="1"/>
      <c r="B602" s="1"/>
      <c r="C602" s="1"/>
      <c r="D602" s="217"/>
      <c r="E602" s="1"/>
      <c r="F602" s="1"/>
      <c r="G602" s="1"/>
      <c r="H602" s="1"/>
      <c r="I602" s="1"/>
      <c r="J602" s="1"/>
      <c r="K602" s="1"/>
      <c r="L602" s="7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8.75" customHeight="1">
      <c r="A603" s="1"/>
      <c r="B603" s="1"/>
      <c r="C603" s="1"/>
      <c r="D603" s="217"/>
      <c r="E603" s="1"/>
      <c r="F603" s="1"/>
      <c r="G603" s="1"/>
      <c r="H603" s="1"/>
      <c r="I603" s="1"/>
      <c r="J603" s="1"/>
      <c r="K603" s="1"/>
      <c r="L603" s="7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8.75" customHeight="1">
      <c r="A604" s="1"/>
      <c r="B604" s="1"/>
      <c r="C604" s="1"/>
      <c r="D604" s="217"/>
      <c r="E604" s="1"/>
      <c r="F604" s="1"/>
      <c r="G604" s="1"/>
      <c r="H604" s="1"/>
      <c r="I604" s="1"/>
      <c r="J604" s="1"/>
      <c r="K604" s="1"/>
      <c r="L604" s="7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8.75" customHeight="1">
      <c r="A605" s="1"/>
      <c r="B605" s="1"/>
      <c r="C605" s="1"/>
      <c r="D605" s="217"/>
      <c r="E605" s="1"/>
      <c r="F605" s="1"/>
      <c r="G605" s="1"/>
      <c r="H605" s="1"/>
      <c r="I605" s="1"/>
      <c r="J605" s="1"/>
      <c r="K605" s="1"/>
      <c r="L605" s="7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8.75" customHeight="1">
      <c r="A606" s="1"/>
      <c r="B606" s="1"/>
      <c r="C606" s="1"/>
      <c r="D606" s="217"/>
      <c r="E606" s="1"/>
      <c r="F606" s="1"/>
      <c r="G606" s="1"/>
      <c r="H606" s="1"/>
      <c r="I606" s="1"/>
      <c r="J606" s="1"/>
      <c r="K606" s="1"/>
      <c r="L606" s="7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8.75" customHeight="1">
      <c r="A607" s="1"/>
      <c r="B607" s="1"/>
      <c r="C607" s="1"/>
      <c r="D607" s="217"/>
      <c r="E607" s="1"/>
      <c r="F607" s="1"/>
      <c r="G607" s="1"/>
      <c r="H607" s="1"/>
      <c r="I607" s="1"/>
      <c r="J607" s="1"/>
      <c r="K607" s="1"/>
      <c r="L607" s="7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8.75" customHeight="1">
      <c r="A608" s="1"/>
      <c r="B608" s="1"/>
      <c r="C608" s="1"/>
      <c r="D608" s="217"/>
      <c r="E608" s="1"/>
      <c r="F608" s="1"/>
      <c r="G608" s="1"/>
      <c r="H608" s="1"/>
      <c r="I608" s="1"/>
      <c r="J608" s="1"/>
      <c r="K608" s="1"/>
      <c r="L608" s="7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8.75" customHeight="1">
      <c r="A609" s="1"/>
      <c r="B609" s="1"/>
      <c r="C609" s="1"/>
      <c r="D609" s="217"/>
      <c r="E609" s="1"/>
      <c r="F609" s="1"/>
      <c r="G609" s="1"/>
      <c r="H609" s="1"/>
      <c r="I609" s="1"/>
      <c r="J609" s="1"/>
      <c r="K609" s="1"/>
      <c r="L609" s="7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8.75" customHeight="1">
      <c r="A610" s="1"/>
      <c r="B610" s="1"/>
      <c r="C610" s="1"/>
      <c r="D610" s="217"/>
      <c r="E610" s="1"/>
      <c r="F610" s="1"/>
      <c r="G610" s="1"/>
      <c r="H610" s="1"/>
      <c r="I610" s="1"/>
      <c r="J610" s="1"/>
      <c r="K610" s="1"/>
      <c r="L610" s="7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8.75" customHeight="1">
      <c r="A611" s="1"/>
      <c r="B611" s="1"/>
      <c r="C611" s="1"/>
      <c r="D611" s="217"/>
      <c r="E611" s="1"/>
      <c r="F611" s="1"/>
      <c r="G611" s="1"/>
      <c r="H611" s="1"/>
      <c r="I611" s="1"/>
      <c r="J611" s="1"/>
      <c r="K611" s="1"/>
      <c r="L611" s="7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8.75" customHeight="1">
      <c r="A612" s="1"/>
      <c r="B612" s="1"/>
      <c r="C612" s="1"/>
      <c r="D612" s="217"/>
      <c r="E612" s="1"/>
      <c r="F612" s="1"/>
      <c r="G612" s="1"/>
      <c r="H612" s="1"/>
      <c r="I612" s="1"/>
      <c r="J612" s="1"/>
      <c r="K612" s="1"/>
      <c r="L612" s="7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8.75" customHeight="1">
      <c r="A613" s="1"/>
      <c r="B613" s="1"/>
      <c r="C613" s="1"/>
      <c r="D613" s="217"/>
      <c r="E613" s="1"/>
      <c r="F613" s="1"/>
      <c r="G613" s="1"/>
      <c r="H613" s="1"/>
      <c r="I613" s="1"/>
      <c r="J613" s="1"/>
      <c r="K613" s="1"/>
      <c r="L613" s="7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8.75" customHeight="1">
      <c r="A614" s="1"/>
      <c r="B614" s="1"/>
      <c r="C614" s="1"/>
      <c r="D614" s="217"/>
      <c r="E614" s="1"/>
      <c r="F614" s="1"/>
      <c r="G614" s="1"/>
      <c r="H614" s="1"/>
      <c r="I614" s="1"/>
      <c r="J614" s="1"/>
      <c r="K614" s="1"/>
      <c r="L614" s="7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8.75" customHeight="1">
      <c r="A615" s="1"/>
      <c r="B615" s="1"/>
      <c r="C615" s="1"/>
      <c r="D615" s="217"/>
      <c r="E615" s="1"/>
      <c r="F615" s="1"/>
      <c r="G615" s="1"/>
      <c r="H615" s="1"/>
      <c r="I615" s="1"/>
      <c r="J615" s="1"/>
      <c r="K615" s="1"/>
      <c r="L615" s="7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8.75" customHeight="1">
      <c r="A616" s="1"/>
      <c r="B616" s="1"/>
      <c r="C616" s="1"/>
      <c r="D616" s="217"/>
      <c r="E616" s="1"/>
      <c r="F616" s="1"/>
      <c r="G616" s="1"/>
      <c r="H616" s="1"/>
      <c r="I616" s="1"/>
      <c r="J616" s="1"/>
      <c r="K616" s="1"/>
      <c r="L616" s="7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8.75" customHeight="1">
      <c r="A617" s="1"/>
      <c r="B617" s="1"/>
      <c r="C617" s="1"/>
      <c r="D617" s="217"/>
      <c r="E617" s="1"/>
      <c r="F617" s="1"/>
      <c r="G617" s="1"/>
      <c r="H617" s="1"/>
      <c r="I617" s="1"/>
      <c r="J617" s="1"/>
      <c r="K617" s="1"/>
      <c r="L617" s="7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8.75" customHeight="1">
      <c r="A618" s="1"/>
      <c r="B618" s="1"/>
      <c r="C618" s="1"/>
      <c r="D618" s="217"/>
      <c r="E618" s="1"/>
      <c r="F618" s="1"/>
      <c r="G618" s="1"/>
      <c r="H618" s="1"/>
      <c r="I618" s="1"/>
      <c r="J618" s="1"/>
      <c r="K618" s="1"/>
      <c r="L618" s="7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8.75" customHeight="1">
      <c r="A619" s="1"/>
      <c r="B619" s="1"/>
      <c r="C619" s="1"/>
      <c r="D619" s="217"/>
      <c r="E619" s="1"/>
      <c r="F619" s="1"/>
      <c r="G619" s="1"/>
      <c r="H619" s="1"/>
      <c r="I619" s="1"/>
      <c r="J619" s="1"/>
      <c r="K619" s="1"/>
      <c r="L619" s="7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8.75" customHeight="1">
      <c r="A620" s="1"/>
      <c r="B620" s="1"/>
      <c r="C620" s="1"/>
      <c r="D620" s="217"/>
      <c r="E620" s="1"/>
      <c r="F620" s="1"/>
      <c r="G620" s="1"/>
      <c r="H620" s="1"/>
      <c r="I620" s="1"/>
      <c r="J620" s="1"/>
      <c r="K620" s="1"/>
      <c r="L620" s="7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8.75" customHeight="1">
      <c r="A621" s="1"/>
      <c r="B621" s="1"/>
      <c r="C621" s="1"/>
      <c r="D621" s="217"/>
      <c r="E621" s="1"/>
      <c r="F621" s="1"/>
      <c r="G621" s="1"/>
      <c r="H621" s="1"/>
      <c r="I621" s="1"/>
      <c r="J621" s="1"/>
      <c r="K621" s="1"/>
      <c r="L621" s="7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8.75" customHeight="1">
      <c r="A622" s="1"/>
      <c r="B622" s="1"/>
      <c r="C622" s="1"/>
      <c r="D622" s="217"/>
      <c r="E622" s="1"/>
      <c r="F622" s="1"/>
      <c r="G622" s="1"/>
      <c r="H622" s="1"/>
      <c r="I622" s="1"/>
      <c r="J622" s="1"/>
      <c r="K622" s="1"/>
      <c r="L622" s="7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8.75" customHeight="1">
      <c r="A623" s="1"/>
      <c r="B623" s="1"/>
      <c r="C623" s="1"/>
      <c r="D623" s="217"/>
      <c r="E623" s="1"/>
      <c r="F623" s="1"/>
      <c r="G623" s="1"/>
      <c r="H623" s="1"/>
      <c r="I623" s="1"/>
      <c r="J623" s="1"/>
      <c r="K623" s="1"/>
      <c r="L623" s="7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8.75" customHeight="1">
      <c r="A624" s="1"/>
      <c r="B624" s="1"/>
      <c r="C624" s="1"/>
      <c r="D624" s="217"/>
      <c r="E624" s="1"/>
      <c r="F624" s="1"/>
      <c r="G624" s="1"/>
      <c r="H624" s="1"/>
      <c r="I624" s="1"/>
      <c r="J624" s="1"/>
      <c r="K624" s="1"/>
      <c r="L624" s="7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8.75" customHeight="1">
      <c r="A625" s="1"/>
      <c r="B625" s="1"/>
      <c r="C625" s="1"/>
      <c r="D625" s="217"/>
      <c r="E625" s="1"/>
      <c r="F625" s="1"/>
      <c r="G625" s="1"/>
      <c r="H625" s="1"/>
      <c r="I625" s="1"/>
      <c r="J625" s="1"/>
      <c r="K625" s="1"/>
      <c r="L625" s="7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8.75" customHeight="1">
      <c r="A626" s="1"/>
      <c r="B626" s="1"/>
      <c r="C626" s="1"/>
      <c r="D626" s="217"/>
      <c r="E626" s="1"/>
      <c r="F626" s="1"/>
      <c r="G626" s="1"/>
      <c r="H626" s="1"/>
      <c r="I626" s="1"/>
      <c r="J626" s="1"/>
      <c r="K626" s="1"/>
      <c r="L626" s="7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8.75" customHeight="1">
      <c r="A627" s="1"/>
      <c r="B627" s="1"/>
      <c r="C627" s="1"/>
      <c r="D627" s="217"/>
      <c r="E627" s="1"/>
      <c r="F627" s="1"/>
      <c r="G627" s="1"/>
      <c r="H627" s="1"/>
      <c r="I627" s="1"/>
      <c r="J627" s="1"/>
      <c r="K627" s="1"/>
      <c r="L627" s="7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8.75" customHeight="1">
      <c r="A628" s="1"/>
      <c r="B628" s="1"/>
      <c r="C628" s="1"/>
      <c r="D628" s="217"/>
      <c r="E628" s="1"/>
      <c r="F628" s="1"/>
      <c r="G628" s="1"/>
      <c r="H628" s="1"/>
      <c r="I628" s="1"/>
      <c r="J628" s="1"/>
      <c r="K628" s="1"/>
      <c r="L628" s="7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8.75" customHeight="1">
      <c r="A629" s="1"/>
      <c r="B629" s="1"/>
      <c r="C629" s="1"/>
      <c r="D629" s="217"/>
      <c r="E629" s="1"/>
      <c r="F629" s="1"/>
      <c r="G629" s="1"/>
      <c r="H629" s="1"/>
      <c r="I629" s="1"/>
      <c r="J629" s="1"/>
      <c r="K629" s="1"/>
      <c r="L629" s="7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8.75" customHeight="1">
      <c r="A630" s="1"/>
      <c r="B630" s="1"/>
      <c r="C630" s="1"/>
      <c r="D630" s="217"/>
      <c r="E630" s="1"/>
      <c r="F630" s="1"/>
      <c r="G630" s="1"/>
      <c r="H630" s="1"/>
      <c r="I630" s="1"/>
      <c r="J630" s="1"/>
      <c r="K630" s="1"/>
      <c r="L630" s="7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8.75" customHeight="1">
      <c r="A631" s="1"/>
      <c r="B631" s="1"/>
      <c r="C631" s="1"/>
      <c r="D631" s="217"/>
      <c r="E631" s="1"/>
      <c r="F631" s="1"/>
      <c r="G631" s="1"/>
      <c r="H631" s="1"/>
      <c r="I631" s="1"/>
      <c r="J631" s="1"/>
      <c r="K631" s="1"/>
      <c r="L631" s="7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8.75" customHeight="1">
      <c r="A632" s="1"/>
      <c r="B632" s="1"/>
      <c r="C632" s="1"/>
      <c r="D632" s="217"/>
      <c r="E632" s="1"/>
      <c r="F632" s="1"/>
      <c r="G632" s="1"/>
      <c r="H632" s="1"/>
      <c r="I632" s="1"/>
      <c r="J632" s="1"/>
      <c r="K632" s="1"/>
      <c r="L632" s="7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8.75" customHeight="1">
      <c r="A633" s="1"/>
      <c r="B633" s="1"/>
      <c r="C633" s="1"/>
      <c r="D633" s="217"/>
      <c r="E633" s="1"/>
      <c r="F633" s="1"/>
      <c r="G633" s="1"/>
      <c r="H633" s="1"/>
      <c r="I633" s="1"/>
      <c r="J633" s="1"/>
      <c r="K633" s="1"/>
      <c r="L633" s="7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8.75" customHeight="1">
      <c r="A634" s="1"/>
      <c r="B634" s="1"/>
      <c r="C634" s="1"/>
      <c r="D634" s="217"/>
      <c r="E634" s="1"/>
      <c r="F634" s="1"/>
      <c r="G634" s="1"/>
      <c r="H634" s="1"/>
      <c r="I634" s="1"/>
      <c r="J634" s="1"/>
      <c r="K634" s="1"/>
      <c r="L634" s="7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8.75" customHeight="1">
      <c r="A635" s="1"/>
      <c r="B635" s="1"/>
      <c r="C635" s="1"/>
      <c r="D635" s="217"/>
      <c r="E635" s="1"/>
      <c r="F635" s="1"/>
      <c r="G635" s="1"/>
      <c r="H635" s="1"/>
      <c r="I635" s="1"/>
      <c r="J635" s="1"/>
      <c r="K635" s="1"/>
      <c r="L635" s="7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8.75" customHeight="1">
      <c r="A636" s="1"/>
      <c r="B636" s="1"/>
      <c r="C636" s="1"/>
      <c r="D636" s="217"/>
      <c r="E636" s="1"/>
      <c r="F636" s="1"/>
      <c r="G636" s="1"/>
      <c r="H636" s="1"/>
      <c r="I636" s="1"/>
      <c r="J636" s="1"/>
      <c r="K636" s="1"/>
      <c r="L636" s="7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8.75" customHeight="1">
      <c r="A637" s="1"/>
      <c r="B637" s="1"/>
      <c r="C637" s="1"/>
      <c r="D637" s="217"/>
      <c r="E637" s="1"/>
      <c r="F637" s="1"/>
      <c r="G637" s="1"/>
      <c r="H637" s="1"/>
      <c r="I637" s="1"/>
      <c r="J637" s="1"/>
      <c r="K637" s="1"/>
      <c r="L637" s="7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8.75" customHeight="1">
      <c r="A638" s="1"/>
      <c r="B638" s="1"/>
      <c r="C638" s="1"/>
      <c r="D638" s="217"/>
      <c r="E638" s="1"/>
      <c r="F638" s="1"/>
      <c r="G638" s="1"/>
      <c r="H638" s="1"/>
      <c r="I638" s="1"/>
      <c r="J638" s="1"/>
      <c r="K638" s="1"/>
      <c r="L638" s="7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8.75" customHeight="1">
      <c r="A639" s="1"/>
      <c r="B639" s="1"/>
      <c r="C639" s="1"/>
      <c r="D639" s="217"/>
      <c r="E639" s="1"/>
      <c r="F639" s="1"/>
      <c r="G639" s="1"/>
      <c r="H639" s="1"/>
      <c r="I639" s="1"/>
      <c r="J639" s="1"/>
      <c r="K639" s="1"/>
      <c r="L639" s="7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8.75" customHeight="1">
      <c r="A640" s="1"/>
      <c r="B640" s="1"/>
      <c r="C640" s="1"/>
      <c r="D640" s="217"/>
      <c r="E640" s="1"/>
      <c r="F640" s="1"/>
      <c r="G640" s="1"/>
      <c r="H640" s="1"/>
      <c r="I640" s="1"/>
      <c r="J640" s="1"/>
      <c r="K640" s="1"/>
      <c r="L640" s="7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8.75" customHeight="1">
      <c r="A641" s="1"/>
      <c r="B641" s="1"/>
      <c r="C641" s="1"/>
      <c r="D641" s="217"/>
      <c r="E641" s="1"/>
      <c r="F641" s="1"/>
      <c r="G641" s="1"/>
      <c r="H641" s="1"/>
      <c r="I641" s="1"/>
      <c r="J641" s="1"/>
      <c r="K641" s="1"/>
      <c r="L641" s="7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8.75" customHeight="1">
      <c r="A642" s="1"/>
      <c r="B642" s="1"/>
      <c r="C642" s="1"/>
      <c r="D642" s="217"/>
      <c r="E642" s="1"/>
      <c r="F642" s="1"/>
      <c r="G642" s="1"/>
      <c r="H642" s="1"/>
      <c r="I642" s="1"/>
      <c r="J642" s="1"/>
      <c r="K642" s="1"/>
      <c r="L642" s="7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8.75" customHeight="1">
      <c r="A643" s="1"/>
      <c r="B643" s="1"/>
      <c r="C643" s="1"/>
      <c r="D643" s="217"/>
      <c r="E643" s="1"/>
      <c r="F643" s="1"/>
      <c r="G643" s="1"/>
      <c r="H643" s="1"/>
      <c r="I643" s="1"/>
      <c r="J643" s="1"/>
      <c r="K643" s="1"/>
      <c r="L643" s="7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8.75" customHeight="1">
      <c r="A644" s="1"/>
      <c r="B644" s="1"/>
      <c r="C644" s="1"/>
      <c r="D644" s="217"/>
      <c r="E644" s="1"/>
      <c r="F644" s="1"/>
      <c r="G644" s="1"/>
      <c r="H644" s="1"/>
      <c r="I644" s="1"/>
      <c r="J644" s="1"/>
      <c r="K644" s="1"/>
      <c r="L644" s="7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8.75" customHeight="1">
      <c r="A645" s="1"/>
      <c r="B645" s="1"/>
      <c r="C645" s="1"/>
      <c r="D645" s="217"/>
      <c r="E645" s="1"/>
      <c r="F645" s="1"/>
      <c r="G645" s="1"/>
      <c r="H645" s="1"/>
      <c r="I645" s="1"/>
      <c r="J645" s="1"/>
      <c r="K645" s="1"/>
      <c r="L645" s="7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8.75" customHeight="1">
      <c r="A646" s="1"/>
      <c r="B646" s="1"/>
      <c r="C646" s="1"/>
      <c r="D646" s="217"/>
      <c r="E646" s="1"/>
      <c r="F646" s="1"/>
      <c r="G646" s="1"/>
      <c r="H646" s="1"/>
      <c r="I646" s="1"/>
      <c r="J646" s="1"/>
      <c r="K646" s="1"/>
      <c r="L646" s="7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8.75" customHeight="1">
      <c r="A647" s="1"/>
      <c r="B647" s="1"/>
      <c r="C647" s="1"/>
      <c r="D647" s="217"/>
      <c r="E647" s="1"/>
      <c r="F647" s="1"/>
      <c r="G647" s="1"/>
      <c r="H647" s="1"/>
      <c r="I647" s="1"/>
      <c r="J647" s="1"/>
      <c r="K647" s="1"/>
      <c r="L647" s="7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8.75" customHeight="1">
      <c r="A648" s="1"/>
      <c r="B648" s="1"/>
      <c r="C648" s="1"/>
      <c r="D648" s="217"/>
      <c r="E648" s="1"/>
      <c r="F648" s="1"/>
      <c r="G648" s="1"/>
      <c r="H648" s="1"/>
      <c r="I648" s="1"/>
      <c r="J648" s="1"/>
      <c r="K648" s="1"/>
      <c r="L648" s="7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8.75" customHeight="1">
      <c r="A649" s="1"/>
      <c r="B649" s="1"/>
      <c r="C649" s="1"/>
      <c r="D649" s="217"/>
      <c r="E649" s="1"/>
      <c r="F649" s="1"/>
      <c r="G649" s="1"/>
      <c r="H649" s="1"/>
      <c r="I649" s="1"/>
      <c r="J649" s="1"/>
      <c r="K649" s="1"/>
      <c r="L649" s="7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8.75" customHeight="1">
      <c r="A650" s="1"/>
      <c r="B650" s="1"/>
      <c r="C650" s="1"/>
      <c r="D650" s="217"/>
      <c r="E650" s="1"/>
      <c r="F650" s="1"/>
      <c r="G650" s="1"/>
      <c r="H650" s="1"/>
      <c r="I650" s="1"/>
      <c r="J650" s="1"/>
      <c r="K650" s="1"/>
      <c r="L650" s="7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8.75" customHeight="1">
      <c r="A651" s="1"/>
      <c r="B651" s="1"/>
      <c r="C651" s="1"/>
      <c r="D651" s="217"/>
      <c r="E651" s="1"/>
      <c r="F651" s="1"/>
      <c r="G651" s="1"/>
      <c r="H651" s="1"/>
      <c r="I651" s="1"/>
      <c r="J651" s="1"/>
      <c r="K651" s="1"/>
      <c r="L651" s="7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8.75" customHeight="1">
      <c r="A652" s="1"/>
      <c r="B652" s="1"/>
      <c r="C652" s="1"/>
      <c r="D652" s="217"/>
      <c r="E652" s="1"/>
      <c r="F652" s="1"/>
      <c r="G652" s="1"/>
      <c r="H652" s="1"/>
      <c r="I652" s="1"/>
      <c r="J652" s="1"/>
      <c r="K652" s="1"/>
      <c r="L652" s="7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8.75" customHeight="1">
      <c r="A653" s="1"/>
      <c r="B653" s="1"/>
      <c r="C653" s="1"/>
      <c r="D653" s="217"/>
      <c r="E653" s="1"/>
      <c r="F653" s="1"/>
      <c r="G653" s="1"/>
      <c r="H653" s="1"/>
      <c r="I653" s="1"/>
      <c r="J653" s="1"/>
      <c r="K653" s="1"/>
      <c r="L653" s="7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8.75" customHeight="1">
      <c r="A654" s="1"/>
      <c r="B654" s="1"/>
      <c r="C654" s="1"/>
      <c r="D654" s="217"/>
      <c r="E654" s="1"/>
      <c r="F654" s="1"/>
      <c r="G654" s="1"/>
      <c r="H654" s="1"/>
      <c r="I654" s="1"/>
      <c r="J654" s="1"/>
      <c r="K654" s="1"/>
      <c r="L654" s="7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8.75" customHeight="1">
      <c r="A655" s="1"/>
      <c r="B655" s="1"/>
      <c r="C655" s="1"/>
      <c r="D655" s="217"/>
      <c r="E655" s="1"/>
      <c r="F655" s="1"/>
      <c r="G655" s="1"/>
      <c r="H655" s="1"/>
      <c r="I655" s="1"/>
      <c r="J655" s="1"/>
      <c r="K655" s="1"/>
      <c r="L655" s="7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8.75" customHeight="1">
      <c r="A656" s="1"/>
      <c r="B656" s="1"/>
      <c r="C656" s="1"/>
      <c r="D656" s="217"/>
      <c r="E656" s="1"/>
      <c r="F656" s="1"/>
      <c r="G656" s="1"/>
      <c r="H656" s="1"/>
      <c r="I656" s="1"/>
      <c r="J656" s="1"/>
      <c r="K656" s="1"/>
      <c r="L656" s="7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8.75" customHeight="1">
      <c r="A657" s="1"/>
      <c r="B657" s="1"/>
      <c r="C657" s="1"/>
      <c r="D657" s="217"/>
      <c r="E657" s="1"/>
      <c r="F657" s="1"/>
      <c r="G657" s="1"/>
      <c r="H657" s="1"/>
      <c r="I657" s="1"/>
      <c r="J657" s="1"/>
      <c r="K657" s="1"/>
      <c r="L657" s="7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8.75" customHeight="1">
      <c r="A658" s="1"/>
      <c r="B658" s="1"/>
      <c r="C658" s="1"/>
      <c r="D658" s="217"/>
      <c r="E658" s="1"/>
      <c r="F658" s="1"/>
      <c r="G658" s="1"/>
      <c r="H658" s="1"/>
      <c r="I658" s="1"/>
      <c r="J658" s="1"/>
      <c r="K658" s="1"/>
      <c r="L658" s="7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8.75" customHeight="1">
      <c r="A659" s="1"/>
      <c r="B659" s="1"/>
      <c r="C659" s="1"/>
      <c r="D659" s="217"/>
      <c r="E659" s="1"/>
      <c r="F659" s="1"/>
      <c r="G659" s="1"/>
      <c r="H659" s="1"/>
      <c r="I659" s="1"/>
      <c r="J659" s="1"/>
      <c r="K659" s="1"/>
      <c r="L659" s="7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8.75" customHeight="1">
      <c r="A660" s="1"/>
      <c r="B660" s="1"/>
      <c r="C660" s="1"/>
      <c r="D660" s="217"/>
      <c r="E660" s="1"/>
      <c r="F660" s="1"/>
      <c r="G660" s="1"/>
      <c r="H660" s="1"/>
      <c r="I660" s="1"/>
      <c r="J660" s="1"/>
      <c r="K660" s="1"/>
      <c r="L660" s="7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8.75" customHeight="1">
      <c r="A661" s="1"/>
      <c r="B661" s="1"/>
      <c r="C661" s="1"/>
      <c r="D661" s="217"/>
      <c r="E661" s="1"/>
      <c r="F661" s="1"/>
      <c r="G661" s="1"/>
      <c r="H661" s="1"/>
      <c r="I661" s="1"/>
      <c r="J661" s="1"/>
      <c r="K661" s="1"/>
      <c r="L661" s="7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8.75" customHeight="1">
      <c r="A662" s="1"/>
      <c r="B662" s="1"/>
      <c r="C662" s="1"/>
      <c r="D662" s="217"/>
      <c r="E662" s="1"/>
      <c r="F662" s="1"/>
      <c r="G662" s="1"/>
      <c r="H662" s="1"/>
      <c r="I662" s="1"/>
      <c r="J662" s="1"/>
      <c r="K662" s="1"/>
      <c r="L662" s="7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8.75" customHeight="1">
      <c r="A663" s="1"/>
      <c r="B663" s="1"/>
      <c r="C663" s="1"/>
      <c r="D663" s="217"/>
      <c r="E663" s="1"/>
      <c r="F663" s="1"/>
      <c r="G663" s="1"/>
      <c r="H663" s="1"/>
      <c r="I663" s="1"/>
      <c r="J663" s="1"/>
      <c r="K663" s="1"/>
      <c r="L663" s="7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8.75" customHeight="1">
      <c r="A664" s="1"/>
      <c r="B664" s="1"/>
      <c r="C664" s="1"/>
      <c r="D664" s="217"/>
      <c r="E664" s="1"/>
      <c r="F664" s="1"/>
      <c r="G664" s="1"/>
      <c r="H664" s="1"/>
      <c r="I664" s="1"/>
      <c r="J664" s="1"/>
      <c r="K664" s="1"/>
      <c r="L664" s="7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8.75" customHeight="1">
      <c r="A665" s="1"/>
      <c r="B665" s="1"/>
      <c r="C665" s="1"/>
      <c r="D665" s="217"/>
      <c r="E665" s="1"/>
      <c r="F665" s="1"/>
      <c r="G665" s="1"/>
      <c r="H665" s="1"/>
      <c r="I665" s="1"/>
      <c r="J665" s="1"/>
      <c r="K665" s="1"/>
      <c r="L665" s="7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8.75" customHeight="1">
      <c r="A666" s="1"/>
      <c r="B666" s="1"/>
      <c r="C666" s="1"/>
      <c r="D666" s="217"/>
      <c r="E666" s="1"/>
      <c r="F666" s="1"/>
      <c r="G666" s="1"/>
      <c r="H666" s="1"/>
      <c r="I666" s="1"/>
      <c r="J666" s="1"/>
      <c r="K666" s="1"/>
      <c r="L666" s="7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8.75" customHeight="1">
      <c r="A667" s="1"/>
      <c r="B667" s="1"/>
      <c r="C667" s="1"/>
      <c r="D667" s="217"/>
      <c r="E667" s="1"/>
      <c r="F667" s="1"/>
      <c r="G667" s="1"/>
      <c r="H667" s="1"/>
      <c r="I667" s="1"/>
      <c r="J667" s="1"/>
      <c r="K667" s="1"/>
      <c r="L667" s="7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8.75" customHeight="1">
      <c r="A668" s="1"/>
      <c r="B668" s="1"/>
      <c r="C668" s="1"/>
      <c r="D668" s="217"/>
      <c r="E668" s="1"/>
      <c r="F668" s="1"/>
      <c r="G668" s="1"/>
      <c r="H668" s="1"/>
      <c r="I668" s="1"/>
      <c r="J668" s="1"/>
      <c r="K668" s="1"/>
      <c r="L668" s="7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8.75" customHeight="1">
      <c r="A669" s="1"/>
      <c r="B669" s="1"/>
      <c r="C669" s="1"/>
      <c r="D669" s="217"/>
      <c r="E669" s="1"/>
      <c r="F669" s="1"/>
      <c r="G669" s="1"/>
      <c r="H669" s="1"/>
      <c r="I669" s="1"/>
      <c r="J669" s="1"/>
      <c r="K669" s="1"/>
      <c r="L669" s="7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8.75" customHeight="1">
      <c r="A670" s="1"/>
      <c r="B670" s="1"/>
      <c r="C670" s="1"/>
      <c r="D670" s="217"/>
      <c r="E670" s="1"/>
      <c r="F670" s="1"/>
      <c r="G670" s="1"/>
      <c r="H670" s="1"/>
      <c r="I670" s="1"/>
      <c r="J670" s="1"/>
      <c r="K670" s="1"/>
      <c r="L670" s="7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8.75" customHeight="1">
      <c r="A671" s="1"/>
      <c r="B671" s="1"/>
      <c r="C671" s="1"/>
      <c r="D671" s="217"/>
      <c r="E671" s="1"/>
      <c r="F671" s="1"/>
      <c r="G671" s="1"/>
      <c r="H671" s="1"/>
      <c r="I671" s="1"/>
      <c r="J671" s="1"/>
      <c r="K671" s="1"/>
      <c r="L671" s="7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8.75" customHeight="1">
      <c r="A672" s="1"/>
      <c r="B672" s="1"/>
      <c r="C672" s="1"/>
      <c r="D672" s="217"/>
      <c r="E672" s="1"/>
      <c r="F672" s="1"/>
      <c r="G672" s="1"/>
      <c r="H672" s="1"/>
      <c r="I672" s="1"/>
      <c r="J672" s="1"/>
      <c r="K672" s="1"/>
      <c r="L672" s="7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8.75" customHeight="1">
      <c r="A673" s="1"/>
      <c r="B673" s="1"/>
      <c r="C673" s="1"/>
      <c r="D673" s="217"/>
      <c r="E673" s="1"/>
      <c r="F673" s="1"/>
      <c r="G673" s="1"/>
      <c r="H673" s="1"/>
      <c r="I673" s="1"/>
      <c r="J673" s="1"/>
      <c r="K673" s="1"/>
      <c r="L673" s="7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8.75" customHeight="1">
      <c r="A674" s="1"/>
      <c r="B674" s="1"/>
      <c r="C674" s="1"/>
      <c r="D674" s="217"/>
      <c r="E674" s="1"/>
      <c r="F674" s="1"/>
      <c r="G674" s="1"/>
      <c r="H674" s="1"/>
      <c r="I674" s="1"/>
      <c r="J674" s="1"/>
      <c r="K674" s="1"/>
      <c r="L674" s="7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8.75" customHeight="1">
      <c r="A675" s="1"/>
      <c r="B675" s="1"/>
      <c r="C675" s="1"/>
      <c r="D675" s="217"/>
      <c r="E675" s="1"/>
      <c r="F675" s="1"/>
      <c r="G675" s="1"/>
      <c r="H675" s="1"/>
      <c r="I675" s="1"/>
      <c r="J675" s="1"/>
      <c r="K675" s="1"/>
      <c r="L675" s="7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8.75" customHeight="1">
      <c r="A676" s="1"/>
      <c r="B676" s="1"/>
      <c r="C676" s="1"/>
      <c r="D676" s="217"/>
      <c r="E676" s="1"/>
      <c r="F676" s="1"/>
      <c r="G676" s="1"/>
      <c r="H676" s="1"/>
      <c r="I676" s="1"/>
      <c r="J676" s="1"/>
      <c r="K676" s="1"/>
      <c r="L676" s="7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8.75" customHeight="1">
      <c r="A677" s="1"/>
      <c r="B677" s="1"/>
      <c r="C677" s="1"/>
      <c r="D677" s="217"/>
      <c r="E677" s="1"/>
      <c r="F677" s="1"/>
      <c r="G677" s="1"/>
      <c r="H677" s="1"/>
      <c r="I677" s="1"/>
      <c r="J677" s="1"/>
      <c r="K677" s="1"/>
      <c r="L677" s="7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8.75" customHeight="1">
      <c r="A678" s="1"/>
      <c r="B678" s="1"/>
      <c r="C678" s="1"/>
      <c r="D678" s="217"/>
      <c r="E678" s="1"/>
      <c r="F678" s="1"/>
      <c r="G678" s="1"/>
      <c r="H678" s="1"/>
      <c r="I678" s="1"/>
      <c r="J678" s="1"/>
      <c r="K678" s="1"/>
      <c r="L678" s="7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8.75" customHeight="1">
      <c r="A679" s="1"/>
      <c r="B679" s="1"/>
      <c r="C679" s="1"/>
      <c r="D679" s="217"/>
      <c r="E679" s="1"/>
      <c r="F679" s="1"/>
      <c r="G679" s="1"/>
      <c r="H679" s="1"/>
      <c r="I679" s="1"/>
      <c r="J679" s="1"/>
      <c r="K679" s="1"/>
      <c r="L679" s="7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8.75" customHeight="1">
      <c r="A680" s="1"/>
      <c r="B680" s="1"/>
      <c r="C680" s="1"/>
      <c r="D680" s="217"/>
      <c r="E680" s="1"/>
      <c r="F680" s="1"/>
      <c r="G680" s="1"/>
      <c r="H680" s="1"/>
      <c r="I680" s="1"/>
      <c r="J680" s="1"/>
      <c r="K680" s="1"/>
      <c r="L680" s="7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8.75" customHeight="1">
      <c r="A681" s="1"/>
      <c r="B681" s="1"/>
      <c r="C681" s="1"/>
      <c r="D681" s="217"/>
      <c r="E681" s="1"/>
      <c r="F681" s="1"/>
      <c r="G681" s="1"/>
      <c r="H681" s="1"/>
      <c r="I681" s="1"/>
      <c r="J681" s="1"/>
      <c r="K681" s="1"/>
      <c r="L681" s="7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8.75" customHeight="1">
      <c r="A682" s="1"/>
      <c r="B682" s="1"/>
      <c r="C682" s="1"/>
      <c r="D682" s="217"/>
      <c r="E682" s="1"/>
      <c r="F682" s="1"/>
      <c r="G682" s="1"/>
      <c r="H682" s="1"/>
      <c r="I682" s="1"/>
      <c r="J682" s="1"/>
      <c r="K682" s="1"/>
      <c r="L682" s="7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8.75" customHeight="1">
      <c r="A683" s="1"/>
      <c r="B683" s="1"/>
      <c r="C683" s="1"/>
      <c r="D683" s="217"/>
      <c r="E683" s="1"/>
      <c r="F683" s="1"/>
      <c r="G683" s="1"/>
      <c r="H683" s="1"/>
      <c r="I683" s="1"/>
      <c r="J683" s="1"/>
      <c r="K683" s="1"/>
      <c r="L683" s="7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8.75" customHeight="1">
      <c r="A684" s="1"/>
      <c r="B684" s="1"/>
      <c r="C684" s="1"/>
      <c r="D684" s="217"/>
      <c r="E684" s="1"/>
      <c r="F684" s="1"/>
      <c r="G684" s="1"/>
      <c r="H684" s="1"/>
      <c r="I684" s="1"/>
      <c r="J684" s="1"/>
      <c r="K684" s="1"/>
      <c r="L684" s="7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8.75" customHeight="1">
      <c r="A685" s="1"/>
      <c r="B685" s="1"/>
      <c r="C685" s="1"/>
      <c r="D685" s="217"/>
      <c r="E685" s="1"/>
      <c r="F685" s="1"/>
      <c r="G685" s="1"/>
      <c r="H685" s="1"/>
      <c r="I685" s="1"/>
      <c r="J685" s="1"/>
      <c r="K685" s="1"/>
      <c r="L685" s="7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8.75" customHeight="1">
      <c r="A686" s="1"/>
      <c r="B686" s="1"/>
      <c r="C686" s="1"/>
      <c r="D686" s="217"/>
      <c r="E686" s="1"/>
      <c r="F686" s="1"/>
      <c r="G686" s="1"/>
      <c r="H686" s="1"/>
      <c r="I686" s="1"/>
      <c r="J686" s="1"/>
      <c r="K686" s="1"/>
      <c r="L686" s="7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8.75" customHeight="1">
      <c r="A687" s="1"/>
      <c r="B687" s="1"/>
      <c r="C687" s="1"/>
      <c r="D687" s="217"/>
      <c r="E687" s="1"/>
      <c r="F687" s="1"/>
      <c r="G687" s="1"/>
      <c r="H687" s="1"/>
      <c r="I687" s="1"/>
      <c r="J687" s="1"/>
      <c r="K687" s="1"/>
      <c r="L687" s="7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8.75" customHeight="1">
      <c r="A688" s="1"/>
      <c r="B688" s="1"/>
      <c r="C688" s="1"/>
      <c r="D688" s="217"/>
      <c r="E688" s="1"/>
      <c r="F688" s="1"/>
      <c r="G688" s="1"/>
      <c r="H688" s="1"/>
      <c r="I688" s="1"/>
      <c r="J688" s="1"/>
      <c r="K688" s="1"/>
      <c r="L688" s="7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8.75" customHeight="1">
      <c r="A689" s="1"/>
      <c r="B689" s="1"/>
      <c r="C689" s="1"/>
      <c r="D689" s="217"/>
      <c r="E689" s="1"/>
      <c r="F689" s="1"/>
      <c r="G689" s="1"/>
      <c r="H689" s="1"/>
      <c r="I689" s="1"/>
      <c r="J689" s="1"/>
      <c r="K689" s="1"/>
      <c r="L689" s="7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8.75" customHeight="1">
      <c r="A690" s="1"/>
      <c r="B690" s="1"/>
      <c r="C690" s="1"/>
      <c r="D690" s="217"/>
      <c r="E690" s="1"/>
      <c r="F690" s="1"/>
      <c r="G690" s="1"/>
      <c r="H690" s="1"/>
      <c r="I690" s="1"/>
      <c r="J690" s="1"/>
      <c r="K690" s="1"/>
      <c r="L690" s="7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8.75" customHeight="1">
      <c r="A691" s="1"/>
      <c r="B691" s="1"/>
      <c r="C691" s="1"/>
      <c r="D691" s="217"/>
      <c r="E691" s="1"/>
      <c r="F691" s="1"/>
      <c r="G691" s="1"/>
      <c r="H691" s="1"/>
      <c r="I691" s="1"/>
      <c r="J691" s="1"/>
      <c r="K691" s="1"/>
      <c r="L691" s="7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8.75" customHeight="1">
      <c r="A692" s="1"/>
      <c r="B692" s="1"/>
      <c r="C692" s="1"/>
      <c r="D692" s="217"/>
      <c r="E692" s="1"/>
      <c r="F692" s="1"/>
      <c r="G692" s="1"/>
      <c r="H692" s="1"/>
      <c r="I692" s="1"/>
      <c r="J692" s="1"/>
      <c r="K692" s="1"/>
      <c r="L692" s="7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8.75" customHeight="1">
      <c r="A693" s="1"/>
      <c r="B693" s="1"/>
      <c r="C693" s="1"/>
      <c r="D693" s="217"/>
      <c r="E693" s="1"/>
      <c r="F693" s="1"/>
      <c r="G693" s="1"/>
      <c r="H693" s="1"/>
      <c r="I693" s="1"/>
      <c r="J693" s="1"/>
      <c r="K693" s="1"/>
      <c r="L693" s="7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8.75" customHeight="1">
      <c r="A694" s="1"/>
      <c r="B694" s="1"/>
      <c r="C694" s="1"/>
      <c r="D694" s="217"/>
      <c r="E694" s="1"/>
      <c r="F694" s="1"/>
      <c r="G694" s="1"/>
      <c r="H694" s="1"/>
      <c r="I694" s="1"/>
      <c r="J694" s="1"/>
      <c r="K694" s="1"/>
      <c r="L694" s="7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8.75" customHeight="1">
      <c r="A695" s="1"/>
      <c r="B695" s="1"/>
      <c r="C695" s="1"/>
      <c r="D695" s="217"/>
      <c r="E695" s="1"/>
      <c r="F695" s="1"/>
      <c r="G695" s="1"/>
      <c r="H695" s="1"/>
      <c r="I695" s="1"/>
      <c r="J695" s="1"/>
      <c r="K695" s="1"/>
      <c r="L695" s="7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8.75" customHeight="1">
      <c r="A696" s="1"/>
      <c r="B696" s="1"/>
      <c r="C696" s="1"/>
      <c r="D696" s="217"/>
      <c r="E696" s="1"/>
      <c r="F696" s="1"/>
      <c r="G696" s="1"/>
      <c r="H696" s="1"/>
      <c r="I696" s="1"/>
      <c r="J696" s="1"/>
      <c r="K696" s="1"/>
      <c r="L696" s="7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8.75" customHeight="1">
      <c r="A697" s="1"/>
      <c r="B697" s="1"/>
      <c r="C697" s="1"/>
      <c r="D697" s="217"/>
      <c r="E697" s="1"/>
      <c r="F697" s="1"/>
      <c r="G697" s="1"/>
      <c r="H697" s="1"/>
      <c r="I697" s="1"/>
      <c r="J697" s="1"/>
      <c r="K697" s="1"/>
      <c r="L697" s="7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8.75" customHeight="1">
      <c r="A698" s="1"/>
      <c r="B698" s="1"/>
      <c r="C698" s="1"/>
      <c r="D698" s="217"/>
      <c r="E698" s="1"/>
      <c r="F698" s="1"/>
      <c r="G698" s="1"/>
      <c r="H698" s="1"/>
      <c r="I698" s="1"/>
      <c r="J698" s="1"/>
      <c r="K698" s="1"/>
      <c r="L698" s="7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8.75" customHeight="1">
      <c r="A699" s="1"/>
      <c r="B699" s="1"/>
      <c r="C699" s="1"/>
      <c r="D699" s="217"/>
      <c r="E699" s="1"/>
      <c r="F699" s="1"/>
      <c r="G699" s="1"/>
      <c r="H699" s="1"/>
      <c r="I699" s="1"/>
      <c r="J699" s="1"/>
      <c r="K699" s="1"/>
      <c r="L699" s="7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8.75" customHeight="1">
      <c r="A700" s="1"/>
      <c r="B700" s="1"/>
      <c r="C700" s="1"/>
      <c r="D700" s="217"/>
      <c r="E700" s="1"/>
      <c r="F700" s="1"/>
      <c r="G700" s="1"/>
      <c r="H700" s="1"/>
      <c r="I700" s="1"/>
      <c r="J700" s="1"/>
      <c r="K700" s="1"/>
      <c r="L700" s="7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8.75" customHeight="1">
      <c r="A701" s="1"/>
      <c r="B701" s="1"/>
      <c r="C701" s="1"/>
      <c r="D701" s="217"/>
      <c r="E701" s="1"/>
      <c r="F701" s="1"/>
      <c r="G701" s="1"/>
      <c r="H701" s="1"/>
      <c r="I701" s="1"/>
      <c r="J701" s="1"/>
      <c r="K701" s="1"/>
      <c r="L701" s="7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8.75" customHeight="1">
      <c r="A702" s="1"/>
      <c r="B702" s="1"/>
      <c r="C702" s="1"/>
      <c r="D702" s="217"/>
      <c r="E702" s="1"/>
      <c r="F702" s="1"/>
      <c r="G702" s="1"/>
      <c r="H702" s="1"/>
      <c r="I702" s="1"/>
      <c r="J702" s="1"/>
      <c r="K702" s="1"/>
      <c r="L702" s="7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8.75" customHeight="1">
      <c r="A703" s="1"/>
      <c r="B703" s="1"/>
      <c r="C703" s="1"/>
      <c r="D703" s="217"/>
      <c r="E703" s="1"/>
      <c r="F703" s="1"/>
      <c r="G703" s="1"/>
      <c r="H703" s="1"/>
      <c r="I703" s="1"/>
      <c r="J703" s="1"/>
      <c r="K703" s="1"/>
      <c r="L703" s="7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8.75" customHeight="1">
      <c r="A704" s="1"/>
      <c r="B704" s="1"/>
      <c r="C704" s="1"/>
      <c r="D704" s="217"/>
      <c r="E704" s="1"/>
      <c r="F704" s="1"/>
      <c r="G704" s="1"/>
      <c r="H704" s="1"/>
      <c r="I704" s="1"/>
      <c r="J704" s="1"/>
      <c r="K704" s="1"/>
      <c r="L704" s="7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8.75" customHeight="1">
      <c r="A705" s="1"/>
      <c r="B705" s="1"/>
      <c r="C705" s="1"/>
      <c r="D705" s="217"/>
      <c r="E705" s="1"/>
      <c r="F705" s="1"/>
      <c r="G705" s="1"/>
      <c r="H705" s="1"/>
      <c r="I705" s="1"/>
      <c r="J705" s="1"/>
      <c r="K705" s="1"/>
      <c r="L705" s="7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8.75" customHeight="1">
      <c r="A706" s="1"/>
      <c r="B706" s="1"/>
      <c r="C706" s="1"/>
      <c r="D706" s="217"/>
      <c r="E706" s="1"/>
      <c r="F706" s="1"/>
      <c r="G706" s="1"/>
      <c r="H706" s="1"/>
      <c r="I706" s="1"/>
      <c r="J706" s="1"/>
      <c r="K706" s="1"/>
      <c r="L706" s="7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8.75" customHeight="1">
      <c r="A707" s="1"/>
      <c r="B707" s="1"/>
      <c r="C707" s="1"/>
      <c r="D707" s="217"/>
      <c r="E707" s="1"/>
      <c r="F707" s="1"/>
      <c r="G707" s="1"/>
      <c r="H707" s="1"/>
      <c r="I707" s="1"/>
      <c r="J707" s="1"/>
      <c r="K707" s="1"/>
      <c r="L707" s="7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8.75" customHeight="1">
      <c r="A708" s="1"/>
      <c r="B708" s="1"/>
      <c r="C708" s="1"/>
      <c r="D708" s="217"/>
      <c r="E708" s="1"/>
      <c r="F708" s="1"/>
      <c r="G708" s="1"/>
      <c r="H708" s="1"/>
      <c r="I708" s="1"/>
      <c r="J708" s="1"/>
      <c r="K708" s="1"/>
      <c r="L708" s="7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8.75" customHeight="1">
      <c r="A709" s="1"/>
      <c r="B709" s="1"/>
      <c r="C709" s="1"/>
      <c r="D709" s="217"/>
      <c r="E709" s="1"/>
      <c r="F709" s="1"/>
      <c r="G709" s="1"/>
      <c r="H709" s="1"/>
      <c r="I709" s="1"/>
      <c r="J709" s="1"/>
      <c r="K709" s="1"/>
      <c r="L709" s="7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8.75" customHeight="1">
      <c r="A710" s="1"/>
      <c r="B710" s="1"/>
      <c r="C710" s="1"/>
      <c r="D710" s="217"/>
      <c r="E710" s="1"/>
      <c r="F710" s="1"/>
      <c r="G710" s="1"/>
      <c r="H710" s="1"/>
      <c r="I710" s="1"/>
      <c r="J710" s="1"/>
      <c r="K710" s="1"/>
      <c r="L710" s="7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8.75" customHeight="1">
      <c r="A711" s="1"/>
      <c r="B711" s="1"/>
      <c r="C711" s="1"/>
      <c r="D711" s="217"/>
      <c r="E711" s="1"/>
      <c r="F711" s="1"/>
      <c r="G711" s="1"/>
      <c r="H711" s="1"/>
      <c r="I711" s="1"/>
      <c r="J711" s="1"/>
      <c r="K711" s="1"/>
      <c r="L711" s="7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8.75" customHeight="1">
      <c r="A712" s="1"/>
      <c r="B712" s="1"/>
      <c r="C712" s="1"/>
      <c r="D712" s="217"/>
      <c r="E712" s="1"/>
      <c r="F712" s="1"/>
      <c r="G712" s="1"/>
      <c r="H712" s="1"/>
      <c r="I712" s="1"/>
      <c r="J712" s="1"/>
      <c r="K712" s="1"/>
      <c r="L712" s="7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8.75" customHeight="1">
      <c r="A713" s="1"/>
      <c r="B713" s="1"/>
      <c r="C713" s="1"/>
      <c r="D713" s="217"/>
      <c r="E713" s="1"/>
      <c r="F713" s="1"/>
      <c r="G713" s="1"/>
      <c r="H713" s="1"/>
      <c r="I713" s="1"/>
      <c r="J713" s="1"/>
      <c r="K713" s="1"/>
      <c r="L713" s="7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8.75" customHeight="1">
      <c r="A714" s="1"/>
      <c r="B714" s="1"/>
      <c r="C714" s="1"/>
      <c r="D714" s="217"/>
      <c r="E714" s="1"/>
      <c r="F714" s="1"/>
      <c r="G714" s="1"/>
      <c r="H714" s="1"/>
      <c r="I714" s="1"/>
      <c r="J714" s="1"/>
      <c r="K714" s="1"/>
      <c r="L714" s="7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8.75" customHeight="1">
      <c r="A715" s="1"/>
      <c r="B715" s="1"/>
      <c r="C715" s="1"/>
      <c r="D715" s="217"/>
      <c r="E715" s="1"/>
      <c r="F715" s="1"/>
      <c r="G715" s="1"/>
      <c r="H715" s="1"/>
      <c r="I715" s="1"/>
      <c r="J715" s="1"/>
      <c r="K715" s="1"/>
      <c r="L715" s="7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8.75" customHeight="1">
      <c r="A716" s="1"/>
      <c r="B716" s="1"/>
      <c r="C716" s="1"/>
      <c r="D716" s="217"/>
      <c r="E716" s="1"/>
      <c r="F716" s="1"/>
      <c r="G716" s="1"/>
      <c r="H716" s="1"/>
      <c r="I716" s="1"/>
      <c r="J716" s="1"/>
      <c r="K716" s="1"/>
      <c r="L716" s="7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8.75" customHeight="1">
      <c r="A717" s="1"/>
      <c r="B717" s="1"/>
      <c r="C717" s="1"/>
      <c r="D717" s="217"/>
      <c r="E717" s="1"/>
      <c r="F717" s="1"/>
      <c r="G717" s="1"/>
      <c r="H717" s="1"/>
      <c r="I717" s="1"/>
      <c r="J717" s="1"/>
      <c r="K717" s="1"/>
      <c r="L717" s="7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8.75" customHeight="1">
      <c r="A718" s="1"/>
      <c r="B718" s="1"/>
      <c r="C718" s="1"/>
      <c r="D718" s="217"/>
      <c r="E718" s="1"/>
      <c r="F718" s="1"/>
      <c r="G718" s="1"/>
      <c r="H718" s="1"/>
      <c r="I718" s="1"/>
      <c r="J718" s="1"/>
      <c r="K718" s="1"/>
      <c r="L718" s="7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8.75" customHeight="1">
      <c r="A719" s="1"/>
      <c r="B719" s="1"/>
      <c r="C719" s="1"/>
      <c r="D719" s="217"/>
      <c r="E719" s="1"/>
      <c r="F719" s="1"/>
      <c r="G719" s="1"/>
      <c r="H719" s="1"/>
      <c r="I719" s="1"/>
      <c r="J719" s="1"/>
      <c r="K719" s="1"/>
      <c r="L719" s="7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8.75" customHeight="1">
      <c r="A720" s="1"/>
      <c r="B720" s="1"/>
      <c r="C720" s="1"/>
      <c r="D720" s="217"/>
      <c r="E720" s="1"/>
      <c r="F720" s="1"/>
      <c r="G720" s="1"/>
      <c r="H720" s="1"/>
      <c r="I720" s="1"/>
      <c r="J720" s="1"/>
      <c r="K720" s="1"/>
      <c r="L720" s="7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8.75" customHeight="1">
      <c r="A721" s="1"/>
      <c r="B721" s="1"/>
      <c r="C721" s="1"/>
      <c r="D721" s="217"/>
      <c r="E721" s="1"/>
      <c r="F721" s="1"/>
      <c r="G721" s="1"/>
      <c r="H721" s="1"/>
      <c r="I721" s="1"/>
      <c r="J721" s="1"/>
      <c r="K721" s="1"/>
      <c r="L721" s="7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8.75" customHeight="1">
      <c r="A722" s="1"/>
      <c r="B722" s="1"/>
      <c r="C722" s="1"/>
      <c r="D722" s="217"/>
      <c r="E722" s="1"/>
      <c r="F722" s="1"/>
      <c r="G722" s="1"/>
      <c r="H722" s="1"/>
      <c r="I722" s="1"/>
      <c r="J722" s="1"/>
      <c r="K722" s="1"/>
      <c r="L722" s="7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8.75" customHeight="1">
      <c r="A723" s="1"/>
      <c r="B723" s="1"/>
      <c r="C723" s="1"/>
      <c r="D723" s="217"/>
      <c r="E723" s="1"/>
      <c r="F723" s="1"/>
      <c r="G723" s="1"/>
      <c r="H723" s="1"/>
      <c r="I723" s="1"/>
      <c r="J723" s="1"/>
      <c r="K723" s="1"/>
      <c r="L723" s="7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8.75" customHeight="1">
      <c r="A724" s="1"/>
      <c r="B724" s="1"/>
      <c r="C724" s="1"/>
      <c r="D724" s="217"/>
      <c r="E724" s="1"/>
      <c r="F724" s="1"/>
      <c r="G724" s="1"/>
      <c r="H724" s="1"/>
      <c r="I724" s="1"/>
      <c r="J724" s="1"/>
      <c r="K724" s="1"/>
      <c r="L724" s="7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8.75" customHeight="1">
      <c r="A725" s="1"/>
      <c r="B725" s="1"/>
      <c r="C725" s="1"/>
      <c r="D725" s="217"/>
      <c r="E725" s="1"/>
      <c r="F725" s="1"/>
      <c r="G725" s="1"/>
      <c r="H725" s="1"/>
      <c r="I725" s="1"/>
      <c r="J725" s="1"/>
      <c r="K725" s="1"/>
      <c r="L725" s="7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8.75" customHeight="1">
      <c r="A726" s="1"/>
      <c r="B726" s="1"/>
      <c r="C726" s="1"/>
      <c r="D726" s="217"/>
      <c r="E726" s="1"/>
      <c r="F726" s="1"/>
      <c r="G726" s="1"/>
      <c r="H726" s="1"/>
      <c r="I726" s="1"/>
      <c r="J726" s="1"/>
      <c r="K726" s="1"/>
      <c r="L726" s="7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8.75" customHeight="1">
      <c r="A727" s="1"/>
      <c r="B727" s="1"/>
      <c r="C727" s="1"/>
      <c r="D727" s="217"/>
      <c r="E727" s="1"/>
      <c r="F727" s="1"/>
      <c r="G727" s="1"/>
      <c r="H727" s="1"/>
      <c r="I727" s="1"/>
      <c r="J727" s="1"/>
      <c r="K727" s="1"/>
      <c r="L727" s="7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8.75" customHeight="1">
      <c r="A728" s="1"/>
      <c r="B728" s="1"/>
      <c r="C728" s="1"/>
      <c r="D728" s="217"/>
      <c r="E728" s="1"/>
      <c r="F728" s="1"/>
      <c r="G728" s="1"/>
      <c r="H728" s="1"/>
      <c r="I728" s="1"/>
      <c r="J728" s="1"/>
      <c r="K728" s="1"/>
      <c r="L728" s="7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8.75" customHeight="1">
      <c r="A729" s="1"/>
      <c r="B729" s="1"/>
      <c r="C729" s="1"/>
      <c r="D729" s="217"/>
      <c r="E729" s="1"/>
      <c r="F729" s="1"/>
      <c r="G729" s="1"/>
      <c r="H729" s="1"/>
      <c r="I729" s="1"/>
      <c r="J729" s="1"/>
      <c r="K729" s="1"/>
      <c r="L729" s="7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8.75" customHeight="1">
      <c r="A730" s="1"/>
      <c r="B730" s="1"/>
      <c r="C730" s="1"/>
      <c r="D730" s="217"/>
      <c r="E730" s="1"/>
      <c r="F730" s="1"/>
      <c r="G730" s="1"/>
      <c r="H730" s="1"/>
      <c r="I730" s="1"/>
      <c r="J730" s="1"/>
      <c r="K730" s="1"/>
      <c r="L730" s="7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8.75" customHeight="1">
      <c r="A731" s="1"/>
      <c r="B731" s="1"/>
      <c r="C731" s="1"/>
      <c r="D731" s="217"/>
      <c r="E731" s="1"/>
      <c r="F731" s="1"/>
      <c r="G731" s="1"/>
      <c r="H731" s="1"/>
      <c r="I731" s="1"/>
      <c r="J731" s="1"/>
      <c r="K731" s="1"/>
      <c r="L731" s="7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8.75" customHeight="1">
      <c r="A732" s="1"/>
      <c r="B732" s="1"/>
      <c r="C732" s="1"/>
      <c r="D732" s="217"/>
      <c r="E732" s="1"/>
      <c r="F732" s="1"/>
      <c r="G732" s="1"/>
      <c r="H732" s="1"/>
      <c r="I732" s="1"/>
      <c r="J732" s="1"/>
      <c r="K732" s="1"/>
      <c r="L732" s="7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8.75" customHeight="1">
      <c r="A733" s="1"/>
      <c r="B733" s="1"/>
      <c r="C733" s="1"/>
      <c r="D733" s="217"/>
      <c r="E733" s="1"/>
      <c r="F733" s="1"/>
      <c r="G733" s="1"/>
      <c r="H733" s="1"/>
      <c r="I733" s="1"/>
      <c r="J733" s="1"/>
      <c r="K733" s="1"/>
      <c r="L733" s="7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8.75" customHeight="1">
      <c r="A734" s="1"/>
      <c r="B734" s="1"/>
      <c r="C734" s="1"/>
      <c r="D734" s="217"/>
      <c r="E734" s="1"/>
      <c r="F734" s="1"/>
      <c r="G734" s="1"/>
      <c r="H734" s="1"/>
      <c r="I734" s="1"/>
      <c r="J734" s="1"/>
      <c r="K734" s="1"/>
      <c r="L734" s="7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8.75" customHeight="1">
      <c r="A735" s="1"/>
      <c r="B735" s="1"/>
      <c r="C735" s="1"/>
      <c r="D735" s="217"/>
      <c r="E735" s="1"/>
      <c r="F735" s="1"/>
      <c r="G735" s="1"/>
      <c r="H735" s="1"/>
      <c r="I735" s="1"/>
      <c r="J735" s="1"/>
      <c r="K735" s="1"/>
      <c r="L735" s="7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8.75" customHeight="1">
      <c r="A736" s="1"/>
      <c r="B736" s="1"/>
      <c r="C736" s="1"/>
      <c r="D736" s="217"/>
      <c r="E736" s="1"/>
      <c r="F736" s="1"/>
      <c r="G736" s="1"/>
      <c r="H736" s="1"/>
      <c r="I736" s="1"/>
      <c r="J736" s="1"/>
      <c r="K736" s="1"/>
      <c r="L736" s="7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8.75" customHeight="1">
      <c r="A737" s="1"/>
      <c r="B737" s="1"/>
      <c r="C737" s="1"/>
      <c r="D737" s="217"/>
      <c r="E737" s="1"/>
      <c r="F737" s="1"/>
      <c r="G737" s="1"/>
      <c r="H737" s="1"/>
      <c r="I737" s="1"/>
      <c r="J737" s="1"/>
      <c r="K737" s="1"/>
      <c r="L737" s="7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8.75" customHeight="1">
      <c r="A738" s="1"/>
      <c r="B738" s="1"/>
      <c r="C738" s="1"/>
      <c r="D738" s="217"/>
      <c r="E738" s="1"/>
      <c r="F738" s="1"/>
      <c r="G738" s="1"/>
      <c r="H738" s="1"/>
      <c r="I738" s="1"/>
      <c r="J738" s="1"/>
      <c r="K738" s="1"/>
      <c r="L738" s="7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8.75" customHeight="1">
      <c r="A739" s="1"/>
      <c r="B739" s="1"/>
      <c r="C739" s="1"/>
      <c r="D739" s="217"/>
      <c r="E739" s="1"/>
      <c r="F739" s="1"/>
      <c r="G739" s="1"/>
      <c r="H739" s="1"/>
      <c r="I739" s="1"/>
      <c r="J739" s="1"/>
      <c r="K739" s="1"/>
      <c r="L739" s="7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8.75" customHeight="1">
      <c r="A740" s="1"/>
      <c r="B740" s="1"/>
      <c r="C740" s="1"/>
      <c r="D740" s="217"/>
      <c r="E740" s="1"/>
      <c r="F740" s="1"/>
      <c r="G740" s="1"/>
      <c r="H740" s="1"/>
      <c r="I740" s="1"/>
      <c r="J740" s="1"/>
      <c r="K740" s="1"/>
      <c r="L740" s="7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8.75" customHeight="1">
      <c r="A741" s="1"/>
      <c r="B741" s="1"/>
      <c r="C741" s="1"/>
      <c r="D741" s="217"/>
      <c r="E741" s="1"/>
      <c r="F741" s="1"/>
      <c r="G741" s="1"/>
      <c r="H741" s="1"/>
      <c r="I741" s="1"/>
      <c r="J741" s="1"/>
      <c r="K741" s="1"/>
      <c r="L741" s="7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8.75" customHeight="1">
      <c r="A742" s="1"/>
      <c r="B742" s="1"/>
      <c r="C742" s="1"/>
      <c r="D742" s="217"/>
      <c r="E742" s="1"/>
      <c r="F742" s="1"/>
      <c r="G742" s="1"/>
      <c r="H742" s="1"/>
      <c r="I742" s="1"/>
      <c r="J742" s="1"/>
      <c r="K742" s="1"/>
      <c r="L742" s="7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8.75" customHeight="1">
      <c r="A743" s="1"/>
      <c r="B743" s="1"/>
      <c r="C743" s="1"/>
      <c r="D743" s="217"/>
      <c r="E743" s="1"/>
      <c r="F743" s="1"/>
      <c r="G743" s="1"/>
      <c r="H743" s="1"/>
      <c r="I743" s="1"/>
      <c r="J743" s="1"/>
      <c r="K743" s="1"/>
      <c r="L743" s="7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8.75" customHeight="1">
      <c r="A744" s="1"/>
      <c r="B744" s="1"/>
      <c r="C744" s="1"/>
      <c r="D744" s="217"/>
      <c r="E744" s="1"/>
      <c r="F744" s="1"/>
      <c r="G744" s="1"/>
      <c r="H744" s="1"/>
      <c r="I744" s="1"/>
      <c r="J744" s="1"/>
      <c r="K744" s="1"/>
      <c r="L744" s="7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8.75" customHeight="1">
      <c r="A745" s="1"/>
      <c r="B745" s="1"/>
      <c r="C745" s="1"/>
      <c r="D745" s="217"/>
      <c r="E745" s="1"/>
      <c r="F745" s="1"/>
      <c r="G745" s="1"/>
      <c r="H745" s="1"/>
      <c r="I745" s="1"/>
      <c r="J745" s="1"/>
      <c r="K745" s="1"/>
      <c r="L745" s="7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8.75" customHeight="1">
      <c r="A746" s="1"/>
      <c r="B746" s="1"/>
      <c r="C746" s="1"/>
      <c r="D746" s="217"/>
      <c r="E746" s="1"/>
      <c r="F746" s="1"/>
      <c r="G746" s="1"/>
      <c r="H746" s="1"/>
      <c r="I746" s="1"/>
      <c r="J746" s="1"/>
      <c r="K746" s="1"/>
      <c r="L746" s="7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8.75" customHeight="1">
      <c r="A747" s="1"/>
      <c r="B747" s="1"/>
      <c r="C747" s="1"/>
      <c r="D747" s="217"/>
      <c r="E747" s="1"/>
      <c r="F747" s="1"/>
      <c r="G747" s="1"/>
      <c r="H747" s="1"/>
      <c r="I747" s="1"/>
      <c r="J747" s="1"/>
      <c r="K747" s="1"/>
      <c r="L747" s="7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8.75" customHeight="1">
      <c r="A748" s="1"/>
      <c r="B748" s="1"/>
      <c r="C748" s="1"/>
      <c r="D748" s="217"/>
      <c r="E748" s="1"/>
      <c r="F748" s="1"/>
      <c r="G748" s="1"/>
      <c r="H748" s="1"/>
      <c r="I748" s="1"/>
      <c r="J748" s="1"/>
      <c r="K748" s="1"/>
      <c r="L748" s="7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8.75" customHeight="1">
      <c r="A749" s="1"/>
      <c r="B749" s="1"/>
      <c r="C749" s="1"/>
      <c r="D749" s="217"/>
      <c r="E749" s="1"/>
      <c r="F749" s="1"/>
      <c r="G749" s="1"/>
      <c r="H749" s="1"/>
      <c r="I749" s="1"/>
      <c r="J749" s="1"/>
      <c r="K749" s="1"/>
      <c r="L749" s="7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8.75" customHeight="1">
      <c r="A750" s="1"/>
      <c r="B750" s="1"/>
      <c r="C750" s="1"/>
      <c r="D750" s="217"/>
      <c r="E750" s="1"/>
      <c r="F750" s="1"/>
      <c r="G750" s="1"/>
      <c r="H750" s="1"/>
      <c r="I750" s="1"/>
      <c r="J750" s="1"/>
      <c r="K750" s="1"/>
      <c r="L750" s="7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8.75" customHeight="1">
      <c r="A751" s="1"/>
      <c r="B751" s="1"/>
      <c r="C751" s="1"/>
      <c r="D751" s="217"/>
      <c r="E751" s="1"/>
      <c r="F751" s="1"/>
      <c r="G751" s="1"/>
      <c r="H751" s="1"/>
      <c r="I751" s="1"/>
      <c r="J751" s="1"/>
      <c r="K751" s="1"/>
      <c r="L751" s="7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8.75" customHeight="1">
      <c r="A752" s="1"/>
      <c r="B752" s="1"/>
      <c r="C752" s="1"/>
      <c r="D752" s="217"/>
      <c r="E752" s="1"/>
      <c r="F752" s="1"/>
      <c r="G752" s="1"/>
      <c r="H752" s="1"/>
      <c r="I752" s="1"/>
      <c r="J752" s="1"/>
      <c r="K752" s="1"/>
      <c r="L752" s="7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8.75" customHeight="1">
      <c r="A753" s="1"/>
      <c r="B753" s="1"/>
      <c r="C753" s="1"/>
      <c r="D753" s="217"/>
      <c r="E753" s="1"/>
      <c r="F753" s="1"/>
      <c r="G753" s="1"/>
      <c r="H753" s="1"/>
      <c r="I753" s="1"/>
      <c r="J753" s="1"/>
      <c r="K753" s="1"/>
      <c r="L753" s="7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8.75" customHeight="1">
      <c r="A754" s="1"/>
      <c r="B754" s="1"/>
      <c r="C754" s="1"/>
      <c r="D754" s="217"/>
      <c r="E754" s="1"/>
      <c r="F754" s="1"/>
      <c r="G754" s="1"/>
      <c r="H754" s="1"/>
      <c r="I754" s="1"/>
      <c r="J754" s="1"/>
      <c r="K754" s="1"/>
      <c r="L754" s="7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8.75" customHeight="1">
      <c r="A755" s="1"/>
      <c r="B755" s="1"/>
      <c r="C755" s="1"/>
      <c r="D755" s="217"/>
      <c r="E755" s="1"/>
      <c r="F755" s="1"/>
      <c r="G755" s="1"/>
      <c r="H755" s="1"/>
      <c r="I755" s="1"/>
      <c r="J755" s="1"/>
      <c r="K755" s="1"/>
      <c r="L755" s="7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8.75" customHeight="1">
      <c r="A756" s="1"/>
      <c r="B756" s="1"/>
      <c r="C756" s="1"/>
      <c r="D756" s="217"/>
      <c r="E756" s="1"/>
      <c r="F756" s="1"/>
      <c r="G756" s="1"/>
      <c r="H756" s="1"/>
      <c r="I756" s="1"/>
      <c r="J756" s="1"/>
      <c r="K756" s="1"/>
      <c r="L756" s="7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8.75" customHeight="1">
      <c r="A757" s="1"/>
      <c r="B757" s="1"/>
      <c r="C757" s="1"/>
      <c r="D757" s="217"/>
      <c r="E757" s="1"/>
      <c r="F757" s="1"/>
      <c r="G757" s="1"/>
      <c r="H757" s="1"/>
      <c r="I757" s="1"/>
      <c r="J757" s="1"/>
      <c r="K757" s="1"/>
      <c r="L757" s="7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8.75" customHeight="1">
      <c r="A758" s="1"/>
      <c r="B758" s="1"/>
      <c r="C758" s="1"/>
      <c r="D758" s="217"/>
      <c r="E758" s="1"/>
      <c r="F758" s="1"/>
      <c r="G758" s="1"/>
      <c r="H758" s="1"/>
      <c r="I758" s="1"/>
      <c r="J758" s="1"/>
      <c r="K758" s="1"/>
      <c r="L758" s="7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8.75" customHeight="1">
      <c r="A759" s="1"/>
      <c r="B759" s="1"/>
      <c r="C759" s="1"/>
      <c r="D759" s="217"/>
      <c r="E759" s="1"/>
      <c r="F759" s="1"/>
      <c r="G759" s="1"/>
      <c r="H759" s="1"/>
      <c r="I759" s="1"/>
      <c r="J759" s="1"/>
      <c r="K759" s="1"/>
      <c r="L759" s="7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8.75" customHeight="1">
      <c r="A760" s="1"/>
      <c r="B760" s="1"/>
      <c r="C760" s="1"/>
      <c r="D760" s="217"/>
      <c r="E760" s="1"/>
      <c r="F760" s="1"/>
      <c r="G760" s="1"/>
      <c r="H760" s="1"/>
      <c r="I760" s="1"/>
      <c r="J760" s="1"/>
      <c r="K760" s="1"/>
      <c r="L760" s="7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8.75" customHeight="1">
      <c r="A761" s="1"/>
      <c r="B761" s="1"/>
      <c r="C761" s="1"/>
      <c r="D761" s="217"/>
      <c r="E761" s="1"/>
      <c r="F761" s="1"/>
      <c r="G761" s="1"/>
      <c r="H761" s="1"/>
      <c r="I761" s="1"/>
      <c r="J761" s="1"/>
      <c r="K761" s="1"/>
      <c r="L761" s="7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8.75" customHeight="1">
      <c r="A762" s="1"/>
      <c r="B762" s="1"/>
      <c r="C762" s="1"/>
      <c r="D762" s="217"/>
      <c r="E762" s="1"/>
      <c r="F762" s="1"/>
      <c r="G762" s="1"/>
      <c r="H762" s="1"/>
      <c r="I762" s="1"/>
      <c r="J762" s="1"/>
      <c r="K762" s="1"/>
      <c r="L762" s="7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8.75" customHeight="1">
      <c r="A763" s="1"/>
      <c r="B763" s="1"/>
      <c r="C763" s="1"/>
      <c r="D763" s="217"/>
      <c r="E763" s="1"/>
      <c r="F763" s="1"/>
      <c r="G763" s="1"/>
      <c r="H763" s="1"/>
      <c r="I763" s="1"/>
      <c r="J763" s="1"/>
      <c r="K763" s="1"/>
      <c r="L763" s="7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8.75" customHeight="1">
      <c r="A764" s="1"/>
      <c r="B764" s="1"/>
      <c r="C764" s="1"/>
      <c r="D764" s="217"/>
      <c r="E764" s="1"/>
      <c r="F764" s="1"/>
      <c r="G764" s="1"/>
      <c r="H764" s="1"/>
      <c r="I764" s="1"/>
      <c r="J764" s="1"/>
      <c r="K764" s="1"/>
      <c r="L764" s="7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8.75" customHeight="1">
      <c r="A765" s="1"/>
      <c r="B765" s="1"/>
      <c r="C765" s="1"/>
      <c r="D765" s="217"/>
      <c r="E765" s="1"/>
      <c r="F765" s="1"/>
      <c r="G765" s="1"/>
      <c r="H765" s="1"/>
      <c r="I765" s="1"/>
      <c r="J765" s="1"/>
      <c r="K765" s="1"/>
      <c r="L765" s="7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8.75" customHeight="1">
      <c r="A766" s="1"/>
      <c r="B766" s="1"/>
      <c r="C766" s="1"/>
      <c r="D766" s="217"/>
      <c r="E766" s="1"/>
      <c r="F766" s="1"/>
      <c r="G766" s="1"/>
      <c r="H766" s="1"/>
      <c r="I766" s="1"/>
      <c r="J766" s="1"/>
      <c r="K766" s="1"/>
      <c r="L766" s="7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8.75" customHeight="1">
      <c r="A767" s="1"/>
      <c r="B767" s="1"/>
      <c r="C767" s="1"/>
      <c r="D767" s="217"/>
      <c r="E767" s="1"/>
      <c r="F767" s="1"/>
      <c r="G767" s="1"/>
      <c r="H767" s="1"/>
      <c r="I767" s="1"/>
      <c r="J767" s="1"/>
      <c r="K767" s="1"/>
      <c r="L767" s="7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8.75" customHeight="1">
      <c r="A768" s="1"/>
      <c r="B768" s="1"/>
      <c r="C768" s="1"/>
      <c r="D768" s="217"/>
      <c r="E768" s="1"/>
      <c r="F768" s="1"/>
      <c r="G768" s="1"/>
      <c r="H768" s="1"/>
      <c r="I768" s="1"/>
      <c r="J768" s="1"/>
      <c r="K768" s="1"/>
      <c r="L768" s="7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8.75" customHeight="1">
      <c r="A769" s="1"/>
      <c r="B769" s="1"/>
      <c r="C769" s="1"/>
      <c r="D769" s="217"/>
      <c r="E769" s="1"/>
      <c r="F769" s="1"/>
      <c r="G769" s="1"/>
      <c r="H769" s="1"/>
      <c r="I769" s="1"/>
      <c r="J769" s="1"/>
      <c r="K769" s="1"/>
      <c r="L769" s="7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8.75" customHeight="1">
      <c r="A770" s="1"/>
      <c r="B770" s="1"/>
      <c r="C770" s="1"/>
      <c r="D770" s="217"/>
      <c r="E770" s="1"/>
      <c r="F770" s="1"/>
      <c r="G770" s="1"/>
      <c r="H770" s="1"/>
      <c r="I770" s="1"/>
      <c r="J770" s="1"/>
      <c r="K770" s="1"/>
      <c r="L770" s="7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8.75" customHeight="1">
      <c r="A771" s="1"/>
      <c r="B771" s="1"/>
      <c r="C771" s="1"/>
      <c r="D771" s="217"/>
      <c r="E771" s="1"/>
      <c r="F771" s="1"/>
      <c r="G771" s="1"/>
      <c r="H771" s="1"/>
      <c r="I771" s="1"/>
      <c r="J771" s="1"/>
      <c r="K771" s="1"/>
      <c r="L771" s="7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8.75" customHeight="1">
      <c r="A772" s="1"/>
      <c r="B772" s="1"/>
      <c r="C772" s="1"/>
      <c r="D772" s="217"/>
      <c r="E772" s="1"/>
      <c r="F772" s="1"/>
      <c r="G772" s="1"/>
      <c r="H772" s="1"/>
      <c r="I772" s="1"/>
      <c r="J772" s="1"/>
      <c r="K772" s="1"/>
      <c r="L772" s="7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8.75" customHeight="1">
      <c r="A773" s="1"/>
      <c r="B773" s="1"/>
      <c r="C773" s="1"/>
      <c r="D773" s="217"/>
      <c r="E773" s="1"/>
      <c r="F773" s="1"/>
      <c r="G773" s="1"/>
      <c r="H773" s="1"/>
      <c r="I773" s="1"/>
      <c r="J773" s="1"/>
      <c r="K773" s="1"/>
      <c r="L773" s="7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8.75" customHeight="1">
      <c r="A774" s="1"/>
      <c r="B774" s="1"/>
      <c r="C774" s="1"/>
      <c r="D774" s="217"/>
      <c r="E774" s="1"/>
      <c r="F774" s="1"/>
      <c r="G774" s="1"/>
      <c r="H774" s="1"/>
      <c r="I774" s="1"/>
      <c r="J774" s="1"/>
      <c r="K774" s="1"/>
      <c r="L774" s="7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8.75" customHeight="1">
      <c r="A775" s="1"/>
      <c r="B775" s="1"/>
      <c r="C775" s="1"/>
      <c r="D775" s="217"/>
      <c r="E775" s="1"/>
      <c r="F775" s="1"/>
      <c r="G775" s="1"/>
      <c r="H775" s="1"/>
      <c r="I775" s="1"/>
      <c r="J775" s="1"/>
      <c r="K775" s="1"/>
      <c r="L775" s="7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8.75" customHeight="1">
      <c r="A776" s="1"/>
      <c r="B776" s="1"/>
      <c r="C776" s="1"/>
      <c r="D776" s="217"/>
      <c r="E776" s="1"/>
      <c r="F776" s="1"/>
      <c r="G776" s="1"/>
      <c r="H776" s="1"/>
      <c r="I776" s="1"/>
      <c r="J776" s="1"/>
      <c r="K776" s="1"/>
      <c r="L776" s="7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8.75" customHeight="1">
      <c r="A777" s="1"/>
      <c r="B777" s="1"/>
      <c r="C777" s="1"/>
      <c r="D777" s="217"/>
      <c r="E777" s="1"/>
      <c r="F777" s="1"/>
      <c r="G777" s="1"/>
      <c r="H777" s="1"/>
      <c r="I777" s="1"/>
      <c r="J777" s="1"/>
      <c r="K777" s="1"/>
      <c r="L777" s="7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8.75" customHeight="1">
      <c r="A778" s="1"/>
      <c r="B778" s="1"/>
      <c r="C778" s="1"/>
      <c r="D778" s="217"/>
      <c r="E778" s="1"/>
      <c r="F778" s="1"/>
      <c r="G778" s="1"/>
      <c r="H778" s="1"/>
      <c r="I778" s="1"/>
      <c r="J778" s="1"/>
      <c r="K778" s="1"/>
      <c r="L778" s="7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8.75" customHeight="1">
      <c r="A779" s="1"/>
      <c r="B779" s="1"/>
      <c r="C779" s="1"/>
      <c r="D779" s="217"/>
      <c r="E779" s="1"/>
      <c r="F779" s="1"/>
      <c r="G779" s="1"/>
      <c r="H779" s="1"/>
      <c r="I779" s="1"/>
      <c r="J779" s="1"/>
      <c r="K779" s="1"/>
      <c r="L779" s="7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8.75" customHeight="1">
      <c r="A780" s="1"/>
      <c r="B780" s="1"/>
      <c r="C780" s="1"/>
      <c r="D780" s="217"/>
      <c r="E780" s="1"/>
      <c r="F780" s="1"/>
      <c r="G780" s="1"/>
      <c r="H780" s="1"/>
      <c r="I780" s="1"/>
      <c r="J780" s="1"/>
      <c r="K780" s="1"/>
      <c r="L780" s="7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8.75" customHeight="1">
      <c r="A781" s="1"/>
      <c r="B781" s="1"/>
      <c r="C781" s="1"/>
      <c r="D781" s="217"/>
      <c r="E781" s="1"/>
      <c r="F781" s="1"/>
      <c r="G781" s="1"/>
      <c r="H781" s="1"/>
      <c r="I781" s="1"/>
      <c r="J781" s="1"/>
      <c r="K781" s="1"/>
      <c r="L781" s="7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8.75" customHeight="1">
      <c r="A782" s="1"/>
      <c r="B782" s="1"/>
      <c r="C782" s="1"/>
      <c r="D782" s="217"/>
      <c r="E782" s="1"/>
      <c r="F782" s="1"/>
      <c r="G782" s="1"/>
      <c r="H782" s="1"/>
      <c r="I782" s="1"/>
      <c r="J782" s="1"/>
      <c r="K782" s="1"/>
      <c r="L782" s="7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8.75" customHeight="1">
      <c r="A783" s="1"/>
      <c r="B783" s="1"/>
      <c r="C783" s="1"/>
      <c r="D783" s="217"/>
      <c r="E783" s="1"/>
      <c r="F783" s="1"/>
      <c r="G783" s="1"/>
      <c r="H783" s="1"/>
      <c r="I783" s="1"/>
      <c r="J783" s="1"/>
      <c r="K783" s="1"/>
      <c r="L783" s="7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8.75" customHeight="1">
      <c r="A784" s="1"/>
      <c r="B784" s="1"/>
      <c r="C784" s="1"/>
      <c r="D784" s="217"/>
      <c r="E784" s="1"/>
      <c r="F784" s="1"/>
      <c r="G784" s="1"/>
      <c r="H784" s="1"/>
      <c r="I784" s="1"/>
      <c r="J784" s="1"/>
      <c r="K784" s="1"/>
      <c r="L784" s="7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8.75" customHeight="1">
      <c r="A785" s="1"/>
      <c r="B785" s="1"/>
      <c r="C785" s="1"/>
      <c r="D785" s="217"/>
      <c r="E785" s="1"/>
      <c r="F785" s="1"/>
      <c r="G785" s="1"/>
      <c r="H785" s="1"/>
      <c r="I785" s="1"/>
      <c r="J785" s="1"/>
      <c r="K785" s="1"/>
      <c r="L785" s="7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8.75" customHeight="1">
      <c r="A786" s="1"/>
      <c r="B786" s="1"/>
      <c r="C786" s="1"/>
      <c r="D786" s="217"/>
      <c r="E786" s="1"/>
      <c r="F786" s="1"/>
      <c r="G786" s="1"/>
      <c r="H786" s="1"/>
      <c r="I786" s="1"/>
      <c r="J786" s="1"/>
      <c r="K786" s="1"/>
      <c r="L786" s="7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8.75" customHeight="1">
      <c r="A787" s="1"/>
      <c r="B787" s="1"/>
      <c r="C787" s="1"/>
      <c r="D787" s="217"/>
      <c r="E787" s="1"/>
      <c r="F787" s="1"/>
      <c r="G787" s="1"/>
      <c r="H787" s="1"/>
      <c r="I787" s="1"/>
      <c r="J787" s="1"/>
      <c r="K787" s="1"/>
      <c r="L787" s="7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8.75" customHeight="1">
      <c r="A788" s="1"/>
      <c r="B788" s="1"/>
      <c r="C788" s="1"/>
      <c r="D788" s="217"/>
      <c r="E788" s="1"/>
      <c r="F788" s="1"/>
      <c r="G788" s="1"/>
      <c r="H788" s="1"/>
      <c r="I788" s="1"/>
      <c r="J788" s="1"/>
      <c r="K788" s="1"/>
      <c r="L788" s="7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8.75" customHeight="1">
      <c r="A789" s="1"/>
      <c r="B789" s="1"/>
      <c r="C789" s="1"/>
      <c r="D789" s="217"/>
      <c r="E789" s="1"/>
      <c r="F789" s="1"/>
      <c r="G789" s="1"/>
      <c r="H789" s="1"/>
      <c r="I789" s="1"/>
      <c r="J789" s="1"/>
      <c r="K789" s="1"/>
      <c r="L789" s="7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8.75" customHeight="1">
      <c r="A790" s="1"/>
      <c r="B790" s="1"/>
      <c r="C790" s="1"/>
      <c r="D790" s="217"/>
      <c r="E790" s="1"/>
      <c r="F790" s="1"/>
      <c r="G790" s="1"/>
      <c r="H790" s="1"/>
      <c r="I790" s="1"/>
      <c r="J790" s="1"/>
      <c r="K790" s="1"/>
      <c r="L790" s="7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8.75" customHeight="1">
      <c r="A791" s="1"/>
      <c r="B791" s="1"/>
      <c r="C791" s="1"/>
      <c r="D791" s="217"/>
      <c r="E791" s="1"/>
      <c r="F791" s="1"/>
      <c r="G791" s="1"/>
      <c r="H791" s="1"/>
      <c r="I791" s="1"/>
      <c r="J791" s="1"/>
      <c r="K791" s="1"/>
      <c r="L791" s="7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8.75" customHeight="1">
      <c r="A792" s="1"/>
      <c r="B792" s="1"/>
      <c r="C792" s="1"/>
      <c r="D792" s="217"/>
      <c r="E792" s="1"/>
      <c r="F792" s="1"/>
      <c r="G792" s="1"/>
      <c r="H792" s="1"/>
      <c r="I792" s="1"/>
      <c r="J792" s="1"/>
      <c r="K792" s="1"/>
      <c r="L792" s="7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8.75" customHeight="1">
      <c r="A793" s="1"/>
      <c r="B793" s="1"/>
      <c r="C793" s="1"/>
      <c r="D793" s="217"/>
      <c r="E793" s="1"/>
      <c r="F793" s="1"/>
      <c r="G793" s="1"/>
      <c r="H793" s="1"/>
      <c r="I793" s="1"/>
      <c r="J793" s="1"/>
      <c r="K793" s="1"/>
      <c r="L793" s="7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8.75" customHeight="1">
      <c r="A794" s="1"/>
      <c r="B794" s="1"/>
      <c r="C794" s="1"/>
      <c r="D794" s="217"/>
      <c r="E794" s="1"/>
      <c r="F794" s="1"/>
      <c r="G794" s="1"/>
      <c r="H794" s="1"/>
      <c r="I794" s="1"/>
      <c r="J794" s="1"/>
      <c r="K794" s="1"/>
      <c r="L794" s="7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8.75" customHeight="1">
      <c r="A795" s="1"/>
      <c r="B795" s="1"/>
      <c r="C795" s="1"/>
      <c r="D795" s="217"/>
      <c r="E795" s="1"/>
      <c r="F795" s="1"/>
      <c r="G795" s="1"/>
      <c r="H795" s="1"/>
      <c r="I795" s="1"/>
      <c r="J795" s="1"/>
      <c r="K795" s="1"/>
      <c r="L795" s="7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8.75" customHeight="1">
      <c r="A796" s="1"/>
      <c r="B796" s="1"/>
      <c r="C796" s="1"/>
      <c r="D796" s="217"/>
      <c r="E796" s="1"/>
      <c r="F796" s="1"/>
      <c r="G796" s="1"/>
      <c r="H796" s="1"/>
      <c r="I796" s="1"/>
      <c r="J796" s="1"/>
      <c r="K796" s="1"/>
      <c r="L796" s="7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8.75" customHeight="1">
      <c r="A797" s="1"/>
      <c r="B797" s="1"/>
      <c r="C797" s="1"/>
      <c r="D797" s="217"/>
      <c r="E797" s="1"/>
      <c r="F797" s="1"/>
      <c r="G797" s="1"/>
      <c r="H797" s="1"/>
      <c r="I797" s="1"/>
      <c r="J797" s="1"/>
      <c r="K797" s="1"/>
      <c r="L797" s="7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8.75" customHeight="1">
      <c r="A798" s="1"/>
      <c r="B798" s="1"/>
      <c r="C798" s="1"/>
      <c r="D798" s="217"/>
      <c r="E798" s="1"/>
      <c r="F798" s="1"/>
      <c r="G798" s="1"/>
      <c r="H798" s="1"/>
      <c r="I798" s="1"/>
      <c r="J798" s="1"/>
      <c r="K798" s="1"/>
      <c r="L798" s="7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8.75" customHeight="1">
      <c r="A799" s="1"/>
      <c r="B799" s="1"/>
      <c r="C799" s="1"/>
      <c r="D799" s="217"/>
      <c r="E799" s="1"/>
      <c r="F799" s="1"/>
      <c r="G799" s="1"/>
      <c r="H799" s="1"/>
      <c r="I799" s="1"/>
      <c r="J799" s="1"/>
      <c r="K799" s="1"/>
      <c r="L799" s="7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8.75" customHeight="1">
      <c r="A800" s="1"/>
      <c r="B800" s="1"/>
      <c r="C800" s="1"/>
      <c r="D800" s="217"/>
      <c r="E800" s="1"/>
      <c r="F800" s="1"/>
      <c r="G800" s="1"/>
      <c r="H800" s="1"/>
      <c r="I800" s="1"/>
      <c r="J800" s="1"/>
      <c r="K800" s="1"/>
      <c r="L800" s="7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8.75" customHeight="1">
      <c r="A801" s="1"/>
      <c r="B801" s="1"/>
      <c r="C801" s="1"/>
      <c r="D801" s="217"/>
      <c r="E801" s="1"/>
      <c r="F801" s="1"/>
      <c r="G801" s="1"/>
      <c r="H801" s="1"/>
      <c r="I801" s="1"/>
      <c r="J801" s="1"/>
      <c r="K801" s="1"/>
      <c r="L801" s="7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8.75" customHeight="1">
      <c r="A802" s="1"/>
      <c r="B802" s="1"/>
      <c r="C802" s="1"/>
      <c r="D802" s="217"/>
      <c r="E802" s="1"/>
      <c r="F802" s="1"/>
      <c r="G802" s="1"/>
      <c r="H802" s="1"/>
      <c r="I802" s="1"/>
      <c r="J802" s="1"/>
      <c r="K802" s="1"/>
      <c r="L802" s="7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8.75" customHeight="1">
      <c r="A803" s="1"/>
      <c r="B803" s="1"/>
      <c r="C803" s="1"/>
      <c r="D803" s="217"/>
      <c r="E803" s="1"/>
      <c r="F803" s="1"/>
      <c r="G803" s="1"/>
      <c r="H803" s="1"/>
      <c r="I803" s="1"/>
      <c r="J803" s="1"/>
      <c r="K803" s="1"/>
      <c r="L803" s="7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8.75" customHeight="1">
      <c r="A804" s="1"/>
      <c r="B804" s="1"/>
      <c r="C804" s="1"/>
      <c r="D804" s="217"/>
      <c r="E804" s="1"/>
      <c r="F804" s="1"/>
      <c r="G804" s="1"/>
      <c r="H804" s="1"/>
      <c r="I804" s="1"/>
      <c r="J804" s="1"/>
      <c r="K804" s="1"/>
      <c r="L804" s="7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8.75" customHeight="1">
      <c r="A805" s="1"/>
      <c r="B805" s="1"/>
      <c r="C805" s="1"/>
      <c r="D805" s="217"/>
      <c r="E805" s="1"/>
      <c r="F805" s="1"/>
      <c r="G805" s="1"/>
      <c r="H805" s="1"/>
      <c r="I805" s="1"/>
      <c r="J805" s="1"/>
      <c r="K805" s="1"/>
      <c r="L805" s="7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8.75" customHeight="1">
      <c r="A806" s="1"/>
      <c r="B806" s="1"/>
      <c r="C806" s="1"/>
      <c r="D806" s="217"/>
      <c r="E806" s="1"/>
      <c r="F806" s="1"/>
      <c r="G806" s="1"/>
      <c r="H806" s="1"/>
      <c r="I806" s="1"/>
      <c r="J806" s="1"/>
      <c r="K806" s="1"/>
      <c r="L806" s="7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8.75" customHeight="1">
      <c r="A807" s="1"/>
      <c r="B807" s="1"/>
      <c r="C807" s="1"/>
      <c r="D807" s="217"/>
      <c r="E807" s="1"/>
      <c r="F807" s="1"/>
      <c r="G807" s="1"/>
      <c r="H807" s="1"/>
      <c r="I807" s="1"/>
      <c r="J807" s="1"/>
      <c r="K807" s="1"/>
      <c r="L807" s="7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8.75" customHeight="1">
      <c r="A808" s="1"/>
      <c r="B808" s="1"/>
      <c r="C808" s="1"/>
      <c r="D808" s="217"/>
      <c r="E808" s="1"/>
      <c r="F808" s="1"/>
      <c r="G808" s="1"/>
      <c r="H808" s="1"/>
      <c r="I808" s="1"/>
      <c r="J808" s="1"/>
      <c r="K808" s="1"/>
      <c r="L808" s="7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8.75" customHeight="1">
      <c r="A809" s="1"/>
      <c r="B809" s="1"/>
      <c r="C809" s="1"/>
      <c r="D809" s="217"/>
      <c r="E809" s="1"/>
      <c r="F809" s="1"/>
      <c r="G809" s="1"/>
      <c r="H809" s="1"/>
      <c r="I809" s="1"/>
      <c r="J809" s="1"/>
      <c r="K809" s="1"/>
      <c r="L809" s="7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8.75" customHeight="1">
      <c r="A810" s="1"/>
      <c r="B810" s="1"/>
      <c r="C810" s="1"/>
      <c r="D810" s="217"/>
      <c r="E810" s="1"/>
      <c r="F810" s="1"/>
      <c r="G810" s="1"/>
      <c r="H810" s="1"/>
      <c r="I810" s="1"/>
      <c r="J810" s="1"/>
      <c r="K810" s="1"/>
      <c r="L810" s="7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8.75" customHeight="1">
      <c r="A811" s="1"/>
      <c r="B811" s="1"/>
      <c r="C811" s="1"/>
      <c r="D811" s="217"/>
      <c r="E811" s="1"/>
      <c r="F811" s="1"/>
      <c r="G811" s="1"/>
      <c r="H811" s="1"/>
      <c r="I811" s="1"/>
      <c r="J811" s="1"/>
      <c r="K811" s="1"/>
      <c r="L811" s="7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8.75" customHeight="1">
      <c r="A812" s="1"/>
      <c r="B812" s="1"/>
      <c r="C812" s="1"/>
      <c r="D812" s="217"/>
      <c r="E812" s="1"/>
      <c r="F812" s="1"/>
      <c r="G812" s="1"/>
      <c r="H812" s="1"/>
      <c r="I812" s="1"/>
      <c r="J812" s="1"/>
      <c r="K812" s="1"/>
      <c r="L812" s="7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8.75" customHeight="1">
      <c r="A813" s="1"/>
      <c r="B813" s="1"/>
      <c r="C813" s="1"/>
      <c r="D813" s="217"/>
      <c r="E813" s="1"/>
      <c r="F813" s="1"/>
      <c r="G813" s="1"/>
      <c r="H813" s="1"/>
      <c r="I813" s="1"/>
      <c r="J813" s="1"/>
      <c r="K813" s="1"/>
      <c r="L813" s="7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8.75" customHeight="1">
      <c r="A814" s="1"/>
      <c r="B814" s="1"/>
      <c r="C814" s="1"/>
      <c r="D814" s="217"/>
      <c r="E814" s="1"/>
      <c r="F814" s="1"/>
      <c r="G814" s="1"/>
      <c r="H814" s="1"/>
      <c r="I814" s="1"/>
      <c r="J814" s="1"/>
      <c r="K814" s="1"/>
      <c r="L814" s="7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8.75" customHeight="1">
      <c r="A815" s="1"/>
      <c r="B815" s="1"/>
      <c r="C815" s="1"/>
      <c r="D815" s="217"/>
      <c r="E815" s="1"/>
      <c r="F815" s="1"/>
      <c r="G815" s="1"/>
      <c r="H815" s="1"/>
      <c r="I815" s="1"/>
      <c r="J815" s="1"/>
      <c r="K815" s="1"/>
      <c r="L815" s="7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8.75" customHeight="1">
      <c r="A816" s="1"/>
      <c r="B816" s="1"/>
      <c r="C816" s="1"/>
      <c r="D816" s="217"/>
      <c r="E816" s="1"/>
      <c r="F816" s="1"/>
      <c r="G816" s="1"/>
      <c r="H816" s="1"/>
      <c r="I816" s="1"/>
      <c r="J816" s="1"/>
      <c r="K816" s="1"/>
      <c r="L816" s="7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8.75" customHeight="1">
      <c r="A817" s="1"/>
      <c r="B817" s="1"/>
      <c r="C817" s="1"/>
      <c r="D817" s="217"/>
      <c r="E817" s="1"/>
      <c r="F817" s="1"/>
      <c r="G817" s="1"/>
      <c r="H817" s="1"/>
      <c r="I817" s="1"/>
      <c r="J817" s="1"/>
      <c r="K817" s="1"/>
      <c r="L817" s="7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8.75" customHeight="1">
      <c r="A818" s="1"/>
      <c r="B818" s="1"/>
      <c r="C818" s="1"/>
      <c r="D818" s="217"/>
      <c r="E818" s="1"/>
      <c r="F818" s="1"/>
      <c r="G818" s="1"/>
      <c r="H818" s="1"/>
      <c r="I818" s="1"/>
      <c r="J818" s="1"/>
      <c r="K818" s="1"/>
      <c r="L818" s="7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8.75" customHeight="1">
      <c r="A819" s="1"/>
      <c r="B819" s="1"/>
      <c r="C819" s="1"/>
      <c r="D819" s="217"/>
      <c r="E819" s="1"/>
      <c r="F819" s="1"/>
      <c r="G819" s="1"/>
      <c r="H819" s="1"/>
      <c r="I819" s="1"/>
      <c r="J819" s="1"/>
      <c r="K819" s="1"/>
      <c r="L819" s="7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8.75" customHeight="1">
      <c r="A820" s="1"/>
      <c r="B820" s="1"/>
      <c r="C820" s="1"/>
      <c r="D820" s="217"/>
      <c r="E820" s="1"/>
      <c r="F820" s="1"/>
      <c r="G820" s="1"/>
      <c r="H820" s="1"/>
      <c r="I820" s="1"/>
      <c r="J820" s="1"/>
      <c r="K820" s="1"/>
      <c r="L820" s="7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8.75" customHeight="1">
      <c r="A821" s="1"/>
      <c r="B821" s="1"/>
      <c r="C821" s="1"/>
      <c r="D821" s="217"/>
      <c r="E821" s="1"/>
      <c r="F821" s="1"/>
      <c r="G821" s="1"/>
      <c r="H821" s="1"/>
      <c r="I821" s="1"/>
      <c r="J821" s="1"/>
      <c r="K821" s="1"/>
      <c r="L821" s="7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8.75" customHeight="1">
      <c r="A822" s="1"/>
      <c r="B822" s="1"/>
      <c r="C822" s="1"/>
      <c r="D822" s="217"/>
      <c r="E822" s="1"/>
      <c r="F822" s="1"/>
      <c r="G822" s="1"/>
      <c r="H822" s="1"/>
      <c r="I822" s="1"/>
      <c r="J822" s="1"/>
      <c r="K822" s="1"/>
      <c r="L822" s="7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8.75" customHeight="1">
      <c r="A823" s="1"/>
      <c r="B823" s="1"/>
      <c r="C823" s="1"/>
      <c r="D823" s="217"/>
      <c r="E823" s="1"/>
      <c r="F823" s="1"/>
      <c r="G823" s="1"/>
      <c r="H823" s="1"/>
      <c r="I823" s="1"/>
      <c r="J823" s="1"/>
      <c r="K823" s="1"/>
      <c r="L823" s="7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8.75" customHeight="1">
      <c r="A824" s="1"/>
      <c r="B824" s="1"/>
      <c r="C824" s="1"/>
      <c r="D824" s="217"/>
      <c r="E824" s="1"/>
      <c r="F824" s="1"/>
      <c r="G824" s="1"/>
      <c r="H824" s="1"/>
      <c r="I824" s="1"/>
      <c r="J824" s="1"/>
      <c r="K824" s="1"/>
      <c r="L824" s="7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8.75" customHeight="1">
      <c r="A825" s="1"/>
      <c r="B825" s="1"/>
      <c r="C825" s="1"/>
      <c r="D825" s="217"/>
      <c r="E825" s="1"/>
      <c r="F825" s="1"/>
      <c r="G825" s="1"/>
      <c r="H825" s="1"/>
      <c r="I825" s="1"/>
      <c r="J825" s="1"/>
      <c r="K825" s="1"/>
      <c r="L825" s="7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8.75" customHeight="1">
      <c r="A826" s="1"/>
      <c r="B826" s="1"/>
      <c r="C826" s="1"/>
      <c r="D826" s="217"/>
      <c r="E826" s="1"/>
      <c r="F826" s="1"/>
      <c r="G826" s="1"/>
      <c r="H826" s="1"/>
      <c r="I826" s="1"/>
      <c r="J826" s="1"/>
      <c r="K826" s="1"/>
      <c r="L826" s="7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8.75" customHeight="1">
      <c r="A827" s="1"/>
      <c r="B827" s="1"/>
      <c r="C827" s="1"/>
      <c r="D827" s="217"/>
      <c r="E827" s="1"/>
      <c r="F827" s="1"/>
      <c r="G827" s="1"/>
      <c r="H827" s="1"/>
      <c r="I827" s="1"/>
      <c r="J827" s="1"/>
      <c r="K827" s="1"/>
      <c r="L827" s="7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8.75" customHeight="1">
      <c r="A828" s="1"/>
      <c r="B828" s="1"/>
      <c r="C828" s="1"/>
      <c r="D828" s="217"/>
      <c r="E828" s="1"/>
      <c r="F828" s="1"/>
      <c r="G828" s="1"/>
      <c r="H828" s="1"/>
      <c r="I828" s="1"/>
      <c r="J828" s="1"/>
      <c r="K828" s="1"/>
      <c r="L828" s="7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8.75" customHeight="1">
      <c r="A829" s="1"/>
      <c r="B829" s="1"/>
      <c r="C829" s="1"/>
      <c r="D829" s="217"/>
      <c r="E829" s="1"/>
      <c r="F829" s="1"/>
      <c r="G829" s="1"/>
      <c r="H829" s="1"/>
      <c r="I829" s="1"/>
      <c r="J829" s="1"/>
      <c r="K829" s="1"/>
      <c r="L829" s="7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8.75" customHeight="1">
      <c r="A830" s="1"/>
      <c r="B830" s="1"/>
      <c r="C830" s="1"/>
      <c r="D830" s="217"/>
      <c r="E830" s="1"/>
      <c r="F830" s="1"/>
      <c r="G830" s="1"/>
      <c r="H830" s="1"/>
      <c r="I830" s="1"/>
      <c r="J830" s="1"/>
      <c r="K830" s="1"/>
      <c r="L830" s="7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8.75" customHeight="1">
      <c r="A831" s="1"/>
      <c r="B831" s="1"/>
      <c r="C831" s="1"/>
      <c r="D831" s="217"/>
      <c r="E831" s="1"/>
      <c r="F831" s="1"/>
      <c r="G831" s="1"/>
      <c r="H831" s="1"/>
      <c r="I831" s="1"/>
      <c r="J831" s="1"/>
      <c r="K831" s="1"/>
      <c r="L831" s="7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8.75" customHeight="1">
      <c r="A832" s="1"/>
      <c r="B832" s="1"/>
      <c r="C832" s="1"/>
      <c r="D832" s="217"/>
      <c r="E832" s="1"/>
      <c r="F832" s="1"/>
      <c r="G832" s="1"/>
      <c r="H832" s="1"/>
      <c r="I832" s="1"/>
      <c r="J832" s="1"/>
      <c r="K832" s="1"/>
      <c r="L832" s="7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8.75" customHeight="1">
      <c r="A833" s="1"/>
      <c r="B833" s="1"/>
      <c r="C833" s="1"/>
      <c r="D833" s="217"/>
      <c r="E833" s="1"/>
      <c r="F833" s="1"/>
      <c r="G833" s="1"/>
      <c r="H833" s="1"/>
      <c r="I833" s="1"/>
      <c r="J833" s="1"/>
      <c r="K833" s="1"/>
      <c r="L833" s="7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8.75" customHeight="1">
      <c r="A834" s="1"/>
      <c r="B834" s="1"/>
      <c r="C834" s="1"/>
      <c r="D834" s="217"/>
      <c r="E834" s="1"/>
      <c r="F834" s="1"/>
      <c r="G834" s="1"/>
      <c r="H834" s="1"/>
      <c r="I834" s="1"/>
      <c r="J834" s="1"/>
      <c r="K834" s="1"/>
      <c r="L834" s="7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8.75" customHeight="1">
      <c r="A835" s="1"/>
      <c r="B835" s="1"/>
      <c r="C835" s="1"/>
      <c r="D835" s="217"/>
      <c r="E835" s="1"/>
      <c r="F835" s="1"/>
      <c r="G835" s="1"/>
      <c r="H835" s="1"/>
      <c r="I835" s="1"/>
      <c r="J835" s="1"/>
      <c r="K835" s="1"/>
      <c r="L835" s="7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8.75" customHeight="1">
      <c r="A836" s="1"/>
      <c r="B836" s="1"/>
      <c r="C836" s="1"/>
      <c r="D836" s="217"/>
      <c r="E836" s="1"/>
      <c r="F836" s="1"/>
      <c r="G836" s="1"/>
      <c r="H836" s="1"/>
      <c r="I836" s="1"/>
      <c r="J836" s="1"/>
      <c r="K836" s="1"/>
      <c r="L836" s="7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8.75" customHeight="1">
      <c r="A837" s="1"/>
      <c r="B837" s="1"/>
      <c r="C837" s="1"/>
      <c r="D837" s="217"/>
      <c r="E837" s="1"/>
      <c r="F837" s="1"/>
      <c r="G837" s="1"/>
      <c r="H837" s="1"/>
      <c r="I837" s="1"/>
      <c r="J837" s="1"/>
      <c r="K837" s="1"/>
      <c r="L837" s="7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8.75" customHeight="1">
      <c r="A838" s="1"/>
      <c r="B838" s="1"/>
      <c r="C838" s="1"/>
      <c r="D838" s="217"/>
      <c r="E838" s="1"/>
      <c r="F838" s="1"/>
      <c r="G838" s="1"/>
      <c r="H838" s="1"/>
      <c r="I838" s="1"/>
      <c r="J838" s="1"/>
      <c r="K838" s="1"/>
      <c r="L838" s="7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8.75" customHeight="1">
      <c r="A839" s="1"/>
      <c r="B839" s="1"/>
      <c r="C839" s="1"/>
      <c r="D839" s="217"/>
      <c r="E839" s="1"/>
      <c r="F839" s="1"/>
      <c r="G839" s="1"/>
      <c r="H839" s="1"/>
      <c r="I839" s="1"/>
      <c r="J839" s="1"/>
      <c r="K839" s="1"/>
      <c r="L839" s="7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8.75" customHeight="1">
      <c r="A840" s="1"/>
      <c r="B840" s="1"/>
      <c r="C840" s="1"/>
      <c r="D840" s="217"/>
      <c r="E840" s="1"/>
      <c r="F840" s="1"/>
      <c r="G840" s="1"/>
      <c r="H840" s="1"/>
      <c r="I840" s="1"/>
      <c r="J840" s="1"/>
      <c r="K840" s="1"/>
      <c r="L840" s="7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8.75" customHeight="1">
      <c r="A841" s="1"/>
      <c r="B841" s="1"/>
      <c r="C841" s="1"/>
      <c r="D841" s="217"/>
      <c r="E841" s="1"/>
      <c r="F841" s="1"/>
      <c r="G841" s="1"/>
      <c r="H841" s="1"/>
      <c r="I841" s="1"/>
      <c r="J841" s="1"/>
      <c r="K841" s="1"/>
      <c r="L841" s="7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8.75" customHeight="1">
      <c r="A842" s="1"/>
      <c r="B842" s="1"/>
      <c r="C842" s="1"/>
      <c r="D842" s="217"/>
      <c r="E842" s="1"/>
      <c r="F842" s="1"/>
      <c r="G842" s="1"/>
      <c r="H842" s="1"/>
      <c r="I842" s="1"/>
      <c r="J842" s="1"/>
      <c r="K842" s="1"/>
      <c r="L842" s="7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8.75" customHeight="1">
      <c r="A843" s="1"/>
      <c r="B843" s="1"/>
      <c r="C843" s="1"/>
      <c r="D843" s="217"/>
      <c r="E843" s="1"/>
      <c r="F843" s="1"/>
      <c r="G843" s="1"/>
      <c r="H843" s="1"/>
      <c r="I843" s="1"/>
      <c r="J843" s="1"/>
      <c r="K843" s="1"/>
      <c r="L843" s="7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8.75" customHeight="1">
      <c r="A844" s="1"/>
      <c r="B844" s="1"/>
      <c r="C844" s="1"/>
      <c r="D844" s="217"/>
      <c r="E844" s="1"/>
      <c r="F844" s="1"/>
      <c r="G844" s="1"/>
      <c r="H844" s="1"/>
      <c r="I844" s="1"/>
      <c r="J844" s="1"/>
      <c r="K844" s="1"/>
      <c r="L844" s="7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8.75" customHeight="1">
      <c r="A845" s="1"/>
      <c r="B845" s="1"/>
      <c r="C845" s="1"/>
      <c r="D845" s="217"/>
      <c r="E845" s="1"/>
      <c r="F845" s="1"/>
      <c r="G845" s="1"/>
      <c r="H845" s="1"/>
      <c r="I845" s="1"/>
      <c r="J845" s="1"/>
      <c r="K845" s="1"/>
      <c r="L845" s="7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8.75" customHeight="1">
      <c r="A846" s="1"/>
      <c r="B846" s="1"/>
      <c r="C846" s="1"/>
      <c r="D846" s="217"/>
      <c r="E846" s="1"/>
      <c r="F846" s="1"/>
      <c r="G846" s="1"/>
      <c r="H846" s="1"/>
      <c r="I846" s="1"/>
      <c r="J846" s="1"/>
      <c r="K846" s="1"/>
      <c r="L846" s="7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8.75" customHeight="1">
      <c r="A847" s="1"/>
      <c r="B847" s="1"/>
      <c r="C847" s="1"/>
      <c r="D847" s="217"/>
      <c r="E847" s="1"/>
      <c r="F847" s="1"/>
      <c r="G847" s="1"/>
      <c r="H847" s="1"/>
      <c r="I847" s="1"/>
      <c r="J847" s="1"/>
      <c r="K847" s="1"/>
      <c r="L847" s="7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8.75" customHeight="1">
      <c r="A848" s="1"/>
      <c r="B848" s="1"/>
      <c r="C848" s="1"/>
      <c r="D848" s="217"/>
      <c r="E848" s="1"/>
      <c r="F848" s="1"/>
      <c r="G848" s="1"/>
      <c r="H848" s="1"/>
      <c r="I848" s="1"/>
      <c r="J848" s="1"/>
      <c r="K848" s="1"/>
      <c r="L848" s="7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8.75" customHeight="1">
      <c r="A849" s="1"/>
      <c r="B849" s="1"/>
      <c r="C849" s="1"/>
      <c r="D849" s="217"/>
      <c r="E849" s="1"/>
      <c r="F849" s="1"/>
      <c r="G849" s="1"/>
      <c r="H849" s="1"/>
      <c r="I849" s="1"/>
      <c r="J849" s="1"/>
      <c r="K849" s="1"/>
      <c r="L849" s="7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8.75" customHeight="1">
      <c r="A850" s="1"/>
      <c r="B850" s="1"/>
      <c r="C850" s="1"/>
      <c r="D850" s="217"/>
      <c r="E850" s="1"/>
      <c r="F850" s="1"/>
      <c r="G850" s="1"/>
      <c r="H850" s="1"/>
      <c r="I850" s="1"/>
      <c r="J850" s="1"/>
      <c r="K850" s="1"/>
      <c r="L850" s="7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8.75" customHeight="1">
      <c r="A851" s="1"/>
      <c r="B851" s="1"/>
      <c r="C851" s="1"/>
      <c r="D851" s="217"/>
      <c r="E851" s="1"/>
      <c r="F851" s="1"/>
      <c r="G851" s="1"/>
      <c r="H851" s="1"/>
      <c r="I851" s="1"/>
      <c r="J851" s="1"/>
      <c r="K851" s="1"/>
      <c r="L851" s="7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8.75" customHeight="1">
      <c r="A852" s="1"/>
      <c r="B852" s="1"/>
      <c r="C852" s="1"/>
      <c r="D852" s="217"/>
      <c r="E852" s="1"/>
      <c r="F852" s="1"/>
      <c r="G852" s="1"/>
      <c r="H852" s="1"/>
      <c r="I852" s="1"/>
      <c r="J852" s="1"/>
      <c r="K852" s="1"/>
      <c r="L852" s="7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8.75" customHeight="1">
      <c r="A853" s="1"/>
      <c r="B853" s="1"/>
      <c r="C853" s="1"/>
      <c r="D853" s="217"/>
      <c r="E853" s="1"/>
      <c r="F853" s="1"/>
      <c r="G853" s="1"/>
      <c r="H853" s="1"/>
      <c r="I853" s="1"/>
      <c r="J853" s="1"/>
      <c r="K853" s="1"/>
      <c r="L853" s="7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8.75" customHeight="1">
      <c r="A854" s="1"/>
      <c r="B854" s="1"/>
      <c r="C854" s="1"/>
      <c r="D854" s="217"/>
      <c r="E854" s="1"/>
      <c r="F854" s="1"/>
      <c r="G854" s="1"/>
      <c r="H854" s="1"/>
      <c r="I854" s="1"/>
      <c r="J854" s="1"/>
      <c r="K854" s="1"/>
      <c r="L854" s="7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8.75" customHeight="1">
      <c r="A855" s="1"/>
      <c r="B855" s="1"/>
      <c r="C855" s="1"/>
      <c r="D855" s="217"/>
      <c r="E855" s="1"/>
      <c r="F855" s="1"/>
      <c r="G855" s="1"/>
      <c r="H855" s="1"/>
      <c r="I855" s="1"/>
      <c r="J855" s="1"/>
      <c r="K855" s="1"/>
      <c r="L855" s="7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8.75" customHeight="1">
      <c r="A856" s="1"/>
      <c r="B856" s="1"/>
      <c r="C856" s="1"/>
      <c r="D856" s="217"/>
      <c r="E856" s="1"/>
      <c r="F856" s="1"/>
      <c r="G856" s="1"/>
      <c r="H856" s="1"/>
      <c r="I856" s="1"/>
      <c r="J856" s="1"/>
      <c r="K856" s="1"/>
      <c r="L856" s="7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8.75" customHeight="1">
      <c r="A857" s="1"/>
      <c r="B857" s="1"/>
      <c r="C857" s="1"/>
      <c r="D857" s="217"/>
      <c r="E857" s="1"/>
      <c r="F857" s="1"/>
      <c r="G857" s="1"/>
      <c r="H857" s="1"/>
      <c r="I857" s="1"/>
      <c r="J857" s="1"/>
      <c r="K857" s="1"/>
      <c r="L857" s="7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8.75" customHeight="1">
      <c r="A858" s="1"/>
      <c r="B858" s="1"/>
      <c r="C858" s="1"/>
      <c r="D858" s="217"/>
      <c r="E858" s="1"/>
      <c r="F858" s="1"/>
      <c r="G858" s="1"/>
      <c r="H858" s="1"/>
      <c r="I858" s="1"/>
      <c r="J858" s="1"/>
      <c r="K858" s="1"/>
      <c r="L858" s="7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8.75" customHeight="1">
      <c r="A859" s="1"/>
      <c r="B859" s="1"/>
      <c r="C859" s="1"/>
      <c r="D859" s="217"/>
      <c r="E859" s="1"/>
      <c r="F859" s="1"/>
      <c r="G859" s="1"/>
      <c r="H859" s="1"/>
      <c r="I859" s="1"/>
      <c r="J859" s="1"/>
      <c r="K859" s="1"/>
      <c r="L859" s="7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8.75" customHeight="1">
      <c r="A860" s="1"/>
      <c r="B860" s="1"/>
      <c r="C860" s="1"/>
      <c r="D860" s="217"/>
      <c r="E860" s="1"/>
      <c r="F860" s="1"/>
      <c r="G860" s="1"/>
      <c r="H860" s="1"/>
      <c r="I860" s="1"/>
      <c r="J860" s="1"/>
      <c r="K860" s="1"/>
      <c r="L860" s="7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8.75" customHeight="1">
      <c r="A861" s="1"/>
      <c r="B861" s="1"/>
      <c r="C861" s="1"/>
      <c r="D861" s="217"/>
      <c r="E861" s="1"/>
      <c r="F861" s="1"/>
      <c r="G861" s="1"/>
      <c r="H861" s="1"/>
      <c r="I861" s="1"/>
      <c r="J861" s="1"/>
      <c r="K861" s="1"/>
      <c r="L861" s="7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8.75" customHeight="1">
      <c r="A862" s="1"/>
      <c r="B862" s="1"/>
      <c r="C862" s="1"/>
      <c r="D862" s="217"/>
      <c r="E862" s="1"/>
      <c r="F862" s="1"/>
      <c r="G862" s="1"/>
      <c r="H862" s="1"/>
      <c r="I862" s="1"/>
      <c r="J862" s="1"/>
      <c r="K862" s="1"/>
      <c r="L862" s="7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8.75" customHeight="1">
      <c r="A863" s="1"/>
      <c r="B863" s="1"/>
      <c r="C863" s="1"/>
      <c r="D863" s="217"/>
      <c r="E863" s="1"/>
      <c r="F863" s="1"/>
      <c r="G863" s="1"/>
      <c r="H863" s="1"/>
      <c r="I863" s="1"/>
      <c r="J863" s="1"/>
      <c r="K863" s="1"/>
      <c r="L863" s="7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8.75" customHeight="1">
      <c r="A864" s="1"/>
      <c r="B864" s="1"/>
      <c r="C864" s="1"/>
      <c r="D864" s="217"/>
      <c r="E864" s="1"/>
      <c r="F864" s="1"/>
      <c r="G864" s="1"/>
      <c r="H864" s="1"/>
      <c r="I864" s="1"/>
      <c r="J864" s="1"/>
      <c r="K864" s="1"/>
      <c r="L864" s="7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8.75" customHeight="1">
      <c r="A865" s="1"/>
      <c r="B865" s="1"/>
      <c r="C865" s="1"/>
      <c r="D865" s="217"/>
      <c r="E865" s="1"/>
      <c r="F865" s="1"/>
      <c r="G865" s="1"/>
      <c r="H865" s="1"/>
      <c r="I865" s="1"/>
      <c r="J865" s="1"/>
      <c r="K865" s="1"/>
      <c r="L865" s="7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8.75" customHeight="1">
      <c r="A866" s="1"/>
      <c r="B866" s="1"/>
      <c r="C866" s="1"/>
      <c r="D866" s="217"/>
      <c r="E866" s="1"/>
      <c r="F866" s="1"/>
      <c r="G866" s="1"/>
      <c r="H866" s="1"/>
      <c r="I866" s="1"/>
      <c r="J866" s="1"/>
      <c r="K866" s="1"/>
      <c r="L866" s="7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8.75" customHeight="1">
      <c r="A867" s="1"/>
      <c r="B867" s="1"/>
      <c r="C867" s="1"/>
      <c r="D867" s="217"/>
      <c r="E867" s="1"/>
      <c r="F867" s="1"/>
      <c r="G867" s="1"/>
      <c r="H867" s="1"/>
      <c r="I867" s="1"/>
      <c r="J867" s="1"/>
      <c r="K867" s="1"/>
      <c r="L867" s="7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8.75" customHeight="1">
      <c r="A868" s="1"/>
      <c r="B868" s="1"/>
      <c r="C868" s="1"/>
      <c r="D868" s="217"/>
      <c r="E868" s="1"/>
      <c r="F868" s="1"/>
      <c r="G868" s="1"/>
      <c r="H868" s="1"/>
      <c r="I868" s="1"/>
      <c r="J868" s="1"/>
      <c r="K868" s="1"/>
      <c r="L868" s="7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8.75" customHeight="1">
      <c r="A869" s="1"/>
      <c r="B869" s="1"/>
      <c r="C869" s="1"/>
      <c r="D869" s="217"/>
      <c r="E869" s="1"/>
      <c r="F869" s="1"/>
      <c r="G869" s="1"/>
      <c r="H869" s="1"/>
      <c r="I869" s="1"/>
      <c r="J869" s="1"/>
      <c r="K869" s="1"/>
      <c r="L869" s="7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8.75" customHeight="1">
      <c r="A870" s="1"/>
      <c r="B870" s="1"/>
      <c r="C870" s="1"/>
      <c r="D870" s="217"/>
      <c r="E870" s="1"/>
      <c r="F870" s="1"/>
      <c r="G870" s="1"/>
      <c r="H870" s="1"/>
      <c r="I870" s="1"/>
      <c r="J870" s="1"/>
      <c r="K870" s="1"/>
      <c r="L870" s="7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8.75" customHeight="1">
      <c r="A871" s="1"/>
      <c r="B871" s="1"/>
      <c r="C871" s="1"/>
      <c r="D871" s="217"/>
      <c r="E871" s="1"/>
      <c r="F871" s="1"/>
      <c r="G871" s="1"/>
      <c r="H871" s="1"/>
      <c r="I871" s="1"/>
      <c r="J871" s="1"/>
      <c r="K871" s="1"/>
      <c r="L871" s="7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8.75" customHeight="1">
      <c r="A872" s="1"/>
      <c r="B872" s="1"/>
      <c r="C872" s="1"/>
      <c r="D872" s="217"/>
      <c r="E872" s="1"/>
      <c r="F872" s="1"/>
      <c r="G872" s="1"/>
      <c r="H872" s="1"/>
      <c r="I872" s="1"/>
      <c r="J872" s="1"/>
      <c r="K872" s="1"/>
      <c r="L872" s="7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8.75" customHeight="1">
      <c r="A873" s="1"/>
      <c r="B873" s="1"/>
      <c r="C873" s="1"/>
      <c r="D873" s="217"/>
      <c r="E873" s="1"/>
      <c r="F873" s="1"/>
      <c r="G873" s="1"/>
      <c r="H873" s="1"/>
      <c r="I873" s="1"/>
      <c r="J873" s="1"/>
      <c r="K873" s="1"/>
      <c r="L873" s="7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8.75" customHeight="1">
      <c r="A874" s="1"/>
      <c r="B874" s="1"/>
      <c r="C874" s="1"/>
      <c r="D874" s="217"/>
      <c r="E874" s="1"/>
      <c r="F874" s="1"/>
      <c r="G874" s="1"/>
      <c r="H874" s="1"/>
      <c r="I874" s="1"/>
      <c r="J874" s="1"/>
      <c r="K874" s="1"/>
      <c r="L874" s="7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8.75" customHeight="1">
      <c r="A875" s="1"/>
      <c r="B875" s="1"/>
      <c r="C875" s="1"/>
      <c r="D875" s="217"/>
      <c r="E875" s="1"/>
      <c r="F875" s="1"/>
      <c r="G875" s="1"/>
      <c r="H875" s="1"/>
      <c r="I875" s="1"/>
      <c r="J875" s="1"/>
      <c r="K875" s="1"/>
      <c r="L875" s="7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8.75" customHeight="1">
      <c r="A876" s="1"/>
      <c r="B876" s="1"/>
      <c r="C876" s="1"/>
      <c r="D876" s="217"/>
      <c r="E876" s="1"/>
      <c r="F876" s="1"/>
      <c r="G876" s="1"/>
      <c r="H876" s="1"/>
      <c r="I876" s="1"/>
      <c r="J876" s="1"/>
      <c r="K876" s="1"/>
      <c r="L876" s="7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8.75" customHeight="1">
      <c r="A877" s="1"/>
      <c r="B877" s="1"/>
      <c r="C877" s="1"/>
      <c r="D877" s="217"/>
      <c r="E877" s="1"/>
      <c r="F877" s="1"/>
      <c r="G877" s="1"/>
      <c r="H877" s="1"/>
      <c r="I877" s="1"/>
      <c r="J877" s="1"/>
      <c r="K877" s="1"/>
      <c r="L877" s="7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8.75" customHeight="1">
      <c r="A878" s="1"/>
      <c r="B878" s="1"/>
      <c r="C878" s="1"/>
      <c r="D878" s="217"/>
      <c r="E878" s="1"/>
      <c r="F878" s="1"/>
      <c r="G878" s="1"/>
      <c r="H878" s="1"/>
      <c r="I878" s="1"/>
      <c r="J878" s="1"/>
      <c r="K878" s="1"/>
      <c r="L878" s="7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8.75" customHeight="1">
      <c r="A879" s="1"/>
      <c r="B879" s="1"/>
      <c r="C879" s="1"/>
      <c r="D879" s="217"/>
      <c r="E879" s="1"/>
      <c r="F879" s="1"/>
      <c r="G879" s="1"/>
      <c r="H879" s="1"/>
      <c r="I879" s="1"/>
      <c r="J879" s="1"/>
      <c r="K879" s="1"/>
      <c r="L879" s="7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8.75" customHeight="1">
      <c r="A880" s="1"/>
      <c r="B880" s="1"/>
      <c r="C880" s="1"/>
      <c r="D880" s="217"/>
      <c r="E880" s="1"/>
      <c r="F880" s="1"/>
      <c r="G880" s="1"/>
      <c r="H880" s="1"/>
      <c r="I880" s="1"/>
      <c r="J880" s="1"/>
      <c r="K880" s="1"/>
      <c r="L880" s="7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8.75" customHeight="1">
      <c r="A881" s="1"/>
      <c r="B881" s="1"/>
      <c r="C881" s="1"/>
      <c r="D881" s="217"/>
      <c r="E881" s="1"/>
      <c r="F881" s="1"/>
      <c r="G881" s="1"/>
      <c r="H881" s="1"/>
      <c r="I881" s="1"/>
      <c r="J881" s="1"/>
      <c r="K881" s="1"/>
      <c r="L881" s="7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8.75" customHeight="1">
      <c r="A882" s="1"/>
      <c r="B882" s="1"/>
      <c r="C882" s="1"/>
      <c r="D882" s="217"/>
      <c r="E882" s="1"/>
      <c r="F882" s="1"/>
      <c r="G882" s="1"/>
      <c r="H882" s="1"/>
      <c r="I882" s="1"/>
      <c r="J882" s="1"/>
      <c r="K882" s="1"/>
      <c r="L882" s="7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8.75" customHeight="1">
      <c r="A883" s="1"/>
      <c r="B883" s="1"/>
      <c r="C883" s="1"/>
      <c r="D883" s="217"/>
      <c r="E883" s="1"/>
      <c r="F883" s="1"/>
      <c r="G883" s="1"/>
      <c r="H883" s="1"/>
      <c r="I883" s="1"/>
      <c r="J883" s="1"/>
      <c r="K883" s="1"/>
      <c r="L883" s="7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8.75" customHeight="1">
      <c r="A884" s="1"/>
      <c r="B884" s="1"/>
      <c r="C884" s="1"/>
      <c r="D884" s="217"/>
      <c r="E884" s="1"/>
      <c r="F884" s="1"/>
      <c r="G884" s="1"/>
      <c r="H884" s="1"/>
      <c r="I884" s="1"/>
      <c r="J884" s="1"/>
      <c r="K884" s="1"/>
      <c r="L884" s="7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8.75" customHeight="1">
      <c r="A885" s="1"/>
      <c r="B885" s="1"/>
      <c r="C885" s="1"/>
      <c r="D885" s="217"/>
      <c r="E885" s="1"/>
      <c r="F885" s="1"/>
      <c r="G885" s="1"/>
      <c r="H885" s="1"/>
      <c r="I885" s="1"/>
      <c r="J885" s="1"/>
      <c r="K885" s="1"/>
      <c r="L885" s="7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8.75" customHeight="1">
      <c r="A886" s="1"/>
      <c r="B886" s="1"/>
      <c r="C886" s="1"/>
      <c r="D886" s="217"/>
      <c r="E886" s="1"/>
      <c r="F886" s="1"/>
      <c r="G886" s="1"/>
      <c r="H886" s="1"/>
      <c r="I886" s="1"/>
      <c r="J886" s="1"/>
      <c r="K886" s="1"/>
      <c r="L886" s="7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8.75" customHeight="1">
      <c r="A887" s="1"/>
      <c r="B887" s="1"/>
      <c r="C887" s="1"/>
      <c r="D887" s="217"/>
      <c r="E887" s="1"/>
      <c r="F887" s="1"/>
      <c r="G887" s="1"/>
      <c r="H887" s="1"/>
      <c r="I887" s="1"/>
      <c r="J887" s="1"/>
      <c r="K887" s="1"/>
      <c r="L887" s="7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8.75" customHeight="1">
      <c r="A888" s="1"/>
      <c r="B888" s="1"/>
      <c r="C888" s="1"/>
      <c r="D888" s="217"/>
      <c r="E888" s="1"/>
      <c r="F888" s="1"/>
      <c r="G888" s="1"/>
      <c r="H888" s="1"/>
      <c r="I888" s="1"/>
      <c r="J888" s="1"/>
      <c r="K888" s="1"/>
      <c r="L888" s="7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8.75" customHeight="1">
      <c r="A889" s="1"/>
      <c r="B889" s="1"/>
      <c r="C889" s="1"/>
      <c r="D889" s="217"/>
      <c r="E889" s="1"/>
      <c r="F889" s="1"/>
      <c r="G889" s="1"/>
      <c r="H889" s="1"/>
      <c r="I889" s="1"/>
      <c r="J889" s="1"/>
      <c r="K889" s="1"/>
      <c r="L889" s="7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8.75" customHeight="1">
      <c r="A890" s="1"/>
      <c r="B890" s="1"/>
      <c r="C890" s="1"/>
      <c r="D890" s="217"/>
      <c r="E890" s="1"/>
      <c r="F890" s="1"/>
      <c r="G890" s="1"/>
      <c r="H890" s="1"/>
      <c r="I890" s="1"/>
      <c r="J890" s="1"/>
      <c r="K890" s="1"/>
      <c r="L890" s="7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8.75" customHeight="1">
      <c r="A891" s="1"/>
      <c r="B891" s="1"/>
      <c r="C891" s="1"/>
      <c r="D891" s="217"/>
      <c r="E891" s="1"/>
      <c r="F891" s="1"/>
      <c r="G891" s="1"/>
      <c r="H891" s="1"/>
      <c r="I891" s="1"/>
      <c r="J891" s="1"/>
      <c r="K891" s="1"/>
      <c r="L891" s="7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8.75" customHeight="1">
      <c r="A892" s="1"/>
      <c r="B892" s="1"/>
      <c r="C892" s="1"/>
      <c r="D892" s="217"/>
      <c r="E892" s="1"/>
      <c r="F892" s="1"/>
      <c r="G892" s="1"/>
      <c r="H892" s="1"/>
      <c r="I892" s="1"/>
      <c r="J892" s="1"/>
      <c r="K892" s="1"/>
      <c r="L892" s="7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8.75" customHeight="1">
      <c r="A893" s="1"/>
      <c r="B893" s="1"/>
      <c r="C893" s="1"/>
      <c r="D893" s="217"/>
      <c r="E893" s="1"/>
      <c r="F893" s="1"/>
      <c r="G893" s="1"/>
      <c r="H893" s="1"/>
      <c r="I893" s="1"/>
      <c r="J893" s="1"/>
      <c r="K893" s="1"/>
      <c r="L893" s="7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8.75" customHeight="1">
      <c r="A894" s="1"/>
      <c r="B894" s="1"/>
      <c r="C894" s="1"/>
      <c r="D894" s="217"/>
      <c r="E894" s="1"/>
      <c r="F894" s="1"/>
      <c r="G894" s="1"/>
      <c r="H894" s="1"/>
      <c r="I894" s="1"/>
      <c r="J894" s="1"/>
      <c r="K894" s="1"/>
      <c r="L894" s="7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8.75" customHeight="1">
      <c r="A895" s="1"/>
      <c r="B895" s="1"/>
      <c r="C895" s="1"/>
      <c r="D895" s="217"/>
      <c r="E895" s="1"/>
      <c r="F895" s="1"/>
      <c r="G895" s="1"/>
      <c r="H895" s="1"/>
      <c r="I895" s="1"/>
      <c r="J895" s="1"/>
      <c r="K895" s="1"/>
      <c r="L895" s="7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8.75" customHeight="1">
      <c r="A896" s="1"/>
      <c r="B896" s="1"/>
      <c r="C896" s="1"/>
      <c r="D896" s="217"/>
      <c r="E896" s="1"/>
      <c r="F896" s="1"/>
      <c r="G896" s="1"/>
      <c r="H896" s="1"/>
      <c r="I896" s="1"/>
      <c r="J896" s="1"/>
      <c r="K896" s="1"/>
      <c r="L896" s="7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8.75" customHeight="1">
      <c r="A897" s="1"/>
      <c r="B897" s="1"/>
      <c r="C897" s="1"/>
      <c r="D897" s="217"/>
      <c r="E897" s="1"/>
      <c r="F897" s="1"/>
      <c r="G897" s="1"/>
      <c r="H897" s="1"/>
      <c r="I897" s="1"/>
      <c r="J897" s="1"/>
      <c r="K897" s="1"/>
      <c r="L897" s="7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8.75" customHeight="1">
      <c r="A898" s="1"/>
      <c r="B898" s="1"/>
      <c r="C898" s="1"/>
      <c r="D898" s="217"/>
      <c r="E898" s="1"/>
      <c r="F898" s="1"/>
      <c r="G898" s="1"/>
      <c r="H898" s="1"/>
      <c r="I898" s="1"/>
      <c r="J898" s="1"/>
      <c r="K898" s="1"/>
      <c r="L898" s="7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8.75" customHeight="1">
      <c r="A899" s="1"/>
      <c r="B899" s="1"/>
      <c r="C899" s="1"/>
      <c r="D899" s="217"/>
      <c r="E899" s="1"/>
      <c r="F899" s="1"/>
      <c r="G899" s="1"/>
      <c r="H899" s="1"/>
      <c r="I899" s="1"/>
      <c r="J899" s="1"/>
      <c r="K899" s="1"/>
      <c r="L899" s="7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8.75" customHeight="1">
      <c r="A900" s="1"/>
      <c r="B900" s="1"/>
      <c r="C900" s="1"/>
      <c r="D900" s="217"/>
      <c r="E900" s="1"/>
      <c r="F900" s="1"/>
      <c r="G900" s="1"/>
      <c r="H900" s="1"/>
      <c r="I900" s="1"/>
      <c r="J900" s="1"/>
      <c r="K900" s="1"/>
      <c r="L900" s="7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18.75" customHeight="1">
      <c r="A901" s="1"/>
      <c r="B901" s="1"/>
      <c r="C901" s="1"/>
      <c r="D901" s="217"/>
      <c r="E901" s="1"/>
      <c r="F901" s="1"/>
      <c r="G901" s="1"/>
      <c r="H901" s="1"/>
      <c r="I901" s="1"/>
      <c r="J901" s="1"/>
      <c r="K901" s="1"/>
      <c r="L901" s="7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18.75" customHeight="1">
      <c r="A902" s="1"/>
      <c r="B902" s="1"/>
      <c r="C902" s="1"/>
      <c r="D902" s="217"/>
      <c r="E902" s="1"/>
      <c r="F902" s="1"/>
      <c r="G902" s="1"/>
      <c r="H902" s="1"/>
      <c r="I902" s="1"/>
      <c r="J902" s="1"/>
      <c r="K902" s="1"/>
      <c r="L902" s="7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18.75" customHeight="1">
      <c r="A903" s="1"/>
      <c r="B903" s="1"/>
      <c r="C903" s="1"/>
      <c r="D903" s="217"/>
      <c r="E903" s="1"/>
      <c r="F903" s="1"/>
      <c r="G903" s="1"/>
      <c r="H903" s="1"/>
      <c r="I903" s="1"/>
      <c r="J903" s="1"/>
      <c r="K903" s="1"/>
      <c r="L903" s="7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18.75" customHeight="1">
      <c r="A904" s="1"/>
      <c r="B904" s="1"/>
      <c r="C904" s="1"/>
      <c r="D904" s="217"/>
      <c r="E904" s="1"/>
      <c r="F904" s="1"/>
      <c r="G904" s="1"/>
      <c r="H904" s="1"/>
      <c r="I904" s="1"/>
      <c r="J904" s="1"/>
      <c r="K904" s="1"/>
      <c r="L904" s="7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18.75" customHeight="1">
      <c r="A905" s="1"/>
      <c r="B905" s="1"/>
      <c r="C905" s="1"/>
      <c r="D905" s="217"/>
      <c r="E905" s="1"/>
      <c r="F905" s="1"/>
      <c r="G905" s="1"/>
      <c r="H905" s="1"/>
      <c r="I905" s="1"/>
      <c r="J905" s="1"/>
      <c r="K905" s="1"/>
      <c r="L905" s="7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18.75" customHeight="1">
      <c r="A906" s="1"/>
      <c r="B906" s="1"/>
      <c r="C906" s="1"/>
      <c r="D906" s="217"/>
      <c r="E906" s="1"/>
      <c r="F906" s="1"/>
      <c r="G906" s="1"/>
      <c r="H906" s="1"/>
      <c r="I906" s="1"/>
      <c r="J906" s="1"/>
      <c r="K906" s="1"/>
      <c r="L906" s="7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18.75" customHeight="1">
      <c r="A907" s="1"/>
      <c r="B907" s="1"/>
      <c r="C907" s="1"/>
      <c r="D907" s="217"/>
      <c r="E907" s="1"/>
      <c r="F907" s="1"/>
      <c r="G907" s="1"/>
      <c r="H907" s="1"/>
      <c r="I907" s="1"/>
      <c r="J907" s="1"/>
      <c r="K907" s="1"/>
      <c r="L907" s="7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18.75" customHeight="1">
      <c r="A908" s="1"/>
      <c r="B908" s="1"/>
      <c r="C908" s="1"/>
      <c r="D908" s="217"/>
      <c r="E908" s="1"/>
      <c r="F908" s="1"/>
      <c r="G908" s="1"/>
      <c r="H908" s="1"/>
      <c r="I908" s="1"/>
      <c r="J908" s="1"/>
      <c r="K908" s="1"/>
      <c r="L908" s="7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18.75" customHeight="1">
      <c r="A909" s="1"/>
      <c r="B909" s="1"/>
      <c r="C909" s="1"/>
      <c r="D909" s="217"/>
      <c r="E909" s="1"/>
      <c r="F909" s="1"/>
      <c r="G909" s="1"/>
      <c r="H909" s="1"/>
      <c r="I909" s="1"/>
      <c r="J909" s="1"/>
      <c r="K909" s="1"/>
      <c r="L909" s="7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18.75" customHeight="1">
      <c r="A910" s="1"/>
      <c r="B910" s="1"/>
      <c r="C910" s="1"/>
      <c r="D910" s="217"/>
      <c r="E910" s="1"/>
      <c r="F910" s="1"/>
      <c r="G910" s="1"/>
      <c r="H910" s="1"/>
      <c r="I910" s="1"/>
      <c r="J910" s="1"/>
      <c r="K910" s="1"/>
      <c r="L910" s="7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ht="18.75" customHeight="1">
      <c r="A911" s="1"/>
      <c r="B911" s="1"/>
      <c r="C911" s="1"/>
      <c r="D911" s="217"/>
      <c r="E911" s="1"/>
      <c r="F911" s="1"/>
      <c r="G911" s="1"/>
      <c r="H911" s="1"/>
      <c r="I911" s="1"/>
      <c r="J911" s="1"/>
      <c r="K911" s="1"/>
      <c r="L911" s="7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ht="18.75" customHeight="1">
      <c r="A912" s="1"/>
      <c r="B912" s="1"/>
      <c r="C912" s="1"/>
      <c r="D912" s="217"/>
      <c r="E912" s="1"/>
      <c r="F912" s="1"/>
      <c r="G912" s="1"/>
      <c r="H912" s="1"/>
      <c r="I912" s="1"/>
      <c r="J912" s="1"/>
      <c r="K912" s="1"/>
      <c r="L912" s="7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ht="18.75" customHeight="1">
      <c r="A913" s="1"/>
      <c r="B913" s="1"/>
      <c r="C913" s="1"/>
      <c r="D913" s="217"/>
      <c r="E913" s="1"/>
      <c r="F913" s="1"/>
      <c r="G913" s="1"/>
      <c r="H913" s="1"/>
      <c r="I913" s="1"/>
      <c r="J913" s="1"/>
      <c r="K913" s="1"/>
      <c r="L913" s="7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ht="18.75" customHeight="1">
      <c r="A914" s="1"/>
      <c r="B914" s="1"/>
      <c r="C914" s="1"/>
      <c r="D914" s="217"/>
      <c r="E914" s="1"/>
      <c r="F914" s="1"/>
      <c r="G914" s="1"/>
      <c r="H914" s="1"/>
      <c r="I914" s="1"/>
      <c r="J914" s="1"/>
      <c r="K914" s="1"/>
      <c r="L914" s="7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ht="18.75" customHeight="1">
      <c r="A915" s="1"/>
      <c r="B915" s="1"/>
      <c r="C915" s="1"/>
      <c r="D915" s="217"/>
      <c r="E915" s="1"/>
      <c r="F915" s="1"/>
      <c r="G915" s="1"/>
      <c r="H915" s="1"/>
      <c r="I915" s="1"/>
      <c r="J915" s="1"/>
      <c r="K915" s="1"/>
      <c r="L915" s="7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ht="18.75" customHeight="1">
      <c r="A916" s="1"/>
      <c r="B916" s="1"/>
      <c r="C916" s="1"/>
      <c r="D916" s="217"/>
      <c r="E916" s="1"/>
      <c r="F916" s="1"/>
      <c r="G916" s="1"/>
      <c r="H916" s="1"/>
      <c r="I916" s="1"/>
      <c r="J916" s="1"/>
      <c r="K916" s="1"/>
      <c r="L916" s="7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ht="18.75" customHeight="1">
      <c r="A917" s="1"/>
      <c r="B917" s="1"/>
      <c r="C917" s="1"/>
      <c r="D917" s="217"/>
      <c r="E917" s="1"/>
      <c r="F917" s="1"/>
      <c r="G917" s="1"/>
      <c r="H917" s="1"/>
      <c r="I917" s="1"/>
      <c r="J917" s="1"/>
      <c r="K917" s="1"/>
      <c r="L917" s="7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ht="18.75" customHeight="1">
      <c r="A918" s="1"/>
      <c r="B918" s="1"/>
      <c r="C918" s="1"/>
      <c r="D918" s="217"/>
      <c r="E918" s="1"/>
      <c r="F918" s="1"/>
      <c r="G918" s="1"/>
      <c r="H918" s="1"/>
      <c r="I918" s="1"/>
      <c r="J918" s="1"/>
      <c r="K918" s="1"/>
      <c r="L918" s="7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ht="18.75" customHeight="1">
      <c r="A919" s="1"/>
      <c r="B919" s="1"/>
      <c r="C919" s="1"/>
      <c r="D919" s="217"/>
      <c r="E919" s="1"/>
      <c r="F919" s="1"/>
      <c r="G919" s="1"/>
      <c r="H919" s="1"/>
      <c r="I919" s="1"/>
      <c r="J919" s="1"/>
      <c r="K919" s="1"/>
      <c r="L919" s="7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ht="18.75" customHeight="1">
      <c r="A920" s="1"/>
      <c r="B920" s="1"/>
      <c r="C920" s="1"/>
      <c r="D920" s="217"/>
      <c r="E920" s="1"/>
      <c r="F920" s="1"/>
      <c r="G920" s="1"/>
      <c r="H920" s="1"/>
      <c r="I920" s="1"/>
      <c r="J920" s="1"/>
      <c r="K920" s="1"/>
      <c r="L920" s="7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ht="18.75" customHeight="1">
      <c r="A921" s="1"/>
      <c r="B921" s="1"/>
      <c r="C921" s="1"/>
      <c r="D921" s="217"/>
      <c r="E921" s="1"/>
      <c r="F921" s="1"/>
      <c r="G921" s="1"/>
      <c r="H921" s="1"/>
      <c r="I921" s="1"/>
      <c r="J921" s="1"/>
      <c r="K921" s="1"/>
      <c r="L921" s="7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ht="18.75" customHeight="1">
      <c r="A922" s="1"/>
      <c r="B922" s="1"/>
      <c r="C922" s="1"/>
      <c r="D922" s="217"/>
      <c r="E922" s="1"/>
      <c r="F922" s="1"/>
      <c r="G922" s="1"/>
      <c r="H922" s="1"/>
      <c r="I922" s="1"/>
      <c r="J922" s="1"/>
      <c r="K922" s="1"/>
      <c r="L922" s="7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18.75" customHeight="1">
      <c r="A923" s="1"/>
      <c r="B923" s="1"/>
      <c r="C923" s="1"/>
      <c r="D923" s="217"/>
      <c r="E923" s="1"/>
      <c r="F923" s="1"/>
      <c r="G923" s="1"/>
      <c r="H923" s="1"/>
      <c r="I923" s="1"/>
      <c r="J923" s="1"/>
      <c r="K923" s="1"/>
      <c r="L923" s="7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ht="18.75" customHeight="1">
      <c r="A924" s="1"/>
      <c r="B924" s="1"/>
      <c r="C924" s="1"/>
      <c r="D924" s="217"/>
      <c r="E924" s="1"/>
      <c r="F924" s="1"/>
      <c r="G924" s="1"/>
      <c r="H924" s="1"/>
      <c r="I924" s="1"/>
      <c r="J924" s="1"/>
      <c r="K924" s="1"/>
      <c r="L924" s="7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ht="18.75" customHeight="1">
      <c r="A925" s="1"/>
      <c r="B925" s="1"/>
      <c r="C925" s="1"/>
      <c r="D925" s="217"/>
      <c r="E925" s="1"/>
      <c r="F925" s="1"/>
      <c r="G925" s="1"/>
      <c r="H925" s="1"/>
      <c r="I925" s="1"/>
      <c r="J925" s="1"/>
      <c r="K925" s="1"/>
      <c r="L925" s="7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ht="18.75" customHeight="1">
      <c r="A926" s="1"/>
      <c r="B926" s="1"/>
      <c r="C926" s="1"/>
      <c r="D926" s="217"/>
      <c r="E926" s="1"/>
      <c r="F926" s="1"/>
      <c r="G926" s="1"/>
      <c r="H926" s="1"/>
      <c r="I926" s="1"/>
      <c r="J926" s="1"/>
      <c r="K926" s="1"/>
      <c r="L926" s="7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ht="18.75" customHeight="1">
      <c r="A927" s="1"/>
      <c r="B927" s="1"/>
      <c r="C927" s="1"/>
      <c r="D927" s="217"/>
      <c r="E927" s="1"/>
      <c r="F927" s="1"/>
      <c r="G927" s="1"/>
      <c r="H927" s="1"/>
      <c r="I927" s="1"/>
      <c r="J927" s="1"/>
      <c r="K927" s="1"/>
      <c r="L927" s="7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ht="18.75" customHeight="1">
      <c r="A928" s="1"/>
      <c r="B928" s="1"/>
      <c r="C928" s="1"/>
      <c r="D928" s="217"/>
      <c r="E928" s="1"/>
      <c r="F928" s="1"/>
      <c r="G928" s="1"/>
      <c r="H928" s="1"/>
      <c r="I928" s="1"/>
      <c r="J928" s="1"/>
      <c r="K928" s="1"/>
      <c r="L928" s="7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ht="18.75" customHeight="1">
      <c r="A929" s="1"/>
      <c r="B929" s="1"/>
      <c r="C929" s="1"/>
      <c r="D929" s="217"/>
      <c r="E929" s="1"/>
      <c r="F929" s="1"/>
      <c r="G929" s="1"/>
      <c r="H929" s="1"/>
      <c r="I929" s="1"/>
      <c r="J929" s="1"/>
      <c r="K929" s="1"/>
      <c r="L929" s="7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ht="18.75" customHeight="1">
      <c r="A930" s="1"/>
      <c r="B930" s="1"/>
      <c r="C930" s="1"/>
      <c r="D930" s="217"/>
      <c r="E930" s="1"/>
      <c r="F930" s="1"/>
      <c r="G930" s="1"/>
      <c r="H930" s="1"/>
      <c r="I930" s="1"/>
      <c r="J930" s="1"/>
      <c r="K930" s="1"/>
      <c r="L930" s="7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ht="18.75" customHeight="1">
      <c r="A931" s="1"/>
      <c r="B931" s="1"/>
      <c r="C931" s="1"/>
      <c r="D931" s="217"/>
      <c r="E931" s="1"/>
      <c r="F931" s="1"/>
      <c r="G931" s="1"/>
      <c r="H931" s="1"/>
      <c r="I931" s="1"/>
      <c r="J931" s="1"/>
      <c r="K931" s="1"/>
      <c r="L931" s="7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ht="18.75" customHeight="1">
      <c r="A932" s="1"/>
      <c r="B932" s="1"/>
      <c r="C932" s="1"/>
      <c r="D932" s="217"/>
      <c r="E932" s="1"/>
      <c r="F932" s="1"/>
      <c r="G932" s="1"/>
      <c r="H932" s="1"/>
      <c r="I932" s="1"/>
      <c r="J932" s="1"/>
      <c r="K932" s="1"/>
      <c r="L932" s="7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ht="18.75" customHeight="1">
      <c r="A933" s="1"/>
      <c r="B933" s="1"/>
      <c r="C933" s="1"/>
      <c r="D933" s="217"/>
      <c r="E933" s="1"/>
      <c r="F933" s="1"/>
      <c r="G933" s="1"/>
      <c r="H933" s="1"/>
      <c r="I933" s="1"/>
      <c r="J933" s="1"/>
      <c r="K933" s="1"/>
      <c r="L933" s="7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ht="18.75" customHeight="1">
      <c r="A934" s="1"/>
      <c r="B934" s="1"/>
      <c r="C934" s="1"/>
      <c r="D934" s="217"/>
      <c r="E934" s="1"/>
      <c r="F934" s="1"/>
      <c r="G934" s="1"/>
      <c r="H934" s="1"/>
      <c r="I934" s="1"/>
      <c r="J934" s="1"/>
      <c r="K934" s="1"/>
      <c r="L934" s="7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ht="18.75" customHeight="1">
      <c r="A935" s="1"/>
      <c r="B935" s="1"/>
      <c r="C935" s="1"/>
      <c r="D935" s="217"/>
      <c r="E935" s="1"/>
      <c r="F935" s="1"/>
      <c r="G935" s="1"/>
      <c r="H935" s="1"/>
      <c r="I935" s="1"/>
      <c r="J935" s="1"/>
      <c r="K935" s="1"/>
      <c r="L935" s="7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ht="18.75" customHeight="1">
      <c r="A936" s="1"/>
      <c r="B936" s="1"/>
      <c r="C936" s="1"/>
      <c r="D936" s="217"/>
      <c r="E936" s="1"/>
      <c r="F936" s="1"/>
      <c r="G936" s="1"/>
      <c r="H936" s="1"/>
      <c r="I936" s="1"/>
      <c r="J936" s="1"/>
      <c r="K936" s="1"/>
      <c r="L936" s="7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ht="18.75" customHeight="1">
      <c r="A937" s="1"/>
      <c r="B937" s="1"/>
      <c r="C937" s="1"/>
      <c r="D937" s="217"/>
      <c r="E937" s="1"/>
      <c r="F937" s="1"/>
      <c r="G937" s="1"/>
      <c r="H937" s="1"/>
      <c r="I937" s="1"/>
      <c r="J937" s="1"/>
      <c r="K937" s="1"/>
      <c r="L937" s="7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ht="18.75" customHeight="1">
      <c r="A938" s="1"/>
      <c r="B938" s="1"/>
      <c r="C938" s="1"/>
      <c r="D938" s="217"/>
      <c r="E938" s="1"/>
      <c r="F938" s="1"/>
      <c r="G938" s="1"/>
      <c r="H938" s="1"/>
      <c r="I938" s="1"/>
      <c r="J938" s="1"/>
      <c r="K938" s="1"/>
      <c r="L938" s="7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ht="18.75" customHeight="1">
      <c r="A939" s="1"/>
      <c r="B939" s="1"/>
      <c r="C939" s="1"/>
      <c r="D939" s="217"/>
      <c r="E939" s="1"/>
      <c r="F939" s="1"/>
      <c r="G939" s="1"/>
      <c r="H939" s="1"/>
      <c r="I939" s="1"/>
      <c r="J939" s="1"/>
      <c r="K939" s="1"/>
      <c r="L939" s="7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ht="18.75" customHeight="1">
      <c r="A940" s="1"/>
      <c r="B940" s="1"/>
      <c r="C940" s="1"/>
      <c r="D940" s="217"/>
      <c r="E940" s="1"/>
      <c r="F940" s="1"/>
      <c r="G940" s="1"/>
      <c r="H940" s="1"/>
      <c r="I940" s="1"/>
      <c r="J940" s="1"/>
      <c r="K940" s="1"/>
      <c r="L940" s="7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ht="18.75" customHeight="1">
      <c r="A941" s="1"/>
      <c r="B941" s="1"/>
      <c r="C941" s="1"/>
      <c r="D941" s="217"/>
      <c r="E941" s="1"/>
      <c r="F941" s="1"/>
      <c r="G941" s="1"/>
      <c r="H941" s="1"/>
      <c r="I941" s="1"/>
      <c r="J941" s="1"/>
      <c r="K941" s="1"/>
      <c r="L941" s="7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ht="18.75" customHeight="1">
      <c r="A942" s="1"/>
      <c r="B942" s="1"/>
      <c r="C942" s="1"/>
      <c r="D942" s="217"/>
      <c r="E942" s="1"/>
      <c r="F942" s="1"/>
      <c r="G942" s="1"/>
      <c r="H942" s="1"/>
      <c r="I942" s="1"/>
      <c r="J942" s="1"/>
      <c r="K942" s="1"/>
      <c r="L942" s="7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ht="18.75" customHeight="1">
      <c r="A943" s="1"/>
      <c r="B943" s="1"/>
      <c r="C943" s="1"/>
      <c r="D943" s="217"/>
      <c r="E943" s="1"/>
      <c r="F943" s="1"/>
      <c r="G943" s="1"/>
      <c r="H943" s="1"/>
      <c r="I943" s="1"/>
      <c r="J943" s="1"/>
      <c r="K943" s="1"/>
      <c r="L943" s="7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ht="18.75" customHeight="1">
      <c r="A944" s="1"/>
      <c r="B944" s="1"/>
      <c r="C944" s="1"/>
      <c r="D944" s="217"/>
      <c r="E944" s="1"/>
      <c r="F944" s="1"/>
      <c r="G944" s="1"/>
      <c r="H944" s="1"/>
      <c r="I944" s="1"/>
      <c r="J944" s="1"/>
      <c r="K944" s="1"/>
      <c r="L944" s="7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ht="18.75" customHeight="1">
      <c r="A945" s="1"/>
      <c r="B945" s="1"/>
      <c r="C945" s="1"/>
      <c r="D945" s="217"/>
      <c r="E945" s="1"/>
      <c r="F945" s="1"/>
      <c r="G945" s="1"/>
      <c r="H945" s="1"/>
      <c r="I945" s="1"/>
      <c r="J945" s="1"/>
      <c r="K945" s="1"/>
      <c r="L945" s="7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ht="18.75" customHeight="1">
      <c r="A946" s="1"/>
      <c r="B946" s="1"/>
      <c r="C946" s="1"/>
      <c r="D946" s="217"/>
      <c r="E946" s="1"/>
      <c r="F946" s="1"/>
      <c r="G946" s="1"/>
      <c r="H946" s="1"/>
      <c r="I946" s="1"/>
      <c r="J946" s="1"/>
      <c r="K946" s="1"/>
      <c r="L946" s="7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ht="18.75" customHeight="1">
      <c r="A947" s="1"/>
      <c r="B947" s="1"/>
      <c r="C947" s="1"/>
      <c r="D947" s="217"/>
      <c r="E947" s="1"/>
      <c r="F947" s="1"/>
      <c r="G947" s="1"/>
      <c r="H947" s="1"/>
      <c r="I947" s="1"/>
      <c r="J947" s="1"/>
      <c r="K947" s="1"/>
      <c r="L947" s="7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ht="18.75" customHeight="1">
      <c r="A948" s="1"/>
      <c r="B948" s="1"/>
      <c r="C948" s="1"/>
      <c r="D948" s="217"/>
      <c r="E948" s="1"/>
      <c r="F948" s="1"/>
      <c r="G948" s="1"/>
      <c r="H948" s="1"/>
      <c r="I948" s="1"/>
      <c r="J948" s="1"/>
      <c r="K948" s="1"/>
      <c r="L948" s="7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ht="18.75" customHeight="1">
      <c r="A949" s="1"/>
      <c r="B949" s="1"/>
      <c r="C949" s="1"/>
      <c r="D949" s="217"/>
      <c r="E949" s="1"/>
      <c r="F949" s="1"/>
      <c r="G949" s="1"/>
      <c r="H949" s="1"/>
      <c r="I949" s="1"/>
      <c r="J949" s="1"/>
      <c r="K949" s="1"/>
      <c r="L949" s="7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ht="18.75" customHeight="1">
      <c r="A950" s="1"/>
      <c r="B950" s="1"/>
      <c r="C950" s="1"/>
      <c r="D950" s="217"/>
      <c r="E950" s="1"/>
      <c r="F950" s="1"/>
      <c r="G950" s="1"/>
      <c r="H950" s="1"/>
      <c r="I950" s="1"/>
      <c r="J950" s="1"/>
      <c r="K950" s="1"/>
      <c r="L950" s="7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ht="18.75" customHeight="1">
      <c r="A951" s="1"/>
      <c r="B951" s="1"/>
      <c r="C951" s="1"/>
      <c r="D951" s="217"/>
      <c r="E951" s="1"/>
      <c r="F951" s="1"/>
      <c r="G951" s="1"/>
      <c r="H951" s="1"/>
      <c r="I951" s="1"/>
      <c r="J951" s="1"/>
      <c r="K951" s="1"/>
      <c r="L951" s="7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ht="18.75" customHeight="1">
      <c r="A952" s="1"/>
      <c r="B952" s="1"/>
      <c r="C952" s="1"/>
      <c r="D952" s="217"/>
      <c r="E952" s="1"/>
      <c r="F952" s="1"/>
      <c r="G952" s="1"/>
      <c r="H952" s="1"/>
      <c r="I952" s="1"/>
      <c r="J952" s="1"/>
      <c r="K952" s="1"/>
      <c r="L952" s="7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ht="18.75" customHeight="1">
      <c r="A953" s="1"/>
      <c r="B953" s="1"/>
      <c r="C953" s="1"/>
      <c r="D953" s="217"/>
      <c r="E953" s="1"/>
      <c r="F953" s="1"/>
      <c r="G953" s="1"/>
      <c r="H953" s="1"/>
      <c r="I953" s="1"/>
      <c r="J953" s="1"/>
      <c r="K953" s="1"/>
      <c r="L953" s="7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ht="18.75" customHeight="1">
      <c r="A954" s="1"/>
      <c r="B954" s="1"/>
      <c r="C954" s="1"/>
      <c r="D954" s="217"/>
      <c r="E954" s="1"/>
      <c r="F954" s="1"/>
      <c r="G954" s="1"/>
      <c r="H954" s="1"/>
      <c r="I954" s="1"/>
      <c r="J954" s="1"/>
      <c r="K954" s="1"/>
      <c r="L954" s="7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ht="18.75" customHeight="1">
      <c r="A955" s="1"/>
      <c r="B955" s="1"/>
      <c r="C955" s="1"/>
      <c r="D955" s="217"/>
      <c r="E955" s="1"/>
      <c r="F955" s="1"/>
      <c r="G955" s="1"/>
      <c r="H955" s="1"/>
      <c r="I955" s="1"/>
      <c r="J955" s="1"/>
      <c r="K955" s="1"/>
      <c r="L955" s="7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ht="18.75" customHeight="1">
      <c r="A956" s="1"/>
      <c r="B956" s="1"/>
      <c r="C956" s="1"/>
      <c r="D956" s="217"/>
      <c r="E956" s="1"/>
      <c r="F956" s="1"/>
      <c r="G956" s="1"/>
      <c r="H956" s="1"/>
      <c r="I956" s="1"/>
      <c r="J956" s="1"/>
      <c r="K956" s="1"/>
      <c r="L956" s="7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ht="18.75" customHeight="1">
      <c r="A957" s="1"/>
      <c r="B957" s="1"/>
      <c r="C957" s="1"/>
      <c r="D957" s="217"/>
      <c r="E957" s="1"/>
      <c r="F957" s="1"/>
      <c r="G957" s="1"/>
      <c r="H957" s="1"/>
      <c r="I957" s="1"/>
      <c r="J957" s="1"/>
      <c r="K957" s="1"/>
      <c r="L957" s="7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ht="18.75" customHeight="1">
      <c r="A958" s="1"/>
      <c r="B958" s="1"/>
      <c r="C958" s="1"/>
      <c r="D958" s="217"/>
      <c r="E958" s="1"/>
      <c r="F958" s="1"/>
      <c r="G958" s="1"/>
      <c r="H958" s="1"/>
      <c r="I958" s="1"/>
      <c r="J958" s="1"/>
      <c r="K958" s="1"/>
      <c r="L958" s="7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ht="18.75" customHeight="1">
      <c r="A959" s="1"/>
      <c r="B959" s="1"/>
      <c r="C959" s="1"/>
      <c r="D959" s="217"/>
      <c r="E959" s="1"/>
      <c r="F959" s="1"/>
      <c r="G959" s="1"/>
      <c r="H959" s="1"/>
      <c r="I959" s="1"/>
      <c r="J959" s="1"/>
      <c r="K959" s="1"/>
      <c r="L959" s="7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ht="18.75" customHeight="1">
      <c r="A960" s="1"/>
      <c r="B960" s="1"/>
      <c r="C960" s="1"/>
      <c r="D960" s="217"/>
      <c r="E960" s="1"/>
      <c r="F960" s="1"/>
      <c r="G960" s="1"/>
      <c r="H960" s="1"/>
      <c r="I960" s="1"/>
      <c r="J960" s="1"/>
      <c r="K960" s="1"/>
      <c r="L960" s="7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ht="18.75" customHeight="1">
      <c r="A961" s="1"/>
      <c r="B961" s="1"/>
      <c r="C961" s="1"/>
      <c r="D961" s="217"/>
      <c r="E961" s="1"/>
      <c r="F961" s="1"/>
      <c r="G961" s="1"/>
      <c r="H961" s="1"/>
      <c r="I961" s="1"/>
      <c r="J961" s="1"/>
      <c r="K961" s="1"/>
      <c r="L961" s="7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ht="18.75" customHeight="1">
      <c r="A962" s="1"/>
      <c r="B962" s="1"/>
      <c r="C962" s="1"/>
      <c r="D962" s="217"/>
      <c r="E962" s="1"/>
      <c r="F962" s="1"/>
      <c r="G962" s="1"/>
      <c r="H962" s="1"/>
      <c r="I962" s="1"/>
      <c r="J962" s="1"/>
      <c r="K962" s="1"/>
      <c r="L962" s="7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ht="18.75" customHeight="1">
      <c r="A963" s="1"/>
      <c r="B963" s="1"/>
      <c r="C963" s="1"/>
      <c r="D963" s="217"/>
      <c r="E963" s="1"/>
      <c r="F963" s="1"/>
      <c r="G963" s="1"/>
      <c r="H963" s="1"/>
      <c r="I963" s="1"/>
      <c r="J963" s="1"/>
      <c r="K963" s="1"/>
      <c r="L963" s="7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ht="18.75" customHeight="1">
      <c r="A964" s="1"/>
      <c r="B964" s="1"/>
      <c r="C964" s="1"/>
      <c r="D964" s="217"/>
      <c r="E964" s="1"/>
      <c r="F964" s="1"/>
      <c r="G964" s="1"/>
      <c r="H964" s="1"/>
      <c r="I964" s="1"/>
      <c r="J964" s="1"/>
      <c r="K964" s="1"/>
      <c r="L964" s="7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ht="18.75" customHeight="1">
      <c r="A965" s="1"/>
      <c r="B965" s="1"/>
      <c r="C965" s="1"/>
      <c r="D965" s="217"/>
      <c r="E965" s="1"/>
      <c r="F965" s="1"/>
      <c r="G965" s="1"/>
      <c r="H965" s="1"/>
      <c r="I965" s="1"/>
      <c r="J965" s="1"/>
      <c r="K965" s="1"/>
      <c r="L965" s="7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ht="18.75" customHeight="1">
      <c r="A966" s="1"/>
      <c r="B966" s="1"/>
      <c r="C966" s="1"/>
      <c r="D966" s="217"/>
      <c r="E966" s="1"/>
      <c r="F966" s="1"/>
      <c r="G966" s="1"/>
      <c r="H966" s="1"/>
      <c r="I966" s="1"/>
      <c r="J966" s="1"/>
      <c r="K966" s="1"/>
      <c r="L966" s="7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ht="18.75" customHeight="1">
      <c r="A967" s="1"/>
      <c r="B967" s="1"/>
      <c r="C967" s="1"/>
      <c r="D967" s="217"/>
      <c r="E967" s="1"/>
      <c r="F967" s="1"/>
      <c r="G967" s="1"/>
      <c r="H967" s="1"/>
      <c r="I967" s="1"/>
      <c r="J967" s="1"/>
      <c r="K967" s="1"/>
      <c r="L967" s="7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ht="18.75" customHeight="1">
      <c r="A968" s="1"/>
      <c r="B968" s="1"/>
      <c r="C968" s="1"/>
      <c r="D968" s="217"/>
      <c r="E968" s="1"/>
      <c r="F968" s="1"/>
      <c r="G968" s="1"/>
      <c r="H968" s="1"/>
      <c r="I968" s="1"/>
      <c r="J968" s="1"/>
      <c r="K968" s="1"/>
      <c r="L968" s="7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ht="18.75" customHeight="1">
      <c r="A969" s="1"/>
      <c r="B969" s="1"/>
      <c r="C969" s="1"/>
      <c r="D969" s="217"/>
      <c r="E969" s="1"/>
      <c r="F969" s="1"/>
      <c r="G969" s="1"/>
      <c r="H969" s="1"/>
      <c r="I969" s="1"/>
      <c r="J969" s="1"/>
      <c r="K969" s="1"/>
      <c r="L969" s="7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ht="18.75" customHeight="1">
      <c r="A970" s="1"/>
      <c r="B970" s="1"/>
      <c r="C970" s="1"/>
      <c r="D970" s="217"/>
      <c r="E970" s="1"/>
      <c r="F970" s="1"/>
      <c r="G970" s="1"/>
      <c r="H970" s="1"/>
      <c r="I970" s="1"/>
      <c r="J970" s="1"/>
      <c r="K970" s="1"/>
      <c r="L970" s="7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ht="18.75" customHeight="1">
      <c r="A971" s="1"/>
      <c r="B971" s="1"/>
      <c r="C971" s="1"/>
      <c r="D971" s="217"/>
      <c r="E971" s="1"/>
      <c r="F971" s="1"/>
      <c r="G971" s="1"/>
      <c r="H971" s="1"/>
      <c r="I971" s="1"/>
      <c r="J971" s="1"/>
      <c r="K971" s="1"/>
      <c r="L971" s="7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ht="18.75" customHeight="1">
      <c r="A972" s="1"/>
      <c r="B972" s="1"/>
      <c r="C972" s="1"/>
      <c r="D972" s="217"/>
      <c r="E972" s="1"/>
      <c r="F972" s="1"/>
      <c r="G972" s="1"/>
      <c r="H972" s="1"/>
      <c r="I972" s="1"/>
      <c r="J972" s="1"/>
      <c r="K972" s="1"/>
      <c r="L972" s="7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ht="18.75" customHeight="1">
      <c r="A973" s="1"/>
      <c r="B973" s="1"/>
      <c r="C973" s="1"/>
      <c r="D973" s="217"/>
      <c r="E973" s="1"/>
      <c r="F973" s="1"/>
      <c r="G973" s="1"/>
      <c r="H973" s="1"/>
      <c r="I973" s="1"/>
      <c r="J973" s="1"/>
      <c r="K973" s="1"/>
      <c r="L973" s="7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ht="18.75" customHeight="1">
      <c r="A974" s="1"/>
      <c r="B974" s="1"/>
      <c r="C974" s="1"/>
      <c r="D974" s="217"/>
      <c r="E974" s="1"/>
      <c r="F974" s="1"/>
      <c r="G974" s="1"/>
      <c r="H974" s="1"/>
      <c r="I974" s="1"/>
      <c r="J974" s="1"/>
      <c r="K974" s="1"/>
      <c r="L974" s="7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ht="18.75" customHeight="1">
      <c r="A975" s="1"/>
      <c r="B975" s="1"/>
      <c r="C975" s="1"/>
      <c r="D975" s="217"/>
      <c r="E975" s="1"/>
      <c r="F975" s="1"/>
      <c r="G975" s="1"/>
      <c r="H975" s="1"/>
      <c r="I975" s="1"/>
      <c r="J975" s="1"/>
      <c r="K975" s="1"/>
      <c r="L975" s="7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</sheetData>
  <conditionalFormatting sqref="G4:G320 L242 G325:G426 G428 G430:G432 G434:G435 G438:G504">
    <cfRule type="expression" dxfId="0" priority="1">
      <formula>G4&lt;=TODAY()+$G$1</formula>
    </cfRule>
  </conditionalFormatting>
  <conditionalFormatting sqref="E1">
    <cfRule type="notContainsBlanks" dxfId="1" priority="2">
      <formula>LEN(TRIM(E1))&gt;0</formula>
    </cfRule>
  </conditionalFormatting>
  <conditionalFormatting sqref="B1:B289 I1 C248:D248 C251:D253 C264:D284 C287:C288 D287 B291:B975 C331 C339:C340">
    <cfRule type="colorScale" priority="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E271:E487">
      <formula1>"One time work,subscription based service"</formula1>
    </dataValidation>
    <dataValidation type="list" allowBlank="1" showErrorMessage="1" sqref="E4:E270">
      <formula1>"One time work,subscription based service"</formula1>
    </dataValidation>
  </dataValidations>
  <hyperlinks>
    <hyperlink r:id="rId1" location="/contacts/2297152000000117207" ref="B37"/>
  </hyperlinks>
  <printOptions/>
  <pageMargins bottom="0.75" footer="0.0" header="0.0" left="0.7" right="0.7" top="0.75"/>
  <pageSetup orientation="landscape"/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0"/>
    <col customWidth="1" min="2" max="2" width="21.38"/>
    <col customWidth="1" min="3" max="3" width="31.63"/>
  </cols>
  <sheetData>
    <row r="1">
      <c r="A1" s="218"/>
      <c r="B1" s="218"/>
      <c r="C1" s="218"/>
    </row>
    <row r="2">
      <c r="A2" s="218"/>
      <c r="B2" s="218"/>
      <c r="C2" s="218"/>
    </row>
    <row r="3">
      <c r="A3" s="219" t="s">
        <v>993</v>
      </c>
      <c r="B3" s="219" t="s">
        <v>994</v>
      </c>
      <c r="C3" s="219" t="s">
        <v>995</v>
      </c>
    </row>
    <row r="4">
      <c r="A4" s="220" t="s">
        <v>996</v>
      </c>
      <c r="B4" s="221">
        <v>45658.0</v>
      </c>
      <c r="C4" s="221">
        <v>46023.0</v>
      </c>
    </row>
    <row r="5">
      <c r="A5" s="220" t="s">
        <v>997</v>
      </c>
      <c r="B5" s="222">
        <v>45615.0</v>
      </c>
      <c r="C5" s="222">
        <v>45980.0</v>
      </c>
    </row>
    <row r="6">
      <c r="A6" s="220" t="s">
        <v>998</v>
      </c>
      <c r="B6" s="222">
        <v>45626.0</v>
      </c>
      <c r="C6" s="222">
        <v>45961.0</v>
      </c>
    </row>
    <row r="7">
      <c r="A7" s="220" t="s">
        <v>999</v>
      </c>
      <c r="B7" s="222">
        <v>45639.0</v>
      </c>
      <c r="C7" s="221">
        <v>45729.0</v>
      </c>
    </row>
    <row r="8">
      <c r="A8" s="220" t="s">
        <v>1000</v>
      </c>
      <c r="B8" s="222">
        <v>45640.0</v>
      </c>
      <c r="C8" s="221">
        <v>45716.0</v>
      </c>
    </row>
    <row r="9">
      <c r="A9" s="220" t="s">
        <v>1001</v>
      </c>
      <c r="B9" s="222">
        <v>45644.0</v>
      </c>
      <c r="C9" s="222">
        <v>46008.0</v>
      </c>
    </row>
    <row r="10">
      <c r="A10" s="220" t="s">
        <v>1002</v>
      </c>
      <c r="B10" s="222">
        <v>45645.0</v>
      </c>
      <c r="C10" s="222">
        <v>46022.0</v>
      </c>
    </row>
    <row r="11">
      <c r="A11" s="220" t="s">
        <v>1003</v>
      </c>
      <c r="B11" s="222">
        <v>45651.0</v>
      </c>
      <c r="C11" s="222">
        <v>46016.0</v>
      </c>
    </row>
    <row r="12">
      <c r="A12" s="220" t="s">
        <v>1004</v>
      </c>
      <c r="B12" s="221">
        <v>45658.0</v>
      </c>
      <c r="C12" s="222">
        <v>46022.0</v>
      </c>
    </row>
    <row r="13">
      <c r="A13" s="220" t="s">
        <v>1005</v>
      </c>
      <c r="B13" s="221">
        <v>45662.0</v>
      </c>
      <c r="C13" s="221">
        <v>45721.0</v>
      </c>
    </row>
    <row r="14">
      <c r="A14" s="220" t="s">
        <v>1006</v>
      </c>
      <c r="B14" s="221">
        <v>45665.0</v>
      </c>
      <c r="C14" s="221">
        <v>45695.0</v>
      </c>
    </row>
    <row r="15">
      <c r="A15" s="220" t="s">
        <v>1007</v>
      </c>
      <c r="B15" s="221">
        <v>45557.0</v>
      </c>
      <c r="C15" s="221">
        <v>45710.0</v>
      </c>
    </row>
    <row r="16">
      <c r="A16" s="220" t="s">
        <v>1008</v>
      </c>
      <c r="B16" s="221">
        <v>45671.0</v>
      </c>
      <c r="C16" s="221">
        <v>46035.0</v>
      </c>
    </row>
    <row r="17">
      <c r="A17" s="220" t="s">
        <v>1009</v>
      </c>
      <c r="B17" s="221">
        <v>45674.0</v>
      </c>
      <c r="C17" s="221">
        <v>46038.0</v>
      </c>
    </row>
    <row r="18">
      <c r="A18" s="220" t="s">
        <v>1010</v>
      </c>
      <c r="B18" s="221">
        <v>45672.0</v>
      </c>
      <c r="C18" s="221">
        <v>46036.0</v>
      </c>
    </row>
    <row r="19">
      <c r="A19" s="220" t="s">
        <v>1011</v>
      </c>
      <c r="B19" s="221">
        <v>45671.0</v>
      </c>
      <c r="C19" s="221">
        <v>46035.0</v>
      </c>
    </row>
    <row r="20">
      <c r="A20" s="220" t="s">
        <v>1012</v>
      </c>
      <c r="B20" s="221">
        <v>45680.0</v>
      </c>
      <c r="C20" s="221">
        <v>45710.0</v>
      </c>
    </row>
    <row r="21">
      <c r="A21" s="220" t="s">
        <v>1013</v>
      </c>
      <c r="B21" s="221">
        <v>45680.0</v>
      </c>
      <c r="C21" s="221">
        <v>46044.0</v>
      </c>
    </row>
    <row r="22">
      <c r="A22" s="220" t="s">
        <v>1014</v>
      </c>
      <c r="B22" s="221">
        <v>45681.0</v>
      </c>
      <c r="C22" s="221">
        <v>45713.0</v>
      </c>
    </row>
    <row r="23">
      <c r="A23" s="220" t="s">
        <v>1015</v>
      </c>
      <c r="B23" s="221">
        <v>45684.0</v>
      </c>
      <c r="C23" s="221">
        <v>45774.0</v>
      </c>
    </row>
    <row r="24">
      <c r="A24" s="220" t="s">
        <v>1016</v>
      </c>
      <c r="B24" s="221">
        <v>45685.0</v>
      </c>
      <c r="C24" s="221">
        <v>46049.0</v>
      </c>
    </row>
    <row r="25">
      <c r="A25" s="220" t="s">
        <v>1017</v>
      </c>
      <c r="B25" s="221">
        <v>45685.0</v>
      </c>
      <c r="C25" s="221">
        <v>45716.0</v>
      </c>
    </row>
    <row r="26">
      <c r="A26" s="220" t="s">
        <v>1018</v>
      </c>
      <c r="B26" s="222">
        <v>45620.0</v>
      </c>
      <c r="C26" s="221">
        <v>45739.0</v>
      </c>
    </row>
    <row r="27">
      <c r="A27" s="220" t="s">
        <v>1019</v>
      </c>
      <c r="B27" s="221">
        <v>45691.0</v>
      </c>
      <c r="C27" s="221">
        <v>45780.0</v>
      </c>
    </row>
    <row r="28">
      <c r="A28" s="220" t="s">
        <v>1020</v>
      </c>
      <c r="B28" s="221">
        <v>45693.0</v>
      </c>
      <c r="C28" s="221">
        <v>45782.0</v>
      </c>
    </row>
    <row r="29">
      <c r="A29" s="220" t="s">
        <v>1021</v>
      </c>
      <c r="B29" s="221">
        <v>45695.0</v>
      </c>
      <c r="C29" s="221">
        <v>46059.0</v>
      </c>
    </row>
    <row r="30">
      <c r="A30" s="220" t="s">
        <v>1022</v>
      </c>
      <c r="B30" s="221">
        <v>45605.0</v>
      </c>
      <c r="C30" s="221">
        <v>45970.0</v>
      </c>
    </row>
    <row r="31">
      <c r="A31" s="220" t="s">
        <v>1023</v>
      </c>
      <c r="B31" s="221">
        <v>45698.0</v>
      </c>
      <c r="C31" s="221">
        <v>46063.0</v>
      </c>
    </row>
    <row r="32">
      <c r="A32" s="220" t="s">
        <v>1024</v>
      </c>
      <c r="B32" s="222">
        <v>45637.0</v>
      </c>
      <c r="C32" s="222">
        <v>46002.0</v>
      </c>
    </row>
    <row r="33">
      <c r="A33" s="220" t="s">
        <v>1025</v>
      </c>
      <c r="B33" s="221">
        <v>45705.0</v>
      </c>
      <c r="C33" s="221">
        <v>46069.0</v>
      </c>
    </row>
    <row r="34">
      <c r="A34" s="220" t="s">
        <v>1026</v>
      </c>
      <c r="B34" s="221">
        <v>45711.0</v>
      </c>
      <c r="C34" s="221">
        <v>46076.0</v>
      </c>
    </row>
    <row r="35">
      <c r="A35" s="220" t="s">
        <v>1027</v>
      </c>
      <c r="B35" s="221">
        <v>45693.0</v>
      </c>
      <c r="C35" s="221">
        <v>45720.0</v>
      </c>
    </row>
    <row r="36">
      <c r="A36" s="220" t="s">
        <v>1028</v>
      </c>
      <c r="B36" s="221">
        <v>45713.0</v>
      </c>
      <c r="C36" s="221">
        <v>45742.0</v>
      </c>
    </row>
    <row r="37">
      <c r="A37" s="220" t="s">
        <v>1029</v>
      </c>
      <c r="B37" s="221">
        <v>45712.0</v>
      </c>
      <c r="C37" s="221">
        <v>45800.0</v>
      </c>
    </row>
    <row r="38">
      <c r="A38" s="220" t="s">
        <v>1030</v>
      </c>
      <c r="B38" s="221">
        <v>45682.0</v>
      </c>
      <c r="C38" s="221">
        <v>46047.0</v>
      </c>
    </row>
    <row r="39">
      <c r="A39" s="220" t="s">
        <v>1031</v>
      </c>
      <c r="B39" s="221">
        <v>45713.0</v>
      </c>
      <c r="C39" s="221">
        <v>46079.0</v>
      </c>
    </row>
    <row r="40">
      <c r="A40" s="220" t="s">
        <v>1032</v>
      </c>
      <c r="B40" s="221">
        <v>45713.0</v>
      </c>
      <c r="C40" s="221">
        <v>45740.0</v>
      </c>
    </row>
    <row r="41">
      <c r="A41" s="220" t="s">
        <v>1033</v>
      </c>
      <c r="B41" s="221">
        <v>45715.0</v>
      </c>
      <c r="C41" s="221">
        <v>45900.0</v>
      </c>
    </row>
    <row r="42">
      <c r="A42" s="220" t="s">
        <v>1034</v>
      </c>
      <c r="B42" s="221">
        <v>45721.0</v>
      </c>
      <c r="C42" s="221">
        <v>45751.0</v>
      </c>
    </row>
    <row r="43">
      <c r="A43" s="223" t="s">
        <v>1035</v>
      </c>
      <c r="B43" s="224">
        <v>45725.0</v>
      </c>
      <c r="C43" s="224">
        <v>46090.0</v>
      </c>
      <c r="D43" s="225"/>
      <c r="E43" s="225"/>
      <c r="F43" s="225"/>
      <c r="G43" s="225"/>
      <c r="H43" s="225"/>
      <c r="I43" s="225"/>
      <c r="J43" s="225"/>
      <c r="K43" s="225"/>
      <c r="L43" s="225"/>
      <c r="M43" s="225"/>
      <c r="N43" s="225"/>
      <c r="O43" s="225"/>
      <c r="P43" s="225"/>
      <c r="Q43" s="225"/>
      <c r="R43" s="225"/>
      <c r="S43" s="225"/>
      <c r="T43" s="225"/>
      <c r="U43" s="225"/>
      <c r="V43" s="225"/>
      <c r="W43" s="225"/>
      <c r="X43" s="225"/>
      <c r="Y43" s="225"/>
      <c r="Z43" s="225"/>
    </row>
    <row r="44">
      <c r="A44" s="220" t="s">
        <v>1036</v>
      </c>
      <c r="B44" s="221">
        <v>45728.0</v>
      </c>
      <c r="C44" s="221">
        <v>45759.0</v>
      </c>
    </row>
    <row r="45">
      <c r="A45" s="220" t="s">
        <v>1037</v>
      </c>
      <c r="B45" s="221">
        <v>45728.0</v>
      </c>
      <c r="C45" s="221">
        <v>46124.0</v>
      </c>
    </row>
    <row r="46">
      <c r="A46" s="220" t="s">
        <v>1038</v>
      </c>
      <c r="B46" s="221">
        <v>45727.0</v>
      </c>
      <c r="C46" s="221">
        <v>45758.0</v>
      </c>
    </row>
    <row r="47">
      <c r="A47" s="220" t="s">
        <v>1039</v>
      </c>
      <c r="B47" s="221">
        <v>45733.0</v>
      </c>
      <c r="C47" s="221">
        <v>46097.0</v>
      </c>
    </row>
    <row r="48">
      <c r="A48" s="220" t="s">
        <v>1040</v>
      </c>
      <c r="B48" s="221">
        <v>45735.0</v>
      </c>
      <c r="C48" s="221">
        <v>45765.0</v>
      </c>
    </row>
    <row r="49">
      <c r="A49" s="220" t="s">
        <v>1041</v>
      </c>
      <c r="B49" s="221">
        <v>45740.0</v>
      </c>
      <c r="C49" s="221">
        <v>45831.0</v>
      </c>
    </row>
    <row r="50">
      <c r="A50" s="220" t="s">
        <v>1042</v>
      </c>
      <c r="B50" s="221">
        <v>45736.0</v>
      </c>
      <c r="C50" s="221">
        <v>46100.0</v>
      </c>
    </row>
    <row r="51">
      <c r="A51" s="220" t="s">
        <v>1043</v>
      </c>
      <c r="B51" s="221">
        <v>45736.0</v>
      </c>
      <c r="C51" s="221">
        <v>46101.0</v>
      </c>
    </row>
    <row r="52">
      <c r="A52" s="220" t="s">
        <v>1044</v>
      </c>
      <c r="B52" s="221">
        <v>45737.0</v>
      </c>
      <c r="C52" s="221">
        <v>45798.0</v>
      </c>
    </row>
    <row r="53">
      <c r="A53" s="220" t="s">
        <v>1045</v>
      </c>
      <c r="B53" s="221">
        <v>45738.0</v>
      </c>
      <c r="C53" s="221">
        <v>45769.0</v>
      </c>
    </row>
    <row r="54">
      <c r="A54" s="220" t="s">
        <v>1046</v>
      </c>
      <c r="B54" s="221">
        <v>45738.0</v>
      </c>
      <c r="C54" s="221">
        <v>46103.0</v>
      </c>
    </row>
    <row r="55">
      <c r="A55" s="220" t="s">
        <v>1047</v>
      </c>
      <c r="B55" s="221">
        <v>45739.0</v>
      </c>
      <c r="C55" s="221">
        <v>45770.0</v>
      </c>
    </row>
    <row r="56">
      <c r="A56" s="220" t="s">
        <v>1048</v>
      </c>
      <c r="B56" s="221">
        <v>45740.0</v>
      </c>
      <c r="C56" s="221">
        <v>46104.0</v>
      </c>
    </row>
    <row r="57">
      <c r="A57" s="220" t="s">
        <v>1049</v>
      </c>
      <c r="B57" s="221">
        <v>45740.0</v>
      </c>
      <c r="C57" s="221">
        <v>45770.0</v>
      </c>
    </row>
    <row r="58">
      <c r="A58" s="220" t="s">
        <v>1050</v>
      </c>
      <c r="B58" s="221">
        <v>45741.0</v>
      </c>
      <c r="C58" s="221">
        <v>46106.0</v>
      </c>
    </row>
    <row r="59">
      <c r="A59" s="220" t="s">
        <v>1051</v>
      </c>
      <c r="B59" s="221">
        <v>45742.0</v>
      </c>
      <c r="C59" s="221">
        <v>45833.0</v>
      </c>
    </row>
    <row r="60">
      <c r="A60" s="220" t="s">
        <v>1052</v>
      </c>
      <c r="B60" s="221">
        <v>45742.0</v>
      </c>
      <c r="C60" s="221">
        <v>45773.0</v>
      </c>
    </row>
    <row r="61">
      <c r="A61" s="220" t="s">
        <v>1053</v>
      </c>
      <c r="B61" s="221">
        <v>45740.0</v>
      </c>
      <c r="C61" s="221">
        <v>45770.0</v>
      </c>
    </row>
    <row r="62">
      <c r="A62" s="220" t="s">
        <v>1054</v>
      </c>
      <c r="B62" s="221">
        <v>45742.0</v>
      </c>
      <c r="C62" s="221">
        <v>46107.0</v>
      </c>
    </row>
    <row r="63">
      <c r="A63" s="220" t="s">
        <v>1055</v>
      </c>
      <c r="B63" s="221">
        <v>45744.0</v>
      </c>
      <c r="C63" s="221">
        <v>46200.0</v>
      </c>
    </row>
    <row r="64">
      <c r="A64" s="220" t="s">
        <v>1056</v>
      </c>
      <c r="B64" s="221">
        <v>45744.0</v>
      </c>
      <c r="C64" s="221">
        <v>45774.0</v>
      </c>
    </row>
    <row r="65">
      <c r="A65" s="220" t="s">
        <v>1057</v>
      </c>
      <c r="B65" s="221">
        <v>45745.0</v>
      </c>
      <c r="C65" s="221">
        <v>46109.0</v>
      </c>
    </row>
    <row r="66">
      <c r="A66" s="220" t="s">
        <v>1058</v>
      </c>
      <c r="B66" s="222">
        <v>45594.0</v>
      </c>
      <c r="C66" s="222">
        <v>45959.0</v>
      </c>
    </row>
    <row r="67">
      <c r="A67" s="220" t="s">
        <v>1059</v>
      </c>
      <c r="B67" s="221">
        <v>45748.0</v>
      </c>
      <c r="C67" s="221">
        <v>46295.0</v>
      </c>
    </row>
    <row r="68">
      <c r="A68" s="220" t="s">
        <v>1060</v>
      </c>
      <c r="B68" s="221">
        <v>45747.0</v>
      </c>
      <c r="C68" s="221">
        <v>45777.0</v>
      </c>
    </row>
    <row r="69">
      <c r="A69" s="220" t="s">
        <v>1061</v>
      </c>
      <c r="B69" s="221">
        <v>45747.0</v>
      </c>
      <c r="C69" s="221">
        <v>45777.0</v>
      </c>
    </row>
    <row r="70">
      <c r="A70" s="220" t="s">
        <v>47</v>
      </c>
      <c r="B70" s="221">
        <v>45748.0</v>
      </c>
      <c r="C70" s="221">
        <v>45838.0</v>
      </c>
    </row>
    <row r="71">
      <c r="A71" s="220" t="s">
        <v>1062</v>
      </c>
      <c r="B71" s="221">
        <v>45748.0</v>
      </c>
      <c r="C71" s="221">
        <v>45808.0</v>
      </c>
    </row>
    <row r="72">
      <c r="A72" s="220" t="s">
        <v>57</v>
      </c>
      <c r="B72" s="221">
        <v>45749.0</v>
      </c>
      <c r="C72" s="221">
        <v>45932.0</v>
      </c>
    </row>
    <row r="73">
      <c r="A73" s="223" t="s">
        <v>1063</v>
      </c>
      <c r="B73" s="224">
        <v>45748.0</v>
      </c>
      <c r="C73" s="224">
        <v>45838.0</v>
      </c>
      <c r="D73" s="225"/>
      <c r="E73" s="225"/>
      <c r="F73" s="225"/>
      <c r="G73" s="225"/>
      <c r="H73" s="225"/>
      <c r="I73" s="225"/>
      <c r="J73" s="225"/>
      <c r="K73" s="225"/>
      <c r="L73" s="225"/>
      <c r="M73" s="225"/>
      <c r="N73" s="225"/>
      <c r="O73" s="225"/>
      <c r="P73" s="225"/>
      <c r="Q73" s="225"/>
      <c r="R73" s="225"/>
      <c r="S73" s="225"/>
      <c r="T73" s="225"/>
      <c r="U73" s="225"/>
      <c r="V73" s="225"/>
      <c r="W73" s="225"/>
      <c r="X73" s="225"/>
      <c r="Y73" s="225"/>
      <c r="Z73" s="225"/>
    </row>
    <row r="74">
      <c r="A74" s="220" t="s">
        <v>311</v>
      </c>
      <c r="B74" s="221">
        <v>45750.0</v>
      </c>
      <c r="C74" s="221">
        <v>46114.0</v>
      </c>
    </row>
    <row r="75">
      <c r="A75" s="220" t="s">
        <v>53</v>
      </c>
      <c r="B75" s="221">
        <v>45748.0</v>
      </c>
      <c r="C75" s="221">
        <v>45777.0</v>
      </c>
    </row>
    <row r="76">
      <c r="A76" s="220" t="s">
        <v>59</v>
      </c>
      <c r="B76" s="221">
        <v>45754.0</v>
      </c>
      <c r="C76" s="221">
        <v>45814.0</v>
      </c>
    </row>
    <row r="77">
      <c r="A77" s="220" t="s">
        <v>1064</v>
      </c>
      <c r="B77" s="221">
        <v>45762.0</v>
      </c>
      <c r="C77" s="221">
        <v>46126.0</v>
      </c>
    </row>
    <row r="78">
      <c r="A78" s="220" t="s">
        <v>313</v>
      </c>
      <c r="B78" s="221">
        <v>45755.0</v>
      </c>
      <c r="C78" s="221">
        <v>46119.0</v>
      </c>
    </row>
    <row r="79">
      <c r="A79" s="220" t="s">
        <v>61</v>
      </c>
      <c r="B79" s="221">
        <v>45755.0</v>
      </c>
      <c r="C79" s="221">
        <v>45815.0</v>
      </c>
    </row>
    <row r="80">
      <c r="A80" s="220" t="s">
        <v>63</v>
      </c>
      <c r="B80" s="221">
        <v>45755.0</v>
      </c>
      <c r="C80" s="221">
        <v>45815.0</v>
      </c>
    </row>
    <row r="81">
      <c r="A81" s="220" t="s">
        <v>65</v>
      </c>
      <c r="B81" s="221">
        <v>45757.0</v>
      </c>
      <c r="C81" s="221">
        <v>45786.0</v>
      </c>
    </row>
    <row r="82">
      <c r="A82" s="220" t="s">
        <v>37</v>
      </c>
      <c r="B82" s="221">
        <v>45716.0</v>
      </c>
      <c r="C82" s="221">
        <v>45896.0</v>
      </c>
    </row>
    <row r="83">
      <c r="A83" s="220" t="s">
        <v>315</v>
      </c>
      <c r="B83" s="221">
        <v>45757.0</v>
      </c>
      <c r="C83" s="221">
        <v>46121.0</v>
      </c>
    </row>
    <row r="84">
      <c r="A84" s="220" t="s">
        <v>1065</v>
      </c>
      <c r="B84" s="221">
        <v>45757.0</v>
      </c>
      <c r="C84" s="221">
        <v>46121.0</v>
      </c>
    </row>
    <row r="85">
      <c r="A85" s="220" t="s">
        <v>70</v>
      </c>
      <c r="B85" s="221">
        <v>45758.0</v>
      </c>
      <c r="C85" s="221">
        <v>45818.0</v>
      </c>
    </row>
    <row r="86">
      <c r="A86" s="220" t="s">
        <v>72</v>
      </c>
      <c r="B86" s="221">
        <v>45758.0</v>
      </c>
      <c r="C86" s="221">
        <v>45818.0</v>
      </c>
    </row>
    <row r="87">
      <c r="A87" s="220" t="s">
        <v>74</v>
      </c>
      <c r="B87" s="221">
        <v>45759.0</v>
      </c>
      <c r="C87" s="221">
        <v>45788.0</v>
      </c>
    </row>
    <row r="88">
      <c r="A88" s="220" t="s">
        <v>76</v>
      </c>
      <c r="B88" s="221">
        <v>45759.0</v>
      </c>
      <c r="C88" s="221">
        <v>45788.0</v>
      </c>
    </row>
    <row r="89">
      <c r="A89" s="220" t="s">
        <v>78</v>
      </c>
      <c r="B89" s="221">
        <v>45759.0</v>
      </c>
      <c r="C89" s="221">
        <v>45788.0</v>
      </c>
    </row>
    <row r="90">
      <c r="A90" s="220" t="s">
        <v>80</v>
      </c>
      <c r="B90" s="221">
        <v>45760.0</v>
      </c>
      <c r="C90" s="221">
        <v>45789.0</v>
      </c>
    </row>
    <row r="91">
      <c r="A91" s="220" t="s">
        <v>319</v>
      </c>
      <c r="B91" s="221">
        <v>45761.0</v>
      </c>
      <c r="C91" s="221">
        <v>46125.0</v>
      </c>
    </row>
    <row r="92">
      <c r="A92" s="220" t="s">
        <v>1066</v>
      </c>
      <c r="B92" s="221">
        <v>45762.0</v>
      </c>
      <c r="C92" s="221">
        <v>46156.0</v>
      </c>
    </row>
    <row r="93">
      <c r="A93" s="220" t="s">
        <v>87</v>
      </c>
      <c r="B93" s="221">
        <v>45762.0</v>
      </c>
      <c r="C93" s="222">
        <v>45944.0</v>
      </c>
    </row>
    <row r="94">
      <c r="A94" s="220" t="s">
        <v>89</v>
      </c>
      <c r="B94" s="221">
        <v>45762.0</v>
      </c>
      <c r="C94" s="221">
        <v>45823.0</v>
      </c>
    </row>
    <row r="95">
      <c r="A95" s="220" t="s">
        <v>1067</v>
      </c>
      <c r="B95" s="221">
        <v>45762.0</v>
      </c>
      <c r="C95" s="221">
        <v>46156.0</v>
      </c>
    </row>
    <row r="96">
      <c r="A96" s="220" t="s">
        <v>1068</v>
      </c>
      <c r="B96" s="221">
        <v>45763.0</v>
      </c>
      <c r="C96" s="221">
        <v>46157.0</v>
      </c>
    </row>
    <row r="97">
      <c r="A97" s="220" t="s">
        <v>94</v>
      </c>
      <c r="B97" s="221">
        <v>45763.0</v>
      </c>
      <c r="C97" s="221">
        <v>45792.0</v>
      </c>
    </row>
    <row r="98">
      <c r="A98" s="220" t="s">
        <v>371</v>
      </c>
      <c r="B98" s="221">
        <v>45778.0</v>
      </c>
      <c r="C98" s="221">
        <v>46142.0</v>
      </c>
    </row>
    <row r="99">
      <c r="A99" s="220" t="s">
        <v>96</v>
      </c>
      <c r="B99" s="221">
        <v>45765.0</v>
      </c>
      <c r="C99" s="221">
        <v>45795.0</v>
      </c>
    </row>
    <row r="100">
      <c r="A100" s="220" t="s">
        <v>83</v>
      </c>
      <c r="B100" s="221">
        <v>45761.0</v>
      </c>
      <c r="C100" s="221">
        <v>45791.0</v>
      </c>
    </row>
    <row r="101">
      <c r="A101" s="220" t="s">
        <v>326</v>
      </c>
      <c r="B101" s="221">
        <v>45769.0</v>
      </c>
      <c r="C101" s="221">
        <v>46133.0</v>
      </c>
    </row>
    <row r="102">
      <c r="A102" s="220" t="s">
        <v>101</v>
      </c>
      <c r="B102" s="221">
        <v>45771.0</v>
      </c>
      <c r="C102" s="221">
        <v>45860.0</v>
      </c>
    </row>
    <row r="103">
      <c r="A103" s="220" t="s">
        <v>1069</v>
      </c>
      <c r="B103" s="221">
        <v>45770.0</v>
      </c>
      <c r="C103" s="221">
        <v>46134.0</v>
      </c>
    </row>
    <row r="104">
      <c r="A104" s="220" t="s">
        <v>103</v>
      </c>
      <c r="B104" s="221">
        <v>45771.0</v>
      </c>
      <c r="C104" s="221">
        <v>45800.0</v>
      </c>
    </row>
    <row r="105">
      <c r="A105" s="220" t="s">
        <v>105</v>
      </c>
      <c r="B105" s="221">
        <v>45771.0</v>
      </c>
      <c r="C105" s="221">
        <v>45862.0</v>
      </c>
    </row>
    <row r="106">
      <c r="A106" s="220" t="s">
        <v>353</v>
      </c>
      <c r="B106" s="221">
        <v>45774.0</v>
      </c>
      <c r="C106" s="221">
        <v>46138.0</v>
      </c>
    </row>
    <row r="107">
      <c r="A107" s="220" t="s">
        <v>328</v>
      </c>
      <c r="B107" s="221">
        <v>45772.0</v>
      </c>
      <c r="C107" s="221">
        <v>46136.0</v>
      </c>
    </row>
    <row r="108">
      <c r="A108" s="220" t="s">
        <v>330</v>
      </c>
      <c r="B108" s="221">
        <v>45772.0</v>
      </c>
      <c r="C108" s="221">
        <v>46136.0</v>
      </c>
    </row>
    <row r="109">
      <c r="A109" s="220" t="s">
        <v>332</v>
      </c>
      <c r="B109" s="221">
        <v>45772.0</v>
      </c>
      <c r="C109" s="221">
        <v>46136.0</v>
      </c>
    </row>
    <row r="110">
      <c r="A110" s="220" t="s">
        <v>334</v>
      </c>
      <c r="B110" s="221">
        <v>45772.0</v>
      </c>
      <c r="C110" s="221">
        <v>46136.0</v>
      </c>
    </row>
    <row r="111">
      <c r="A111" s="220" t="s">
        <v>336</v>
      </c>
      <c r="B111" s="221">
        <v>45772.0</v>
      </c>
      <c r="C111" s="221">
        <v>46136.0</v>
      </c>
    </row>
    <row r="112">
      <c r="A112" s="220" t="s">
        <v>338</v>
      </c>
      <c r="B112" s="221">
        <v>45772.0</v>
      </c>
      <c r="C112" s="221">
        <v>46136.0</v>
      </c>
    </row>
    <row r="113">
      <c r="A113" s="220" t="s">
        <v>340</v>
      </c>
      <c r="B113" s="221">
        <v>45772.0</v>
      </c>
      <c r="C113" s="221">
        <v>46136.0</v>
      </c>
    </row>
    <row r="114">
      <c r="A114" s="220" t="s">
        <v>342</v>
      </c>
      <c r="B114" s="221">
        <v>45772.0</v>
      </c>
      <c r="C114" s="221">
        <v>46136.0</v>
      </c>
    </row>
    <row r="115">
      <c r="A115" s="220" t="s">
        <v>344</v>
      </c>
      <c r="B115" s="221">
        <v>45772.0</v>
      </c>
      <c r="C115" s="221">
        <v>46136.0</v>
      </c>
    </row>
    <row r="116">
      <c r="A116" s="220" t="s">
        <v>346</v>
      </c>
      <c r="B116" s="221">
        <v>45772.0</v>
      </c>
      <c r="C116" s="221">
        <v>46136.0</v>
      </c>
    </row>
    <row r="117">
      <c r="A117" s="220" t="s">
        <v>348</v>
      </c>
      <c r="B117" s="221">
        <v>45772.0</v>
      </c>
      <c r="C117" s="221">
        <v>46136.0</v>
      </c>
    </row>
    <row r="118">
      <c r="A118" s="220" t="s">
        <v>114</v>
      </c>
      <c r="B118" s="221">
        <v>45775.0</v>
      </c>
      <c r="C118" s="221">
        <v>45865.0</v>
      </c>
    </row>
    <row r="119">
      <c r="A119" s="220" t="s">
        <v>107</v>
      </c>
      <c r="B119" s="221">
        <v>45772.0</v>
      </c>
      <c r="C119" s="221">
        <v>46197.0</v>
      </c>
    </row>
    <row r="120">
      <c r="A120" s="220" t="s">
        <v>109</v>
      </c>
      <c r="B120" s="221">
        <v>45773.0</v>
      </c>
      <c r="C120" s="221">
        <v>45803.0</v>
      </c>
    </row>
    <row r="121">
      <c r="A121" s="220" t="s">
        <v>1070</v>
      </c>
      <c r="B121" s="221">
        <v>45773.0</v>
      </c>
      <c r="C121" s="221">
        <v>45802.0</v>
      </c>
    </row>
    <row r="122">
      <c r="A122" s="220" t="s">
        <v>1071</v>
      </c>
      <c r="B122" s="221">
        <v>45687.0</v>
      </c>
      <c r="C122" s="221">
        <v>46052.0</v>
      </c>
    </row>
    <row r="123">
      <c r="A123" s="220" t="s">
        <v>307</v>
      </c>
      <c r="B123" s="221">
        <v>45744.0</v>
      </c>
      <c r="C123" s="221">
        <v>46109.0</v>
      </c>
    </row>
    <row r="124">
      <c r="A124" s="220" t="s">
        <v>309</v>
      </c>
      <c r="B124" s="221">
        <v>45744.0</v>
      </c>
      <c r="C124" s="221">
        <v>46109.0</v>
      </c>
    </row>
    <row r="125">
      <c r="A125" s="220" t="s">
        <v>116</v>
      </c>
      <c r="B125" s="221">
        <v>45776.0</v>
      </c>
      <c r="C125" s="221">
        <v>45805.0</v>
      </c>
    </row>
    <row r="126">
      <c r="A126" s="220" t="s">
        <v>1072</v>
      </c>
      <c r="B126" s="221">
        <v>45757.0</v>
      </c>
      <c r="C126" s="221">
        <v>46151.0</v>
      </c>
    </row>
    <row r="127">
      <c r="A127" s="220" t="s">
        <v>1073</v>
      </c>
      <c r="B127" s="221">
        <v>45776.0</v>
      </c>
      <c r="C127" s="221">
        <v>46140.0</v>
      </c>
    </row>
    <row r="128">
      <c r="A128" s="220" t="s">
        <v>357</v>
      </c>
      <c r="B128" s="221">
        <v>45776.0</v>
      </c>
      <c r="C128" s="221">
        <v>46140.0</v>
      </c>
    </row>
    <row r="129">
      <c r="A129" s="220" t="s">
        <v>359</v>
      </c>
      <c r="B129" s="221">
        <v>45776.0</v>
      </c>
      <c r="C129" s="221">
        <v>46140.0</v>
      </c>
    </row>
    <row r="130">
      <c r="A130" s="220" t="s">
        <v>361</v>
      </c>
      <c r="B130" s="221">
        <v>45776.0</v>
      </c>
      <c r="C130" s="221">
        <v>46140.0</v>
      </c>
    </row>
    <row r="131">
      <c r="A131" s="220" t="s">
        <v>363</v>
      </c>
      <c r="B131" s="221">
        <v>45776.0</v>
      </c>
      <c r="C131" s="221">
        <v>46140.0</v>
      </c>
    </row>
    <row r="132">
      <c r="A132" s="220" t="s">
        <v>365</v>
      </c>
      <c r="B132" s="221">
        <v>45776.0</v>
      </c>
      <c r="C132" s="221">
        <v>46140.0</v>
      </c>
    </row>
    <row r="133">
      <c r="A133" s="220" t="s">
        <v>367</v>
      </c>
      <c r="B133" s="221">
        <v>45776.0</v>
      </c>
      <c r="C133" s="221">
        <v>46140.0</v>
      </c>
    </row>
    <row r="134">
      <c r="A134" s="220" t="s">
        <v>369</v>
      </c>
      <c r="B134" s="221">
        <v>45776.0</v>
      </c>
      <c r="C134" s="221">
        <v>46140.0</v>
      </c>
    </row>
    <row r="135">
      <c r="A135" s="220" t="s">
        <v>118</v>
      </c>
      <c r="B135" s="221">
        <v>45776.0</v>
      </c>
      <c r="C135" s="222">
        <v>45958.0</v>
      </c>
    </row>
    <row r="136">
      <c r="A136" s="220" t="s">
        <v>122</v>
      </c>
      <c r="B136" s="221">
        <v>45778.0</v>
      </c>
      <c r="C136" s="221">
        <v>45808.0</v>
      </c>
    </row>
    <row r="137">
      <c r="A137" s="220" t="s">
        <v>120</v>
      </c>
      <c r="B137" s="221">
        <v>45776.0</v>
      </c>
      <c r="C137" s="221">
        <v>45808.0</v>
      </c>
    </row>
    <row r="138">
      <c r="A138" s="220" t="s">
        <v>124</v>
      </c>
      <c r="B138" s="221">
        <v>45778.0</v>
      </c>
      <c r="C138" s="221">
        <v>45838.0</v>
      </c>
    </row>
    <row r="139">
      <c r="A139" s="220" t="s">
        <v>128</v>
      </c>
      <c r="B139" s="221">
        <v>45779.0</v>
      </c>
      <c r="C139" s="221">
        <v>45809.0</v>
      </c>
    </row>
    <row r="140">
      <c r="A140" s="220" t="s">
        <v>130</v>
      </c>
      <c r="B140" s="221">
        <v>45779.0</v>
      </c>
      <c r="C140" s="221">
        <v>45809.0</v>
      </c>
    </row>
    <row r="141">
      <c r="A141" s="220" t="s">
        <v>1074</v>
      </c>
      <c r="B141" s="221">
        <v>45779.0</v>
      </c>
      <c r="C141" s="221">
        <v>45779.0</v>
      </c>
    </row>
    <row r="142">
      <c r="A142" s="220" t="s">
        <v>125</v>
      </c>
      <c r="B142" s="221">
        <v>45778.0</v>
      </c>
      <c r="C142" s="221">
        <v>45808.0</v>
      </c>
    </row>
    <row r="143">
      <c r="A143" s="220" t="s">
        <v>373</v>
      </c>
      <c r="B143" s="221">
        <v>45780.0</v>
      </c>
      <c r="C143" s="221">
        <v>46144.0</v>
      </c>
    </row>
    <row r="144">
      <c r="A144" s="220" t="s">
        <v>378</v>
      </c>
      <c r="B144" s="221">
        <v>45782.0</v>
      </c>
      <c r="C144" s="221">
        <v>46146.0</v>
      </c>
    </row>
    <row r="145">
      <c r="A145" s="220" t="s">
        <v>147</v>
      </c>
      <c r="B145" s="221">
        <v>45782.0</v>
      </c>
      <c r="C145" s="221">
        <v>45782.0</v>
      </c>
    </row>
    <row r="146">
      <c r="A146" s="220" t="s">
        <v>1075</v>
      </c>
      <c r="B146" s="221">
        <v>45783.0</v>
      </c>
      <c r="C146" s="221">
        <v>46147.0</v>
      </c>
    </row>
    <row r="147">
      <c r="A147" s="220" t="s">
        <v>137</v>
      </c>
      <c r="B147" s="221">
        <v>45783.0</v>
      </c>
      <c r="C147" s="221">
        <v>45813.0</v>
      </c>
    </row>
    <row r="148">
      <c r="A148" s="220" t="s">
        <v>142</v>
      </c>
      <c r="B148" s="221">
        <v>45784.0</v>
      </c>
      <c r="C148" s="221">
        <v>45875.0</v>
      </c>
    </row>
    <row r="149">
      <c r="A149" s="220" t="s">
        <v>144</v>
      </c>
      <c r="B149" s="221">
        <v>45785.0</v>
      </c>
      <c r="C149" s="221">
        <v>45815.0</v>
      </c>
    </row>
    <row r="150">
      <c r="A150" s="220" t="s">
        <v>385</v>
      </c>
      <c r="B150" s="221">
        <v>45789.0</v>
      </c>
      <c r="C150" s="221">
        <v>46153.0</v>
      </c>
    </row>
    <row r="151">
      <c r="A151" s="220" t="s">
        <v>112</v>
      </c>
      <c r="B151" s="221">
        <v>45773.0</v>
      </c>
      <c r="C151" s="221">
        <v>45802.0</v>
      </c>
    </row>
    <row r="152">
      <c r="A152" s="220" t="s">
        <v>153</v>
      </c>
      <c r="B152" s="221">
        <v>45793.0</v>
      </c>
      <c r="C152" s="221">
        <v>45823.0</v>
      </c>
    </row>
    <row r="153">
      <c r="A153" s="220" t="s">
        <v>149</v>
      </c>
      <c r="B153" s="221">
        <v>45789.0</v>
      </c>
      <c r="C153" s="221">
        <v>45819.0</v>
      </c>
    </row>
    <row r="154">
      <c r="A154" s="220" t="s">
        <v>388</v>
      </c>
      <c r="B154" s="221">
        <v>45790.0</v>
      </c>
      <c r="C154" s="221">
        <v>46154.0</v>
      </c>
    </row>
    <row r="155">
      <c r="A155" s="220" t="s">
        <v>166</v>
      </c>
      <c r="B155" s="221">
        <v>45791.0</v>
      </c>
      <c r="C155" s="221">
        <v>45821.0</v>
      </c>
    </row>
    <row r="156">
      <c r="A156" s="220" t="s">
        <v>132</v>
      </c>
      <c r="B156" s="221">
        <v>45781.0</v>
      </c>
      <c r="C156" s="221">
        <v>45873.0</v>
      </c>
    </row>
    <row r="157">
      <c r="A157" s="220" t="s">
        <v>151</v>
      </c>
      <c r="B157" s="221">
        <v>45790.0</v>
      </c>
      <c r="C157" s="222">
        <v>45973.0</v>
      </c>
    </row>
    <row r="158">
      <c r="A158" s="220" t="s">
        <v>134</v>
      </c>
      <c r="B158" s="221">
        <v>45782.0</v>
      </c>
      <c r="C158" s="221">
        <v>45813.0</v>
      </c>
    </row>
    <row r="159">
      <c r="A159" s="220" t="s">
        <v>155</v>
      </c>
      <c r="B159" s="221">
        <v>45793.0</v>
      </c>
      <c r="C159" s="221">
        <v>45854.0</v>
      </c>
    </row>
    <row r="160">
      <c r="A160" s="220" t="s">
        <v>390</v>
      </c>
      <c r="B160" s="221">
        <v>45793.0</v>
      </c>
      <c r="C160" s="221">
        <v>46157.0</v>
      </c>
    </row>
    <row r="161">
      <c r="A161" s="220" t="s">
        <v>158</v>
      </c>
      <c r="B161" s="221">
        <v>45793.0</v>
      </c>
      <c r="C161" s="221">
        <v>45824.0</v>
      </c>
    </row>
    <row r="162">
      <c r="A162" s="220" t="s">
        <v>1076</v>
      </c>
      <c r="B162" s="221">
        <v>45692.0</v>
      </c>
      <c r="C162" s="221">
        <v>46056.0</v>
      </c>
    </row>
    <row r="163">
      <c r="A163" s="220" t="s">
        <v>392</v>
      </c>
      <c r="B163" s="221">
        <v>45797.0</v>
      </c>
      <c r="C163" s="221">
        <v>46161.0</v>
      </c>
    </row>
    <row r="164">
      <c r="A164" s="220" t="s">
        <v>394</v>
      </c>
      <c r="B164" s="221">
        <v>45797.0</v>
      </c>
      <c r="C164" s="221">
        <v>46161.0</v>
      </c>
    </row>
    <row r="165">
      <c r="A165" s="220" t="s">
        <v>397</v>
      </c>
      <c r="B165" s="221">
        <v>45797.0</v>
      </c>
      <c r="C165" s="221">
        <v>46161.0</v>
      </c>
    </row>
    <row r="166">
      <c r="A166" s="220" t="s">
        <v>399</v>
      </c>
      <c r="B166" s="221">
        <v>45797.0</v>
      </c>
      <c r="C166" s="221">
        <v>46161.0</v>
      </c>
    </row>
    <row r="167">
      <c r="A167" s="220" t="s">
        <v>401</v>
      </c>
      <c r="B167" s="221">
        <v>45797.0</v>
      </c>
      <c r="C167" s="221">
        <v>46161.0</v>
      </c>
    </row>
    <row r="168">
      <c r="A168" s="220" t="s">
        <v>1077</v>
      </c>
      <c r="B168" s="221">
        <v>45799.0</v>
      </c>
      <c r="C168" s="221">
        <v>46161.0</v>
      </c>
    </row>
    <row r="169">
      <c r="A169" s="220" t="s">
        <v>139</v>
      </c>
      <c r="B169" s="221">
        <v>45783.0</v>
      </c>
      <c r="C169" s="221">
        <v>45813.0</v>
      </c>
    </row>
    <row r="170">
      <c r="A170" s="220" t="s">
        <v>402</v>
      </c>
      <c r="B170" s="221">
        <v>45800.0</v>
      </c>
      <c r="C170" s="221">
        <v>46164.0</v>
      </c>
    </row>
    <row r="171">
      <c r="A171" s="220" t="s">
        <v>403</v>
      </c>
      <c r="B171" s="221">
        <v>45803.0</v>
      </c>
      <c r="C171" s="221">
        <v>46167.0</v>
      </c>
    </row>
    <row r="172">
      <c r="A172" s="220" t="s">
        <v>164</v>
      </c>
      <c r="B172" s="221">
        <v>45803.0</v>
      </c>
      <c r="C172" s="222">
        <v>45986.0</v>
      </c>
    </row>
    <row r="173">
      <c r="A173" s="220" t="s">
        <v>405</v>
      </c>
      <c r="B173" s="221">
        <v>45804.0</v>
      </c>
      <c r="C173" s="221">
        <v>46168.0</v>
      </c>
    </row>
    <row r="174">
      <c r="A174" s="220" t="s">
        <v>220</v>
      </c>
      <c r="B174" s="221">
        <v>45839.0</v>
      </c>
      <c r="C174" s="221">
        <v>45869.0</v>
      </c>
    </row>
    <row r="175">
      <c r="A175" s="220" t="s">
        <v>1078</v>
      </c>
      <c r="B175" s="221">
        <v>45803.0</v>
      </c>
      <c r="C175" s="221">
        <v>45833.0</v>
      </c>
    </row>
    <row r="176">
      <c r="A176" s="220" t="s">
        <v>407</v>
      </c>
      <c r="B176" s="221">
        <v>45804.0</v>
      </c>
      <c r="C176" s="221">
        <v>46169.0</v>
      </c>
    </row>
    <row r="177">
      <c r="A177" s="220" t="s">
        <v>168</v>
      </c>
      <c r="B177" s="221">
        <v>45805.0</v>
      </c>
      <c r="C177" s="221">
        <v>45835.0</v>
      </c>
    </row>
    <row r="178">
      <c r="A178" s="220" t="s">
        <v>170</v>
      </c>
      <c r="B178" s="221">
        <v>45806.0</v>
      </c>
      <c r="C178" s="221">
        <v>45836.0</v>
      </c>
    </row>
    <row r="179">
      <c r="A179" s="220" t="s">
        <v>413</v>
      </c>
      <c r="B179" s="221">
        <v>45809.0</v>
      </c>
      <c r="C179" s="221">
        <v>46173.0</v>
      </c>
    </row>
    <row r="180">
      <c r="A180" s="220" t="s">
        <v>172</v>
      </c>
      <c r="B180" s="221">
        <v>45806.0</v>
      </c>
      <c r="C180" s="221">
        <v>45836.0</v>
      </c>
    </row>
    <row r="181">
      <c r="A181" s="220" t="s">
        <v>409</v>
      </c>
      <c r="B181" s="221">
        <v>45806.0</v>
      </c>
      <c r="C181" s="221">
        <v>46170.0</v>
      </c>
    </row>
    <row r="182">
      <c r="A182" s="220" t="s">
        <v>415</v>
      </c>
      <c r="B182" s="221">
        <v>45809.0</v>
      </c>
      <c r="C182" s="221">
        <v>46173.0</v>
      </c>
    </row>
    <row r="183">
      <c r="A183" s="220" t="s">
        <v>174</v>
      </c>
      <c r="B183" s="221">
        <v>45807.0</v>
      </c>
      <c r="C183" s="221">
        <v>45898.0</v>
      </c>
    </row>
    <row r="184">
      <c r="A184" s="220" t="s">
        <v>411</v>
      </c>
      <c r="B184" s="221">
        <v>45807.0</v>
      </c>
      <c r="C184" s="221">
        <v>46171.0</v>
      </c>
    </row>
    <row r="185">
      <c r="A185" s="220" t="s">
        <v>1079</v>
      </c>
      <c r="B185" s="221">
        <v>45809.0</v>
      </c>
      <c r="C185" s="221">
        <v>46173.0</v>
      </c>
    </row>
    <row r="186">
      <c r="A186" s="220" t="s">
        <v>175</v>
      </c>
      <c r="B186" s="221">
        <v>45808.0</v>
      </c>
      <c r="C186" s="221">
        <v>45869.0</v>
      </c>
    </row>
    <row r="187">
      <c r="A187" s="220" t="s">
        <v>1080</v>
      </c>
      <c r="B187" s="221">
        <v>45808.0</v>
      </c>
      <c r="C187" s="221">
        <v>45808.0</v>
      </c>
    </row>
    <row r="188">
      <c r="A188" s="220" t="s">
        <v>178</v>
      </c>
      <c r="B188" s="221">
        <v>45809.0</v>
      </c>
      <c r="C188" s="221">
        <v>45838.0</v>
      </c>
    </row>
    <row r="189">
      <c r="A189" s="220" t="s">
        <v>1081</v>
      </c>
      <c r="B189" s="221">
        <v>45744.0</v>
      </c>
      <c r="C189" s="221">
        <v>46108.0</v>
      </c>
    </row>
    <row r="190">
      <c r="A190" s="226" t="s">
        <v>1082</v>
      </c>
      <c r="B190" s="227" t="s">
        <v>1083</v>
      </c>
      <c r="C190" s="227" t="s">
        <v>1084</v>
      </c>
    </row>
  </sheetData>
  <autoFilter ref="$A$3:$C$19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5"/>
  </cols>
  <sheetData>
    <row r="2">
      <c r="B2" s="228" t="s">
        <v>1085</v>
      </c>
      <c r="C2" s="229" t="s">
        <v>1086</v>
      </c>
    </row>
    <row r="3">
      <c r="B3" s="230" t="s">
        <v>273</v>
      </c>
      <c r="C3" s="231" t="s">
        <v>45</v>
      </c>
    </row>
    <row r="4">
      <c r="B4" s="230" t="s">
        <v>279</v>
      </c>
      <c r="C4" s="231" t="s">
        <v>31</v>
      </c>
    </row>
    <row r="5">
      <c r="B5" s="230" t="s">
        <v>1087</v>
      </c>
      <c r="C5" s="231" t="s">
        <v>188</v>
      </c>
    </row>
    <row r="6">
      <c r="B6" s="230" t="s">
        <v>1088</v>
      </c>
      <c r="C6" s="231" t="s">
        <v>159</v>
      </c>
    </row>
    <row r="7">
      <c r="B7" s="230" t="s">
        <v>537</v>
      </c>
      <c r="C7" s="231" t="s">
        <v>31</v>
      </c>
    </row>
    <row r="8">
      <c r="B8" s="230" t="s">
        <v>1089</v>
      </c>
      <c r="C8" s="230" t="s">
        <v>226</v>
      </c>
    </row>
    <row r="9">
      <c r="B9" s="230" t="s">
        <v>1090</v>
      </c>
      <c r="C9" s="230" t="s">
        <v>226</v>
      </c>
    </row>
    <row r="10">
      <c r="B10" s="230" t="s">
        <v>1091</v>
      </c>
      <c r="C10" s="231" t="s">
        <v>140</v>
      </c>
    </row>
    <row r="11">
      <c r="B11" s="230" t="s">
        <v>1092</v>
      </c>
      <c r="C11" s="231" t="s">
        <v>244</v>
      </c>
    </row>
    <row r="12">
      <c r="B12" s="230" t="s">
        <v>1093</v>
      </c>
      <c r="C12" s="231" t="s">
        <v>31</v>
      </c>
    </row>
    <row r="13">
      <c r="B13" s="230" t="s">
        <v>1094</v>
      </c>
      <c r="C13" s="231" t="s">
        <v>159</v>
      </c>
    </row>
    <row r="14">
      <c r="B14" s="230" t="s">
        <v>544</v>
      </c>
      <c r="C14" s="231" t="s">
        <v>45</v>
      </c>
    </row>
    <row r="15">
      <c r="B15" s="230" t="s">
        <v>281</v>
      </c>
      <c r="C15" s="231" t="s">
        <v>45</v>
      </c>
    </row>
    <row r="16">
      <c r="B16" s="230" t="s">
        <v>1095</v>
      </c>
      <c r="C16" s="231" t="s">
        <v>45</v>
      </c>
    </row>
    <row r="17">
      <c r="B17" s="230" t="s">
        <v>1096</v>
      </c>
      <c r="C17" s="231" t="s">
        <v>45</v>
      </c>
    </row>
    <row r="18">
      <c r="B18" s="230" t="s">
        <v>1097</v>
      </c>
      <c r="C18" s="231" t="s">
        <v>140</v>
      </c>
    </row>
    <row r="19">
      <c r="B19" s="230" t="s">
        <v>550</v>
      </c>
      <c r="C19" s="231" t="s">
        <v>45</v>
      </c>
    </row>
    <row r="20">
      <c r="B20" s="230" t="s">
        <v>552</v>
      </c>
      <c r="C20" s="231" t="s">
        <v>188</v>
      </c>
    </row>
    <row r="21">
      <c r="B21" s="230" t="s">
        <v>1098</v>
      </c>
      <c r="C21" s="230" t="s">
        <v>226</v>
      </c>
    </row>
    <row r="22">
      <c r="B22" s="230" t="s">
        <v>1099</v>
      </c>
      <c r="C22" s="231" t="s">
        <v>31</v>
      </c>
    </row>
    <row r="23">
      <c r="B23" s="230" t="s">
        <v>1100</v>
      </c>
      <c r="C23" s="230" t="s">
        <v>226</v>
      </c>
    </row>
    <row r="24">
      <c r="B24" s="230" t="s">
        <v>553</v>
      </c>
      <c r="C24" s="231" t="s">
        <v>45</v>
      </c>
    </row>
    <row r="25">
      <c r="B25" s="230" t="s">
        <v>1101</v>
      </c>
      <c r="C25" s="231" t="s">
        <v>45</v>
      </c>
    </row>
    <row r="26">
      <c r="B26" s="230" t="s">
        <v>1102</v>
      </c>
      <c r="C26" s="231" t="s">
        <v>45</v>
      </c>
    </row>
    <row r="27">
      <c r="B27" s="230" t="s">
        <v>1103</v>
      </c>
      <c r="C27" s="231" t="s">
        <v>188</v>
      </c>
    </row>
    <row r="28">
      <c r="B28" s="230" t="s">
        <v>1104</v>
      </c>
      <c r="C28" s="231" t="s">
        <v>31</v>
      </c>
    </row>
    <row r="29">
      <c r="B29" s="230" t="s">
        <v>1105</v>
      </c>
      <c r="C29" s="231" t="s">
        <v>140</v>
      </c>
    </row>
    <row r="30">
      <c r="B30" s="230" t="s">
        <v>1106</v>
      </c>
      <c r="C30" s="231" t="s">
        <v>159</v>
      </c>
    </row>
    <row r="31">
      <c r="B31" s="230" t="s">
        <v>1107</v>
      </c>
      <c r="C31" s="231" t="s">
        <v>31</v>
      </c>
    </row>
    <row r="32">
      <c r="B32" s="230" t="s">
        <v>1108</v>
      </c>
      <c r="C32" s="231" t="s">
        <v>45</v>
      </c>
    </row>
    <row r="33">
      <c r="B33" s="230" t="s">
        <v>561</v>
      </c>
      <c r="C33" s="231" t="s">
        <v>45</v>
      </c>
    </row>
    <row r="34">
      <c r="B34" s="230" t="s">
        <v>563</v>
      </c>
      <c r="C34" s="231" t="s">
        <v>188</v>
      </c>
    </row>
    <row r="35">
      <c r="B35" s="230" t="s">
        <v>568</v>
      </c>
      <c r="C35" s="231" t="s">
        <v>45</v>
      </c>
    </row>
    <row r="36">
      <c r="B36" s="230" t="s">
        <v>283</v>
      </c>
      <c r="C36" s="231" t="s">
        <v>159</v>
      </c>
    </row>
    <row r="37">
      <c r="B37" s="230" t="s">
        <v>285</v>
      </c>
      <c r="C37" s="231" t="s">
        <v>188</v>
      </c>
    </row>
    <row r="38">
      <c r="B38" s="230" t="s">
        <v>566</v>
      </c>
      <c r="C38" s="231" t="s">
        <v>140</v>
      </c>
    </row>
    <row r="39">
      <c r="B39" s="230" t="s">
        <v>569</v>
      </c>
      <c r="C39" s="231" t="s">
        <v>31</v>
      </c>
    </row>
    <row r="40">
      <c r="B40" s="230" t="s">
        <v>571</v>
      </c>
      <c r="C40" s="231" t="s">
        <v>140</v>
      </c>
    </row>
    <row r="41">
      <c r="B41" s="230" t="s">
        <v>573</v>
      </c>
      <c r="C41" s="231" t="s">
        <v>244</v>
      </c>
    </row>
    <row r="42">
      <c r="B42" s="230" t="s">
        <v>1109</v>
      </c>
      <c r="C42" s="231" t="s">
        <v>31</v>
      </c>
    </row>
    <row r="43">
      <c r="B43" s="230" t="s">
        <v>1110</v>
      </c>
      <c r="C43" s="231" t="s">
        <v>45</v>
      </c>
    </row>
    <row r="44">
      <c r="B44" s="230" t="s">
        <v>1111</v>
      </c>
      <c r="C44" s="230" t="s">
        <v>226</v>
      </c>
    </row>
    <row r="45">
      <c r="B45" s="230" t="s">
        <v>1112</v>
      </c>
      <c r="C45" s="231" t="s">
        <v>140</v>
      </c>
    </row>
    <row r="46">
      <c r="B46" s="230" t="s">
        <v>1113</v>
      </c>
      <c r="C46" s="231" t="s">
        <v>159</v>
      </c>
    </row>
    <row r="47">
      <c r="B47" s="230" t="s">
        <v>578</v>
      </c>
      <c r="C47" s="231" t="s">
        <v>31</v>
      </c>
    </row>
    <row r="48">
      <c r="B48" s="230" t="s">
        <v>580</v>
      </c>
      <c r="C48" s="231" t="s">
        <v>140</v>
      </c>
    </row>
    <row r="49">
      <c r="B49" s="230" t="s">
        <v>582</v>
      </c>
      <c r="C49" s="231" t="s">
        <v>244</v>
      </c>
    </row>
    <row r="50">
      <c r="B50" s="230" t="s">
        <v>583</v>
      </c>
      <c r="C50" s="231"/>
    </row>
    <row r="51">
      <c r="B51" s="230" t="s">
        <v>1114</v>
      </c>
      <c r="C51" s="231" t="s">
        <v>45</v>
      </c>
    </row>
    <row r="52">
      <c r="B52" s="230" t="s">
        <v>1115</v>
      </c>
      <c r="C52" s="231" t="s">
        <v>140</v>
      </c>
    </row>
    <row r="53">
      <c r="B53" s="230" t="s">
        <v>1116</v>
      </c>
      <c r="C53" s="231" t="s">
        <v>140</v>
      </c>
    </row>
    <row r="54">
      <c r="B54" s="230" t="s">
        <v>585</v>
      </c>
      <c r="C54" s="231" t="s">
        <v>244</v>
      </c>
    </row>
    <row r="55">
      <c r="B55" s="230" t="s">
        <v>587</v>
      </c>
      <c r="C55" s="231" t="s">
        <v>188</v>
      </c>
    </row>
    <row r="56">
      <c r="B56" s="230" t="s">
        <v>1117</v>
      </c>
      <c r="C56" s="231" t="s">
        <v>589</v>
      </c>
    </row>
    <row r="57">
      <c r="B57" s="230" t="s">
        <v>1118</v>
      </c>
      <c r="C57" s="231" t="s">
        <v>159</v>
      </c>
    </row>
    <row r="58">
      <c r="B58" s="230" t="s">
        <v>1119</v>
      </c>
      <c r="C58" s="231" t="s">
        <v>45</v>
      </c>
    </row>
    <row r="59">
      <c r="B59" s="230" t="s">
        <v>1120</v>
      </c>
      <c r="C59" s="231" t="s">
        <v>45</v>
      </c>
    </row>
    <row r="60">
      <c r="B60" s="230" t="s">
        <v>591</v>
      </c>
      <c r="C60" s="231" t="s">
        <v>140</v>
      </c>
    </row>
    <row r="61">
      <c r="B61" s="230" t="s">
        <v>1121</v>
      </c>
      <c r="C61" s="231" t="s">
        <v>45</v>
      </c>
    </row>
    <row r="62">
      <c r="B62" s="230" t="s">
        <v>593</v>
      </c>
      <c r="C62" s="231" t="s">
        <v>188</v>
      </c>
    </row>
    <row r="63">
      <c r="B63" s="230" t="s">
        <v>594</v>
      </c>
      <c r="C63" s="231" t="s">
        <v>31</v>
      </c>
    </row>
    <row r="64">
      <c r="B64" s="230" t="s">
        <v>596</v>
      </c>
      <c r="C64" s="231" t="s">
        <v>31</v>
      </c>
    </row>
    <row r="65">
      <c r="B65" s="230" t="s">
        <v>598</v>
      </c>
      <c r="C65" s="231" t="s">
        <v>589</v>
      </c>
    </row>
    <row r="66">
      <c r="B66" s="230" t="s">
        <v>600</v>
      </c>
      <c r="C66" s="231" t="s">
        <v>589</v>
      </c>
    </row>
    <row r="67">
      <c r="B67" s="230" t="s">
        <v>1122</v>
      </c>
      <c r="C67" s="231" t="s">
        <v>140</v>
      </c>
    </row>
    <row r="68">
      <c r="B68" s="230" t="s">
        <v>602</v>
      </c>
      <c r="C68" s="231" t="s">
        <v>45</v>
      </c>
    </row>
    <row r="69">
      <c r="B69" s="230" t="s">
        <v>604</v>
      </c>
      <c r="C69" s="231" t="s">
        <v>140</v>
      </c>
    </row>
    <row r="70">
      <c r="B70" s="230" t="s">
        <v>606</v>
      </c>
      <c r="C70" s="231" t="s">
        <v>31</v>
      </c>
    </row>
    <row r="71">
      <c r="B71" s="230" t="s">
        <v>1123</v>
      </c>
      <c r="C71" s="231" t="s">
        <v>159</v>
      </c>
    </row>
    <row r="72">
      <c r="B72" s="230" t="s">
        <v>1124</v>
      </c>
      <c r="C72" s="231" t="s">
        <v>244</v>
      </c>
    </row>
    <row r="73">
      <c r="B73" s="230" t="s">
        <v>1125</v>
      </c>
      <c r="C73" s="231" t="s">
        <v>159</v>
      </c>
    </row>
    <row r="74">
      <c r="B74" s="230" t="s">
        <v>1126</v>
      </c>
      <c r="C74" s="231" t="s">
        <v>140</v>
      </c>
    </row>
    <row r="75">
      <c r="B75" s="230" t="s">
        <v>1127</v>
      </c>
      <c r="C75" s="231"/>
    </row>
    <row r="76">
      <c r="B76" s="230" t="s">
        <v>1128</v>
      </c>
      <c r="C76" s="231" t="s">
        <v>31</v>
      </c>
    </row>
    <row r="77">
      <c r="B77" s="230" t="s">
        <v>1129</v>
      </c>
      <c r="C77" s="231" t="s">
        <v>31</v>
      </c>
    </row>
    <row r="78">
      <c r="B78" s="230" t="s">
        <v>1130</v>
      </c>
      <c r="C78" s="231" t="s">
        <v>244</v>
      </c>
    </row>
    <row r="79">
      <c r="B79" s="230" t="s">
        <v>619</v>
      </c>
      <c r="C79" s="231" t="s">
        <v>45</v>
      </c>
    </row>
    <row r="80">
      <c r="B80" s="230" t="s">
        <v>620</v>
      </c>
      <c r="C80" s="231" t="s">
        <v>159</v>
      </c>
    </row>
    <row r="81">
      <c r="B81" s="230" t="s">
        <v>623</v>
      </c>
      <c r="C81" s="231" t="s">
        <v>31</v>
      </c>
    </row>
    <row r="82">
      <c r="B82" s="230" t="s">
        <v>1131</v>
      </c>
      <c r="C82" s="230" t="s">
        <v>226</v>
      </c>
    </row>
    <row r="83">
      <c r="B83" s="230" t="s">
        <v>624</v>
      </c>
      <c r="C83" s="231" t="s">
        <v>140</v>
      </c>
    </row>
    <row r="84">
      <c r="B84" s="230" t="s">
        <v>1132</v>
      </c>
      <c r="C84" s="231" t="s">
        <v>31</v>
      </c>
    </row>
    <row r="85">
      <c r="B85" s="230" t="s">
        <v>1133</v>
      </c>
      <c r="C85" s="231" t="s">
        <v>159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36.25"/>
    <col customWidth="1" hidden="1" min="3" max="3" width="12.63"/>
    <col customWidth="1" min="4" max="4" width="3.75"/>
    <col customWidth="1" min="5" max="6" width="12.63"/>
  </cols>
  <sheetData>
    <row r="1" ht="15.75" customHeight="1">
      <c r="A1" s="232" t="s">
        <v>1134</v>
      </c>
      <c r="B1" s="232" t="s">
        <v>1135</v>
      </c>
      <c r="C1" s="232" t="s">
        <v>1136</v>
      </c>
      <c r="D1" s="232" t="s">
        <v>1137</v>
      </c>
      <c r="E1" s="232" t="s">
        <v>1138</v>
      </c>
      <c r="F1" s="232" t="s">
        <v>1139</v>
      </c>
      <c r="G1" s="232" t="s">
        <v>1140</v>
      </c>
      <c r="H1" s="232" t="s">
        <v>1141</v>
      </c>
    </row>
    <row r="2" ht="15.75" customHeight="1">
      <c r="A2" s="232" t="s">
        <v>1142</v>
      </c>
      <c r="B2" s="232" t="s">
        <v>1143</v>
      </c>
      <c r="C2" s="232" t="s">
        <v>1144</v>
      </c>
      <c r="E2" s="233">
        <v>45739.0</v>
      </c>
      <c r="F2" s="234">
        <v>45711.86201388889</v>
      </c>
      <c r="G2" s="232" t="s">
        <v>1145</v>
      </c>
      <c r="H2" s="235" t="s">
        <v>1146</v>
      </c>
    </row>
    <row r="3" ht="15.75" customHeight="1">
      <c r="A3" s="232" t="s">
        <v>1147</v>
      </c>
      <c r="B3" s="232" t="s">
        <v>1148</v>
      </c>
      <c r="C3" s="232" t="s">
        <v>1149</v>
      </c>
      <c r="E3" s="233">
        <v>45741.0</v>
      </c>
      <c r="F3" s="234">
        <v>45709.85070601852</v>
      </c>
      <c r="G3" s="232" t="s">
        <v>1145</v>
      </c>
      <c r="H3" s="235" t="s">
        <v>1150</v>
      </c>
    </row>
    <row r="4" ht="15.75" customHeight="1">
      <c r="A4" s="232" t="s">
        <v>1151</v>
      </c>
      <c r="B4" s="232" t="s">
        <v>1152</v>
      </c>
      <c r="C4" s="232" t="s">
        <v>1153</v>
      </c>
      <c r="E4" s="233">
        <v>45726.0</v>
      </c>
      <c r="F4" s="234">
        <v>45698.66024305556</v>
      </c>
      <c r="G4" s="232" t="s">
        <v>1145</v>
      </c>
      <c r="H4" s="235" t="s">
        <v>1154</v>
      </c>
    </row>
    <row r="5" ht="15.75" customHeight="1">
      <c r="A5" s="232" t="s">
        <v>1155</v>
      </c>
      <c r="B5" s="232" t="s">
        <v>1152</v>
      </c>
      <c r="C5" s="232" t="s">
        <v>1156</v>
      </c>
      <c r="D5" s="232" t="s">
        <v>1157</v>
      </c>
      <c r="E5" s="236">
        <v>45724.0</v>
      </c>
      <c r="F5" s="237">
        <v>45696.8528125</v>
      </c>
      <c r="G5" s="232" t="s">
        <v>1145</v>
      </c>
      <c r="H5" s="235" t="s">
        <v>1158</v>
      </c>
    </row>
    <row r="6" ht="15.75" customHeight="1">
      <c r="A6" s="232" t="s">
        <v>1159</v>
      </c>
      <c r="B6" s="232" t="s">
        <v>1152</v>
      </c>
      <c r="C6" s="232" t="s">
        <v>1160</v>
      </c>
      <c r="E6" s="236">
        <v>45723.0</v>
      </c>
      <c r="F6" s="237">
        <v>45695.03351851852</v>
      </c>
      <c r="G6" s="232" t="s">
        <v>1145</v>
      </c>
      <c r="H6" s="235" t="s">
        <v>1161</v>
      </c>
    </row>
    <row r="7" ht="15.75" customHeight="1">
      <c r="A7" s="232" t="s">
        <v>1162</v>
      </c>
      <c r="B7" s="232" t="s">
        <v>1152</v>
      </c>
      <c r="C7" s="232" t="s">
        <v>1163</v>
      </c>
      <c r="E7" s="233">
        <v>45747.0</v>
      </c>
      <c r="F7" s="234">
        <v>45688.4084375</v>
      </c>
      <c r="G7" s="232" t="s">
        <v>1145</v>
      </c>
      <c r="H7" s="235" t="s">
        <v>1164</v>
      </c>
    </row>
    <row r="8" ht="15.75" hidden="1" customHeight="1">
      <c r="A8" s="232" t="s">
        <v>1165</v>
      </c>
      <c r="B8" s="232" t="s">
        <v>1166</v>
      </c>
      <c r="C8" s="232" t="s">
        <v>1167</v>
      </c>
      <c r="E8" s="233">
        <v>45745.0</v>
      </c>
      <c r="F8" s="234">
        <v>45686.672581018516</v>
      </c>
      <c r="G8" s="232" t="s">
        <v>1145</v>
      </c>
      <c r="H8" s="235" t="s">
        <v>1168</v>
      </c>
    </row>
    <row r="9" ht="15.75" hidden="1" customHeight="1">
      <c r="A9" s="232" t="s">
        <v>1169</v>
      </c>
      <c r="B9" s="232" t="s">
        <v>1166</v>
      </c>
      <c r="C9" s="232" t="s">
        <v>1170</v>
      </c>
      <c r="E9" s="233">
        <v>45739.0</v>
      </c>
      <c r="F9" s="234">
        <v>45680.786574074074</v>
      </c>
      <c r="G9" s="232" t="s">
        <v>1145</v>
      </c>
      <c r="H9" s="235" t="s">
        <v>1171</v>
      </c>
    </row>
    <row r="10" ht="15.75" hidden="1" customHeight="1">
      <c r="A10" s="232" t="s">
        <v>1172</v>
      </c>
      <c r="B10" s="232" t="s">
        <v>1166</v>
      </c>
      <c r="C10" s="232" t="s">
        <v>1173</v>
      </c>
      <c r="E10" s="233">
        <v>45739.0</v>
      </c>
      <c r="F10" s="234">
        <v>45680.772511574076</v>
      </c>
      <c r="G10" s="232" t="s">
        <v>1145</v>
      </c>
      <c r="H10" s="235" t="s">
        <v>1174</v>
      </c>
    </row>
    <row r="11" ht="15.75" customHeight="1">
      <c r="A11" s="232" t="s">
        <v>1175</v>
      </c>
      <c r="B11" s="232" t="s">
        <v>1176</v>
      </c>
      <c r="C11" s="232" t="s">
        <v>1177</v>
      </c>
      <c r="D11" s="232" t="s">
        <v>1178</v>
      </c>
      <c r="E11" s="233">
        <v>45769.0</v>
      </c>
      <c r="F11" s="234">
        <v>45679.688125</v>
      </c>
      <c r="G11" s="232" t="s">
        <v>1145</v>
      </c>
      <c r="H11" s="235" t="s">
        <v>1179</v>
      </c>
    </row>
    <row r="12" ht="15.75" hidden="1" customHeight="1">
      <c r="A12" s="232" t="s">
        <v>1180</v>
      </c>
      <c r="B12" s="232" t="s">
        <v>1166</v>
      </c>
      <c r="C12" s="232" t="s">
        <v>1181</v>
      </c>
      <c r="E12" s="233">
        <v>45733.0</v>
      </c>
      <c r="F12" s="234">
        <v>45674.5903125</v>
      </c>
      <c r="G12" s="232" t="s">
        <v>1145</v>
      </c>
      <c r="H12" s="235" t="s">
        <v>1182</v>
      </c>
    </row>
    <row r="13" ht="15.75" hidden="1" customHeight="1">
      <c r="A13" s="232" t="s">
        <v>1183</v>
      </c>
      <c r="B13" s="232" t="s">
        <v>1166</v>
      </c>
      <c r="C13" s="232" t="s">
        <v>1184</v>
      </c>
      <c r="E13" s="233">
        <v>45733.0</v>
      </c>
      <c r="F13" s="234">
        <v>45674.494305555556</v>
      </c>
      <c r="G13" s="232" t="s">
        <v>1145</v>
      </c>
      <c r="H13" s="235" t="s">
        <v>1185</v>
      </c>
    </row>
    <row r="14" ht="15.75" hidden="1" customHeight="1">
      <c r="A14" s="232" t="s">
        <v>1186</v>
      </c>
      <c r="B14" s="232" t="s">
        <v>1166</v>
      </c>
      <c r="C14" s="232" t="s">
        <v>1187</v>
      </c>
      <c r="E14" s="233">
        <v>45731.0</v>
      </c>
      <c r="F14" s="234">
        <v>45672.65195601852</v>
      </c>
      <c r="G14" s="232" t="s">
        <v>1145</v>
      </c>
      <c r="H14" s="235" t="s">
        <v>1188</v>
      </c>
    </row>
    <row r="15" ht="15.75" hidden="1" customHeight="1">
      <c r="A15" s="232" t="s">
        <v>1189</v>
      </c>
      <c r="B15" s="232" t="s">
        <v>1166</v>
      </c>
      <c r="C15" s="232" t="s">
        <v>1190</v>
      </c>
      <c r="E15" s="233">
        <v>45729.0</v>
      </c>
      <c r="F15" s="234">
        <v>45670.6908912037</v>
      </c>
      <c r="G15" s="232" t="s">
        <v>1145</v>
      </c>
      <c r="H15" s="235" t="s">
        <v>1191</v>
      </c>
    </row>
    <row r="16" ht="15.75" hidden="1" customHeight="1">
      <c r="A16" s="232" t="s">
        <v>1192</v>
      </c>
      <c r="B16" s="232" t="s">
        <v>1166</v>
      </c>
      <c r="C16" s="232" t="s">
        <v>1193</v>
      </c>
      <c r="E16" s="233">
        <v>45726.0</v>
      </c>
      <c r="F16" s="234">
        <v>45667.72758101852</v>
      </c>
      <c r="G16" s="232" t="s">
        <v>1145</v>
      </c>
      <c r="H16" s="235" t="s">
        <v>1194</v>
      </c>
    </row>
    <row r="17" ht="15.75" hidden="1" customHeight="1">
      <c r="A17" s="232" t="s">
        <v>1195</v>
      </c>
      <c r="B17" s="232" t="s">
        <v>1166</v>
      </c>
      <c r="C17" s="232" t="s">
        <v>1196</v>
      </c>
      <c r="E17" s="236">
        <v>45724.0</v>
      </c>
      <c r="F17" s="237">
        <v>45665.25017361111</v>
      </c>
      <c r="G17" s="232" t="s">
        <v>1145</v>
      </c>
      <c r="H17" s="235" t="s">
        <v>1197</v>
      </c>
    </row>
    <row r="18" ht="15.75" hidden="1" customHeight="1">
      <c r="A18" s="232" t="s">
        <v>1198</v>
      </c>
      <c r="B18" s="232" t="s">
        <v>1166</v>
      </c>
      <c r="C18" s="232" t="s">
        <v>1199</v>
      </c>
      <c r="E18" s="236">
        <v>45749.0</v>
      </c>
      <c r="F18" s="237">
        <v>45659.94930555556</v>
      </c>
      <c r="G18" s="232" t="s">
        <v>1145</v>
      </c>
      <c r="H18" s="235" t="s">
        <v>1200</v>
      </c>
    </row>
    <row r="19" ht="15.75" hidden="1" customHeight="1">
      <c r="A19" s="232" t="s">
        <v>1201</v>
      </c>
      <c r="B19" s="232" t="s">
        <v>1166</v>
      </c>
      <c r="C19" s="232" t="s">
        <v>1202</v>
      </c>
      <c r="E19" s="236">
        <v>45749.0</v>
      </c>
      <c r="F19" s="237">
        <v>45659.57769675926</v>
      </c>
      <c r="G19" s="232" t="s">
        <v>1145</v>
      </c>
      <c r="H19" s="235" t="s">
        <v>1203</v>
      </c>
    </row>
    <row r="20" ht="15.75" hidden="1" customHeight="1">
      <c r="A20" s="232" t="s">
        <v>1204</v>
      </c>
      <c r="B20" s="232" t="s">
        <v>1166</v>
      </c>
      <c r="C20" s="232" t="s">
        <v>1205</v>
      </c>
      <c r="E20" s="233">
        <v>45746.0</v>
      </c>
      <c r="F20" s="234">
        <v>45656.88167824074</v>
      </c>
      <c r="G20" s="232" t="s">
        <v>1145</v>
      </c>
      <c r="H20" s="235" t="s">
        <v>1206</v>
      </c>
    </row>
    <row r="21" ht="15.75" customHeight="1">
      <c r="A21" s="232" t="s">
        <v>1207</v>
      </c>
      <c r="B21" s="232" t="s">
        <v>1208</v>
      </c>
      <c r="C21" s="232" t="s">
        <v>1209</v>
      </c>
      <c r="D21" s="232" t="s">
        <v>1210</v>
      </c>
      <c r="E21" s="233">
        <v>45742.0</v>
      </c>
      <c r="F21" s="234">
        <v>45651.6428125</v>
      </c>
      <c r="G21" s="232" t="s">
        <v>1145</v>
      </c>
      <c r="H21" s="235" t="s">
        <v>1211</v>
      </c>
    </row>
    <row r="22" ht="15.75" customHeight="1">
      <c r="A22" s="232" t="s">
        <v>1212</v>
      </c>
      <c r="B22" s="232" t="s">
        <v>1213</v>
      </c>
      <c r="C22" s="232" t="s">
        <v>1214</v>
      </c>
      <c r="D22" s="232" t="s">
        <v>1215</v>
      </c>
      <c r="E22" s="236">
        <v>45748.0</v>
      </c>
      <c r="F22" s="234">
        <v>45646.9305787037</v>
      </c>
      <c r="G22" s="232" t="s">
        <v>1145</v>
      </c>
      <c r="H22" s="235" t="s">
        <v>1216</v>
      </c>
    </row>
    <row r="23" ht="15.75" hidden="1" customHeight="1">
      <c r="A23" s="232" t="s">
        <v>1217</v>
      </c>
      <c r="B23" s="232" t="s">
        <v>1166</v>
      </c>
      <c r="C23" s="232" t="s">
        <v>1218</v>
      </c>
      <c r="E23" s="233">
        <v>45736.0</v>
      </c>
      <c r="F23" s="234">
        <v>45646.70626157407</v>
      </c>
      <c r="G23" s="232" t="s">
        <v>1145</v>
      </c>
      <c r="H23" s="235" t="s">
        <v>1219</v>
      </c>
    </row>
    <row r="24" ht="15.75" hidden="1" customHeight="1">
      <c r="A24" s="232" t="s">
        <v>1220</v>
      </c>
      <c r="B24" s="232" t="s">
        <v>1166</v>
      </c>
      <c r="C24" s="232" t="s">
        <v>1221</v>
      </c>
      <c r="E24" s="233">
        <v>45733.0</v>
      </c>
      <c r="F24" s="234">
        <v>45643.83101851852</v>
      </c>
      <c r="G24" s="232" t="s">
        <v>1145</v>
      </c>
      <c r="H24" s="235" t="s">
        <v>1222</v>
      </c>
    </row>
    <row r="25" ht="15.75" customHeight="1">
      <c r="A25" s="232" t="s">
        <v>1223</v>
      </c>
      <c r="B25" s="232" t="s">
        <v>1224</v>
      </c>
      <c r="C25" s="232" t="s">
        <v>1225</v>
      </c>
      <c r="E25" s="233">
        <v>45828.0</v>
      </c>
      <c r="F25" s="234">
        <v>45643.72466435185</v>
      </c>
      <c r="G25" s="232" t="s">
        <v>1145</v>
      </c>
      <c r="H25" s="235" t="s">
        <v>1226</v>
      </c>
    </row>
    <row r="26" ht="15.75" customHeight="1">
      <c r="A26" s="232" t="s">
        <v>1227</v>
      </c>
      <c r="B26" s="232" t="s">
        <v>1228</v>
      </c>
      <c r="C26" s="232" t="s">
        <v>1229</v>
      </c>
      <c r="E26" s="233">
        <v>45727.0</v>
      </c>
      <c r="F26" s="234">
        <v>45637.54415509259</v>
      </c>
      <c r="G26" s="232" t="s">
        <v>1145</v>
      </c>
      <c r="H26" s="235" t="s">
        <v>1230</v>
      </c>
    </row>
    <row r="27" ht="15.75" customHeight="1">
      <c r="A27" s="232" t="s">
        <v>1231</v>
      </c>
      <c r="B27" s="232" t="s">
        <v>1232</v>
      </c>
      <c r="C27" s="232" t="s">
        <v>1233</v>
      </c>
      <c r="D27" s="232" t="s">
        <v>1234</v>
      </c>
      <c r="E27" s="233">
        <v>45826.0</v>
      </c>
      <c r="F27" s="237">
        <v>45635.65733796296</v>
      </c>
      <c r="G27" s="232" t="s">
        <v>1145</v>
      </c>
      <c r="H27" s="235" t="s">
        <v>1235</v>
      </c>
    </row>
    <row r="28" ht="15.75" hidden="1" customHeight="1">
      <c r="A28" s="232" t="s">
        <v>1236</v>
      </c>
      <c r="B28" s="232" t="s">
        <v>1166</v>
      </c>
      <c r="C28" s="232" t="s">
        <v>1237</v>
      </c>
      <c r="E28" s="236">
        <v>45749.0</v>
      </c>
      <c r="F28" s="237">
        <v>45628.034317129626</v>
      </c>
      <c r="G28" s="232" t="s">
        <v>1145</v>
      </c>
      <c r="H28" s="235" t="s">
        <v>1238</v>
      </c>
    </row>
    <row r="29" ht="15.75" hidden="1" customHeight="1">
      <c r="A29" s="232" t="s">
        <v>1239</v>
      </c>
      <c r="B29" s="232" t="s">
        <v>1166</v>
      </c>
      <c r="C29" s="232" t="s">
        <v>1240</v>
      </c>
      <c r="E29" s="233">
        <v>45743.0</v>
      </c>
      <c r="F29" s="234">
        <v>45623.67802083334</v>
      </c>
      <c r="G29" s="232" t="s">
        <v>1145</v>
      </c>
      <c r="H29" s="235" t="s">
        <v>1241</v>
      </c>
    </row>
    <row r="30" ht="15.75" customHeight="1">
      <c r="A30" s="232" t="s">
        <v>1242</v>
      </c>
      <c r="B30" s="232" t="s">
        <v>1243</v>
      </c>
      <c r="C30" s="232" t="s">
        <v>1244</v>
      </c>
      <c r="E30" s="233">
        <v>45654.0</v>
      </c>
      <c r="F30" s="234">
        <v>45620.82915509259</v>
      </c>
      <c r="G30" s="232" t="s">
        <v>1145</v>
      </c>
      <c r="H30" s="235" t="s">
        <v>1245</v>
      </c>
    </row>
    <row r="31" ht="15.75" hidden="1" customHeight="1">
      <c r="A31" s="232" t="s">
        <v>1246</v>
      </c>
      <c r="B31" s="232" t="s">
        <v>1166</v>
      </c>
      <c r="C31" s="232" t="s">
        <v>1247</v>
      </c>
      <c r="E31" s="233">
        <v>45726.0</v>
      </c>
      <c r="F31" s="234">
        <v>45606.52710648148</v>
      </c>
      <c r="G31" s="232" t="s">
        <v>1145</v>
      </c>
      <c r="H31" s="235" t="s">
        <v>1248</v>
      </c>
    </row>
    <row r="32" ht="15.75" customHeight="1">
      <c r="A32" s="232" t="s">
        <v>1249</v>
      </c>
      <c r="B32" s="232" t="s">
        <v>1250</v>
      </c>
      <c r="C32" s="232" t="s">
        <v>1251</v>
      </c>
      <c r="E32" s="236">
        <v>45725.0</v>
      </c>
      <c r="F32" s="237">
        <v>45605.620462962965</v>
      </c>
      <c r="G32" s="232" t="s">
        <v>1145</v>
      </c>
      <c r="H32" s="235" t="s">
        <v>1252</v>
      </c>
    </row>
    <row r="33" ht="15.75" customHeight="1">
      <c r="A33" s="232" t="s">
        <v>1253</v>
      </c>
      <c r="B33" s="232" t="s">
        <v>1254</v>
      </c>
      <c r="C33" s="232" t="s">
        <v>1255</v>
      </c>
      <c r="D33" s="232" t="s">
        <v>1256</v>
      </c>
      <c r="E33" s="233">
        <v>45745.0</v>
      </c>
      <c r="F33" s="234">
        <v>45594.75449074074</v>
      </c>
      <c r="G33" s="232" t="s">
        <v>1145</v>
      </c>
      <c r="H33" s="235" t="s">
        <v>1257</v>
      </c>
    </row>
    <row r="34" ht="15.75" hidden="1" customHeight="1">
      <c r="A34" s="232" t="s">
        <v>1258</v>
      </c>
      <c r="B34" s="232" t="s">
        <v>1166</v>
      </c>
      <c r="C34" s="232" t="s">
        <v>1259</v>
      </c>
      <c r="E34" s="233">
        <v>45733.0</v>
      </c>
      <c r="F34" s="234">
        <v>45582.514560185184</v>
      </c>
      <c r="G34" s="232" t="s">
        <v>1145</v>
      </c>
      <c r="H34" s="235" t="s">
        <v>1260</v>
      </c>
    </row>
    <row r="35" ht="15.75" hidden="1" customHeight="1">
      <c r="A35" s="232" t="s">
        <v>1261</v>
      </c>
      <c r="B35" s="232" t="s">
        <v>1166</v>
      </c>
      <c r="C35" s="232" t="s">
        <v>1262</v>
      </c>
      <c r="E35" s="233">
        <v>45732.0</v>
      </c>
      <c r="F35" s="234">
        <v>45581.36576388889</v>
      </c>
      <c r="G35" s="232" t="s">
        <v>1145</v>
      </c>
      <c r="H35" s="235" t="s">
        <v>1263</v>
      </c>
    </row>
    <row r="36" ht="15.75" hidden="1" customHeight="1">
      <c r="A36" s="232" t="s">
        <v>1264</v>
      </c>
      <c r="B36" s="232" t="s">
        <v>1166</v>
      </c>
      <c r="C36" s="232" t="s">
        <v>1265</v>
      </c>
      <c r="D36" s="232" t="s">
        <v>1266</v>
      </c>
      <c r="E36" s="233">
        <v>45729.0</v>
      </c>
      <c r="F36" s="234">
        <v>45578.75251157407</v>
      </c>
      <c r="G36" s="232" t="s">
        <v>1145</v>
      </c>
      <c r="H36" s="235" t="s">
        <v>1267</v>
      </c>
    </row>
    <row r="37" ht="15.75" hidden="1" customHeight="1">
      <c r="A37" s="232" t="s">
        <v>1268</v>
      </c>
      <c r="B37" s="232" t="s">
        <v>1166</v>
      </c>
      <c r="C37" s="232" t="s">
        <v>1269</v>
      </c>
      <c r="E37" s="233">
        <v>45727.0</v>
      </c>
      <c r="F37" s="234">
        <v>45576.69532407408</v>
      </c>
      <c r="G37" s="232" t="s">
        <v>1145</v>
      </c>
      <c r="H37" s="235" t="s">
        <v>1270</v>
      </c>
    </row>
    <row r="38" ht="15.75" hidden="1" customHeight="1">
      <c r="A38" s="232" t="s">
        <v>1271</v>
      </c>
      <c r="B38" s="232" t="s">
        <v>1166</v>
      </c>
      <c r="C38" s="232" t="s">
        <v>1272</v>
      </c>
      <c r="E38" s="233">
        <v>45727.0</v>
      </c>
      <c r="F38" s="234">
        <v>45576.57577546296</v>
      </c>
      <c r="G38" s="232" t="s">
        <v>1145</v>
      </c>
      <c r="H38" s="235" t="s">
        <v>1273</v>
      </c>
    </row>
    <row r="39" ht="15.75" hidden="1" customHeight="1">
      <c r="A39" s="232" t="s">
        <v>1274</v>
      </c>
      <c r="B39" s="232" t="s">
        <v>1166</v>
      </c>
      <c r="C39" s="232" t="s">
        <v>1275</v>
      </c>
      <c r="E39" s="236">
        <v>45750.0</v>
      </c>
      <c r="F39" s="237">
        <v>45568.597916666666</v>
      </c>
      <c r="G39" s="232" t="s">
        <v>1145</v>
      </c>
      <c r="H39" s="235" t="s">
        <v>1276</v>
      </c>
    </row>
    <row r="40" ht="15.75" hidden="1" customHeight="1">
      <c r="A40" s="232" t="s">
        <v>1277</v>
      </c>
      <c r="B40" s="232" t="s">
        <v>1166</v>
      </c>
      <c r="C40" s="232" t="s">
        <v>1278</v>
      </c>
      <c r="E40" s="236">
        <v>45750.0</v>
      </c>
      <c r="F40" s="237">
        <v>45568.5971412037</v>
      </c>
      <c r="G40" s="232" t="s">
        <v>1145</v>
      </c>
      <c r="H40" s="235" t="s">
        <v>1279</v>
      </c>
    </row>
    <row r="41" ht="15.75" hidden="1" customHeight="1">
      <c r="A41" s="232" t="s">
        <v>1280</v>
      </c>
      <c r="B41" s="232" t="s">
        <v>1166</v>
      </c>
      <c r="C41" s="232" t="s">
        <v>1281</v>
      </c>
      <c r="E41" s="236">
        <v>45749.0</v>
      </c>
      <c r="F41" s="237">
        <v>45566.88548611111</v>
      </c>
      <c r="G41" s="232" t="s">
        <v>1145</v>
      </c>
      <c r="H41" s="235" t="s">
        <v>1282</v>
      </c>
    </row>
    <row r="42" ht="15.75" hidden="1" customHeight="1">
      <c r="A42" s="232" t="s">
        <v>1283</v>
      </c>
      <c r="B42" s="232" t="s">
        <v>1166</v>
      </c>
      <c r="C42" s="232" t="s">
        <v>1284</v>
      </c>
      <c r="E42" s="233">
        <v>45746.0</v>
      </c>
      <c r="F42" s="234">
        <v>45565.73069444444</v>
      </c>
      <c r="G42" s="232" t="s">
        <v>1145</v>
      </c>
      <c r="H42" s="235" t="s">
        <v>1285</v>
      </c>
    </row>
    <row r="43" ht="15.75" hidden="1" customHeight="1">
      <c r="A43" s="232" t="s">
        <v>1286</v>
      </c>
      <c r="B43" s="232" t="s">
        <v>1166</v>
      </c>
      <c r="C43" s="232" t="s">
        <v>1287</v>
      </c>
      <c r="E43" s="233">
        <v>45743.0</v>
      </c>
      <c r="F43" s="234">
        <v>45562.50019675926</v>
      </c>
      <c r="G43" s="232" t="s">
        <v>1145</v>
      </c>
      <c r="H43" s="235" t="s">
        <v>1288</v>
      </c>
    </row>
    <row r="44" ht="15.75" hidden="1" customHeight="1">
      <c r="A44" s="232" t="s">
        <v>1289</v>
      </c>
      <c r="B44" s="232" t="s">
        <v>1166</v>
      </c>
      <c r="C44" s="232" t="s">
        <v>1290</v>
      </c>
      <c r="E44" s="233">
        <v>45741.0</v>
      </c>
      <c r="F44" s="234">
        <v>45560.615335648145</v>
      </c>
      <c r="G44" s="232" t="s">
        <v>1145</v>
      </c>
      <c r="H44" s="235" t="s">
        <v>1291</v>
      </c>
    </row>
    <row r="45" ht="15.75" hidden="1" customHeight="1">
      <c r="A45" s="232" t="s">
        <v>1292</v>
      </c>
      <c r="B45" s="232" t="s">
        <v>1166</v>
      </c>
      <c r="C45" s="232" t="s">
        <v>1293</v>
      </c>
      <c r="E45" s="233">
        <v>45740.0</v>
      </c>
      <c r="F45" s="234">
        <v>45559.79608796296</v>
      </c>
      <c r="G45" s="232" t="s">
        <v>1145</v>
      </c>
      <c r="H45" s="235" t="s">
        <v>1294</v>
      </c>
    </row>
    <row r="46" ht="15.75" hidden="1" customHeight="1">
      <c r="A46" s="232" t="s">
        <v>1295</v>
      </c>
      <c r="B46" s="232" t="s">
        <v>1166</v>
      </c>
      <c r="C46" s="232" t="s">
        <v>1296</v>
      </c>
      <c r="E46" s="233">
        <v>45738.0</v>
      </c>
      <c r="F46" s="234">
        <v>45556.84568287037</v>
      </c>
      <c r="G46" s="232" t="s">
        <v>1145</v>
      </c>
      <c r="H46" s="235" t="s">
        <v>1297</v>
      </c>
    </row>
    <row r="47" ht="15.75" hidden="1" customHeight="1">
      <c r="A47" s="232" t="s">
        <v>1298</v>
      </c>
      <c r="B47" s="232" t="s">
        <v>1166</v>
      </c>
      <c r="C47" s="232" t="s">
        <v>1299</v>
      </c>
      <c r="E47" s="233">
        <v>45735.0</v>
      </c>
      <c r="F47" s="234">
        <v>45554.49590277778</v>
      </c>
      <c r="G47" s="232" t="s">
        <v>1145</v>
      </c>
      <c r="H47" s="235" t="s">
        <v>1300</v>
      </c>
    </row>
    <row r="48" ht="15.75" hidden="1" customHeight="1">
      <c r="A48" s="232" t="s">
        <v>1301</v>
      </c>
      <c r="B48" s="232" t="s">
        <v>1166</v>
      </c>
      <c r="C48" s="232" t="s">
        <v>1302</v>
      </c>
      <c r="E48" s="233">
        <v>45733.0</v>
      </c>
      <c r="F48" s="234">
        <v>45552.913148148145</v>
      </c>
      <c r="G48" s="232" t="s">
        <v>1145</v>
      </c>
      <c r="H48" s="235" t="s">
        <v>1303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B$1000">
    <filterColumn colId="0">
      <filters blank="1">
        <filter val="plan_PbMnOhYADhz1In"/>
        <filter val="plan_PYEY0EbUQ9bmvY"/>
        <filter val="plan_PmSt4hyb5kDgwF"/>
        <filter val="plan_PZVCp0v2GrZorx"/>
        <filter val="plan_PyOu28g7zuoAwM"/>
        <filter val="plan_PoVz2UUEjA2Lwe"/>
        <filter val="plan_PEr6cu6DZUgDtN"/>
        <filter val="plan_PJ9hG5bfnXXaUI"/>
        <filter val="plan_PrXo4k77vz12S5"/>
        <filter val="plan_PVmuQefVrbzf36"/>
        <filter val="plan_PV2cux3PhwXQfJ"/>
        <filter val="plan_PPApbJaPlyb97S"/>
      </filters>
    </filterColumn>
  </autoFilter>
  <mergeCells count="40">
    <mergeCell ref="C2:D2"/>
    <mergeCell ref="C3:D3"/>
    <mergeCell ref="C4:D4"/>
    <mergeCell ref="C6:D6"/>
    <mergeCell ref="C7:D7"/>
    <mergeCell ref="C8:D8"/>
    <mergeCell ref="C9:D9"/>
    <mergeCell ref="C10:D10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3:D23"/>
    <mergeCell ref="C24:D24"/>
    <mergeCell ref="C25:D25"/>
    <mergeCell ref="C26:D26"/>
    <mergeCell ref="C28:D28"/>
    <mergeCell ref="C29:D29"/>
    <mergeCell ref="C30:D30"/>
    <mergeCell ref="C31:D31"/>
    <mergeCell ref="C32:D32"/>
    <mergeCell ref="C34:D34"/>
    <mergeCell ref="C35:D35"/>
    <mergeCell ref="C44:D44"/>
    <mergeCell ref="C45:D45"/>
    <mergeCell ref="C46:D46"/>
    <mergeCell ref="C47:D47"/>
    <mergeCell ref="C48:D48"/>
    <mergeCell ref="C37:D37"/>
    <mergeCell ref="C38:D38"/>
    <mergeCell ref="C39:D39"/>
    <mergeCell ref="C40:D40"/>
    <mergeCell ref="C41:D41"/>
    <mergeCell ref="C42:D42"/>
    <mergeCell ref="C43:D43"/>
  </mergeCell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</hyperlinks>
  <printOptions/>
  <pageMargins bottom="0.75" footer="0.0" header="0.0" left="0.7" right="0.7" top="0.75"/>
  <pageSetup orientation="landscape"/>
  <drawing r:id="rId4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0.38"/>
    <col customWidth="1" min="2" max="2" width="12.63"/>
    <col customWidth="1" min="3" max="3" width="20.63"/>
    <col customWidth="1" min="4" max="4" width="26.38"/>
    <col customWidth="1" min="5" max="5" width="19.0"/>
    <col customWidth="1" min="6" max="6" width="15.75"/>
    <col customWidth="1" min="7" max="7" width="14.75"/>
    <col customWidth="1" min="8" max="8" width="15.63"/>
    <col customWidth="1" min="10" max="10" width="14.38"/>
    <col customWidth="1" min="11" max="11" width="14.13"/>
    <col customWidth="1" min="12" max="12" width="18.13"/>
    <col customWidth="1" min="13" max="13" width="20.0"/>
    <col customWidth="1" min="14" max="14" width="17.88"/>
    <col customWidth="1" min="15" max="15" width="25.25"/>
    <col customWidth="1" min="16" max="16" width="19.25"/>
    <col customWidth="1" min="17" max="18" width="18.13"/>
    <col customWidth="1" min="19" max="19" width="18.63"/>
    <col customWidth="1" min="20" max="20" width="18.13"/>
    <col customWidth="1" min="21" max="21" width="15.13"/>
    <col customWidth="1" min="22" max="22" width="18.13"/>
  </cols>
  <sheetData>
    <row r="1" ht="15.75" customHeight="1">
      <c r="A1" s="238" t="s">
        <v>1304</v>
      </c>
      <c r="B1" s="239" t="s">
        <v>1305</v>
      </c>
      <c r="C1" s="239" t="s">
        <v>1306</v>
      </c>
      <c r="D1" s="239" t="s">
        <v>1307</v>
      </c>
      <c r="E1" s="239" t="s">
        <v>1308</v>
      </c>
      <c r="F1" s="239" t="s">
        <v>1309</v>
      </c>
      <c r="G1" s="239" t="s">
        <v>1310</v>
      </c>
      <c r="H1" s="239" t="s">
        <v>1311</v>
      </c>
      <c r="I1" s="239" t="s">
        <v>1312</v>
      </c>
      <c r="J1" s="239" t="s">
        <v>1313</v>
      </c>
      <c r="K1" s="239" t="s">
        <v>1314</v>
      </c>
      <c r="L1" s="239" t="s">
        <v>1315</v>
      </c>
      <c r="M1" s="239" t="s">
        <v>1316</v>
      </c>
      <c r="N1" s="239" t="s">
        <v>1317</v>
      </c>
      <c r="O1" s="239" t="s">
        <v>1318</v>
      </c>
      <c r="P1" s="239" t="s">
        <v>1319</v>
      </c>
      <c r="Q1" s="239" t="s">
        <v>1320</v>
      </c>
      <c r="R1" s="239" t="s">
        <v>1321</v>
      </c>
      <c r="S1" s="239" t="s">
        <v>1322</v>
      </c>
      <c r="T1" s="239" t="s">
        <v>1323</v>
      </c>
      <c r="U1" s="239" t="s">
        <v>1324</v>
      </c>
      <c r="V1" s="239" t="s">
        <v>1325</v>
      </c>
      <c r="W1" s="240" t="s">
        <v>1326</v>
      </c>
    </row>
    <row r="2" ht="15.75" customHeight="1">
      <c r="A2" s="241" t="s">
        <v>1327</v>
      </c>
      <c r="B2" s="242" t="s">
        <v>1328</v>
      </c>
      <c r="C2" s="242" t="s">
        <v>1329</v>
      </c>
      <c r="D2" s="242" t="s">
        <v>1330</v>
      </c>
      <c r="E2" s="242"/>
      <c r="F2" s="242">
        <v>2399.0</v>
      </c>
      <c r="G2" s="242" t="s">
        <v>1331</v>
      </c>
      <c r="H2" s="243">
        <v>1.0</v>
      </c>
      <c r="I2" s="243">
        <v>1.0</v>
      </c>
      <c r="J2" s="243">
        <v>12.0</v>
      </c>
      <c r="K2" s="243">
        <v>0.0</v>
      </c>
      <c r="L2" s="243">
        <v>1.0</v>
      </c>
      <c r="M2" s="242"/>
      <c r="N2" s="242"/>
      <c r="O2" s="242"/>
      <c r="P2" s="242"/>
      <c r="Q2" s="242"/>
      <c r="R2" s="242"/>
      <c r="S2" s="242"/>
      <c r="T2" s="242"/>
      <c r="U2" s="242"/>
      <c r="V2" s="244">
        <v>45536.80931712963</v>
      </c>
      <c r="W2" s="245" t="s">
        <v>1332</v>
      </c>
    </row>
    <row r="3" ht="15.75" customHeight="1">
      <c r="A3" s="246" t="s">
        <v>1333</v>
      </c>
      <c r="B3" s="247" t="s">
        <v>1328</v>
      </c>
      <c r="C3" s="247" t="s">
        <v>1329</v>
      </c>
      <c r="D3" s="247" t="s">
        <v>1330</v>
      </c>
      <c r="E3" s="247"/>
      <c r="F3" s="247">
        <v>2399.0</v>
      </c>
      <c r="G3" s="247" t="s">
        <v>1331</v>
      </c>
      <c r="H3" s="248">
        <v>1.0</v>
      </c>
      <c r="I3" s="248">
        <v>1.0</v>
      </c>
      <c r="J3" s="248">
        <v>12.0</v>
      </c>
      <c r="K3" s="248">
        <v>0.0</v>
      </c>
      <c r="L3" s="248">
        <v>1.0</v>
      </c>
      <c r="M3" s="247"/>
      <c r="N3" s="247"/>
      <c r="O3" s="247"/>
      <c r="P3" s="247"/>
      <c r="Q3" s="247"/>
      <c r="R3" s="247"/>
      <c r="S3" s="247"/>
      <c r="T3" s="247"/>
      <c r="U3" s="247"/>
      <c r="V3" s="249">
        <v>45536.81128472222</v>
      </c>
      <c r="W3" s="250" t="s">
        <v>1332</v>
      </c>
    </row>
    <row r="4" ht="15.75" customHeight="1">
      <c r="A4" s="241" t="s">
        <v>1334</v>
      </c>
      <c r="B4" s="242" t="s">
        <v>1328</v>
      </c>
      <c r="C4" s="242" t="s">
        <v>1329</v>
      </c>
      <c r="D4" s="242" t="s">
        <v>1330</v>
      </c>
      <c r="E4" s="242"/>
      <c r="F4" s="242">
        <v>2399.0</v>
      </c>
      <c r="G4" s="242" t="s">
        <v>1331</v>
      </c>
      <c r="H4" s="243">
        <v>1.0</v>
      </c>
      <c r="I4" s="243">
        <v>1.0</v>
      </c>
      <c r="J4" s="243">
        <v>12.0</v>
      </c>
      <c r="K4" s="243">
        <v>0.0</v>
      </c>
      <c r="L4" s="243">
        <v>1.0</v>
      </c>
      <c r="M4" s="242"/>
      <c r="N4" s="242"/>
      <c r="O4" s="242"/>
      <c r="P4" s="242"/>
      <c r="Q4" s="242"/>
      <c r="R4" s="242"/>
      <c r="S4" s="242"/>
      <c r="T4" s="242"/>
      <c r="U4" s="242"/>
      <c r="V4" s="244">
        <v>45536.81233796296</v>
      </c>
      <c r="W4" s="245" t="s">
        <v>1332</v>
      </c>
    </row>
    <row r="5" ht="15.75" customHeight="1">
      <c r="A5" s="246" t="s">
        <v>1335</v>
      </c>
      <c r="B5" s="247" t="s">
        <v>1328</v>
      </c>
      <c r="C5" s="247" t="s">
        <v>1329</v>
      </c>
      <c r="D5" s="247" t="s">
        <v>1330</v>
      </c>
      <c r="E5" s="247"/>
      <c r="F5" s="247">
        <v>2399.0</v>
      </c>
      <c r="G5" s="247" t="s">
        <v>1331</v>
      </c>
      <c r="H5" s="248">
        <v>1.0</v>
      </c>
      <c r="I5" s="248">
        <v>1.0</v>
      </c>
      <c r="J5" s="248">
        <v>12.0</v>
      </c>
      <c r="K5" s="248">
        <v>0.0</v>
      </c>
      <c r="L5" s="248">
        <v>1.0</v>
      </c>
      <c r="M5" s="247"/>
      <c r="N5" s="247"/>
      <c r="O5" s="247"/>
      <c r="P5" s="247"/>
      <c r="Q5" s="247"/>
      <c r="R5" s="247"/>
      <c r="S5" s="247"/>
      <c r="T5" s="247"/>
      <c r="U5" s="247"/>
      <c r="V5" s="249">
        <v>45536.81790509259</v>
      </c>
      <c r="W5" s="250" t="s">
        <v>1332</v>
      </c>
    </row>
    <row r="6" ht="15.75" customHeight="1">
      <c r="A6" s="241" t="s">
        <v>1336</v>
      </c>
      <c r="B6" s="242" t="s">
        <v>1328</v>
      </c>
      <c r="C6" s="242" t="s">
        <v>1329</v>
      </c>
      <c r="D6" s="242" t="s">
        <v>1330</v>
      </c>
      <c r="E6" s="242"/>
      <c r="F6" s="242">
        <v>2399.0</v>
      </c>
      <c r="G6" s="242" t="s">
        <v>1331</v>
      </c>
      <c r="H6" s="243">
        <v>1.0</v>
      </c>
      <c r="I6" s="243">
        <v>1.0</v>
      </c>
      <c r="J6" s="243">
        <v>12.0</v>
      </c>
      <c r="K6" s="243">
        <v>0.0</v>
      </c>
      <c r="L6" s="243">
        <v>1.0</v>
      </c>
      <c r="M6" s="242"/>
      <c r="N6" s="242"/>
      <c r="O6" s="242"/>
      <c r="P6" s="242"/>
      <c r="Q6" s="242"/>
      <c r="R6" s="242"/>
      <c r="S6" s="242"/>
      <c r="T6" s="242"/>
      <c r="U6" s="242"/>
      <c r="V6" s="244">
        <v>45536.819386574076</v>
      </c>
      <c r="W6" s="245" t="s">
        <v>1332</v>
      </c>
    </row>
    <row r="7" ht="15.75" customHeight="1">
      <c r="A7" s="246" t="s">
        <v>1337</v>
      </c>
      <c r="B7" s="247" t="s">
        <v>1328</v>
      </c>
      <c r="C7" s="247" t="s">
        <v>1329</v>
      </c>
      <c r="D7" s="247" t="s">
        <v>1330</v>
      </c>
      <c r="E7" s="247"/>
      <c r="F7" s="247">
        <v>2399.0</v>
      </c>
      <c r="G7" s="247" t="s">
        <v>1331</v>
      </c>
      <c r="H7" s="248">
        <v>1.0</v>
      </c>
      <c r="I7" s="248">
        <v>1.0</v>
      </c>
      <c r="J7" s="248">
        <v>12.0</v>
      </c>
      <c r="K7" s="248">
        <v>0.0</v>
      </c>
      <c r="L7" s="248">
        <v>1.0</v>
      </c>
      <c r="M7" s="247"/>
      <c r="N7" s="247"/>
      <c r="O7" s="247"/>
      <c r="P7" s="247"/>
      <c r="Q7" s="247"/>
      <c r="R7" s="247"/>
      <c r="S7" s="247"/>
      <c r="T7" s="247"/>
      <c r="U7" s="247"/>
      <c r="V7" s="249">
        <v>45536.82030092592</v>
      </c>
      <c r="W7" s="250" t="s">
        <v>1332</v>
      </c>
    </row>
    <row r="8" ht="15.75" customHeight="1">
      <c r="A8" s="241" t="s">
        <v>1338</v>
      </c>
      <c r="B8" s="242" t="s">
        <v>1328</v>
      </c>
      <c r="C8" s="242" t="s">
        <v>1329</v>
      </c>
      <c r="D8" s="242" t="s">
        <v>1330</v>
      </c>
      <c r="E8" s="242"/>
      <c r="F8" s="242">
        <v>2399.0</v>
      </c>
      <c r="G8" s="242" t="s">
        <v>1331</v>
      </c>
      <c r="H8" s="243">
        <v>1.0</v>
      </c>
      <c r="I8" s="243">
        <v>1.0</v>
      </c>
      <c r="J8" s="243">
        <v>12.0</v>
      </c>
      <c r="K8" s="243">
        <v>0.0</v>
      </c>
      <c r="L8" s="243">
        <v>1.0</v>
      </c>
      <c r="M8" s="242"/>
      <c r="N8" s="242"/>
      <c r="O8" s="242"/>
      <c r="P8" s="242"/>
      <c r="Q8" s="242"/>
      <c r="R8" s="242"/>
      <c r="S8" s="242"/>
      <c r="T8" s="242"/>
      <c r="U8" s="242"/>
      <c r="V8" s="244">
        <v>45536.827685185184</v>
      </c>
      <c r="W8" s="245" t="s">
        <v>1332</v>
      </c>
    </row>
    <row r="9" ht="15.75" customHeight="1">
      <c r="A9" s="246" t="s">
        <v>1339</v>
      </c>
      <c r="B9" s="247" t="s">
        <v>1328</v>
      </c>
      <c r="C9" s="247" t="s">
        <v>1329</v>
      </c>
      <c r="D9" s="247" t="s">
        <v>1330</v>
      </c>
      <c r="E9" s="247"/>
      <c r="F9" s="247">
        <v>2399.0</v>
      </c>
      <c r="G9" s="247" t="s">
        <v>1331</v>
      </c>
      <c r="H9" s="248">
        <v>1.0</v>
      </c>
      <c r="I9" s="248">
        <v>1.0</v>
      </c>
      <c r="J9" s="248">
        <v>12.0</v>
      </c>
      <c r="K9" s="248">
        <v>0.0</v>
      </c>
      <c r="L9" s="248">
        <v>1.0</v>
      </c>
      <c r="M9" s="247"/>
      <c r="N9" s="247"/>
      <c r="O9" s="247"/>
      <c r="P9" s="247"/>
      <c r="Q9" s="247"/>
      <c r="R9" s="247"/>
      <c r="S9" s="247"/>
      <c r="T9" s="247"/>
      <c r="U9" s="247"/>
      <c r="V9" s="249">
        <v>45536.836006944446</v>
      </c>
      <c r="W9" s="250" t="s">
        <v>1332</v>
      </c>
    </row>
    <row r="10" ht="15.75" customHeight="1">
      <c r="A10" s="241" t="s">
        <v>1280</v>
      </c>
      <c r="B10" s="242" t="s">
        <v>1340</v>
      </c>
      <c r="C10" s="242" t="s">
        <v>1166</v>
      </c>
      <c r="D10" s="242" t="s">
        <v>1330</v>
      </c>
      <c r="E10" s="242" t="s">
        <v>1341</v>
      </c>
      <c r="F10" s="242">
        <v>499.0</v>
      </c>
      <c r="G10" s="242" t="s">
        <v>1331</v>
      </c>
      <c r="H10" s="243">
        <v>1.0</v>
      </c>
      <c r="I10" s="243">
        <v>1.0</v>
      </c>
      <c r="J10" s="243">
        <v>12.0</v>
      </c>
      <c r="K10" s="243">
        <v>6.0</v>
      </c>
      <c r="L10" s="243">
        <v>1.0</v>
      </c>
      <c r="M10" s="242"/>
      <c r="N10" s="242"/>
      <c r="O10" s="242" t="s">
        <v>1342</v>
      </c>
      <c r="P10" s="242">
        <f>919028094087</f>
        <v>919028094087</v>
      </c>
      <c r="Q10" s="244">
        <v>45566.88569444444</v>
      </c>
      <c r="R10" s="244">
        <v>45901.0</v>
      </c>
      <c r="S10" s="244">
        <v>45566.88618055556</v>
      </c>
      <c r="T10" s="244">
        <v>45566.88616898148</v>
      </c>
      <c r="U10" s="242"/>
      <c r="V10" s="244">
        <v>45566.88548611111</v>
      </c>
      <c r="W10" s="245" t="s">
        <v>1332</v>
      </c>
    </row>
    <row r="11" ht="15.75" customHeight="1">
      <c r="A11" s="246" t="s">
        <v>1343</v>
      </c>
      <c r="B11" s="247" t="s">
        <v>1328</v>
      </c>
      <c r="C11" s="247" t="s">
        <v>1166</v>
      </c>
      <c r="D11" s="247" t="s">
        <v>1330</v>
      </c>
      <c r="E11" s="247" t="s">
        <v>1341</v>
      </c>
      <c r="F11" s="247">
        <v>499.0</v>
      </c>
      <c r="G11" s="247" t="s">
        <v>1331</v>
      </c>
      <c r="H11" s="248">
        <v>1.0</v>
      </c>
      <c r="I11" s="248">
        <v>1.0</v>
      </c>
      <c r="J11" s="248">
        <v>12.0</v>
      </c>
      <c r="K11" s="248">
        <v>0.0</v>
      </c>
      <c r="L11" s="248">
        <v>1.0</v>
      </c>
      <c r="M11" s="247"/>
      <c r="N11" s="247"/>
      <c r="O11" s="247"/>
      <c r="P11" s="247"/>
      <c r="Q11" s="247"/>
      <c r="R11" s="247"/>
      <c r="S11" s="247"/>
      <c r="T11" s="247"/>
      <c r="U11" s="247"/>
      <c r="V11" s="249">
        <v>45567.649409722224</v>
      </c>
      <c r="W11" s="250" t="s">
        <v>1332</v>
      </c>
    </row>
    <row r="12" ht="15.75" customHeight="1">
      <c r="A12" s="241" t="s">
        <v>1344</v>
      </c>
      <c r="B12" s="242" t="s">
        <v>1328</v>
      </c>
      <c r="C12" s="242" t="s">
        <v>1166</v>
      </c>
      <c r="D12" s="242" t="s">
        <v>1330</v>
      </c>
      <c r="E12" s="242" t="s">
        <v>1341</v>
      </c>
      <c r="F12" s="242">
        <v>499.0</v>
      </c>
      <c r="G12" s="242" t="s">
        <v>1331</v>
      </c>
      <c r="H12" s="243">
        <v>1.0</v>
      </c>
      <c r="I12" s="243">
        <v>1.0</v>
      </c>
      <c r="J12" s="243">
        <v>12.0</v>
      </c>
      <c r="K12" s="243">
        <v>0.0</v>
      </c>
      <c r="L12" s="243">
        <v>1.0</v>
      </c>
      <c r="M12" s="242"/>
      <c r="N12" s="242"/>
      <c r="O12" s="242"/>
      <c r="P12" s="242"/>
      <c r="Q12" s="242"/>
      <c r="R12" s="242"/>
      <c r="S12" s="242"/>
      <c r="T12" s="242"/>
      <c r="U12" s="242"/>
      <c r="V12" s="244">
        <v>45567.88116898148</v>
      </c>
      <c r="W12" s="245" t="s">
        <v>1332</v>
      </c>
    </row>
    <row r="13" ht="15.75" customHeight="1">
      <c r="A13" s="246" t="s">
        <v>1345</v>
      </c>
      <c r="B13" s="247" t="s">
        <v>1328</v>
      </c>
      <c r="C13" s="247" t="s">
        <v>1166</v>
      </c>
      <c r="D13" s="247" t="s">
        <v>1330</v>
      </c>
      <c r="E13" s="247" t="s">
        <v>1341</v>
      </c>
      <c r="F13" s="247">
        <v>499.0</v>
      </c>
      <c r="G13" s="247" t="s">
        <v>1331</v>
      </c>
      <c r="H13" s="248">
        <v>1.0</v>
      </c>
      <c r="I13" s="248">
        <v>1.0</v>
      </c>
      <c r="J13" s="248">
        <v>12.0</v>
      </c>
      <c r="K13" s="248">
        <v>0.0</v>
      </c>
      <c r="L13" s="248">
        <v>1.0</v>
      </c>
      <c r="M13" s="247"/>
      <c r="N13" s="247"/>
      <c r="O13" s="247"/>
      <c r="P13" s="247"/>
      <c r="Q13" s="247"/>
      <c r="R13" s="247"/>
      <c r="S13" s="247"/>
      <c r="T13" s="247"/>
      <c r="U13" s="247"/>
      <c r="V13" s="249">
        <v>45567.882199074076</v>
      </c>
      <c r="W13" s="250" t="s">
        <v>1332</v>
      </c>
    </row>
    <row r="14" ht="15.75" customHeight="1">
      <c r="A14" s="241" t="s">
        <v>1346</v>
      </c>
      <c r="B14" s="242" t="s">
        <v>1328</v>
      </c>
      <c r="C14" s="242" t="s">
        <v>1166</v>
      </c>
      <c r="D14" s="242" t="s">
        <v>1330</v>
      </c>
      <c r="E14" s="242" t="s">
        <v>1341</v>
      </c>
      <c r="F14" s="242">
        <v>499.0</v>
      </c>
      <c r="G14" s="242" t="s">
        <v>1331</v>
      </c>
      <c r="H14" s="243">
        <v>1.0</v>
      </c>
      <c r="I14" s="243">
        <v>1.0</v>
      </c>
      <c r="J14" s="243">
        <v>12.0</v>
      </c>
      <c r="K14" s="243">
        <v>0.0</v>
      </c>
      <c r="L14" s="243">
        <v>1.0</v>
      </c>
      <c r="M14" s="242"/>
      <c r="N14" s="242"/>
      <c r="O14" s="242"/>
      <c r="P14" s="242"/>
      <c r="Q14" s="242"/>
      <c r="R14" s="242"/>
      <c r="S14" s="242"/>
      <c r="T14" s="242"/>
      <c r="U14" s="242"/>
      <c r="V14" s="244">
        <v>45567.93605324074</v>
      </c>
      <c r="W14" s="245" t="s">
        <v>1332</v>
      </c>
    </row>
    <row r="15" ht="15.75" customHeight="1">
      <c r="A15" s="246" t="s">
        <v>1347</v>
      </c>
      <c r="B15" s="247" t="s">
        <v>1328</v>
      </c>
      <c r="C15" s="247" t="s">
        <v>1166</v>
      </c>
      <c r="D15" s="247" t="s">
        <v>1330</v>
      </c>
      <c r="E15" s="247" t="s">
        <v>1341</v>
      </c>
      <c r="F15" s="247">
        <v>499.0</v>
      </c>
      <c r="G15" s="247" t="s">
        <v>1331</v>
      </c>
      <c r="H15" s="248">
        <v>1.0</v>
      </c>
      <c r="I15" s="248">
        <v>1.0</v>
      </c>
      <c r="J15" s="248">
        <v>12.0</v>
      </c>
      <c r="K15" s="248">
        <v>0.0</v>
      </c>
      <c r="L15" s="248">
        <v>1.0</v>
      </c>
      <c r="M15" s="247"/>
      <c r="N15" s="247"/>
      <c r="O15" s="247"/>
      <c r="P15" s="247"/>
      <c r="Q15" s="247"/>
      <c r="R15" s="247"/>
      <c r="S15" s="247"/>
      <c r="T15" s="247"/>
      <c r="U15" s="247"/>
      <c r="V15" s="249">
        <v>45567.937523148146</v>
      </c>
      <c r="W15" s="250" t="s">
        <v>1332</v>
      </c>
    </row>
    <row r="16" ht="15.75" customHeight="1">
      <c r="A16" s="241" t="s">
        <v>1348</v>
      </c>
      <c r="B16" s="242" t="s">
        <v>1328</v>
      </c>
      <c r="C16" s="242" t="s">
        <v>1166</v>
      </c>
      <c r="D16" s="242" t="s">
        <v>1330</v>
      </c>
      <c r="E16" s="242" t="s">
        <v>1341</v>
      </c>
      <c r="F16" s="242">
        <v>499.0</v>
      </c>
      <c r="G16" s="242" t="s">
        <v>1331</v>
      </c>
      <c r="H16" s="243">
        <v>1.0</v>
      </c>
      <c r="I16" s="243">
        <v>1.0</v>
      </c>
      <c r="J16" s="243">
        <v>12.0</v>
      </c>
      <c r="K16" s="243">
        <v>0.0</v>
      </c>
      <c r="L16" s="243">
        <v>1.0</v>
      </c>
      <c r="M16" s="242"/>
      <c r="N16" s="242"/>
      <c r="O16" s="242"/>
      <c r="P16" s="242"/>
      <c r="Q16" s="242"/>
      <c r="R16" s="242"/>
      <c r="S16" s="242"/>
      <c r="T16" s="242"/>
      <c r="U16" s="242"/>
      <c r="V16" s="244">
        <v>45567.93821759259</v>
      </c>
      <c r="W16" s="245" t="s">
        <v>1332</v>
      </c>
    </row>
    <row r="17" ht="15.75" customHeight="1">
      <c r="A17" s="246" t="s">
        <v>1349</v>
      </c>
      <c r="B17" s="247" t="s">
        <v>1350</v>
      </c>
      <c r="C17" s="247" t="s">
        <v>1166</v>
      </c>
      <c r="D17" s="247" t="s">
        <v>1330</v>
      </c>
      <c r="E17" s="247" t="s">
        <v>1341</v>
      </c>
      <c r="F17" s="247">
        <v>499.0</v>
      </c>
      <c r="G17" s="247" t="s">
        <v>1331</v>
      </c>
      <c r="H17" s="248">
        <v>1.0</v>
      </c>
      <c r="I17" s="248">
        <v>1.0</v>
      </c>
      <c r="J17" s="248">
        <v>12.0</v>
      </c>
      <c r="K17" s="248">
        <v>1.0</v>
      </c>
      <c r="L17" s="248">
        <v>1.0</v>
      </c>
      <c r="M17" s="247" t="s">
        <v>1351</v>
      </c>
      <c r="N17" s="247"/>
      <c r="O17" s="247" t="s">
        <v>1352</v>
      </c>
      <c r="P17" s="247">
        <f>918100532778</f>
        <v>918100532778</v>
      </c>
      <c r="Q17" s="249">
        <v>45567.943240740744</v>
      </c>
      <c r="R17" s="249">
        <v>45902.0</v>
      </c>
      <c r="S17" s="249">
        <v>45567.94366898148</v>
      </c>
      <c r="T17" s="249">
        <v>45567.943657407406</v>
      </c>
      <c r="U17" s="247"/>
      <c r="V17" s="249">
        <v>45567.94137731481</v>
      </c>
      <c r="W17" s="250" t="s">
        <v>1332</v>
      </c>
    </row>
    <row r="18" ht="15.75" customHeight="1">
      <c r="A18" s="241" t="s">
        <v>1353</v>
      </c>
      <c r="B18" s="242" t="s">
        <v>1328</v>
      </c>
      <c r="C18" s="242" t="s">
        <v>1166</v>
      </c>
      <c r="D18" s="242" t="s">
        <v>1330</v>
      </c>
      <c r="E18" s="242" t="s">
        <v>1341</v>
      </c>
      <c r="F18" s="242">
        <v>499.0</v>
      </c>
      <c r="G18" s="242" t="s">
        <v>1331</v>
      </c>
      <c r="H18" s="243">
        <v>1.0</v>
      </c>
      <c r="I18" s="243">
        <v>1.0</v>
      </c>
      <c r="J18" s="243">
        <v>12.0</v>
      </c>
      <c r="K18" s="243">
        <v>0.0</v>
      </c>
      <c r="L18" s="243">
        <v>1.0</v>
      </c>
      <c r="M18" s="242"/>
      <c r="N18" s="242"/>
      <c r="O18" s="242"/>
      <c r="P18" s="242"/>
      <c r="Q18" s="242"/>
      <c r="R18" s="242"/>
      <c r="S18" s="242"/>
      <c r="T18" s="242"/>
      <c r="U18" s="242"/>
      <c r="V18" s="244">
        <v>45567.9684375</v>
      </c>
      <c r="W18" s="245" t="s">
        <v>1332</v>
      </c>
    </row>
    <row r="19" ht="15.75" customHeight="1">
      <c r="A19" s="246" t="s">
        <v>1354</v>
      </c>
      <c r="B19" s="247" t="s">
        <v>1328</v>
      </c>
      <c r="C19" s="247" t="s">
        <v>1166</v>
      </c>
      <c r="D19" s="247" t="s">
        <v>1330</v>
      </c>
      <c r="E19" s="247" t="s">
        <v>1341</v>
      </c>
      <c r="F19" s="247">
        <v>499.0</v>
      </c>
      <c r="G19" s="247" t="s">
        <v>1331</v>
      </c>
      <c r="H19" s="248">
        <v>1.0</v>
      </c>
      <c r="I19" s="248">
        <v>1.0</v>
      </c>
      <c r="J19" s="248">
        <v>12.0</v>
      </c>
      <c r="K19" s="248">
        <v>0.0</v>
      </c>
      <c r="L19" s="248">
        <v>1.0</v>
      </c>
      <c r="M19" s="247"/>
      <c r="N19" s="247"/>
      <c r="O19" s="247"/>
      <c r="P19" s="247"/>
      <c r="Q19" s="247"/>
      <c r="R19" s="247"/>
      <c r="S19" s="247"/>
      <c r="T19" s="247"/>
      <c r="U19" s="247"/>
      <c r="V19" s="249">
        <v>45567.968935185185</v>
      </c>
      <c r="W19" s="250" t="s">
        <v>1332</v>
      </c>
    </row>
    <row r="20" ht="15.75" customHeight="1">
      <c r="A20" s="241" t="s">
        <v>1355</v>
      </c>
      <c r="B20" s="242" t="s">
        <v>1328</v>
      </c>
      <c r="C20" s="242" t="s">
        <v>1166</v>
      </c>
      <c r="D20" s="242" t="s">
        <v>1330</v>
      </c>
      <c r="E20" s="242" t="s">
        <v>1341</v>
      </c>
      <c r="F20" s="242">
        <v>499.0</v>
      </c>
      <c r="G20" s="242" t="s">
        <v>1331</v>
      </c>
      <c r="H20" s="243">
        <v>1.0</v>
      </c>
      <c r="I20" s="243">
        <v>1.0</v>
      </c>
      <c r="J20" s="243">
        <v>12.0</v>
      </c>
      <c r="K20" s="243">
        <v>0.0</v>
      </c>
      <c r="L20" s="243">
        <v>1.0</v>
      </c>
      <c r="M20" s="242"/>
      <c r="N20" s="242"/>
      <c r="O20" s="242"/>
      <c r="P20" s="242"/>
      <c r="Q20" s="242"/>
      <c r="R20" s="242"/>
      <c r="S20" s="242"/>
      <c r="T20" s="242"/>
      <c r="U20" s="242"/>
      <c r="V20" s="244">
        <v>45567.96988425926</v>
      </c>
      <c r="W20" s="245" t="s">
        <v>1332</v>
      </c>
    </row>
    <row r="21" ht="15.75" customHeight="1">
      <c r="A21" s="246" t="s">
        <v>1356</v>
      </c>
      <c r="B21" s="247" t="s">
        <v>1328</v>
      </c>
      <c r="C21" s="247" t="s">
        <v>1166</v>
      </c>
      <c r="D21" s="247" t="s">
        <v>1330</v>
      </c>
      <c r="E21" s="247" t="s">
        <v>1341</v>
      </c>
      <c r="F21" s="247">
        <v>499.0</v>
      </c>
      <c r="G21" s="247" t="s">
        <v>1331</v>
      </c>
      <c r="H21" s="248">
        <v>1.0</v>
      </c>
      <c r="I21" s="248">
        <v>1.0</v>
      </c>
      <c r="J21" s="248">
        <v>12.0</v>
      </c>
      <c r="K21" s="248">
        <v>0.0</v>
      </c>
      <c r="L21" s="248">
        <v>1.0</v>
      </c>
      <c r="M21" s="247"/>
      <c r="N21" s="247"/>
      <c r="O21" s="247"/>
      <c r="P21" s="247"/>
      <c r="Q21" s="247"/>
      <c r="R21" s="247"/>
      <c r="S21" s="247"/>
      <c r="T21" s="247"/>
      <c r="U21" s="247"/>
      <c r="V21" s="249">
        <v>45567.97025462963</v>
      </c>
      <c r="W21" s="250" t="s">
        <v>1332</v>
      </c>
    </row>
    <row r="22" ht="15.75" customHeight="1">
      <c r="A22" s="241" t="s">
        <v>1277</v>
      </c>
      <c r="B22" s="242" t="s">
        <v>1340</v>
      </c>
      <c r="C22" s="242" t="s">
        <v>1166</v>
      </c>
      <c r="D22" s="242" t="s">
        <v>1330</v>
      </c>
      <c r="E22" s="242" t="s">
        <v>1341</v>
      </c>
      <c r="F22" s="242">
        <v>499.0</v>
      </c>
      <c r="G22" s="242" t="s">
        <v>1331</v>
      </c>
      <c r="H22" s="243">
        <v>1.0</v>
      </c>
      <c r="I22" s="243">
        <v>1.0</v>
      </c>
      <c r="J22" s="243">
        <v>12.0</v>
      </c>
      <c r="K22" s="243">
        <v>6.0</v>
      </c>
      <c r="L22" s="243">
        <v>1.0</v>
      </c>
      <c r="M22" s="242"/>
      <c r="N22" s="242"/>
      <c r="O22" s="242" t="s">
        <v>1357</v>
      </c>
      <c r="P22" s="242">
        <f>917217611950</f>
        <v>917217611950</v>
      </c>
      <c r="Q22" s="244">
        <v>45568.597962962966</v>
      </c>
      <c r="R22" s="244">
        <v>45903.0</v>
      </c>
      <c r="S22" s="244">
        <v>45568.59826388889</v>
      </c>
      <c r="T22" s="244">
        <v>45568.59824074074</v>
      </c>
      <c r="U22" s="242"/>
      <c r="V22" s="244">
        <v>45568.5971412037</v>
      </c>
      <c r="W22" s="245" t="s">
        <v>1332</v>
      </c>
    </row>
    <row r="23" ht="15.75" customHeight="1">
      <c r="A23" s="246" t="s">
        <v>1274</v>
      </c>
      <c r="B23" s="247" t="s">
        <v>1340</v>
      </c>
      <c r="C23" s="247" t="s">
        <v>1166</v>
      </c>
      <c r="D23" s="247" t="s">
        <v>1330</v>
      </c>
      <c r="E23" s="247" t="s">
        <v>1341</v>
      </c>
      <c r="F23" s="247">
        <v>499.0</v>
      </c>
      <c r="G23" s="247" t="s">
        <v>1331</v>
      </c>
      <c r="H23" s="248">
        <v>1.0</v>
      </c>
      <c r="I23" s="248">
        <v>1.0</v>
      </c>
      <c r="J23" s="248">
        <v>12.0</v>
      </c>
      <c r="K23" s="248">
        <v>6.0</v>
      </c>
      <c r="L23" s="248">
        <v>1.0</v>
      </c>
      <c r="M23" s="247"/>
      <c r="N23" s="247"/>
      <c r="O23" s="247" t="s">
        <v>1358</v>
      </c>
      <c r="P23" s="247">
        <f>919340330156</f>
        <v>919340330156</v>
      </c>
      <c r="Q23" s="249">
        <v>45568.59799768519</v>
      </c>
      <c r="R23" s="249">
        <v>45903.0</v>
      </c>
      <c r="S23" s="249">
        <v>45568.59850694444</v>
      </c>
      <c r="T23" s="249">
        <v>45568.598495370374</v>
      </c>
      <c r="U23" s="247"/>
      <c r="V23" s="249">
        <v>45568.597916666666</v>
      </c>
      <c r="W23" s="250" t="s">
        <v>1332</v>
      </c>
    </row>
    <row r="24" ht="15.75" customHeight="1">
      <c r="A24" s="241" t="s">
        <v>1359</v>
      </c>
      <c r="B24" s="242" t="s">
        <v>1360</v>
      </c>
      <c r="C24" s="242" t="s">
        <v>1166</v>
      </c>
      <c r="D24" s="242" t="s">
        <v>1330</v>
      </c>
      <c r="E24" s="242" t="s">
        <v>1341</v>
      </c>
      <c r="F24" s="242">
        <v>499.0</v>
      </c>
      <c r="G24" s="242" t="s">
        <v>1331</v>
      </c>
      <c r="H24" s="243">
        <v>1.0</v>
      </c>
      <c r="I24" s="243">
        <v>1.0</v>
      </c>
      <c r="J24" s="243">
        <v>12.0</v>
      </c>
      <c r="K24" s="243">
        <v>2.0</v>
      </c>
      <c r="L24" s="243">
        <v>1.0</v>
      </c>
      <c r="M24" s="242"/>
      <c r="N24" s="242"/>
      <c r="O24" s="242" t="s">
        <v>1361</v>
      </c>
      <c r="P24" s="242">
        <f>919330675746</f>
        <v>919330675746</v>
      </c>
      <c r="Q24" s="244">
        <v>45568.60460648148</v>
      </c>
      <c r="R24" s="244">
        <v>45903.0</v>
      </c>
      <c r="S24" s="244">
        <v>45568.60493055556</v>
      </c>
      <c r="T24" s="244">
        <v>45568.60491898148</v>
      </c>
      <c r="U24" s="242"/>
      <c r="V24" s="244">
        <v>45568.60424768519</v>
      </c>
      <c r="W24" s="245" t="s">
        <v>1332</v>
      </c>
    </row>
    <row r="25" ht="15.75" customHeight="1">
      <c r="A25" s="246" t="s">
        <v>1362</v>
      </c>
      <c r="B25" s="247" t="s">
        <v>1328</v>
      </c>
      <c r="C25" s="247" t="s">
        <v>1166</v>
      </c>
      <c r="D25" s="247" t="s">
        <v>1330</v>
      </c>
      <c r="E25" s="247" t="s">
        <v>1341</v>
      </c>
      <c r="F25" s="247">
        <v>499.0</v>
      </c>
      <c r="G25" s="247" t="s">
        <v>1331</v>
      </c>
      <c r="H25" s="248">
        <v>1.0</v>
      </c>
      <c r="I25" s="248">
        <v>1.0</v>
      </c>
      <c r="J25" s="248">
        <v>12.0</v>
      </c>
      <c r="K25" s="248">
        <v>0.0</v>
      </c>
      <c r="L25" s="248">
        <v>1.0</v>
      </c>
      <c r="M25" s="247"/>
      <c r="N25" s="247"/>
      <c r="O25" s="247"/>
      <c r="P25" s="247"/>
      <c r="Q25" s="247"/>
      <c r="R25" s="247"/>
      <c r="S25" s="247"/>
      <c r="T25" s="247"/>
      <c r="U25" s="247"/>
      <c r="V25" s="249">
        <v>45568.68236111111</v>
      </c>
      <c r="W25" s="250" t="s">
        <v>1332</v>
      </c>
    </row>
    <row r="26" ht="15.75" customHeight="1">
      <c r="A26" s="241" t="s">
        <v>1363</v>
      </c>
      <c r="B26" s="242" t="s">
        <v>1328</v>
      </c>
      <c r="C26" s="242" t="s">
        <v>1166</v>
      </c>
      <c r="D26" s="242" t="s">
        <v>1330</v>
      </c>
      <c r="E26" s="242" t="s">
        <v>1341</v>
      </c>
      <c r="F26" s="242">
        <v>499.0</v>
      </c>
      <c r="G26" s="242" t="s">
        <v>1331</v>
      </c>
      <c r="H26" s="243">
        <v>1.0</v>
      </c>
      <c r="I26" s="243">
        <v>1.0</v>
      </c>
      <c r="J26" s="243">
        <v>12.0</v>
      </c>
      <c r="K26" s="243">
        <v>0.0</v>
      </c>
      <c r="L26" s="243">
        <v>1.0</v>
      </c>
      <c r="M26" s="242"/>
      <c r="N26" s="242"/>
      <c r="O26" s="242"/>
      <c r="P26" s="242"/>
      <c r="Q26" s="242"/>
      <c r="R26" s="242"/>
      <c r="S26" s="242"/>
      <c r="T26" s="242"/>
      <c r="U26" s="242"/>
      <c r="V26" s="244">
        <v>45599.415497685186</v>
      </c>
      <c r="W26" s="245" t="s">
        <v>1332</v>
      </c>
    </row>
    <row r="27" ht="15.75" customHeight="1">
      <c r="A27" s="246" t="s">
        <v>1364</v>
      </c>
      <c r="B27" s="247" t="s">
        <v>1350</v>
      </c>
      <c r="C27" s="247" t="s">
        <v>1166</v>
      </c>
      <c r="D27" s="247" t="s">
        <v>1330</v>
      </c>
      <c r="E27" s="247" t="s">
        <v>1341</v>
      </c>
      <c r="F27" s="247">
        <v>499.0</v>
      </c>
      <c r="G27" s="247" t="s">
        <v>1331</v>
      </c>
      <c r="H27" s="248">
        <v>1.0</v>
      </c>
      <c r="I27" s="248">
        <v>1.0</v>
      </c>
      <c r="J27" s="248">
        <v>12.0</v>
      </c>
      <c r="K27" s="248">
        <v>1.0</v>
      </c>
      <c r="L27" s="248">
        <v>1.0</v>
      </c>
      <c r="M27" s="247" t="s">
        <v>1365</v>
      </c>
      <c r="N27" s="247"/>
      <c r="O27" s="247" t="s">
        <v>1366</v>
      </c>
      <c r="P27" s="247">
        <f>919875641702</f>
        <v>919875641702</v>
      </c>
      <c r="Q27" s="249">
        <v>45599.8359837963</v>
      </c>
      <c r="R27" s="249">
        <v>45933.0</v>
      </c>
      <c r="S27" s="249">
        <v>45599.83650462963</v>
      </c>
      <c r="T27" s="249">
        <v>45599.836493055554</v>
      </c>
      <c r="U27" s="247"/>
      <c r="V27" s="249">
        <v>45599.83252314815</v>
      </c>
      <c r="W27" s="250" t="s">
        <v>1332</v>
      </c>
    </row>
    <row r="28" ht="15.75" customHeight="1">
      <c r="A28" s="241" t="s">
        <v>1367</v>
      </c>
      <c r="B28" s="242" t="s">
        <v>1328</v>
      </c>
      <c r="C28" s="242" t="s">
        <v>1166</v>
      </c>
      <c r="D28" s="242" t="s">
        <v>1330</v>
      </c>
      <c r="E28" s="242" t="s">
        <v>1341</v>
      </c>
      <c r="F28" s="242">
        <v>499.0</v>
      </c>
      <c r="G28" s="242" t="s">
        <v>1331</v>
      </c>
      <c r="H28" s="243">
        <v>1.0</v>
      </c>
      <c r="I28" s="243">
        <v>1.0</v>
      </c>
      <c r="J28" s="243">
        <v>12.0</v>
      </c>
      <c r="K28" s="243">
        <v>0.0</v>
      </c>
      <c r="L28" s="243">
        <v>1.0</v>
      </c>
      <c r="M28" s="242"/>
      <c r="N28" s="242"/>
      <c r="O28" s="242"/>
      <c r="P28" s="242"/>
      <c r="Q28" s="242"/>
      <c r="R28" s="242"/>
      <c r="S28" s="242"/>
      <c r="T28" s="242"/>
      <c r="U28" s="242"/>
      <c r="V28" s="244">
        <v>45569.96475694444</v>
      </c>
      <c r="W28" s="245" t="s">
        <v>1332</v>
      </c>
    </row>
    <row r="29" ht="15.75" customHeight="1">
      <c r="A29" s="246" t="s">
        <v>1368</v>
      </c>
      <c r="B29" s="247" t="s">
        <v>1369</v>
      </c>
      <c r="C29" s="247" t="s">
        <v>1166</v>
      </c>
      <c r="D29" s="247" t="s">
        <v>1330</v>
      </c>
      <c r="E29" s="247" t="s">
        <v>1341</v>
      </c>
      <c r="F29" s="247">
        <v>499.0</v>
      </c>
      <c r="G29" s="247" t="s">
        <v>1331</v>
      </c>
      <c r="H29" s="248">
        <v>1.0</v>
      </c>
      <c r="I29" s="248">
        <v>1.0</v>
      </c>
      <c r="J29" s="248">
        <v>12.0</v>
      </c>
      <c r="K29" s="248">
        <v>2.0</v>
      </c>
      <c r="L29" s="248">
        <v>1.0</v>
      </c>
      <c r="M29" s="247"/>
      <c r="N29" s="247"/>
      <c r="O29" s="247" t="s">
        <v>1370</v>
      </c>
      <c r="P29" s="247">
        <f>918053999469</f>
        <v>918053999469</v>
      </c>
      <c r="Q29" s="249">
        <v>45569.966412037036</v>
      </c>
      <c r="R29" s="249">
        <v>45904.0</v>
      </c>
      <c r="S29" s="249">
        <v>45569.96685185185</v>
      </c>
      <c r="T29" s="249">
        <v>45569.966828703706</v>
      </c>
      <c r="U29" s="249">
        <v>45601.424629629626</v>
      </c>
      <c r="V29" s="249">
        <v>45569.9659837963</v>
      </c>
      <c r="W29" s="250" t="s">
        <v>1332</v>
      </c>
    </row>
    <row r="30" ht="15.75" customHeight="1">
      <c r="A30" s="241" t="s">
        <v>1371</v>
      </c>
      <c r="B30" s="242" t="s">
        <v>1328</v>
      </c>
      <c r="C30" s="242" t="s">
        <v>1166</v>
      </c>
      <c r="D30" s="242" t="s">
        <v>1330</v>
      </c>
      <c r="E30" s="242" t="s">
        <v>1341</v>
      </c>
      <c r="F30" s="242">
        <v>499.0</v>
      </c>
      <c r="G30" s="242" t="s">
        <v>1331</v>
      </c>
      <c r="H30" s="243">
        <v>1.0</v>
      </c>
      <c r="I30" s="243">
        <v>1.0</v>
      </c>
      <c r="J30" s="243">
        <v>12.0</v>
      </c>
      <c r="K30" s="243">
        <v>0.0</v>
      </c>
      <c r="L30" s="243">
        <v>1.0</v>
      </c>
      <c r="M30" s="242"/>
      <c r="N30" s="242"/>
      <c r="O30" s="242"/>
      <c r="P30" s="242"/>
      <c r="Q30" s="242"/>
      <c r="R30" s="242"/>
      <c r="S30" s="242"/>
      <c r="T30" s="242"/>
      <c r="U30" s="242"/>
      <c r="V30" s="244">
        <v>45600.39431712963</v>
      </c>
      <c r="W30" s="245" t="s">
        <v>1332</v>
      </c>
    </row>
    <row r="31" ht="15.75" customHeight="1">
      <c r="A31" s="246" t="s">
        <v>1372</v>
      </c>
      <c r="B31" s="247" t="s">
        <v>1328</v>
      </c>
      <c r="C31" s="247" t="s">
        <v>1166</v>
      </c>
      <c r="D31" s="247" t="s">
        <v>1330</v>
      </c>
      <c r="E31" s="247" t="s">
        <v>1341</v>
      </c>
      <c r="F31" s="247">
        <v>499.0</v>
      </c>
      <c r="G31" s="247" t="s">
        <v>1331</v>
      </c>
      <c r="H31" s="248">
        <v>1.0</v>
      </c>
      <c r="I31" s="248">
        <v>1.0</v>
      </c>
      <c r="J31" s="248">
        <v>12.0</v>
      </c>
      <c r="K31" s="248">
        <v>0.0</v>
      </c>
      <c r="L31" s="248">
        <v>1.0</v>
      </c>
      <c r="M31" s="247"/>
      <c r="N31" s="247"/>
      <c r="O31" s="247"/>
      <c r="P31" s="247"/>
      <c r="Q31" s="247"/>
      <c r="R31" s="247"/>
      <c r="S31" s="247"/>
      <c r="T31" s="247"/>
      <c r="U31" s="247"/>
      <c r="V31" s="249">
        <v>45600.64059027778</v>
      </c>
      <c r="W31" s="250" t="s">
        <v>1332</v>
      </c>
    </row>
    <row r="32" ht="15.75" customHeight="1">
      <c r="A32" s="241" t="s">
        <v>1373</v>
      </c>
      <c r="B32" s="242" t="s">
        <v>1350</v>
      </c>
      <c r="C32" s="242" t="s">
        <v>1166</v>
      </c>
      <c r="D32" s="242" t="s">
        <v>1330</v>
      </c>
      <c r="E32" s="242" t="s">
        <v>1341</v>
      </c>
      <c r="F32" s="242">
        <v>499.0</v>
      </c>
      <c r="G32" s="242" t="s">
        <v>1331</v>
      </c>
      <c r="H32" s="243">
        <v>1.0</v>
      </c>
      <c r="I32" s="243">
        <v>1.0</v>
      </c>
      <c r="J32" s="243">
        <v>12.0</v>
      </c>
      <c r="K32" s="243">
        <v>4.0</v>
      </c>
      <c r="L32" s="243">
        <v>1.0</v>
      </c>
      <c r="M32" s="242"/>
      <c r="N32" s="242"/>
      <c r="O32" s="242" t="s">
        <v>1374</v>
      </c>
      <c r="P32" s="242">
        <f>919790852006</f>
        <v>919790852006</v>
      </c>
      <c r="Q32" s="244">
        <v>45600.641018518516</v>
      </c>
      <c r="R32" s="244">
        <v>45934.0</v>
      </c>
      <c r="S32" s="244">
        <v>45600.64172453704</v>
      </c>
      <c r="T32" s="244">
        <v>45600.64171296296</v>
      </c>
      <c r="U32" s="242"/>
      <c r="V32" s="244">
        <v>45600.640914351854</v>
      </c>
      <c r="W32" s="245" t="s">
        <v>1332</v>
      </c>
    </row>
    <row r="33" ht="15.75" customHeight="1">
      <c r="A33" s="246" t="s">
        <v>1375</v>
      </c>
      <c r="B33" s="247" t="s">
        <v>1328</v>
      </c>
      <c r="C33" s="247" t="s">
        <v>1166</v>
      </c>
      <c r="D33" s="247" t="s">
        <v>1330</v>
      </c>
      <c r="E33" s="247" t="s">
        <v>1341</v>
      </c>
      <c r="F33" s="247">
        <v>499.0</v>
      </c>
      <c r="G33" s="247" t="s">
        <v>1331</v>
      </c>
      <c r="H33" s="248">
        <v>1.0</v>
      </c>
      <c r="I33" s="248">
        <v>1.0</v>
      </c>
      <c r="J33" s="248">
        <v>12.0</v>
      </c>
      <c r="K33" s="248">
        <v>0.0</v>
      </c>
      <c r="L33" s="248">
        <v>1.0</v>
      </c>
      <c r="M33" s="247"/>
      <c r="N33" s="247"/>
      <c r="O33" s="247"/>
      <c r="P33" s="247"/>
      <c r="Q33" s="247"/>
      <c r="R33" s="247"/>
      <c r="S33" s="247"/>
      <c r="T33" s="247"/>
      <c r="U33" s="247"/>
      <c r="V33" s="249">
        <v>45600.69648148148</v>
      </c>
      <c r="W33" s="250" t="s">
        <v>1332</v>
      </c>
    </row>
    <row r="34" ht="15.75" customHeight="1">
      <c r="A34" s="241" t="s">
        <v>1376</v>
      </c>
      <c r="B34" s="242" t="s">
        <v>1369</v>
      </c>
      <c r="C34" s="242" t="s">
        <v>1166</v>
      </c>
      <c r="D34" s="242" t="s">
        <v>1330</v>
      </c>
      <c r="E34" s="242" t="s">
        <v>1341</v>
      </c>
      <c r="F34" s="242">
        <v>499.0</v>
      </c>
      <c r="G34" s="242" t="s">
        <v>1331</v>
      </c>
      <c r="H34" s="243">
        <v>1.0</v>
      </c>
      <c r="I34" s="243">
        <v>1.0</v>
      </c>
      <c r="J34" s="243">
        <v>12.0</v>
      </c>
      <c r="K34" s="243">
        <v>1.0</v>
      </c>
      <c r="L34" s="243">
        <v>1.0</v>
      </c>
      <c r="M34" s="242"/>
      <c r="N34" s="242"/>
      <c r="O34" s="242" t="s">
        <v>1377</v>
      </c>
      <c r="P34" s="242">
        <f>918431063417</f>
        <v>918431063417</v>
      </c>
      <c r="Q34" s="244">
        <v>45600.71637731481</v>
      </c>
      <c r="R34" s="244">
        <v>45934.0</v>
      </c>
      <c r="S34" s="244">
        <v>45600.71659722222</v>
      </c>
      <c r="T34" s="244">
        <v>45600.71658564815</v>
      </c>
      <c r="U34" s="251">
        <v>45626.50361111111</v>
      </c>
      <c r="V34" s="244">
        <v>45600.716203703705</v>
      </c>
      <c r="W34" s="245" t="s">
        <v>1332</v>
      </c>
    </row>
    <row r="35" ht="15.75" customHeight="1">
      <c r="A35" s="246" t="s">
        <v>1378</v>
      </c>
      <c r="B35" s="247" t="s">
        <v>1328</v>
      </c>
      <c r="C35" s="247" t="s">
        <v>1166</v>
      </c>
      <c r="D35" s="247" t="s">
        <v>1330</v>
      </c>
      <c r="E35" s="247" t="s">
        <v>1341</v>
      </c>
      <c r="F35" s="247">
        <v>499.0</v>
      </c>
      <c r="G35" s="247" t="s">
        <v>1331</v>
      </c>
      <c r="H35" s="248">
        <v>1.0</v>
      </c>
      <c r="I35" s="248">
        <v>1.0</v>
      </c>
      <c r="J35" s="248">
        <v>12.0</v>
      </c>
      <c r="K35" s="248">
        <v>0.0</v>
      </c>
      <c r="L35" s="248">
        <v>1.0</v>
      </c>
      <c r="M35" s="247"/>
      <c r="N35" s="247"/>
      <c r="O35" s="247"/>
      <c r="P35" s="247"/>
      <c r="Q35" s="247"/>
      <c r="R35" s="247"/>
      <c r="S35" s="247"/>
      <c r="T35" s="247"/>
      <c r="U35" s="247"/>
      <c r="V35" s="249">
        <v>45600.84523148148</v>
      </c>
      <c r="W35" s="250" t="s">
        <v>1332</v>
      </c>
    </row>
    <row r="36" ht="15.75" customHeight="1">
      <c r="A36" s="241" t="s">
        <v>1379</v>
      </c>
      <c r="B36" s="242" t="s">
        <v>1350</v>
      </c>
      <c r="C36" s="242" t="s">
        <v>1166</v>
      </c>
      <c r="D36" s="242" t="s">
        <v>1330</v>
      </c>
      <c r="E36" s="242" t="s">
        <v>1341</v>
      </c>
      <c r="F36" s="242">
        <v>499.0</v>
      </c>
      <c r="G36" s="242" t="s">
        <v>1331</v>
      </c>
      <c r="H36" s="243">
        <v>1.0</v>
      </c>
      <c r="I36" s="243">
        <v>1.0</v>
      </c>
      <c r="J36" s="243">
        <v>12.0</v>
      </c>
      <c r="K36" s="243">
        <v>1.0</v>
      </c>
      <c r="L36" s="243">
        <v>1.0</v>
      </c>
      <c r="M36" s="242"/>
      <c r="N36" s="242"/>
      <c r="O36" s="242" t="s">
        <v>1380</v>
      </c>
      <c r="P36" s="242">
        <f>919893808139</f>
        <v>919893808139</v>
      </c>
      <c r="Q36" s="244">
        <v>45600.92728009259</v>
      </c>
      <c r="R36" s="244">
        <v>45934.0</v>
      </c>
      <c r="S36" s="244">
        <v>45600.92753472222</v>
      </c>
      <c r="T36" s="244">
        <v>45600.927511574075</v>
      </c>
      <c r="U36" s="242"/>
      <c r="V36" s="244">
        <v>45600.926666666666</v>
      </c>
      <c r="W36" s="245" t="s">
        <v>1332</v>
      </c>
    </row>
    <row r="37" ht="15.75" customHeight="1">
      <c r="A37" s="246" t="s">
        <v>1381</v>
      </c>
      <c r="B37" s="247" t="s">
        <v>1328</v>
      </c>
      <c r="C37" s="247" t="s">
        <v>1166</v>
      </c>
      <c r="D37" s="247" t="s">
        <v>1330</v>
      </c>
      <c r="E37" s="247" t="s">
        <v>1341</v>
      </c>
      <c r="F37" s="247">
        <v>499.0</v>
      </c>
      <c r="G37" s="247" t="s">
        <v>1331</v>
      </c>
      <c r="H37" s="248">
        <v>1.0</v>
      </c>
      <c r="I37" s="248">
        <v>1.0</v>
      </c>
      <c r="J37" s="248">
        <v>12.0</v>
      </c>
      <c r="K37" s="248">
        <v>0.0</v>
      </c>
      <c r="L37" s="248">
        <v>1.0</v>
      </c>
      <c r="M37" s="247"/>
      <c r="N37" s="247"/>
      <c r="O37" s="247"/>
      <c r="P37" s="247"/>
      <c r="Q37" s="247"/>
      <c r="R37" s="247"/>
      <c r="S37" s="247"/>
      <c r="T37" s="247"/>
      <c r="U37" s="247"/>
      <c r="V37" s="249">
        <v>45600.96513888889</v>
      </c>
      <c r="W37" s="250" t="s">
        <v>1332</v>
      </c>
    </row>
    <row r="38" ht="15.75" customHeight="1">
      <c r="A38" s="241" t="s">
        <v>1382</v>
      </c>
      <c r="B38" s="242" t="s">
        <v>1369</v>
      </c>
      <c r="C38" s="242" t="s">
        <v>1166</v>
      </c>
      <c r="D38" s="242" t="s">
        <v>1330</v>
      </c>
      <c r="E38" s="242" t="s">
        <v>1341</v>
      </c>
      <c r="F38" s="242">
        <v>499.0</v>
      </c>
      <c r="G38" s="242" t="s">
        <v>1331</v>
      </c>
      <c r="H38" s="243">
        <v>1.0</v>
      </c>
      <c r="I38" s="243">
        <v>1.0</v>
      </c>
      <c r="J38" s="243">
        <v>12.0</v>
      </c>
      <c r="K38" s="243">
        <v>3.0</v>
      </c>
      <c r="L38" s="243">
        <v>1.0</v>
      </c>
      <c r="M38" s="242"/>
      <c r="N38" s="242"/>
      <c r="O38" s="242" t="s">
        <v>1383</v>
      </c>
      <c r="P38" s="242">
        <f>916370378283</f>
        <v>916370378283</v>
      </c>
      <c r="Q38" s="244">
        <v>45570.42118055555</v>
      </c>
      <c r="R38" s="244">
        <v>45905.0</v>
      </c>
      <c r="S38" s="244">
        <v>45570.421481481484</v>
      </c>
      <c r="T38" s="244">
        <v>45570.42146990741</v>
      </c>
      <c r="U38" s="244">
        <v>45631.263136574074</v>
      </c>
      <c r="V38" s="244">
        <v>45570.42077546296</v>
      </c>
      <c r="W38" s="245" t="s">
        <v>1332</v>
      </c>
    </row>
    <row r="39" ht="15.75" customHeight="1">
      <c r="A39" s="246" t="s">
        <v>1384</v>
      </c>
      <c r="B39" s="247" t="s">
        <v>1328</v>
      </c>
      <c r="C39" s="247" t="s">
        <v>1166</v>
      </c>
      <c r="D39" s="247" t="s">
        <v>1330</v>
      </c>
      <c r="E39" s="247" t="s">
        <v>1341</v>
      </c>
      <c r="F39" s="247">
        <v>499.0</v>
      </c>
      <c r="G39" s="247" t="s">
        <v>1331</v>
      </c>
      <c r="H39" s="248">
        <v>1.0</v>
      </c>
      <c r="I39" s="248">
        <v>1.0</v>
      </c>
      <c r="J39" s="248">
        <v>12.0</v>
      </c>
      <c r="K39" s="248">
        <v>0.0</v>
      </c>
      <c r="L39" s="248">
        <v>1.0</v>
      </c>
      <c r="M39" s="247"/>
      <c r="N39" s="247"/>
      <c r="O39" s="247"/>
      <c r="P39" s="247"/>
      <c r="Q39" s="247"/>
      <c r="R39" s="247"/>
      <c r="S39" s="247"/>
      <c r="T39" s="247"/>
      <c r="U39" s="247"/>
      <c r="V39" s="249">
        <v>45602.5168287037</v>
      </c>
      <c r="W39" s="250" t="s">
        <v>1332</v>
      </c>
    </row>
    <row r="40" ht="15.75" customHeight="1">
      <c r="A40" s="241" t="s">
        <v>1385</v>
      </c>
      <c r="B40" s="242" t="s">
        <v>1360</v>
      </c>
      <c r="C40" s="242" t="s">
        <v>1166</v>
      </c>
      <c r="D40" s="242" t="s">
        <v>1330</v>
      </c>
      <c r="E40" s="242" t="s">
        <v>1341</v>
      </c>
      <c r="F40" s="242">
        <v>499.0</v>
      </c>
      <c r="G40" s="242" t="s">
        <v>1331</v>
      </c>
      <c r="H40" s="243">
        <v>1.0</v>
      </c>
      <c r="I40" s="243">
        <v>1.0</v>
      </c>
      <c r="J40" s="243">
        <v>12.0</v>
      </c>
      <c r="K40" s="243">
        <v>1.0</v>
      </c>
      <c r="L40" s="243">
        <v>1.0</v>
      </c>
      <c r="M40" s="242"/>
      <c r="N40" s="242"/>
      <c r="O40" s="242" t="s">
        <v>1386</v>
      </c>
      <c r="P40" s="242">
        <f>918954596568</f>
        <v>918954596568</v>
      </c>
      <c r="Q40" s="244">
        <v>45602.5221875</v>
      </c>
      <c r="R40" s="244">
        <v>45936.0</v>
      </c>
      <c r="S40" s="244">
        <v>45602.5225</v>
      </c>
      <c r="T40" s="244">
        <v>45602.52247685185</v>
      </c>
      <c r="U40" s="242"/>
      <c r="V40" s="244">
        <v>45602.521782407406</v>
      </c>
      <c r="W40" s="245" t="s">
        <v>1332</v>
      </c>
    </row>
    <row r="41" ht="15.75" customHeight="1">
      <c r="A41" s="246" t="s">
        <v>1387</v>
      </c>
      <c r="B41" s="247" t="s">
        <v>1328</v>
      </c>
      <c r="C41" s="247" t="s">
        <v>1166</v>
      </c>
      <c r="D41" s="247" t="s">
        <v>1330</v>
      </c>
      <c r="E41" s="247" t="s">
        <v>1341</v>
      </c>
      <c r="F41" s="247">
        <v>499.0</v>
      </c>
      <c r="G41" s="247" t="s">
        <v>1331</v>
      </c>
      <c r="H41" s="248">
        <v>1.0</v>
      </c>
      <c r="I41" s="248">
        <v>1.0</v>
      </c>
      <c r="J41" s="248">
        <v>12.0</v>
      </c>
      <c r="K41" s="248">
        <v>0.0</v>
      </c>
      <c r="L41" s="248">
        <v>1.0</v>
      </c>
      <c r="M41" s="247"/>
      <c r="N41" s="247"/>
      <c r="O41" s="247"/>
      <c r="P41" s="247"/>
      <c r="Q41" s="247"/>
      <c r="R41" s="247"/>
      <c r="S41" s="247"/>
      <c r="T41" s="247"/>
      <c r="U41" s="247"/>
      <c r="V41" s="249">
        <v>45602.74134259259</v>
      </c>
      <c r="W41" s="250" t="s">
        <v>1332</v>
      </c>
    </row>
    <row r="42" ht="15.75" customHeight="1">
      <c r="A42" s="241" t="s">
        <v>1388</v>
      </c>
      <c r="B42" s="242" t="s">
        <v>1328</v>
      </c>
      <c r="C42" s="242" t="s">
        <v>1166</v>
      </c>
      <c r="D42" s="242" t="s">
        <v>1330</v>
      </c>
      <c r="E42" s="242" t="s">
        <v>1341</v>
      </c>
      <c r="F42" s="242">
        <v>499.0</v>
      </c>
      <c r="G42" s="242" t="s">
        <v>1331</v>
      </c>
      <c r="H42" s="243">
        <v>1.0</v>
      </c>
      <c r="I42" s="243">
        <v>1.0</v>
      </c>
      <c r="J42" s="243">
        <v>12.0</v>
      </c>
      <c r="K42" s="243">
        <v>0.0</v>
      </c>
      <c r="L42" s="243">
        <v>1.0</v>
      </c>
      <c r="M42" s="242"/>
      <c r="N42" s="242"/>
      <c r="O42" s="242"/>
      <c r="P42" s="242"/>
      <c r="Q42" s="242"/>
      <c r="R42" s="242"/>
      <c r="S42" s="242"/>
      <c r="T42" s="242"/>
      <c r="U42" s="242"/>
      <c r="V42" s="244">
        <v>45572.13203703704</v>
      </c>
      <c r="W42" s="245" t="s">
        <v>1332</v>
      </c>
    </row>
    <row r="43" ht="15.75" customHeight="1">
      <c r="A43" s="246" t="s">
        <v>1389</v>
      </c>
      <c r="B43" s="247" t="s">
        <v>1328</v>
      </c>
      <c r="C43" s="247" t="s">
        <v>1166</v>
      </c>
      <c r="D43" s="247" t="s">
        <v>1330</v>
      </c>
      <c r="E43" s="247" t="s">
        <v>1341</v>
      </c>
      <c r="F43" s="247">
        <v>499.0</v>
      </c>
      <c r="G43" s="247" t="s">
        <v>1331</v>
      </c>
      <c r="H43" s="248">
        <v>1.0</v>
      </c>
      <c r="I43" s="248">
        <v>1.0</v>
      </c>
      <c r="J43" s="248">
        <v>12.0</v>
      </c>
      <c r="K43" s="248">
        <v>0.0</v>
      </c>
      <c r="L43" s="248">
        <v>1.0</v>
      </c>
      <c r="M43" s="247"/>
      <c r="N43" s="247"/>
      <c r="O43" s="247"/>
      <c r="P43" s="247"/>
      <c r="Q43" s="247"/>
      <c r="R43" s="247"/>
      <c r="S43" s="247"/>
      <c r="T43" s="247"/>
      <c r="U43" s="247"/>
      <c r="V43" s="249">
        <v>45572.587233796294</v>
      </c>
      <c r="W43" s="250" t="s">
        <v>1332</v>
      </c>
    </row>
    <row r="44" ht="15.75" customHeight="1">
      <c r="A44" s="241" t="s">
        <v>1390</v>
      </c>
      <c r="B44" s="242" t="s">
        <v>1328</v>
      </c>
      <c r="C44" s="242" t="s">
        <v>1166</v>
      </c>
      <c r="D44" s="242" t="s">
        <v>1330</v>
      </c>
      <c r="E44" s="242" t="s">
        <v>1341</v>
      </c>
      <c r="F44" s="242">
        <v>499.0</v>
      </c>
      <c r="G44" s="242" t="s">
        <v>1331</v>
      </c>
      <c r="H44" s="243">
        <v>1.0</v>
      </c>
      <c r="I44" s="243">
        <v>1.0</v>
      </c>
      <c r="J44" s="243">
        <v>12.0</v>
      </c>
      <c r="K44" s="243">
        <v>0.0</v>
      </c>
      <c r="L44" s="243">
        <v>1.0</v>
      </c>
      <c r="M44" s="242"/>
      <c r="N44" s="242"/>
      <c r="O44" s="242"/>
      <c r="P44" s="242"/>
      <c r="Q44" s="242"/>
      <c r="R44" s="242"/>
      <c r="S44" s="242"/>
      <c r="T44" s="242"/>
      <c r="U44" s="242"/>
      <c r="V44" s="244">
        <v>45572.5975</v>
      </c>
      <c r="W44" s="245" t="s">
        <v>1332</v>
      </c>
    </row>
    <row r="45" ht="15.75" customHeight="1">
      <c r="A45" s="246" t="s">
        <v>1391</v>
      </c>
      <c r="B45" s="247" t="s">
        <v>1369</v>
      </c>
      <c r="C45" s="247" t="s">
        <v>1166</v>
      </c>
      <c r="D45" s="247" t="s">
        <v>1330</v>
      </c>
      <c r="E45" s="247" t="s">
        <v>1341</v>
      </c>
      <c r="F45" s="247">
        <v>499.0</v>
      </c>
      <c r="G45" s="247" t="s">
        <v>1331</v>
      </c>
      <c r="H45" s="248">
        <v>1.0</v>
      </c>
      <c r="I45" s="248">
        <v>1.0</v>
      </c>
      <c r="J45" s="248">
        <v>12.0</v>
      </c>
      <c r="K45" s="248">
        <v>0.0</v>
      </c>
      <c r="L45" s="248">
        <v>1.0</v>
      </c>
      <c r="M45" s="247"/>
      <c r="N45" s="247"/>
      <c r="O45" s="247"/>
      <c r="P45" s="247"/>
      <c r="Q45" s="247"/>
      <c r="R45" s="247"/>
      <c r="S45" s="247"/>
      <c r="T45" s="247"/>
      <c r="U45" s="249">
        <v>45572.62789351852</v>
      </c>
      <c r="V45" s="249">
        <v>45572.59832175926</v>
      </c>
      <c r="W45" s="250" t="s">
        <v>1332</v>
      </c>
    </row>
    <row r="46" ht="15.75" customHeight="1">
      <c r="A46" s="241" t="s">
        <v>1392</v>
      </c>
      <c r="B46" s="242" t="s">
        <v>1328</v>
      </c>
      <c r="C46" s="242" t="s">
        <v>1166</v>
      </c>
      <c r="D46" s="242" t="s">
        <v>1330</v>
      </c>
      <c r="E46" s="242" t="s">
        <v>1341</v>
      </c>
      <c r="F46" s="242">
        <v>499.0</v>
      </c>
      <c r="G46" s="242" t="s">
        <v>1331</v>
      </c>
      <c r="H46" s="243">
        <v>1.0</v>
      </c>
      <c r="I46" s="243">
        <v>1.0</v>
      </c>
      <c r="J46" s="243">
        <v>12.0</v>
      </c>
      <c r="K46" s="243">
        <v>0.0</v>
      </c>
      <c r="L46" s="243">
        <v>1.0</v>
      </c>
      <c r="M46" s="242"/>
      <c r="N46" s="242"/>
      <c r="O46" s="242"/>
      <c r="P46" s="242"/>
      <c r="Q46" s="242"/>
      <c r="R46" s="242"/>
      <c r="S46" s="242"/>
      <c r="T46" s="242"/>
      <c r="U46" s="242"/>
      <c r="V46" s="244">
        <v>45572.60302083333</v>
      </c>
      <c r="W46" s="245" t="s">
        <v>1332</v>
      </c>
    </row>
    <row r="47" ht="15.75" customHeight="1">
      <c r="A47" s="246" t="s">
        <v>1393</v>
      </c>
      <c r="B47" s="247" t="s">
        <v>1328</v>
      </c>
      <c r="C47" s="247" t="s">
        <v>1166</v>
      </c>
      <c r="D47" s="247" t="s">
        <v>1330</v>
      </c>
      <c r="E47" s="247" t="s">
        <v>1341</v>
      </c>
      <c r="F47" s="247">
        <v>499.0</v>
      </c>
      <c r="G47" s="247" t="s">
        <v>1331</v>
      </c>
      <c r="H47" s="248">
        <v>1.0</v>
      </c>
      <c r="I47" s="248">
        <v>1.0</v>
      </c>
      <c r="J47" s="248">
        <v>12.0</v>
      </c>
      <c r="K47" s="248">
        <v>0.0</v>
      </c>
      <c r="L47" s="248">
        <v>1.0</v>
      </c>
      <c r="M47" s="247"/>
      <c r="N47" s="247"/>
      <c r="O47" s="247"/>
      <c r="P47" s="247"/>
      <c r="Q47" s="247"/>
      <c r="R47" s="247"/>
      <c r="S47" s="247"/>
      <c r="T47" s="247"/>
      <c r="U47" s="247"/>
      <c r="V47" s="249">
        <v>45572.62693287037</v>
      </c>
      <c r="W47" s="250" t="s">
        <v>1332</v>
      </c>
    </row>
    <row r="48" ht="15.75" customHeight="1">
      <c r="A48" s="241" t="s">
        <v>1394</v>
      </c>
      <c r="B48" s="242" t="s">
        <v>1369</v>
      </c>
      <c r="C48" s="242" t="s">
        <v>1166</v>
      </c>
      <c r="D48" s="242" t="s">
        <v>1330</v>
      </c>
      <c r="E48" s="242" t="s">
        <v>1341</v>
      </c>
      <c r="F48" s="242">
        <v>499.0</v>
      </c>
      <c r="G48" s="242" t="s">
        <v>1331</v>
      </c>
      <c r="H48" s="243">
        <v>1.0</v>
      </c>
      <c r="I48" s="243">
        <v>1.0</v>
      </c>
      <c r="J48" s="243">
        <v>12.0</v>
      </c>
      <c r="K48" s="243">
        <v>1.0</v>
      </c>
      <c r="L48" s="243">
        <v>1.0</v>
      </c>
      <c r="M48" s="242"/>
      <c r="N48" s="242"/>
      <c r="O48" s="242" t="s">
        <v>1395</v>
      </c>
      <c r="P48" s="242">
        <f>919892794257</f>
        <v>919892794257</v>
      </c>
      <c r="Q48" s="244">
        <v>45572.62918981481</v>
      </c>
      <c r="R48" s="244">
        <v>45907.0</v>
      </c>
      <c r="S48" s="244">
        <v>45572.62943287037</v>
      </c>
      <c r="T48" s="244">
        <v>45572.6294212963</v>
      </c>
      <c r="U48" s="244">
        <v>45602.480775462966</v>
      </c>
      <c r="V48" s="244">
        <v>45572.62900462963</v>
      </c>
      <c r="W48" s="245" t="s">
        <v>1332</v>
      </c>
    </row>
    <row r="49" ht="15.75" customHeight="1">
      <c r="A49" s="246" t="s">
        <v>1396</v>
      </c>
      <c r="B49" s="247" t="s">
        <v>1328</v>
      </c>
      <c r="C49" s="247" t="s">
        <v>1166</v>
      </c>
      <c r="D49" s="247" t="s">
        <v>1330</v>
      </c>
      <c r="E49" s="247" t="s">
        <v>1341</v>
      </c>
      <c r="F49" s="247">
        <v>499.0</v>
      </c>
      <c r="G49" s="247" t="s">
        <v>1331</v>
      </c>
      <c r="H49" s="248">
        <v>1.0</v>
      </c>
      <c r="I49" s="248">
        <v>1.0</v>
      </c>
      <c r="J49" s="248">
        <v>12.0</v>
      </c>
      <c r="K49" s="248">
        <v>0.0</v>
      </c>
      <c r="L49" s="248">
        <v>1.0</v>
      </c>
      <c r="M49" s="247"/>
      <c r="N49" s="247"/>
      <c r="O49" s="247"/>
      <c r="P49" s="247"/>
      <c r="Q49" s="247"/>
      <c r="R49" s="247"/>
      <c r="S49" s="247"/>
      <c r="T49" s="247"/>
      <c r="U49" s="247"/>
      <c r="V49" s="249">
        <v>45572.634039351855</v>
      </c>
      <c r="W49" s="250" t="s">
        <v>1332</v>
      </c>
    </row>
    <row r="50" ht="15.75" customHeight="1">
      <c r="A50" s="241" t="s">
        <v>1397</v>
      </c>
      <c r="B50" s="242" t="s">
        <v>1369</v>
      </c>
      <c r="C50" s="242" t="s">
        <v>1166</v>
      </c>
      <c r="D50" s="242" t="s">
        <v>1330</v>
      </c>
      <c r="E50" s="242" t="s">
        <v>1341</v>
      </c>
      <c r="F50" s="242">
        <v>499.0</v>
      </c>
      <c r="G50" s="242" t="s">
        <v>1331</v>
      </c>
      <c r="H50" s="243">
        <v>1.0</v>
      </c>
      <c r="I50" s="243">
        <v>1.0</v>
      </c>
      <c r="J50" s="243">
        <v>12.0</v>
      </c>
      <c r="K50" s="243">
        <v>2.0</v>
      </c>
      <c r="L50" s="243">
        <v>1.0</v>
      </c>
      <c r="M50" s="242"/>
      <c r="N50" s="242"/>
      <c r="O50" s="242" t="s">
        <v>1398</v>
      </c>
      <c r="P50" s="242">
        <f>919953816061</f>
        <v>919953816061</v>
      </c>
      <c r="Q50" s="244">
        <v>45572.67255787037</v>
      </c>
      <c r="R50" s="244">
        <v>45907.0</v>
      </c>
      <c r="S50" s="244">
        <v>45572.67321759259</v>
      </c>
      <c r="T50" s="244">
        <v>45572.67320601852</v>
      </c>
      <c r="U50" s="251">
        <v>45615.43702546296</v>
      </c>
      <c r="V50" s="244">
        <v>45572.6724537037</v>
      </c>
      <c r="W50" s="245" t="s">
        <v>1332</v>
      </c>
    </row>
    <row r="51" ht="15.75" customHeight="1">
      <c r="A51" s="246" t="s">
        <v>1399</v>
      </c>
      <c r="B51" s="247" t="s">
        <v>1350</v>
      </c>
      <c r="C51" s="247" t="s">
        <v>1166</v>
      </c>
      <c r="D51" s="247" t="s">
        <v>1330</v>
      </c>
      <c r="E51" s="247" t="s">
        <v>1341</v>
      </c>
      <c r="F51" s="247">
        <v>499.0</v>
      </c>
      <c r="G51" s="247" t="s">
        <v>1331</v>
      </c>
      <c r="H51" s="248">
        <v>1.0</v>
      </c>
      <c r="I51" s="248">
        <v>1.0</v>
      </c>
      <c r="J51" s="248">
        <v>12.0</v>
      </c>
      <c r="K51" s="248">
        <v>2.0</v>
      </c>
      <c r="L51" s="248">
        <v>1.0</v>
      </c>
      <c r="M51" s="247"/>
      <c r="N51" s="247"/>
      <c r="O51" s="247" t="s">
        <v>1400</v>
      </c>
      <c r="P51" s="247">
        <f>917350839949</f>
        <v>917350839949</v>
      </c>
      <c r="Q51" s="249">
        <v>45603.06475694444</v>
      </c>
      <c r="R51" s="249">
        <v>45937.0</v>
      </c>
      <c r="S51" s="249">
        <v>45603.06550925926</v>
      </c>
      <c r="T51" s="249">
        <v>45603.06549768519</v>
      </c>
      <c r="U51" s="247"/>
      <c r="V51" s="249">
        <v>45603.064421296294</v>
      </c>
      <c r="W51" s="250" t="s">
        <v>1332</v>
      </c>
    </row>
    <row r="52" ht="15.75" customHeight="1">
      <c r="A52" s="241" t="s">
        <v>1401</v>
      </c>
      <c r="B52" s="242" t="s">
        <v>1360</v>
      </c>
      <c r="C52" s="242" t="s">
        <v>1166</v>
      </c>
      <c r="D52" s="242" t="s">
        <v>1330</v>
      </c>
      <c r="E52" s="242" t="s">
        <v>1341</v>
      </c>
      <c r="F52" s="242">
        <v>499.0</v>
      </c>
      <c r="G52" s="242" t="s">
        <v>1331</v>
      </c>
      <c r="H52" s="243">
        <v>1.0</v>
      </c>
      <c r="I52" s="243">
        <v>1.0</v>
      </c>
      <c r="J52" s="243">
        <v>12.0</v>
      </c>
      <c r="K52" s="243">
        <v>2.0</v>
      </c>
      <c r="L52" s="243">
        <v>1.0</v>
      </c>
      <c r="M52" s="242"/>
      <c r="N52" s="242"/>
      <c r="O52" s="242" t="s">
        <v>1402</v>
      </c>
      <c r="P52" s="242">
        <f>918787062118</f>
        <v>918787062118</v>
      </c>
      <c r="Q52" s="244">
        <v>45603.459548611114</v>
      </c>
      <c r="R52" s="244">
        <v>45937.0</v>
      </c>
      <c r="S52" s="244">
        <v>45603.45991898148</v>
      </c>
      <c r="T52" s="244">
        <v>45603.45990740741</v>
      </c>
      <c r="U52" s="242"/>
      <c r="V52" s="244">
        <v>45603.459386574075</v>
      </c>
      <c r="W52" s="245" t="s">
        <v>1332</v>
      </c>
    </row>
    <row r="53" ht="15.75" customHeight="1">
      <c r="A53" s="246" t="s">
        <v>1403</v>
      </c>
      <c r="B53" s="247" t="s">
        <v>1350</v>
      </c>
      <c r="C53" s="247" t="s">
        <v>1166</v>
      </c>
      <c r="D53" s="247" t="s">
        <v>1330</v>
      </c>
      <c r="E53" s="247" t="s">
        <v>1341</v>
      </c>
      <c r="F53" s="247">
        <v>499.0</v>
      </c>
      <c r="G53" s="247" t="s">
        <v>1331</v>
      </c>
      <c r="H53" s="248">
        <v>1.0</v>
      </c>
      <c r="I53" s="248">
        <v>1.0</v>
      </c>
      <c r="J53" s="248">
        <v>12.0</v>
      </c>
      <c r="K53" s="248">
        <v>3.0</v>
      </c>
      <c r="L53" s="248">
        <v>1.0</v>
      </c>
      <c r="M53" s="247"/>
      <c r="N53" s="247"/>
      <c r="O53" s="247" t="s">
        <v>1404</v>
      </c>
      <c r="P53" s="247">
        <f>919004863369</f>
        <v>919004863369</v>
      </c>
      <c r="Q53" s="249">
        <v>45603.93922453704</v>
      </c>
      <c r="R53" s="249">
        <v>45937.0</v>
      </c>
      <c r="S53" s="249">
        <v>45603.93952546296</v>
      </c>
      <c r="T53" s="249">
        <v>45603.93951388889</v>
      </c>
      <c r="U53" s="247"/>
      <c r="V53" s="249">
        <v>45603.93809027778</v>
      </c>
      <c r="W53" s="250" t="s">
        <v>1332</v>
      </c>
    </row>
    <row r="54" ht="15.75" customHeight="1">
      <c r="A54" s="241" t="s">
        <v>1405</v>
      </c>
      <c r="B54" s="242" t="s">
        <v>1328</v>
      </c>
      <c r="C54" s="242" t="s">
        <v>1166</v>
      </c>
      <c r="D54" s="242" t="s">
        <v>1330</v>
      </c>
      <c r="E54" s="242" t="s">
        <v>1341</v>
      </c>
      <c r="F54" s="242">
        <v>499.0</v>
      </c>
      <c r="G54" s="242" t="s">
        <v>1331</v>
      </c>
      <c r="H54" s="243">
        <v>1.0</v>
      </c>
      <c r="I54" s="243">
        <v>1.0</v>
      </c>
      <c r="J54" s="243">
        <v>12.0</v>
      </c>
      <c r="K54" s="243">
        <v>0.0</v>
      </c>
      <c r="L54" s="243">
        <v>1.0</v>
      </c>
      <c r="M54" s="242"/>
      <c r="N54" s="242"/>
      <c r="O54" s="242"/>
      <c r="P54" s="242"/>
      <c r="Q54" s="242"/>
      <c r="R54" s="242"/>
      <c r="S54" s="242"/>
      <c r="T54" s="242"/>
      <c r="U54" s="242"/>
      <c r="V54" s="244">
        <v>45573.54928240741</v>
      </c>
      <c r="W54" s="245" t="s">
        <v>1332</v>
      </c>
    </row>
    <row r="55" ht="15.75" customHeight="1">
      <c r="A55" s="246" t="s">
        <v>1406</v>
      </c>
      <c r="B55" s="247" t="s">
        <v>1369</v>
      </c>
      <c r="C55" s="247" t="s">
        <v>1166</v>
      </c>
      <c r="D55" s="247" t="s">
        <v>1330</v>
      </c>
      <c r="E55" s="247" t="s">
        <v>1341</v>
      </c>
      <c r="F55" s="247">
        <v>499.0</v>
      </c>
      <c r="G55" s="247" t="s">
        <v>1331</v>
      </c>
      <c r="H55" s="248">
        <v>1.0</v>
      </c>
      <c r="I55" s="248">
        <v>1.0</v>
      </c>
      <c r="J55" s="248">
        <v>12.0</v>
      </c>
      <c r="K55" s="248">
        <v>1.0</v>
      </c>
      <c r="L55" s="248">
        <v>1.0</v>
      </c>
      <c r="M55" s="247"/>
      <c r="N55" s="247"/>
      <c r="O55" s="247" t="s">
        <v>1407</v>
      </c>
      <c r="P55" s="247">
        <f>919819948465</f>
        <v>919819948465</v>
      </c>
      <c r="Q55" s="249">
        <v>45573.563113425924</v>
      </c>
      <c r="R55" s="249">
        <v>45908.0</v>
      </c>
      <c r="S55" s="249">
        <v>45573.5633912037</v>
      </c>
      <c r="T55" s="249">
        <v>45573.56337962963</v>
      </c>
      <c r="U55" s="249">
        <v>45692.39693287037</v>
      </c>
      <c r="V55" s="249">
        <v>45573.56209490741</v>
      </c>
      <c r="W55" s="250" t="s">
        <v>1332</v>
      </c>
    </row>
    <row r="56" ht="15.75" customHeight="1">
      <c r="A56" s="241" t="s">
        <v>1408</v>
      </c>
      <c r="B56" s="242" t="s">
        <v>1328</v>
      </c>
      <c r="C56" s="242" t="s">
        <v>1166</v>
      </c>
      <c r="D56" s="242" t="s">
        <v>1330</v>
      </c>
      <c r="E56" s="242" t="s">
        <v>1341</v>
      </c>
      <c r="F56" s="242">
        <v>499.0</v>
      </c>
      <c r="G56" s="242" t="s">
        <v>1331</v>
      </c>
      <c r="H56" s="243">
        <v>1.0</v>
      </c>
      <c r="I56" s="243">
        <v>1.0</v>
      </c>
      <c r="J56" s="243">
        <v>12.0</v>
      </c>
      <c r="K56" s="243">
        <v>0.0</v>
      </c>
      <c r="L56" s="243">
        <v>1.0</v>
      </c>
      <c r="M56" s="242"/>
      <c r="N56" s="242"/>
      <c r="O56" s="242"/>
      <c r="P56" s="242"/>
      <c r="Q56" s="242"/>
      <c r="R56" s="242"/>
      <c r="S56" s="242"/>
      <c r="T56" s="242"/>
      <c r="U56" s="242"/>
      <c r="V56" s="244">
        <v>45573.60888888889</v>
      </c>
      <c r="W56" s="245" t="s">
        <v>1332</v>
      </c>
    </row>
    <row r="57" ht="15.75" customHeight="1">
      <c r="A57" s="246" t="s">
        <v>1409</v>
      </c>
      <c r="B57" s="247" t="s">
        <v>1328</v>
      </c>
      <c r="C57" s="247" t="s">
        <v>1166</v>
      </c>
      <c r="D57" s="247" t="s">
        <v>1330</v>
      </c>
      <c r="E57" s="247" t="s">
        <v>1341</v>
      </c>
      <c r="F57" s="247">
        <v>499.0</v>
      </c>
      <c r="G57" s="247" t="s">
        <v>1331</v>
      </c>
      <c r="H57" s="248">
        <v>1.0</v>
      </c>
      <c r="I57" s="248">
        <v>1.0</v>
      </c>
      <c r="J57" s="248">
        <v>12.0</v>
      </c>
      <c r="K57" s="248">
        <v>0.0</v>
      </c>
      <c r="L57" s="248">
        <v>1.0</v>
      </c>
      <c r="M57" s="247"/>
      <c r="N57" s="247"/>
      <c r="O57" s="247"/>
      <c r="P57" s="247"/>
      <c r="Q57" s="247"/>
      <c r="R57" s="247"/>
      <c r="S57" s="247"/>
      <c r="T57" s="247"/>
      <c r="U57" s="247"/>
      <c r="V57" s="249">
        <v>45573.615625</v>
      </c>
      <c r="W57" s="250" t="s">
        <v>1332</v>
      </c>
    </row>
    <row r="58" ht="15.75" customHeight="1">
      <c r="A58" s="241" t="s">
        <v>1410</v>
      </c>
      <c r="B58" s="242" t="s">
        <v>1328</v>
      </c>
      <c r="C58" s="242" t="s">
        <v>1166</v>
      </c>
      <c r="D58" s="242" t="s">
        <v>1330</v>
      </c>
      <c r="E58" s="242" t="s">
        <v>1341</v>
      </c>
      <c r="F58" s="242">
        <v>499.0</v>
      </c>
      <c r="G58" s="242" t="s">
        <v>1331</v>
      </c>
      <c r="H58" s="243">
        <v>1.0</v>
      </c>
      <c r="I58" s="243">
        <v>1.0</v>
      </c>
      <c r="J58" s="243">
        <v>12.0</v>
      </c>
      <c r="K58" s="243">
        <v>0.0</v>
      </c>
      <c r="L58" s="243">
        <v>1.0</v>
      </c>
      <c r="M58" s="242"/>
      <c r="N58" s="242"/>
      <c r="O58" s="242"/>
      <c r="P58" s="242"/>
      <c r="Q58" s="242"/>
      <c r="R58" s="242"/>
      <c r="S58" s="242"/>
      <c r="T58" s="242"/>
      <c r="U58" s="242"/>
      <c r="V58" s="244">
        <v>45573.61630787037</v>
      </c>
      <c r="W58" s="245" t="s">
        <v>1332</v>
      </c>
    </row>
    <row r="59" ht="15.75" customHeight="1">
      <c r="A59" s="246" t="s">
        <v>1411</v>
      </c>
      <c r="B59" s="247" t="s">
        <v>1328</v>
      </c>
      <c r="C59" s="247" t="s">
        <v>1166</v>
      </c>
      <c r="D59" s="247" t="s">
        <v>1330</v>
      </c>
      <c r="E59" s="247" t="s">
        <v>1341</v>
      </c>
      <c r="F59" s="247">
        <v>499.0</v>
      </c>
      <c r="G59" s="247" t="s">
        <v>1331</v>
      </c>
      <c r="H59" s="248">
        <v>1.0</v>
      </c>
      <c r="I59" s="248">
        <v>1.0</v>
      </c>
      <c r="J59" s="248">
        <v>12.0</v>
      </c>
      <c r="K59" s="248">
        <v>0.0</v>
      </c>
      <c r="L59" s="248">
        <v>1.0</v>
      </c>
      <c r="M59" s="247"/>
      <c r="N59" s="247"/>
      <c r="O59" s="247"/>
      <c r="P59" s="247"/>
      <c r="Q59" s="247"/>
      <c r="R59" s="247"/>
      <c r="S59" s="247"/>
      <c r="T59" s="247"/>
      <c r="U59" s="247"/>
      <c r="V59" s="249">
        <v>45573.66326388889</v>
      </c>
      <c r="W59" s="250" t="s">
        <v>1332</v>
      </c>
    </row>
    <row r="60" ht="15.75" customHeight="1">
      <c r="A60" s="241" t="s">
        <v>1412</v>
      </c>
      <c r="B60" s="242" t="s">
        <v>1369</v>
      </c>
      <c r="C60" s="242" t="s">
        <v>1166</v>
      </c>
      <c r="D60" s="242" t="s">
        <v>1330</v>
      </c>
      <c r="E60" s="242" t="s">
        <v>1341</v>
      </c>
      <c r="F60" s="242">
        <v>499.0</v>
      </c>
      <c r="G60" s="242" t="s">
        <v>1331</v>
      </c>
      <c r="H60" s="243">
        <v>1.0</v>
      </c>
      <c r="I60" s="243">
        <v>1.0</v>
      </c>
      <c r="J60" s="243">
        <v>12.0</v>
      </c>
      <c r="K60" s="243">
        <v>1.0</v>
      </c>
      <c r="L60" s="243">
        <v>1.0</v>
      </c>
      <c r="M60" s="242"/>
      <c r="N60" s="242"/>
      <c r="O60" s="242" t="s">
        <v>1413</v>
      </c>
      <c r="P60" s="242">
        <f>917615003260</f>
        <v>917615003260</v>
      </c>
      <c r="Q60" s="244">
        <v>45573.6646875</v>
      </c>
      <c r="R60" s="244">
        <v>45908.0</v>
      </c>
      <c r="S60" s="244">
        <v>45573.6652662037</v>
      </c>
      <c r="T60" s="244">
        <v>45573.665243055555</v>
      </c>
      <c r="U60" s="244">
        <v>45690.74480324074</v>
      </c>
      <c r="V60" s="244">
        <v>45573.66354166667</v>
      </c>
      <c r="W60" s="245" t="s">
        <v>1332</v>
      </c>
    </row>
    <row r="61" ht="15.75" customHeight="1">
      <c r="A61" s="246" t="s">
        <v>1414</v>
      </c>
      <c r="B61" s="247" t="s">
        <v>1328</v>
      </c>
      <c r="C61" s="247" t="s">
        <v>1166</v>
      </c>
      <c r="D61" s="247" t="s">
        <v>1330</v>
      </c>
      <c r="E61" s="247" t="s">
        <v>1341</v>
      </c>
      <c r="F61" s="247">
        <v>499.0</v>
      </c>
      <c r="G61" s="247" t="s">
        <v>1331</v>
      </c>
      <c r="H61" s="248">
        <v>1.0</v>
      </c>
      <c r="I61" s="248">
        <v>1.0</v>
      </c>
      <c r="J61" s="248">
        <v>12.0</v>
      </c>
      <c r="K61" s="248">
        <v>0.0</v>
      </c>
      <c r="L61" s="248">
        <v>1.0</v>
      </c>
      <c r="M61" s="247"/>
      <c r="N61" s="247"/>
      <c r="O61" s="247"/>
      <c r="P61" s="247"/>
      <c r="Q61" s="247"/>
      <c r="R61" s="247"/>
      <c r="S61" s="247"/>
      <c r="T61" s="247"/>
      <c r="U61" s="247"/>
      <c r="V61" s="249">
        <v>45573.77674768519</v>
      </c>
      <c r="W61" s="250" t="s">
        <v>1332</v>
      </c>
    </row>
    <row r="62" ht="15.75" customHeight="1">
      <c r="A62" s="241" t="s">
        <v>1415</v>
      </c>
      <c r="B62" s="242" t="s">
        <v>1350</v>
      </c>
      <c r="C62" s="242" t="s">
        <v>1166</v>
      </c>
      <c r="D62" s="242" t="s">
        <v>1330</v>
      </c>
      <c r="E62" s="242" t="s">
        <v>1341</v>
      </c>
      <c r="F62" s="242">
        <v>499.0</v>
      </c>
      <c r="G62" s="242" t="s">
        <v>1331</v>
      </c>
      <c r="H62" s="243">
        <v>1.0</v>
      </c>
      <c r="I62" s="243">
        <v>1.0</v>
      </c>
      <c r="J62" s="243">
        <v>12.0</v>
      </c>
      <c r="K62" s="243">
        <v>1.0</v>
      </c>
      <c r="L62" s="243">
        <v>1.0</v>
      </c>
      <c r="M62" s="242"/>
      <c r="N62" s="242"/>
      <c r="O62" s="242" t="s">
        <v>1416</v>
      </c>
      <c r="P62" s="242">
        <f>918848954969</f>
        <v>918848954969</v>
      </c>
      <c r="Q62" s="244">
        <v>45604.426574074074</v>
      </c>
      <c r="R62" s="244">
        <v>45938.0</v>
      </c>
      <c r="S62" s="244">
        <v>45604.427777777775</v>
      </c>
      <c r="T62" s="244">
        <v>45604.42775462963</v>
      </c>
      <c r="U62" s="242"/>
      <c r="V62" s="244">
        <v>45604.4262962963</v>
      </c>
      <c r="W62" s="245" t="s">
        <v>1332</v>
      </c>
    </row>
    <row r="63" ht="15.75" customHeight="1">
      <c r="A63" s="246" t="s">
        <v>1417</v>
      </c>
      <c r="B63" s="247" t="s">
        <v>1328</v>
      </c>
      <c r="C63" s="247" t="s">
        <v>1166</v>
      </c>
      <c r="D63" s="247" t="s">
        <v>1330</v>
      </c>
      <c r="E63" s="247" t="s">
        <v>1341</v>
      </c>
      <c r="F63" s="247">
        <v>499.0</v>
      </c>
      <c r="G63" s="247" t="s">
        <v>1331</v>
      </c>
      <c r="H63" s="248">
        <v>1.0</v>
      </c>
      <c r="I63" s="248">
        <v>1.0</v>
      </c>
      <c r="J63" s="248">
        <v>12.0</v>
      </c>
      <c r="K63" s="248">
        <v>0.0</v>
      </c>
      <c r="L63" s="248">
        <v>1.0</v>
      </c>
      <c r="M63" s="247"/>
      <c r="N63" s="247"/>
      <c r="O63" s="247"/>
      <c r="P63" s="247"/>
      <c r="Q63" s="247"/>
      <c r="R63" s="247"/>
      <c r="S63" s="247"/>
      <c r="T63" s="247"/>
      <c r="U63" s="247"/>
      <c r="V63" s="249">
        <v>45574.46472222222</v>
      </c>
      <c r="W63" s="250" t="s">
        <v>1332</v>
      </c>
    </row>
    <row r="64" ht="15.75" customHeight="1">
      <c r="A64" s="241" t="s">
        <v>1418</v>
      </c>
      <c r="B64" s="242" t="s">
        <v>1369</v>
      </c>
      <c r="C64" s="242" t="s">
        <v>1166</v>
      </c>
      <c r="D64" s="242" t="s">
        <v>1330</v>
      </c>
      <c r="E64" s="242" t="s">
        <v>1341</v>
      </c>
      <c r="F64" s="242">
        <v>499.0</v>
      </c>
      <c r="G64" s="242" t="s">
        <v>1331</v>
      </c>
      <c r="H64" s="243">
        <v>1.0</v>
      </c>
      <c r="I64" s="243">
        <v>1.0</v>
      </c>
      <c r="J64" s="243">
        <v>12.0</v>
      </c>
      <c r="K64" s="243">
        <v>1.0</v>
      </c>
      <c r="L64" s="243">
        <v>1.0</v>
      </c>
      <c r="M64" s="242" t="s">
        <v>1419</v>
      </c>
      <c r="N64" s="242"/>
      <c r="O64" s="242" t="s">
        <v>1420</v>
      </c>
      <c r="P64" s="242">
        <f>919310702208</f>
        <v>919310702208</v>
      </c>
      <c r="Q64" s="244">
        <v>45574.46810185185</v>
      </c>
      <c r="R64" s="244">
        <v>45909.0</v>
      </c>
      <c r="S64" s="244">
        <v>45574.46836805555</v>
      </c>
      <c r="T64" s="244">
        <v>45574.468356481484</v>
      </c>
      <c r="U64" s="244">
        <v>45691.464270833334</v>
      </c>
      <c r="V64" s="244">
        <v>45574.467835648145</v>
      </c>
      <c r="W64" s="245" t="s">
        <v>1332</v>
      </c>
    </row>
    <row r="65" ht="15.75" customHeight="1">
      <c r="A65" s="246" t="s">
        <v>1421</v>
      </c>
      <c r="B65" s="247" t="s">
        <v>1328</v>
      </c>
      <c r="C65" s="247" t="s">
        <v>1166</v>
      </c>
      <c r="D65" s="247" t="s">
        <v>1330</v>
      </c>
      <c r="E65" s="247" t="s">
        <v>1341</v>
      </c>
      <c r="F65" s="247">
        <v>499.0</v>
      </c>
      <c r="G65" s="247" t="s">
        <v>1331</v>
      </c>
      <c r="H65" s="248">
        <v>1.0</v>
      </c>
      <c r="I65" s="248">
        <v>1.0</v>
      </c>
      <c r="J65" s="248">
        <v>12.0</v>
      </c>
      <c r="K65" s="248">
        <v>0.0</v>
      </c>
      <c r="L65" s="248">
        <v>1.0</v>
      </c>
      <c r="M65" s="247"/>
      <c r="N65" s="247"/>
      <c r="O65" s="247"/>
      <c r="P65" s="247"/>
      <c r="Q65" s="247"/>
      <c r="R65" s="247"/>
      <c r="S65" s="247"/>
      <c r="T65" s="247"/>
      <c r="U65" s="247"/>
      <c r="V65" s="249">
        <v>45574.50399305556</v>
      </c>
      <c r="W65" s="250" t="s">
        <v>1332</v>
      </c>
    </row>
    <row r="66" ht="15.75" customHeight="1">
      <c r="A66" s="241" t="s">
        <v>1249</v>
      </c>
      <c r="B66" s="242" t="s">
        <v>1340</v>
      </c>
      <c r="C66" s="242" t="s">
        <v>1250</v>
      </c>
      <c r="D66" s="242" t="s">
        <v>1422</v>
      </c>
      <c r="E66" s="242"/>
      <c r="F66" s="242">
        <v>3999.0</v>
      </c>
      <c r="G66" s="242" t="s">
        <v>1331</v>
      </c>
      <c r="H66" s="243">
        <v>1.0</v>
      </c>
      <c r="I66" s="243">
        <v>1.0</v>
      </c>
      <c r="J66" s="243">
        <v>12.0</v>
      </c>
      <c r="K66" s="243">
        <v>4.0</v>
      </c>
      <c r="L66" s="243">
        <v>1.0</v>
      </c>
      <c r="M66" s="242"/>
      <c r="N66" s="242"/>
      <c r="O66" s="242" t="s">
        <v>1423</v>
      </c>
      <c r="P66" s="242">
        <f>919545036036</f>
        <v>919545036036</v>
      </c>
      <c r="Q66" s="244">
        <v>45605.62267361111</v>
      </c>
      <c r="R66" s="244">
        <v>45939.0</v>
      </c>
      <c r="S66" s="244">
        <v>45605.623564814814</v>
      </c>
      <c r="T66" s="244">
        <v>45605.62355324074</v>
      </c>
      <c r="U66" s="242"/>
      <c r="V66" s="244">
        <v>45605.620462962965</v>
      </c>
      <c r="W66" s="245" t="s">
        <v>1332</v>
      </c>
    </row>
    <row r="67" ht="15.75" customHeight="1">
      <c r="A67" s="246" t="s">
        <v>1424</v>
      </c>
      <c r="B67" s="247" t="s">
        <v>1328</v>
      </c>
      <c r="C67" s="247" t="s">
        <v>1166</v>
      </c>
      <c r="D67" s="247" t="s">
        <v>1330</v>
      </c>
      <c r="E67" s="247" t="s">
        <v>1341</v>
      </c>
      <c r="F67" s="247">
        <v>499.0</v>
      </c>
      <c r="G67" s="247" t="s">
        <v>1331</v>
      </c>
      <c r="H67" s="248">
        <v>1.0</v>
      </c>
      <c r="I67" s="248">
        <v>1.0</v>
      </c>
      <c r="J67" s="248">
        <v>12.0</v>
      </c>
      <c r="K67" s="248">
        <v>0.0</v>
      </c>
      <c r="L67" s="248">
        <v>1.0</v>
      </c>
      <c r="M67" s="247"/>
      <c r="N67" s="247"/>
      <c r="O67" s="247"/>
      <c r="P67" s="247"/>
      <c r="Q67" s="247"/>
      <c r="R67" s="247"/>
      <c r="S67" s="247"/>
      <c r="T67" s="247"/>
      <c r="U67" s="247"/>
      <c r="V67" s="249">
        <v>45605.76905092593</v>
      </c>
      <c r="W67" s="250" t="s">
        <v>1332</v>
      </c>
    </row>
    <row r="68" ht="15.75" customHeight="1">
      <c r="A68" s="241" t="s">
        <v>1425</v>
      </c>
      <c r="B68" s="242" t="s">
        <v>1369</v>
      </c>
      <c r="C68" s="242" t="s">
        <v>1166</v>
      </c>
      <c r="D68" s="242" t="s">
        <v>1330</v>
      </c>
      <c r="E68" s="242" t="s">
        <v>1341</v>
      </c>
      <c r="F68" s="242">
        <v>499.0</v>
      </c>
      <c r="G68" s="242" t="s">
        <v>1331</v>
      </c>
      <c r="H68" s="243">
        <v>1.0</v>
      </c>
      <c r="I68" s="243">
        <v>1.0</v>
      </c>
      <c r="J68" s="243">
        <v>12.0</v>
      </c>
      <c r="K68" s="243">
        <v>2.0</v>
      </c>
      <c r="L68" s="243">
        <v>1.0</v>
      </c>
      <c r="M68" s="242"/>
      <c r="N68" s="242"/>
      <c r="O68" s="242" t="s">
        <v>1426</v>
      </c>
      <c r="P68" s="242">
        <f>919560658196</f>
        <v>919560658196</v>
      </c>
      <c r="Q68" s="251">
        <v>45575.43221064815</v>
      </c>
      <c r="R68" s="244">
        <v>45910.0</v>
      </c>
      <c r="S68" s="251">
        <v>45575.43246527778</v>
      </c>
      <c r="T68" s="251">
        <v>45575.4324537037</v>
      </c>
      <c r="U68" s="244">
        <v>45659.28905092592</v>
      </c>
      <c r="V68" s="251">
        <v>45575.43178240741</v>
      </c>
      <c r="W68" s="245" t="s">
        <v>1332</v>
      </c>
    </row>
    <row r="69" ht="15.75" customHeight="1">
      <c r="A69" s="246" t="s">
        <v>1427</v>
      </c>
      <c r="B69" s="247" t="s">
        <v>1328</v>
      </c>
      <c r="C69" s="247" t="s">
        <v>1166</v>
      </c>
      <c r="D69" s="247" t="s">
        <v>1330</v>
      </c>
      <c r="E69" s="247" t="s">
        <v>1341</v>
      </c>
      <c r="F69" s="247">
        <v>499.0</v>
      </c>
      <c r="G69" s="247" t="s">
        <v>1331</v>
      </c>
      <c r="H69" s="248">
        <v>1.0</v>
      </c>
      <c r="I69" s="248">
        <v>1.0</v>
      </c>
      <c r="J69" s="248">
        <v>12.0</v>
      </c>
      <c r="K69" s="248">
        <v>0.0</v>
      </c>
      <c r="L69" s="248">
        <v>1.0</v>
      </c>
      <c r="M69" s="247"/>
      <c r="N69" s="247"/>
      <c r="O69" s="247"/>
      <c r="P69" s="247"/>
      <c r="Q69" s="247"/>
      <c r="R69" s="247"/>
      <c r="S69" s="247"/>
      <c r="T69" s="247"/>
      <c r="U69" s="247"/>
      <c r="V69" s="252">
        <v>45575.81648148148</v>
      </c>
      <c r="W69" s="250" t="s">
        <v>1332</v>
      </c>
    </row>
    <row r="70" ht="15.75" customHeight="1">
      <c r="A70" s="241" t="s">
        <v>1246</v>
      </c>
      <c r="B70" s="242" t="s">
        <v>1340</v>
      </c>
      <c r="C70" s="242" t="s">
        <v>1166</v>
      </c>
      <c r="D70" s="242" t="s">
        <v>1330</v>
      </c>
      <c r="E70" s="242" t="s">
        <v>1341</v>
      </c>
      <c r="F70" s="242">
        <v>499.0</v>
      </c>
      <c r="G70" s="242" t="s">
        <v>1331</v>
      </c>
      <c r="H70" s="243">
        <v>1.0</v>
      </c>
      <c r="I70" s="243">
        <v>1.0</v>
      </c>
      <c r="J70" s="243">
        <v>12.0</v>
      </c>
      <c r="K70" s="243">
        <v>4.0</v>
      </c>
      <c r="L70" s="243">
        <v>1.0</v>
      </c>
      <c r="M70" s="242"/>
      <c r="N70" s="242"/>
      <c r="O70" s="242" t="s">
        <v>1428</v>
      </c>
      <c r="P70" s="242">
        <f>918604813637</f>
        <v>918604813637</v>
      </c>
      <c r="Q70" s="251">
        <v>45606.530381944445</v>
      </c>
      <c r="R70" s="251">
        <v>45940.0</v>
      </c>
      <c r="S70" s="251">
        <v>45606.53057870371</v>
      </c>
      <c r="T70" s="251">
        <v>45606.53056712963</v>
      </c>
      <c r="U70" s="242"/>
      <c r="V70" s="251">
        <v>45606.52710648148</v>
      </c>
      <c r="W70" s="245" t="s">
        <v>1332</v>
      </c>
    </row>
    <row r="71" ht="15.75" customHeight="1">
      <c r="A71" s="246" t="s">
        <v>1271</v>
      </c>
      <c r="B71" s="247" t="s">
        <v>1340</v>
      </c>
      <c r="C71" s="247" t="s">
        <v>1166</v>
      </c>
      <c r="D71" s="247" t="s">
        <v>1330</v>
      </c>
      <c r="E71" s="247" t="s">
        <v>1341</v>
      </c>
      <c r="F71" s="247">
        <v>499.0</v>
      </c>
      <c r="G71" s="247" t="s">
        <v>1331</v>
      </c>
      <c r="H71" s="248">
        <v>1.0</v>
      </c>
      <c r="I71" s="248">
        <v>1.0</v>
      </c>
      <c r="J71" s="248">
        <v>12.0</v>
      </c>
      <c r="K71" s="248">
        <v>5.0</v>
      </c>
      <c r="L71" s="248">
        <v>1.0</v>
      </c>
      <c r="M71" s="247"/>
      <c r="N71" s="247"/>
      <c r="O71" s="247" t="s">
        <v>1429</v>
      </c>
      <c r="P71" s="247">
        <f>919915309747</f>
        <v>919915309747</v>
      </c>
      <c r="Q71" s="252">
        <v>45576.57648148148</v>
      </c>
      <c r="R71" s="249">
        <v>45911.0</v>
      </c>
      <c r="S71" s="252">
        <v>45576.577210648145</v>
      </c>
      <c r="T71" s="252">
        <v>45576.577199074076</v>
      </c>
      <c r="U71" s="247"/>
      <c r="V71" s="252">
        <v>45576.57577546296</v>
      </c>
      <c r="W71" s="250" t="s">
        <v>1332</v>
      </c>
    </row>
    <row r="72" ht="15.75" customHeight="1">
      <c r="A72" s="241" t="s">
        <v>1268</v>
      </c>
      <c r="B72" s="242" t="s">
        <v>1340</v>
      </c>
      <c r="C72" s="242" t="s">
        <v>1166</v>
      </c>
      <c r="D72" s="242" t="s">
        <v>1330</v>
      </c>
      <c r="E72" s="242" t="s">
        <v>1341</v>
      </c>
      <c r="F72" s="242">
        <v>499.0</v>
      </c>
      <c r="G72" s="242" t="s">
        <v>1331</v>
      </c>
      <c r="H72" s="243">
        <v>1.0</v>
      </c>
      <c r="I72" s="243">
        <v>1.0</v>
      </c>
      <c r="J72" s="243">
        <v>12.0</v>
      </c>
      <c r="K72" s="243">
        <v>5.0</v>
      </c>
      <c r="L72" s="243">
        <v>1.0</v>
      </c>
      <c r="M72" s="242"/>
      <c r="N72" s="242"/>
      <c r="O72" s="242" t="s">
        <v>1430</v>
      </c>
      <c r="P72" s="242">
        <f>919930101879</f>
        <v>919930101879</v>
      </c>
      <c r="Q72" s="251">
        <v>45576.69582175926</v>
      </c>
      <c r="R72" s="244">
        <v>45911.0</v>
      </c>
      <c r="S72" s="251">
        <v>45576.69614583333</v>
      </c>
      <c r="T72" s="251">
        <v>45576.69613425926</v>
      </c>
      <c r="U72" s="242"/>
      <c r="V72" s="251">
        <v>45576.69532407408</v>
      </c>
      <c r="W72" s="245" t="s">
        <v>1332</v>
      </c>
    </row>
    <row r="73" ht="15.75" customHeight="1">
      <c r="A73" s="246" t="s">
        <v>1431</v>
      </c>
      <c r="B73" s="247" t="s">
        <v>1328</v>
      </c>
      <c r="C73" s="247" t="s">
        <v>1166</v>
      </c>
      <c r="D73" s="247" t="s">
        <v>1330</v>
      </c>
      <c r="E73" s="247" t="s">
        <v>1341</v>
      </c>
      <c r="F73" s="247">
        <v>499.0</v>
      </c>
      <c r="G73" s="247" t="s">
        <v>1331</v>
      </c>
      <c r="H73" s="248">
        <v>1.0</v>
      </c>
      <c r="I73" s="248">
        <v>1.0</v>
      </c>
      <c r="J73" s="248">
        <v>12.0</v>
      </c>
      <c r="K73" s="248">
        <v>0.0</v>
      </c>
      <c r="L73" s="248">
        <v>1.0</v>
      </c>
      <c r="M73" s="247"/>
      <c r="N73" s="247"/>
      <c r="O73" s="247"/>
      <c r="P73" s="247"/>
      <c r="Q73" s="247"/>
      <c r="R73" s="247"/>
      <c r="S73" s="247"/>
      <c r="T73" s="247"/>
      <c r="U73" s="247"/>
      <c r="V73" s="252">
        <v>45607.58466435185</v>
      </c>
      <c r="W73" s="250" t="s">
        <v>1332</v>
      </c>
    </row>
    <row r="74" ht="15.75" customHeight="1">
      <c r="A74" s="241" t="s">
        <v>1432</v>
      </c>
      <c r="B74" s="242" t="s">
        <v>1328</v>
      </c>
      <c r="C74" s="242" t="s">
        <v>1166</v>
      </c>
      <c r="D74" s="242" t="s">
        <v>1330</v>
      </c>
      <c r="E74" s="242" t="s">
        <v>1341</v>
      </c>
      <c r="F74" s="242">
        <v>499.0</v>
      </c>
      <c r="G74" s="242" t="s">
        <v>1331</v>
      </c>
      <c r="H74" s="243">
        <v>1.0</v>
      </c>
      <c r="I74" s="243">
        <v>1.0</v>
      </c>
      <c r="J74" s="243">
        <v>12.0</v>
      </c>
      <c r="K74" s="243">
        <v>0.0</v>
      </c>
      <c r="L74" s="243">
        <v>1.0</v>
      </c>
      <c r="M74" s="242"/>
      <c r="N74" s="242"/>
      <c r="O74" s="242"/>
      <c r="P74" s="242"/>
      <c r="Q74" s="242"/>
      <c r="R74" s="242"/>
      <c r="S74" s="242"/>
      <c r="T74" s="242"/>
      <c r="U74" s="242"/>
      <c r="V74" s="251">
        <v>45607.5865625</v>
      </c>
      <c r="W74" s="245" t="s">
        <v>1332</v>
      </c>
    </row>
    <row r="75" ht="15.75" customHeight="1">
      <c r="A75" s="246" t="s">
        <v>1433</v>
      </c>
      <c r="B75" s="247" t="s">
        <v>1369</v>
      </c>
      <c r="C75" s="247" t="s">
        <v>1166</v>
      </c>
      <c r="D75" s="247" t="s">
        <v>1330</v>
      </c>
      <c r="E75" s="247" t="s">
        <v>1341</v>
      </c>
      <c r="F75" s="247">
        <v>499.0</v>
      </c>
      <c r="G75" s="247" t="s">
        <v>1331</v>
      </c>
      <c r="H75" s="248">
        <v>1.0</v>
      </c>
      <c r="I75" s="248">
        <v>1.0</v>
      </c>
      <c r="J75" s="248">
        <v>12.0</v>
      </c>
      <c r="K75" s="248">
        <v>2.0</v>
      </c>
      <c r="L75" s="248">
        <v>1.0</v>
      </c>
      <c r="M75" s="247"/>
      <c r="N75" s="247"/>
      <c r="O75" s="247" t="s">
        <v>1434</v>
      </c>
      <c r="P75" s="247">
        <f>919818866436</f>
        <v>919818866436</v>
      </c>
      <c r="Q75" s="252">
        <v>45608.745150462964</v>
      </c>
      <c r="R75" s="252">
        <v>45942.0</v>
      </c>
      <c r="S75" s="252">
        <v>45608.74545138889</v>
      </c>
      <c r="T75" s="252">
        <v>45608.74543981482</v>
      </c>
      <c r="U75" s="249">
        <v>45663.7133912037</v>
      </c>
      <c r="V75" s="252">
        <v>45608.745</v>
      </c>
      <c r="W75" s="250" t="s">
        <v>1332</v>
      </c>
    </row>
    <row r="76" ht="15.75" customHeight="1">
      <c r="A76" s="241" t="s">
        <v>1435</v>
      </c>
      <c r="B76" s="242" t="s">
        <v>1369</v>
      </c>
      <c r="C76" s="242" t="s">
        <v>1166</v>
      </c>
      <c r="D76" s="242" t="s">
        <v>1330</v>
      </c>
      <c r="E76" s="242" t="s">
        <v>1341</v>
      </c>
      <c r="F76" s="242">
        <v>499.0</v>
      </c>
      <c r="G76" s="242" t="s">
        <v>1331</v>
      </c>
      <c r="H76" s="243">
        <v>1.0</v>
      </c>
      <c r="I76" s="243">
        <v>1.0</v>
      </c>
      <c r="J76" s="243">
        <v>12.0</v>
      </c>
      <c r="K76" s="243">
        <v>1.0</v>
      </c>
      <c r="L76" s="243">
        <v>1.0</v>
      </c>
      <c r="M76" s="242" t="s">
        <v>1436</v>
      </c>
      <c r="N76" s="242"/>
      <c r="O76" s="242" t="s">
        <v>1437</v>
      </c>
      <c r="P76" s="242">
        <f>918427177847</f>
        <v>918427177847</v>
      </c>
      <c r="Q76" s="251">
        <v>45608.95790509259</v>
      </c>
      <c r="R76" s="251">
        <v>45942.0</v>
      </c>
      <c r="S76" s="251">
        <v>45608.95831018518</v>
      </c>
      <c r="T76" s="251">
        <v>45608.958287037036</v>
      </c>
      <c r="U76" s="251">
        <v>45608.95890046296</v>
      </c>
      <c r="V76" s="251">
        <v>45608.9578125</v>
      </c>
      <c r="W76" s="245" t="s">
        <v>1332</v>
      </c>
    </row>
    <row r="77" ht="15.75" customHeight="1">
      <c r="A77" s="246" t="s">
        <v>1438</v>
      </c>
      <c r="B77" s="247" t="s">
        <v>1328</v>
      </c>
      <c r="C77" s="247" t="s">
        <v>1166</v>
      </c>
      <c r="D77" s="247" t="s">
        <v>1330</v>
      </c>
      <c r="E77" s="247" t="s">
        <v>1341</v>
      </c>
      <c r="F77" s="247">
        <v>499.0</v>
      </c>
      <c r="G77" s="247" t="s">
        <v>1331</v>
      </c>
      <c r="H77" s="248">
        <v>1.0</v>
      </c>
      <c r="I77" s="248">
        <v>1.0</v>
      </c>
      <c r="J77" s="248">
        <v>12.0</v>
      </c>
      <c r="K77" s="248">
        <v>0.0</v>
      </c>
      <c r="L77" s="248">
        <v>1.0</v>
      </c>
      <c r="M77" s="247"/>
      <c r="N77" s="247"/>
      <c r="O77" s="247"/>
      <c r="P77" s="247"/>
      <c r="Q77" s="247"/>
      <c r="R77" s="247"/>
      <c r="S77" s="247"/>
      <c r="T77" s="247"/>
      <c r="U77" s="247"/>
      <c r="V77" s="252">
        <v>45578.43162037037</v>
      </c>
      <c r="W77" s="250" t="s">
        <v>1332</v>
      </c>
    </row>
    <row r="78" ht="15.75" customHeight="1">
      <c r="A78" s="241" t="s">
        <v>1439</v>
      </c>
      <c r="B78" s="242" t="s">
        <v>1328</v>
      </c>
      <c r="C78" s="242" t="s">
        <v>1166</v>
      </c>
      <c r="D78" s="242" t="s">
        <v>1330</v>
      </c>
      <c r="E78" s="242" t="s">
        <v>1341</v>
      </c>
      <c r="F78" s="242">
        <v>499.0</v>
      </c>
      <c r="G78" s="242" t="s">
        <v>1331</v>
      </c>
      <c r="H78" s="243">
        <v>1.0</v>
      </c>
      <c r="I78" s="243">
        <v>1.0</v>
      </c>
      <c r="J78" s="243">
        <v>12.0</v>
      </c>
      <c r="K78" s="243">
        <v>0.0</v>
      </c>
      <c r="L78" s="243">
        <v>1.0</v>
      </c>
      <c r="M78" s="242"/>
      <c r="N78" s="242"/>
      <c r="O78" s="242"/>
      <c r="P78" s="242"/>
      <c r="Q78" s="242"/>
      <c r="R78" s="242"/>
      <c r="S78" s="242"/>
      <c r="T78" s="242"/>
      <c r="U78" s="242"/>
      <c r="V78" s="251">
        <v>45578.43336805556</v>
      </c>
      <c r="W78" s="245" t="s">
        <v>1332</v>
      </c>
    </row>
    <row r="79" ht="15.75" customHeight="1">
      <c r="A79" s="246" t="s">
        <v>1440</v>
      </c>
      <c r="B79" s="247" t="s">
        <v>1328</v>
      </c>
      <c r="C79" s="247" t="s">
        <v>1166</v>
      </c>
      <c r="D79" s="247" t="s">
        <v>1330</v>
      </c>
      <c r="E79" s="247" t="s">
        <v>1341</v>
      </c>
      <c r="F79" s="247">
        <v>499.0</v>
      </c>
      <c r="G79" s="247" t="s">
        <v>1331</v>
      </c>
      <c r="H79" s="248">
        <v>1.0</v>
      </c>
      <c r="I79" s="248">
        <v>1.0</v>
      </c>
      <c r="J79" s="248">
        <v>12.0</v>
      </c>
      <c r="K79" s="248">
        <v>0.0</v>
      </c>
      <c r="L79" s="248">
        <v>1.0</v>
      </c>
      <c r="M79" s="247"/>
      <c r="N79" s="247"/>
      <c r="O79" s="247"/>
      <c r="P79" s="247"/>
      <c r="Q79" s="247"/>
      <c r="R79" s="247"/>
      <c r="S79" s="247"/>
      <c r="T79" s="247"/>
      <c r="U79" s="247"/>
      <c r="V79" s="252">
        <v>45578.60425925926</v>
      </c>
      <c r="W79" s="250" t="s">
        <v>1332</v>
      </c>
    </row>
    <row r="80" ht="15.75" customHeight="1">
      <c r="A80" s="241" t="s">
        <v>1441</v>
      </c>
      <c r="B80" s="242" t="s">
        <v>1328</v>
      </c>
      <c r="C80" s="242" t="s">
        <v>1166</v>
      </c>
      <c r="D80" s="242" t="s">
        <v>1330</v>
      </c>
      <c r="E80" s="242" t="s">
        <v>1341</v>
      </c>
      <c r="F80" s="242">
        <v>499.0</v>
      </c>
      <c r="G80" s="242" t="s">
        <v>1331</v>
      </c>
      <c r="H80" s="243">
        <v>1.0</v>
      </c>
      <c r="I80" s="243">
        <v>1.0</v>
      </c>
      <c r="J80" s="243">
        <v>12.0</v>
      </c>
      <c r="K80" s="243">
        <v>0.0</v>
      </c>
      <c r="L80" s="243">
        <v>1.0</v>
      </c>
      <c r="M80" s="242"/>
      <c r="N80" s="242"/>
      <c r="O80" s="242"/>
      <c r="P80" s="242"/>
      <c r="Q80" s="242"/>
      <c r="R80" s="242"/>
      <c r="S80" s="242"/>
      <c r="T80" s="242"/>
      <c r="U80" s="242"/>
      <c r="V80" s="251">
        <v>45578.63321759259</v>
      </c>
      <c r="W80" s="245" t="s">
        <v>1332</v>
      </c>
    </row>
    <row r="81" ht="15.75" customHeight="1">
      <c r="A81" s="246" t="s">
        <v>1442</v>
      </c>
      <c r="B81" s="247" t="s">
        <v>1328</v>
      </c>
      <c r="C81" s="247" t="s">
        <v>1166</v>
      </c>
      <c r="D81" s="247" t="s">
        <v>1330</v>
      </c>
      <c r="E81" s="247" t="s">
        <v>1341</v>
      </c>
      <c r="F81" s="247">
        <v>499.0</v>
      </c>
      <c r="G81" s="247" t="s">
        <v>1331</v>
      </c>
      <c r="H81" s="248">
        <v>1.0</v>
      </c>
      <c r="I81" s="248">
        <v>1.0</v>
      </c>
      <c r="J81" s="248">
        <v>12.0</v>
      </c>
      <c r="K81" s="248">
        <v>0.0</v>
      </c>
      <c r="L81" s="248">
        <v>1.0</v>
      </c>
      <c r="M81" s="247"/>
      <c r="N81" s="247"/>
      <c r="O81" s="247"/>
      <c r="P81" s="247"/>
      <c r="Q81" s="247"/>
      <c r="R81" s="247"/>
      <c r="S81" s="247"/>
      <c r="T81" s="247"/>
      <c r="U81" s="247"/>
      <c r="V81" s="252">
        <v>45578.638078703705</v>
      </c>
      <c r="W81" s="250" t="s">
        <v>1332</v>
      </c>
    </row>
    <row r="82" ht="15.75" customHeight="1">
      <c r="A82" s="241" t="s">
        <v>1443</v>
      </c>
      <c r="B82" s="242" t="s">
        <v>1328</v>
      </c>
      <c r="C82" s="242" t="s">
        <v>1166</v>
      </c>
      <c r="D82" s="242" t="s">
        <v>1330</v>
      </c>
      <c r="E82" s="242" t="s">
        <v>1341</v>
      </c>
      <c r="F82" s="242">
        <v>499.0</v>
      </c>
      <c r="G82" s="242" t="s">
        <v>1331</v>
      </c>
      <c r="H82" s="243">
        <v>1.0</v>
      </c>
      <c r="I82" s="243">
        <v>1.0</v>
      </c>
      <c r="J82" s="243">
        <v>12.0</v>
      </c>
      <c r="K82" s="243">
        <v>0.0</v>
      </c>
      <c r="L82" s="243">
        <v>1.0</v>
      </c>
      <c r="M82" s="242"/>
      <c r="N82" s="242"/>
      <c r="O82" s="242"/>
      <c r="P82" s="242"/>
      <c r="Q82" s="242"/>
      <c r="R82" s="242"/>
      <c r="S82" s="242"/>
      <c r="T82" s="242"/>
      <c r="U82" s="242"/>
      <c r="V82" s="251">
        <v>45578.726493055554</v>
      </c>
      <c r="W82" s="245" t="s">
        <v>1332</v>
      </c>
    </row>
    <row r="83" ht="15.75" customHeight="1">
      <c r="A83" s="246" t="s">
        <v>1444</v>
      </c>
      <c r="B83" s="247" t="s">
        <v>1328</v>
      </c>
      <c r="C83" s="247" t="s">
        <v>1166</v>
      </c>
      <c r="D83" s="247" t="s">
        <v>1330</v>
      </c>
      <c r="E83" s="247" t="s">
        <v>1341</v>
      </c>
      <c r="F83" s="247">
        <v>499.0</v>
      </c>
      <c r="G83" s="247" t="s">
        <v>1331</v>
      </c>
      <c r="H83" s="248">
        <v>1.0</v>
      </c>
      <c r="I83" s="248">
        <v>1.0</v>
      </c>
      <c r="J83" s="248">
        <v>12.0</v>
      </c>
      <c r="K83" s="248">
        <v>0.0</v>
      </c>
      <c r="L83" s="248">
        <v>1.0</v>
      </c>
      <c r="M83" s="247"/>
      <c r="N83" s="247"/>
      <c r="O83" s="247"/>
      <c r="P83" s="247"/>
      <c r="Q83" s="247"/>
      <c r="R83" s="247"/>
      <c r="S83" s="247"/>
      <c r="T83" s="247"/>
      <c r="U83" s="247"/>
      <c r="V83" s="252">
        <v>45578.72734953704</v>
      </c>
      <c r="W83" s="250" t="s">
        <v>1332</v>
      </c>
    </row>
    <row r="84" ht="15.75" customHeight="1">
      <c r="A84" s="241" t="s">
        <v>1445</v>
      </c>
      <c r="B84" s="242" t="s">
        <v>1328</v>
      </c>
      <c r="C84" s="242" t="s">
        <v>1166</v>
      </c>
      <c r="D84" s="242" t="s">
        <v>1330</v>
      </c>
      <c r="E84" s="242" t="s">
        <v>1341</v>
      </c>
      <c r="F84" s="242">
        <v>499.0</v>
      </c>
      <c r="G84" s="242" t="s">
        <v>1331</v>
      </c>
      <c r="H84" s="243">
        <v>1.0</v>
      </c>
      <c r="I84" s="243">
        <v>1.0</v>
      </c>
      <c r="J84" s="243">
        <v>12.0</v>
      </c>
      <c r="K84" s="243">
        <v>0.0</v>
      </c>
      <c r="L84" s="243">
        <v>1.0</v>
      </c>
      <c r="M84" s="242"/>
      <c r="N84" s="242"/>
      <c r="O84" s="242"/>
      <c r="P84" s="242"/>
      <c r="Q84" s="242"/>
      <c r="R84" s="242"/>
      <c r="S84" s="242"/>
      <c r="T84" s="242"/>
      <c r="U84" s="242"/>
      <c r="V84" s="251">
        <v>45578.72902777778</v>
      </c>
      <c r="W84" s="245" t="s">
        <v>1332</v>
      </c>
    </row>
    <row r="85" ht="15.75" customHeight="1">
      <c r="A85" s="246" t="s">
        <v>1446</v>
      </c>
      <c r="B85" s="247" t="s">
        <v>1328</v>
      </c>
      <c r="C85" s="247" t="s">
        <v>1166</v>
      </c>
      <c r="D85" s="247" t="s">
        <v>1330</v>
      </c>
      <c r="E85" s="247" t="s">
        <v>1341</v>
      </c>
      <c r="F85" s="247">
        <v>499.0</v>
      </c>
      <c r="G85" s="247" t="s">
        <v>1331</v>
      </c>
      <c r="H85" s="248">
        <v>1.0</v>
      </c>
      <c r="I85" s="248">
        <v>1.0</v>
      </c>
      <c r="J85" s="248">
        <v>12.0</v>
      </c>
      <c r="K85" s="248">
        <v>0.0</v>
      </c>
      <c r="L85" s="248">
        <v>1.0</v>
      </c>
      <c r="M85" s="247"/>
      <c r="N85" s="247"/>
      <c r="O85" s="247"/>
      <c r="P85" s="247"/>
      <c r="Q85" s="247"/>
      <c r="R85" s="247"/>
      <c r="S85" s="247"/>
      <c r="T85" s="247"/>
      <c r="U85" s="247"/>
      <c r="V85" s="252">
        <v>45578.73997685185</v>
      </c>
      <c r="W85" s="250" t="s">
        <v>1332</v>
      </c>
    </row>
    <row r="86" ht="15.75" customHeight="1">
      <c r="A86" s="241" t="s">
        <v>1264</v>
      </c>
      <c r="B86" s="242" t="s">
        <v>1340</v>
      </c>
      <c r="C86" s="242" t="s">
        <v>1166</v>
      </c>
      <c r="D86" s="242" t="s">
        <v>1330</v>
      </c>
      <c r="E86" s="242" t="s">
        <v>1341</v>
      </c>
      <c r="F86" s="242">
        <v>499.0</v>
      </c>
      <c r="G86" s="242" t="s">
        <v>1331</v>
      </c>
      <c r="H86" s="243">
        <v>1.0</v>
      </c>
      <c r="I86" s="243">
        <v>1.0</v>
      </c>
      <c r="J86" s="243">
        <v>12.0</v>
      </c>
      <c r="K86" s="243">
        <v>5.0</v>
      </c>
      <c r="L86" s="243">
        <v>1.0</v>
      </c>
      <c r="M86" s="242" t="s">
        <v>1266</v>
      </c>
      <c r="N86" s="242"/>
      <c r="O86" s="242" t="s">
        <v>1447</v>
      </c>
      <c r="P86" s="242">
        <f>919599557237</f>
        <v>919599557237</v>
      </c>
      <c r="Q86" s="251">
        <v>45578.75344907407</v>
      </c>
      <c r="R86" s="244">
        <v>45913.0</v>
      </c>
      <c r="S86" s="251">
        <v>45578.75369212963</v>
      </c>
      <c r="T86" s="251">
        <v>45578.75366898148</v>
      </c>
      <c r="U86" s="242"/>
      <c r="V86" s="251">
        <v>45578.75251157407</v>
      </c>
      <c r="W86" s="245" t="s">
        <v>1332</v>
      </c>
    </row>
    <row r="87" ht="15.75" customHeight="1">
      <c r="A87" s="246" t="s">
        <v>1448</v>
      </c>
      <c r="B87" s="247" t="s">
        <v>1369</v>
      </c>
      <c r="C87" s="247" t="s">
        <v>1166</v>
      </c>
      <c r="D87" s="247" t="s">
        <v>1330</v>
      </c>
      <c r="E87" s="247" t="s">
        <v>1341</v>
      </c>
      <c r="F87" s="247">
        <v>499.0</v>
      </c>
      <c r="G87" s="247" t="s">
        <v>1331</v>
      </c>
      <c r="H87" s="248">
        <v>1.0</v>
      </c>
      <c r="I87" s="248">
        <v>1.0</v>
      </c>
      <c r="J87" s="248">
        <v>12.0</v>
      </c>
      <c r="K87" s="248">
        <v>1.0</v>
      </c>
      <c r="L87" s="248">
        <v>1.0</v>
      </c>
      <c r="M87" s="247"/>
      <c r="N87" s="247"/>
      <c r="O87" s="247" t="s">
        <v>1449</v>
      </c>
      <c r="P87" s="247">
        <f>919874455121</f>
        <v>919874455121</v>
      </c>
      <c r="Q87" s="252">
        <v>45578.87710648148</v>
      </c>
      <c r="R87" s="249">
        <v>45913.0</v>
      </c>
      <c r="S87" s="252">
        <v>45578.877488425926</v>
      </c>
      <c r="T87" s="252">
        <v>45578.87747685185</v>
      </c>
      <c r="U87" s="252">
        <v>45578.87825231482</v>
      </c>
      <c r="V87" s="252">
        <v>45578.876597222225</v>
      </c>
      <c r="W87" s="250" t="s">
        <v>1332</v>
      </c>
    </row>
    <row r="88" ht="15.75" customHeight="1">
      <c r="A88" s="241" t="s">
        <v>1450</v>
      </c>
      <c r="B88" s="242" t="s">
        <v>1350</v>
      </c>
      <c r="C88" s="242" t="s">
        <v>1166</v>
      </c>
      <c r="D88" s="242" t="s">
        <v>1330</v>
      </c>
      <c r="E88" s="242" t="s">
        <v>1341</v>
      </c>
      <c r="F88" s="242">
        <v>499.0</v>
      </c>
      <c r="G88" s="242" t="s">
        <v>1331</v>
      </c>
      <c r="H88" s="243">
        <v>1.0</v>
      </c>
      <c r="I88" s="243">
        <v>1.0</v>
      </c>
      <c r="J88" s="243">
        <v>12.0</v>
      </c>
      <c r="K88" s="243">
        <v>1.0</v>
      </c>
      <c r="L88" s="243">
        <v>1.0</v>
      </c>
      <c r="M88" s="242" t="s">
        <v>1451</v>
      </c>
      <c r="N88" s="242"/>
      <c r="O88" s="242" t="s">
        <v>1452</v>
      </c>
      <c r="P88" s="242">
        <f>918090753938</f>
        <v>918090753938</v>
      </c>
      <c r="Q88" s="251">
        <v>45609.46435185185</v>
      </c>
      <c r="R88" s="251">
        <v>45943.0</v>
      </c>
      <c r="S88" s="251">
        <v>45609.465</v>
      </c>
      <c r="T88" s="251">
        <v>45609.46498842593</v>
      </c>
      <c r="U88" s="242"/>
      <c r="V88" s="251">
        <v>45609.463368055556</v>
      </c>
      <c r="W88" s="245" t="s">
        <v>1332</v>
      </c>
    </row>
    <row r="89" ht="15.75" customHeight="1">
      <c r="A89" s="246" t="s">
        <v>1453</v>
      </c>
      <c r="B89" s="247" t="s">
        <v>1328</v>
      </c>
      <c r="C89" s="247" t="s">
        <v>1166</v>
      </c>
      <c r="D89" s="247" t="s">
        <v>1330</v>
      </c>
      <c r="E89" s="247" t="s">
        <v>1341</v>
      </c>
      <c r="F89" s="247">
        <v>499.0</v>
      </c>
      <c r="G89" s="247" t="s">
        <v>1331</v>
      </c>
      <c r="H89" s="248">
        <v>1.0</v>
      </c>
      <c r="I89" s="248">
        <v>1.0</v>
      </c>
      <c r="J89" s="248">
        <v>12.0</v>
      </c>
      <c r="K89" s="248">
        <v>0.0</v>
      </c>
      <c r="L89" s="248">
        <v>1.0</v>
      </c>
      <c r="M89" s="247"/>
      <c r="N89" s="247"/>
      <c r="O89" s="247"/>
      <c r="P89" s="247"/>
      <c r="Q89" s="247"/>
      <c r="R89" s="247"/>
      <c r="S89" s="247"/>
      <c r="T89" s="247"/>
      <c r="U89" s="247"/>
      <c r="V89" s="252">
        <v>45579.361180555556</v>
      </c>
      <c r="W89" s="250" t="s">
        <v>1332</v>
      </c>
    </row>
    <row r="90" ht="15.75" customHeight="1">
      <c r="A90" s="241" t="s">
        <v>1454</v>
      </c>
      <c r="B90" s="242" t="s">
        <v>1328</v>
      </c>
      <c r="C90" s="242" t="s">
        <v>1166</v>
      </c>
      <c r="D90" s="242" t="s">
        <v>1330</v>
      </c>
      <c r="E90" s="242" t="s">
        <v>1341</v>
      </c>
      <c r="F90" s="242">
        <v>499.0</v>
      </c>
      <c r="G90" s="242" t="s">
        <v>1331</v>
      </c>
      <c r="H90" s="243">
        <v>1.0</v>
      </c>
      <c r="I90" s="243">
        <v>1.0</v>
      </c>
      <c r="J90" s="243">
        <v>12.0</v>
      </c>
      <c r="K90" s="243">
        <v>0.0</v>
      </c>
      <c r="L90" s="243">
        <v>1.0</v>
      </c>
      <c r="M90" s="242"/>
      <c r="N90" s="242"/>
      <c r="O90" s="242"/>
      <c r="P90" s="242"/>
      <c r="Q90" s="242"/>
      <c r="R90" s="242"/>
      <c r="S90" s="242"/>
      <c r="T90" s="242"/>
      <c r="U90" s="242"/>
      <c r="V90" s="251">
        <v>45610.62903935185</v>
      </c>
      <c r="W90" s="245" t="s">
        <v>1332</v>
      </c>
    </row>
    <row r="91" ht="15.75" customHeight="1">
      <c r="A91" s="246" t="s">
        <v>1455</v>
      </c>
      <c r="B91" s="247" t="s">
        <v>1328</v>
      </c>
      <c r="C91" s="247" t="s">
        <v>1166</v>
      </c>
      <c r="D91" s="247" t="s">
        <v>1330</v>
      </c>
      <c r="E91" s="247" t="s">
        <v>1341</v>
      </c>
      <c r="F91" s="247">
        <v>499.0</v>
      </c>
      <c r="G91" s="247" t="s">
        <v>1331</v>
      </c>
      <c r="H91" s="248">
        <v>1.0</v>
      </c>
      <c r="I91" s="248">
        <v>1.0</v>
      </c>
      <c r="J91" s="248">
        <v>12.0</v>
      </c>
      <c r="K91" s="248">
        <v>0.0</v>
      </c>
      <c r="L91" s="248">
        <v>1.0</v>
      </c>
      <c r="M91" s="247"/>
      <c r="N91" s="247"/>
      <c r="O91" s="247"/>
      <c r="P91" s="247"/>
      <c r="Q91" s="247"/>
      <c r="R91" s="247"/>
      <c r="S91" s="247"/>
      <c r="T91" s="247"/>
      <c r="U91" s="247"/>
      <c r="V91" s="252">
        <v>45610.62939814815</v>
      </c>
      <c r="W91" s="250" t="s">
        <v>1332</v>
      </c>
    </row>
    <row r="92" ht="15.75" customHeight="1">
      <c r="A92" s="241" t="s">
        <v>1456</v>
      </c>
      <c r="B92" s="242" t="s">
        <v>1328</v>
      </c>
      <c r="C92" s="242" t="s">
        <v>1166</v>
      </c>
      <c r="D92" s="242" t="s">
        <v>1330</v>
      </c>
      <c r="E92" s="242" t="s">
        <v>1341</v>
      </c>
      <c r="F92" s="242">
        <v>499.0</v>
      </c>
      <c r="G92" s="242" t="s">
        <v>1331</v>
      </c>
      <c r="H92" s="243">
        <v>1.0</v>
      </c>
      <c r="I92" s="243">
        <v>1.0</v>
      </c>
      <c r="J92" s="243">
        <v>12.0</v>
      </c>
      <c r="K92" s="243">
        <v>0.0</v>
      </c>
      <c r="L92" s="243">
        <v>1.0</v>
      </c>
      <c r="M92" s="242"/>
      <c r="N92" s="242"/>
      <c r="O92" s="242"/>
      <c r="P92" s="242"/>
      <c r="Q92" s="242"/>
      <c r="R92" s="242"/>
      <c r="S92" s="242"/>
      <c r="T92" s="242"/>
      <c r="U92" s="242"/>
      <c r="V92" s="251">
        <v>45610.66946759259</v>
      </c>
      <c r="W92" s="245" t="s">
        <v>1332</v>
      </c>
    </row>
    <row r="93" ht="15.75" customHeight="1">
      <c r="A93" s="246" t="s">
        <v>1457</v>
      </c>
      <c r="B93" s="247" t="s">
        <v>1360</v>
      </c>
      <c r="C93" s="247" t="s">
        <v>1166</v>
      </c>
      <c r="D93" s="247" t="s">
        <v>1330</v>
      </c>
      <c r="E93" s="247" t="s">
        <v>1341</v>
      </c>
      <c r="F93" s="247">
        <v>499.0</v>
      </c>
      <c r="G93" s="247" t="s">
        <v>1331</v>
      </c>
      <c r="H93" s="248">
        <v>1.0</v>
      </c>
      <c r="I93" s="248">
        <v>1.0</v>
      </c>
      <c r="J93" s="248">
        <v>12.0</v>
      </c>
      <c r="K93" s="248">
        <v>2.0</v>
      </c>
      <c r="L93" s="248">
        <v>1.0</v>
      </c>
      <c r="M93" s="247"/>
      <c r="N93" s="247"/>
      <c r="O93" s="247" t="s">
        <v>1458</v>
      </c>
      <c r="P93" s="247">
        <f>918521597838</f>
        <v>918521597838</v>
      </c>
      <c r="Q93" s="252">
        <v>45610.74267361111</v>
      </c>
      <c r="R93" s="252">
        <v>45944.0</v>
      </c>
      <c r="S93" s="252">
        <v>45610.743680555555</v>
      </c>
      <c r="T93" s="252">
        <v>45610.74365740741</v>
      </c>
      <c r="U93" s="247"/>
      <c r="V93" s="252">
        <v>45610.74255787037</v>
      </c>
      <c r="W93" s="250" t="s">
        <v>1332</v>
      </c>
    </row>
    <row r="94" ht="15.75" customHeight="1">
      <c r="A94" s="241" t="s">
        <v>1459</v>
      </c>
      <c r="B94" s="242" t="s">
        <v>1328</v>
      </c>
      <c r="C94" s="242" t="s">
        <v>1166</v>
      </c>
      <c r="D94" s="242" t="s">
        <v>1330</v>
      </c>
      <c r="E94" s="242" t="s">
        <v>1341</v>
      </c>
      <c r="F94" s="242">
        <v>499.0</v>
      </c>
      <c r="G94" s="242" t="s">
        <v>1331</v>
      </c>
      <c r="H94" s="243">
        <v>1.0</v>
      </c>
      <c r="I94" s="243">
        <v>1.0</v>
      </c>
      <c r="J94" s="243">
        <v>12.0</v>
      </c>
      <c r="K94" s="243">
        <v>0.0</v>
      </c>
      <c r="L94" s="243">
        <v>1.0</v>
      </c>
      <c r="M94" s="242"/>
      <c r="N94" s="242"/>
      <c r="O94" s="242"/>
      <c r="P94" s="242"/>
      <c r="Q94" s="242"/>
      <c r="R94" s="242"/>
      <c r="S94" s="242"/>
      <c r="T94" s="242"/>
      <c r="U94" s="242"/>
      <c r="V94" s="251">
        <v>45610.76696759259</v>
      </c>
      <c r="W94" s="245" t="s">
        <v>1332</v>
      </c>
    </row>
    <row r="95" ht="15.75" customHeight="1">
      <c r="A95" s="246" t="s">
        <v>1460</v>
      </c>
      <c r="B95" s="247" t="s">
        <v>1350</v>
      </c>
      <c r="C95" s="247" t="s">
        <v>1166</v>
      </c>
      <c r="D95" s="247" t="s">
        <v>1330</v>
      </c>
      <c r="E95" s="247" t="s">
        <v>1341</v>
      </c>
      <c r="F95" s="247">
        <v>499.0</v>
      </c>
      <c r="G95" s="247" t="s">
        <v>1331</v>
      </c>
      <c r="H95" s="248">
        <v>1.0</v>
      </c>
      <c r="I95" s="248">
        <v>1.0</v>
      </c>
      <c r="J95" s="248">
        <v>12.0</v>
      </c>
      <c r="K95" s="248">
        <v>1.0</v>
      </c>
      <c r="L95" s="248">
        <v>1.0</v>
      </c>
      <c r="M95" s="247"/>
      <c r="N95" s="247"/>
      <c r="O95" s="247" t="s">
        <v>1461</v>
      </c>
      <c r="P95" s="247">
        <f>918306710605</f>
        <v>918306710605</v>
      </c>
      <c r="Q95" s="252">
        <v>45580.39189814815</v>
      </c>
      <c r="R95" s="249">
        <v>45915.0</v>
      </c>
      <c r="S95" s="252">
        <v>45580.39239583333</v>
      </c>
      <c r="T95" s="252">
        <v>45580.392384259256</v>
      </c>
      <c r="U95" s="247"/>
      <c r="V95" s="252">
        <v>45580.39178240741</v>
      </c>
      <c r="W95" s="250" t="s">
        <v>1332</v>
      </c>
    </row>
    <row r="96" ht="15.75" customHeight="1">
      <c r="A96" s="241" t="s">
        <v>1462</v>
      </c>
      <c r="B96" s="242" t="s">
        <v>1328</v>
      </c>
      <c r="C96" s="242" t="s">
        <v>1166</v>
      </c>
      <c r="D96" s="242" t="s">
        <v>1330</v>
      </c>
      <c r="E96" s="242" t="s">
        <v>1341</v>
      </c>
      <c r="F96" s="242">
        <v>499.0</v>
      </c>
      <c r="G96" s="242" t="s">
        <v>1331</v>
      </c>
      <c r="H96" s="243">
        <v>1.0</v>
      </c>
      <c r="I96" s="243">
        <v>1.0</v>
      </c>
      <c r="J96" s="243">
        <v>12.0</v>
      </c>
      <c r="K96" s="243">
        <v>0.0</v>
      </c>
      <c r="L96" s="243">
        <v>1.0</v>
      </c>
      <c r="M96" s="242"/>
      <c r="N96" s="242"/>
      <c r="O96" s="242"/>
      <c r="P96" s="242"/>
      <c r="Q96" s="242"/>
      <c r="R96" s="242"/>
      <c r="S96" s="242"/>
      <c r="T96" s="242"/>
      <c r="U96" s="242"/>
      <c r="V96" s="251">
        <v>45580.63153935185</v>
      </c>
      <c r="W96" s="245" t="s">
        <v>1332</v>
      </c>
    </row>
    <row r="97" ht="15.75" customHeight="1">
      <c r="A97" s="246" t="s">
        <v>1463</v>
      </c>
      <c r="B97" s="247" t="s">
        <v>1360</v>
      </c>
      <c r="C97" s="247" t="s">
        <v>1166</v>
      </c>
      <c r="D97" s="247" t="s">
        <v>1330</v>
      </c>
      <c r="E97" s="247" t="s">
        <v>1341</v>
      </c>
      <c r="F97" s="247">
        <v>499.0</v>
      </c>
      <c r="G97" s="247" t="s">
        <v>1331</v>
      </c>
      <c r="H97" s="248">
        <v>1.0</v>
      </c>
      <c r="I97" s="248">
        <v>1.0</v>
      </c>
      <c r="J97" s="248">
        <v>12.0</v>
      </c>
      <c r="K97" s="248">
        <v>1.0</v>
      </c>
      <c r="L97" s="248">
        <v>1.0</v>
      </c>
      <c r="M97" s="247"/>
      <c r="N97" s="247"/>
      <c r="O97" s="247" t="s">
        <v>1464</v>
      </c>
      <c r="P97" s="247">
        <f>919687487888</f>
        <v>919687487888</v>
      </c>
      <c r="Q97" s="252">
        <v>45580.67009259259</v>
      </c>
      <c r="R97" s="249">
        <v>45915.0</v>
      </c>
      <c r="S97" s="252">
        <v>45580.67049768518</v>
      </c>
      <c r="T97" s="252">
        <v>45580.67047453704</v>
      </c>
      <c r="U97" s="247"/>
      <c r="V97" s="252">
        <v>45580.66814814815</v>
      </c>
      <c r="W97" s="250" t="s">
        <v>1332</v>
      </c>
    </row>
    <row r="98" ht="15.75" customHeight="1">
      <c r="A98" s="241" t="s">
        <v>1465</v>
      </c>
      <c r="B98" s="242" t="s">
        <v>1369</v>
      </c>
      <c r="C98" s="242" t="s">
        <v>1166</v>
      </c>
      <c r="D98" s="242" t="s">
        <v>1330</v>
      </c>
      <c r="E98" s="242" t="s">
        <v>1341</v>
      </c>
      <c r="F98" s="242">
        <v>499.0</v>
      </c>
      <c r="G98" s="242" t="s">
        <v>1331</v>
      </c>
      <c r="H98" s="243">
        <v>1.0</v>
      </c>
      <c r="I98" s="243">
        <v>1.0</v>
      </c>
      <c r="J98" s="243">
        <v>12.0</v>
      </c>
      <c r="K98" s="243">
        <v>0.0</v>
      </c>
      <c r="L98" s="243">
        <v>1.0</v>
      </c>
      <c r="M98" s="242"/>
      <c r="N98" s="242"/>
      <c r="O98" s="242"/>
      <c r="P98" s="242"/>
      <c r="Q98" s="242"/>
      <c r="R98" s="242"/>
      <c r="S98" s="242"/>
      <c r="T98" s="242"/>
      <c r="U98" s="251">
        <v>45611.65574074074</v>
      </c>
      <c r="V98" s="251">
        <v>45611.65415509259</v>
      </c>
      <c r="W98" s="245" t="s">
        <v>1332</v>
      </c>
    </row>
    <row r="99" ht="15.75" customHeight="1">
      <c r="A99" s="246" t="s">
        <v>1466</v>
      </c>
      <c r="B99" s="247" t="s">
        <v>1328</v>
      </c>
      <c r="C99" s="247" t="s">
        <v>1166</v>
      </c>
      <c r="D99" s="247" t="s">
        <v>1330</v>
      </c>
      <c r="E99" s="247" t="s">
        <v>1341</v>
      </c>
      <c r="F99" s="247">
        <v>499.0</v>
      </c>
      <c r="G99" s="247" t="s">
        <v>1331</v>
      </c>
      <c r="H99" s="248">
        <v>1.0</v>
      </c>
      <c r="I99" s="248">
        <v>1.0</v>
      </c>
      <c r="J99" s="248">
        <v>12.0</v>
      </c>
      <c r="K99" s="248">
        <v>0.0</v>
      </c>
      <c r="L99" s="248">
        <v>1.0</v>
      </c>
      <c r="M99" s="247"/>
      <c r="N99" s="247"/>
      <c r="O99" s="247"/>
      <c r="P99" s="247"/>
      <c r="Q99" s="247"/>
      <c r="R99" s="247"/>
      <c r="S99" s="247"/>
      <c r="T99" s="247"/>
      <c r="U99" s="247"/>
      <c r="V99" s="252">
        <v>45611.65609953704</v>
      </c>
      <c r="W99" s="250" t="s">
        <v>1332</v>
      </c>
    </row>
    <row r="100" ht="15.75" customHeight="1">
      <c r="A100" s="241" t="s">
        <v>1467</v>
      </c>
      <c r="B100" s="242" t="s">
        <v>1328</v>
      </c>
      <c r="C100" s="242" t="s">
        <v>1166</v>
      </c>
      <c r="D100" s="242" t="s">
        <v>1330</v>
      </c>
      <c r="E100" s="242" t="s">
        <v>1341</v>
      </c>
      <c r="F100" s="242">
        <v>499.0</v>
      </c>
      <c r="G100" s="242" t="s">
        <v>1331</v>
      </c>
      <c r="H100" s="243">
        <v>1.0</v>
      </c>
      <c r="I100" s="243">
        <v>1.0</v>
      </c>
      <c r="J100" s="243">
        <v>12.0</v>
      </c>
      <c r="K100" s="243">
        <v>0.0</v>
      </c>
      <c r="L100" s="243">
        <v>1.0</v>
      </c>
      <c r="M100" s="242"/>
      <c r="N100" s="242"/>
      <c r="O100" s="242"/>
      <c r="P100" s="242"/>
      <c r="Q100" s="242"/>
      <c r="R100" s="242"/>
      <c r="S100" s="242"/>
      <c r="T100" s="242"/>
      <c r="U100" s="242"/>
      <c r="V100" s="251">
        <v>45611.65634259259</v>
      </c>
      <c r="W100" s="245" t="s">
        <v>1332</v>
      </c>
    </row>
    <row r="101" ht="15.75" customHeight="1">
      <c r="A101" s="246" t="s">
        <v>1468</v>
      </c>
      <c r="B101" s="247" t="s">
        <v>1328</v>
      </c>
      <c r="C101" s="247" t="s">
        <v>1166</v>
      </c>
      <c r="D101" s="247" t="s">
        <v>1330</v>
      </c>
      <c r="E101" s="247" t="s">
        <v>1341</v>
      </c>
      <c r="F101" s="247">
        <v>499.0</v>
      </c>
      <c r="G101" s="247" t="s">
        <v>1331</v>
      </c>
      <c r="H101" s="248">
        <v>1.0</v>
      </c>
      <c r="I101" s="248">
        <v>1.0</v>
      </c>
      <c r="J101" s="248">
        <v>12.0</v>
      </c>
      <c r="K101" s="248">
        <v>0.0</v>
      </c>
      <c r="L101" s="248">
        <v>1.0</v>
      </c>
      <c r="M101" s="247"/>
      <c r="N101" s="247"/>
      <c r="O101" s="247"/>
      <c r="P101" s="247"/>
      <c r="Q101" s="247"/>
      <c r="R101" s="247"/>
      <c r="S101" s="247"/>
      <c r="T101" s="247"/>
      <c r="U101" s="247"/>
      <c r="V101" s="252">
        <v>45611.65723379629</v>
      </c>
      <c r="W101" s="250" t="s">
        <v>1332</v>
      </c>
    </row>
    <row r="102" ht="15.75" customHeight="1">
      <c r="A102" s="241" t="s">
        <v>1469</v>
      </c>
      <c r="B102" s="242" t="s">
        <v>1328</v>
      </c>
      <c r="C102" s="242" t="s">
        <v>1166</v>
      </c>
      <c r="D102" s="242" t="s">
        <v>1330</v>
      </c>
      <c r="E102" s="242" t="s">
        <v>1341</v>
      </c>
      <c r="F102" s="242">
        <v>499.0</v>
      </c>
      <c r="G102" s="242" t="s">
        <v>1331</v>
      </c>
      <c r="H102" s="243">
        <v>1.0</v>
      </c>
      <c r="I102" s="243">
        <v>1.0</v>
      </c>
      <c r="J102" s="243">
        <v>12.0</v>
      </c>
      <c r="K102" s="243">
        <v>0.0</v>
      </c>
      <c r="L102" s="243">
        <v>1.0</v>
      </c>
      <c r="M102" s="242"/>
      <c r="N102" s="242"/>
      <c r="O102" s="242"/>
      <c r="P102" s="242"/>
      <c r="Q102" s="242"/>
      <c r="R102" s="242"/>
      <c r="S102" s="242"/>
      <c r="T102" s="242"/>
      <c r="U102" s="242"/>
      <c r="V102" s="251">
        <v>45611.65998842593</v>
      </c>
      <c r="W102" s="245" t="s">
        <v>1332</v>
      </c>
    </row>
    <row r="103" ht="15.75" customHeight="1">
      <c r="A103" s="246" t="s">
        <v>1470</v>
      </c>
      <c r="B103" s="247" t="s">
        <v>1328</v>
      </c>
      <c r="C103" s="247" t="s">
        <v>1166</v>
      </c>
      <c r="D103" s="247" t="s">
        <v>1330</v>
      </c>
      <c r="E103" s="247" t="s">
        <v>1341</v>
      </c>
      <c r="F103" s="247">
        <v>499.0</v>
      </c>
      <c r="G103" s="247" t="s">
        <v>1331</v>
      </c>
      <c r="H103" s="248">
        <v>1.0</v>
      </c>
      <c r="I103" s="248">
        <v>1.0</v>
      </c>
      <c r="J103" s="248">
        <v>12.0</v>
      </c>
      <c r="K103" s="248">
        <v>0.0</v>
      </c>
      <c r="L103" s="248">
        <v>1.0</v>
      </c>
      <c r="M103" s="247"/>
      <c r="N103" s="247"/>
      <c r="O103" s="247"/>
      <c r="P103" s="247"/>
      <c r="Q103" s="247"/>
      <c r="R103" s="247"/>
      <c r="S103" s="247"/>
      <c r="T103" s="247"/>
      <c r="U103" s="247"/>
      <c r="V103" s="252">
        <v>45611.66318287037</v>
      </c>
      <c r="W103" s="250" t="s">
        <v>1332</v>
      </c>
    </row>
    <row r="104" ht="15.75" customHeight="1">
      <c r="A104" s="241" t="s">
        <v>1471</v>
      </c>
      <c r="B104" s="242" t="s">
        <v>1328</v>
      </c>
      <c r="C104" s="242" t="s">
        <v>1166</v>
      </c>
      <c r="D104" s="242" t="s">
        <v>1330</v>
      </c>
      <c r="E104" s="242" t="s">
        <v>1341</v>
      </c>
      <c r="F104" s="242">
        <v>499.0</v>
      </c>
      <c r="G104" s="242" t="s">
        <v>1331</v>
      </c>
      <c r="H104" s="243">
        <v>1.0</v>
      </c>
      <c r="I104" s="243">
        <v>1.0</v>
      </c>
      <c r="J104" s="243">
        <v>12.0</v>
      </c>
      <c r="K104" s="243">
        <v>0.0</v>
      </c>
      <c r="L104" s="243">
        <v>1.0</v>
      </c>
      <c r="M104" s="242"/>
      <c r="N104" s="242"/>
      <c r="O104" s="242"/>
      <c r="P104" s="242"/>
      <c r="Q104" s="242"/>
      <c r="R104" s="242"/>
      <c r="S104" s="242"/>
      <c r="T104" s="242"/>
      <c r="U104" s="242"/>
      <c r="V104" s="251">
        <v>45611.666712962964</v>
      </c>
      <c r="W104" s="245" t="s">
        <v>1332</v>
      </c>
    </row>
    <row r="105" ht="15.75" customHeight="1">
      <c r="A105" s="246" t="s">
        <v>1472</v>
      </c>
      <c r="B105" s="247" t="s">
        <v>1328</v>
      </c>
      <c r="C105" s="247" t="s">
        <v>1166</v>
      </c>
      <c r="D105" s="247" t="s">
        <v>1330</v>
      </c>
      <c r="E105" s="247" t="s">
        <v>1341</v>
      </c>
      <c r="F105" s="247">
        <v>499.0</v>
      </c>
      <c r="G105" s="247" t="s">
        <v>1331</v>
      </c>
      <c r="H105" s="248">
        <v>1.0</v>
      </c>
      <c r="I105" s="248">
        <v>1.0</v>
      </c>
      <c r="J105" s="248">
        <v>12.0</v>
      </c>
      <c r="K105" s="248">
        <v>0.0</v>
      </c>
      <c r="L105" s="248">
        <v>1.0</v>
      </c>
      <c r="M105" s="247"/>
      <c r="N105" s="247"/>
      <c r="O105" s="247"/>
      <c r="P105" s="247"/>
      <c r="Q105" s="247"/>
      <c r="R105" s="247"/>
      <c r="S105" s="247"/>
      <c r="T105" s="247"/>
      <c r="U105" s="247"/>
      <c r="V105" s="252">
        <v>45611.667662037034</v>
      </c>
      <c r="W105" s="250" t="s">
        <v>1332</v>
      </c>
    </row>
    <row r="106" ht="15.75" customHeight="1">
      <c r="A106" s="241" t="s">
        <v>1473</v>
      </c>
      <c r="B106" s="242" t="s">
        <v>1328</v>
      </c>
      <c r="C106" s="242" t="s">
        <v>1166</v>
      </c>
      <c r="D106" s="242" t="s">
        <v>1330</v>
      </c>
      <c r="E106" s="242" t="s">
        <v>1341</v>
      </c>
      <c r="F106" s="242">
        <v>499.0</v>
      </c>
      <c r="G106" s="242" t="s">
        <v>1331</v>
      </c>
      <c r="H106" s="243">
        <v>1.0</v>
      </c>
      <c r="I106" s="243">
        <v>1.0</v>
      </c>
      <c r="J106" s="243">
        <v>12.0</v>
      </c>
      <c r="K106" s="243">
        <v>0.0</v>
      </c>
      <c r="L106" s="243">
        <v>1.0</v>
      </c>
      <c r="M106" s="242"/>
      <c r="N106" s="242"/>
      <c r="O106" s="242"/>
      <c r="P106" s="242"/>
      <c r="Q106" s="242"/>
      <c r="R106" s="242"/>
      <c r="S106" s="242"/>
      <c r="T106" s="242"/>
      <c r="U106" s="242"/>
      <c r="V106" s="251">
        <v>45611.696284722224</v>
      </c>
      <c r="W106" s="245" t="s">
        <v>1332</v>
      </c>
    </row>
    <row r="107" ht="15.75" customHeight="1">
      <c r="A107" s="246" t="s">
        <v>1474</v>
      </c>
      <c r="B107" s="247" t="s">
        <v>1369</v>
      </c>
      <c r="C107" s="247" t="s">
        <v>1166</v>
      </c>
      <c r="D107" s="247" t="s">
        <v>1330</v>
      </c>
      <c r="E107" s="247" t="s">
        <v>1341</v>
      </c>
      <c r="F107" s="247">
        <v>499.0</v>
      </c>
      <c r="G107" s="247" t="s">
        <v>1331</v>
      </c>
      <c r="H107" s="248">
        <v>1.0</v>
      </c>
      <c r="I107" s="248">
        <v>1.0</v>
      </c>
      <c r="J107" s="248">
        <v>12.0</v>
      </c>
      <c r="K107" s="248">
        <v>3.0</v>
      </c>
      <c r="L107" s="248">
        <v>1.0</v>
      </c>
      <c r="M107" s="247"/>
      <c r="N107" s="247"/>
      <c r="O107" s="247" t="s">
        <v>1475</v>
      </c>
      <c r="P107" s="247">
        <f>919067643343</f>
        <v>919067643343</v>
      </c>
      <c r="Q107" s="252">
        <v>45581.00372685185</v>
      </c>
      <c r="R107" s="249">
        <v>45916.0</v>
      </c>
      <c r="S107" s="252">
        <v>45581.00408564815</v>
      </c>
      <c r="T107" s="252">
        <v>45581.0040625</v>
      </c>
      <c r="U107" s="252">
        <v>45644.644895833335</v>
      </c>
      <c r="V107" s="252">
        <v>45581.00362268519</v>
      </c>
      <c r="W107" s="250" t="s">
        <v>1332</v>
      </c>
    </row>
    <row r="108" ht="15.75" customHeight="1">
      <c r="A108" s="241" t="s">
        <v>1261</v>
      </c>
      <c r="B108" s="242" t="s">
        <v>1340</v>
      </c>
      <c r="C108" s="242" t="s">
        <v>1166</v>
      </c>
      <c r="D108" s="242" t="s">
        <v>1330</v>
      </c>
      <c r="E108" s="242" t="s">
        <v>1341</v>
      </c>
      <c r="F108" s="242">
        <v>499.0</v>
      </c>
      <c r="G108" s="242" t="s">
        <v>1331</v>
      </c>
      <c r="H108" s="243">
        <v>1.0</v>
      </c>
      <c r="I108" s="243">
        <v>1.0</v>
      </c>
      <c r="J108" s="243">
        <v>12.0</v>
      </c>
      <c r="K108" s="243">
        <v>5.0</v>
      </c>
      <c r="L108" s="243">
        <v>1.0</v>
      </c>
      <c r="M108" s="242"/>
      <c r="N108" s="242"/>
      <c r="O108" s="242" t="s">
        <v>1476</v>
      </c>
      <c r="P108" s="242">
        <f>919830193939</f>
        <v>919830193939</v>
      </c>
      <c r="Q108" s="251">
        <v>45581.36599537037</v>
      </c>
      <c r="R108" s="244">
        <v>45916.0</v>
      </c>
      <c r="S108" s="251">
        <v>45581.36650462963</v>
      </c>
      <c r="T108" s="251">
        <v>45581.36649305555</v>
      </c>
      <c r="U108" s="242"/>
      <c r="V108" s="251">
        <v>45581.36576388889</v>
      </c>
      <c r="W108" s="245" t="s">
        <v>1332</v>
      </c>
    </row>
    <row r="109" ht="15.75" customHeight="1">
      <c r="A109" s="246" t="s">
        <v>1477</v>
      </c>
      <c r="B109" s="247" t="s">
        <v>1369</v>
      </c>
      <c r="C109" s="247" t="s">
        <v>1166</v>
      </c>
      <c r="D109" s="247" t="s">
        <v>1330</v>
      </c>
      <c r="E109" s="247" t="s">
        <v>1341</v>
      </c>
      <c r="F109" s="247">
        <v>499.0</v>
      </c>
      <c r="G109" s="247" t="s">
        <v>1331</v>
      </c>
      <c r="H109" s="248">
        <v>1.0</v>
      </c>
      <c r="I109" s="248">
        <v>1.0</v>
      </c>
      <c r="J109" s="248">
        <v>12.0</v>
      </c>
      <c r="K109" s="248">
        <v>5.0</v>
      </c>
      <c r="L109" s="248">
        <v>1.0</v>
      </c>
      <c r="M109" s="247"/>
      <c r="N109" s="247"/>
      <c r="O109" s="247" t="s">
        <v>1478</v>
      </c>
      <c r="P109" s="247">
        <f>919767110498</f>
        <v>919767110498</v>
      </c>
      <c r="Q109" s="252">
        <v>45581.66440972222</v>
      </c>
      <c r="R109" s="249">
        <v>45916.0</v>
      </c>
      <c r="S109" s="252">
        <v>45581.66484953704</v>
      </c>
      <c r="T109" s="252">
        <v>45581.66483796296</v>
      </c>
      <c r="U109" s="249">
        <v>45718.982627314814</v>
      </c>
      <c r="V109" s="252">
        <v>45581.6643287037</v>
      </c>
      <c r="W109" s="250" t="s">
        <v>1332</v>
      </c>
    </row>
    <row r="110" ht="15.75" customHeight="1">
      <c r="A110" s="241" t="s">
        <v>1479</v>
      </c>
      <c r="B110" s="242" t="s">
        <v>1350</v>
      </c>
      <c r="C110" s="242" t="s">
        <v>1166</v>
      </c>
      <c r="D110" s="242" t="s">
        <v>1330</v>
      </c>
      <c r="E110" s="242" t="s">
        <v>1341</v>
      </c>
      <c r="F110" s="242">
        <v>499.0</v>
      </c>
      <c r="G110" s="242" t="s">
        <v>1331</v>
      </c>
      <c r="H110" s="243">
        <v>1.0</v>
      </c>
      <c r="I110" s="243">
        <v>1.0</v>
      </c>
      <c r="J110" s="243">
        <v>12.0</v>
      </c>
      <c r="K110" s="243">
        <v>1.0</v>
      </c>
      <c r="L110" s="243">
        <v>1.0</v>
      </c>
      <c r="M110" s="242" t="s">
        <v>1480</v>
      </c>
      <c r="N110" s="242"/>
      <c r="O110" s="242" t="s">
        <v>1481</v>
      </c>
      <c r="P110" s="242">
        <f>919925579834</f>
        <v>919925579834</v>
      </c>
      <c r="Q110" s="251">
        <v>45581.76663194445</v>
      </c>
      <c r="R110" s="244">
        <v>45916.0</v>
      </c>
      <c r="S110" s="251">
        <v>45581.76688657407</v>
      </c>
      <c r="T110" s="251">
        <v>45581.766863425924</v>
      </c>
      <c r="U110" s="242"/>
      <c r="V110" s="251">
        <v>45581.76393518518</v>
      </c>
      <c r="W110" s="245" t="s">
        <v>1332</v>
      </c>
    </row>
    <row r="111" ht="15.75" customHeight="1">
      <c r="A111" s="246" t="s">
        <v>1482</v>
      </c>
      <c r="B111" s="247" t="s">
        <v>1328</v>
      </c>
      <c r="C111" s="247" t="s">
        <v>1166</v>
      </c>
      <c r="D111" s="247" t="s">
        <v>1330</v>
      </c>
      <c r="E111" s="247" t="s">
        <v>1341</v>
      </c>
      <c r="F111" s="247">
        <v>499.0</v>
      </c>
      <c r="G111" s="247" t="s">
        <v>1331</v>
      </c>
      <c r="H111" s="248">
        <v>1.0</v>
      </c>
      <c r="I111" s="248">
        <v>1.0</v>
      </c>
      <c r="J111" s="248">
        <v>12.0</v>
      </c>
      <c r="K111" s="248">
        <v>0.0</v>
      </c>
      <c r="L111" s="248">
        <v>1.0</v>
      </c>
      <c r="M111" s="247"/>
      <c r="N111" s="247"/>
      <c r="O111" s="247"/>
      <c r="P111" s="247"/>
      <c r="Q111" s="247"/>
      <c r="R111" s="247"/>
      <c r="S111" s="247"/>
      <c r="T111" s="247"/>
      <c r="U111" s="247"/>
      <c r="V111" s="252">
        <v>45581.88542824074</v>
      </c>
      <c r="W111" s="250" t="s">
        <v>1332</v>
      </c>
    </row>
    <row r="112" ht="15.75" customHeight="1">
      <c r="A112" s="241" t="s">
        <v>1483</v>
      </c>
      <c r="B112" s="242" t="s">
        <v>1328</v>
      </c>
      <c r="C112" s="242" t="s">
        <v>1166</v>
      </c>
      <c r="D112" s="242" t="s">
        <v>1330</v>
      </c>
      <c r="E112" s="242" t="s">
        <v>1341</v>
      </c>
      <c r="F112" s="242">
        <v>499.0</v>
      </c>
      <c r="G112" s="242" t="s">
        <v>1331</v>
      </c>
      <c r="H112" s="243">
        <v>1.0</v>
      </c>
      <c r="I112" s="243">
        <v>1.0</v>
      </c>
      <c r="J112" s="243">
        <v>12.0</v>
      </c>
      <c r="K112" s="243">
        <v>0.0</v>
      </c>
      <c r="L112" s="243">
        <v>1.0</v>
      </c>
      <c r="M112" s="242"/>
      <c r="N112" s="242"/>
      <c r="O112" s="242"/>
      <c r="P112" s="242"/>
      <c r="Q112" s="242"/>
      <c r="R112" s="242"/>
      <c r="S112" s="242"/>
      <c r="T112" s="242"/>
      <c r="U112" s="242"/>
      <c r="V112" s="244">
        <v>45552.90173611111</v>
      </c>
      <c r="W112" s="245" t="s">
        <v>1332</v>
      </c>
    </row>
    <row r="113" ht="15.75" customHeight="1">
      <c r="A113" s="246" t="s">
        <v>1301</v>
      </c>
      <c r="B113" s="247" t="s">
        <v>1340</v>
      </c>
      <c r="C113" s="247" t="s">
        <v>1166</v>
      </c>
      <c r="D113" s="247" t="s">
        <v>1330</v>
      </c>
      <c r="E113" s="247" t="s">
        <v>1341</v>
      </c>
      <c r="F113" s="247">
        <v>499.0</v>
      </c>
      <c r="G113" s="247" t="s">
        <v>1331</v>
      </c>
      <c r="H113" s="248">
        <v>1.0</v>
      </c>
      <c r="I113" s="248">
        <v>1.0</v>
      </c>
      <c r="J113" s="248">
        <v>12.0</v>
      </c>
      <c r="K113" s="248">
        <v>6.0</v>
      </c>
      <c r="L113" s="248">
        <v>1.0</v>
      </c>
      <c r="M113" s="247"/>
      <c r="N113" s="247"/>
      <c r="O113" s="247" t="s">
        <v>1484</v>
      </c>
      <c r="P113" s="247">
        <f>918928163657</f>
        <v>918928163657</v>
      </c>
      <c r="Q113" s="249">
        <v>45552.9146412037</v>
      </c>
      <c r="R113" s="249">
        <v>45886.0</v>
      </c>
      <c r="S113" s="249">
        <v>45552.9152662037</v>
      </c>
      <c r="T113" s="249">
        <v>45552.91525462963</v>
      </c>
      <c r="U113" s="247"/>
      <c r="V113" s="249">
        <v>45552.913148148145</v>
      </c>
      <c r="W113" s="250" t="s">
        <v>1332</v>
      </c>
    </row>
    <row r="114" ht="15.75" customHeight="1">
      <c r="A114" s="241" t="s">
        <v>1485</v>
      </c>
      <c r="B114" s="242" t="s">
        <v>1328</v>
      </c>
      <c r="C114" s="242" t="s">
        <v>1166</v>
      </c>
      <c r="D114" s="242" t="s">
        <v>1330</v>
      </c>
      <c r="E114" s="242" t="s">
        <v>1341</v>
      </c>
      <c r="F114" s="242">
        <v>499.0</v>
      </c>
      <c r="G114" s="242" t="s">
        <v>1331</v>
      </c>
      <c r="H114" s="243">
        <v>1.0</v>
      </c>
      <c r="I114" s="243">
        <v>1.0</v>
      </c>
      <c r="J114" s="243">
        <v>12.0</v>
      </c>
      <c r="K114" s="243">
        <v>0.0</v>
      </c>
      <c r="L114" s="243">
        <v>1.0</v>
      </c>
      <c r="M114" s="242"/>
      <c r="N114" s="242"/>
      <c r="O114" s="242"/>
      <c r="P114" s="242"/>
      <c r="Q114" s="242"/>
      <c r="R114" s="242"/>
      <c r="S114" s="242"/>
      <c r="T114" s="242"/>
      <c r="U114" s="242"/>
      <c r="V114" s="251">
        <v>45582.51380787037</v>
      </c>
      <c r="W114" s="245" t="s">
        <v>1332</v>
      </c>
    </row>
    <row r="115" ht="15.75" customHeight="1">
      <c r="A115" s="246" t="s">
        <v>1258</v>
      </c>
      <c r="B115" s="247" t="s">
        <v>1340</v>
      </c>
      <c r="C115" s="247" t="s">
        <v>1166</v>
      </c>
      <c r="D115" s="247" t="s">
        <v>1330</v>
      </c>
      <c r="E115" s="247" t="s">
        <v>1341</v>
      </c>
      <c r="F115" s="247">
        <v>499.0</v>
      </c>
      <c r="G115" s="247" t="s">
        <v>1331</v>
      </c>
      <c r="H115" s="248">
        <v>1.0</v>
      </c>
      <c r="I115" s="248">
        <v>1.0</v>
      </c>
      <c r="J115" s="248">
        <v>12.0</v>
      </c>
      <c r="K115" s="248">
        <v>5.0</v>
      </c>
      <c r="L115" s="248">
        <v>1.0</v>
      </c>
      <c r="M115" s="247"/>
      <c r="N115" s="247"/>
      <c r="O115" s="247" t="s">
        <v>1486</v>
      </c>
      <c r="P115" s="247">
        <f>919810577639</f>
        <v>919810577639</v>
      </c>
      <c r="Q115" s="252">
        <v>45582.516064814816</v>
      </c>
      <c r="R115" s="249">
        <v>45917.0</v>
      </c>
      <c r="S115" s="252">
        <v>45582.51650462963</v>
      </c>
      <c r="T115" s="252">
        <v>45582.51648148148</v>
      </c>
      <c r="U115" s="247"/>
      <c r="V115" s="252">
        <v>45582.514560185184</v>
      </c>
      <c r="W115" s="250" t="s">
        <v>1332</v>
      </c>
    </row>
    <row r="116" ht="15.75" customHeight="1">
      <c r="A116" s="241" t="s">
        <v>1487</v>
      </c>
      <c r="B116" s="242" t="s">
        <v>1328</v>
      </c>
      <c r="C116" s="242" t="s">
        <v>1166</v>
      </c>
      <c r="D116" s="242" t="s">
        <v>1330</v>
      </c>
      <c r="E116" s="242" t="s">
        <v>1341</v>
      </c>
      <c r="F116" s="242">
        <v>499.0</v>
      </c>
      <c r="G116" s="242" t="s">
        <v>1331</v>
      </c>
      <c r="H116" s="243">
        <v>1.0</v>
      </c>
      <c r="I116" s="243">
        <v>1.0</v>
      </c>
      <c r="J116" s="243">
        <v>12.0</v>
      </c>
      <c r="K116" s="243">
        <v>0.0</v>
      </c>
      <c r="L116" s="243">
        <v>1.0</v>
      </c>
      <c r="M116" s="242"/>
      <c r="N116" s="242"/>
      <c r="O116" s="242"/>
      <c r="P116" s="242"/>
      <c r="Q116" s="242"/>
      <c r="R116" s="242"/>
      <c r="S116" s="242"/>
      <c r="T116" s="242"/>
      <c r="U116" s="242"/>
      <c r="V116" s="251">
        <v>45582.51584490741</v>
      </c>
      <c r="W116" s="245" t="s">
        <v>1332</v>
      </c>
    </row>
    <row r="117" ht="15.75" customHeight="1">
      <c r="A117" s="246" t="s">
        <v>1488</v>
      </c>
      <c r="B117" s="247" t="s">
        <v>1369</v>
      </c>
      <c r="C117" s="247" t="s">
        <v>1166</v>
      </c>
      <c r="D117" s="247" t="s">
        <v>1330</v>
      </c>
      <c r="E117" s="247" t="s">
        <v>1341</v>
      </c>
      <c r="F117" s="247">
        <v>499.0</v>
      </c>
      <c r="G117" s="247" t="s">
        <v>1331</v>
      </c>
      <c r="H117" s="248">
        <v>1.0</v>
      </c>
      <c r="I117" s="248">
        <v>1.0</v>
      </c>
      <c r="J117" s="248">
        <v>12.0</v>
      </c>
      <c r="K117" s="248">
        <v>3.0</v>
      </c>
      <c r="L117" s="248">
        <v>1.0</v>
      </c>
      <c r="M117" s="247"/>
      <c r="N117" s="247"/>
      <c r="O117" s="247" t="s">
        <v>1489</v>
      </c>
      <c r="P117" s="247">
        <f>917903551465</f>
        <v>917903551465</v>
      </c>
      <c r="Q117" s="252">
        <v>45582.59222222222</v>
      </c>
      <c r="R117" s="249">
        <v>45917.0</v>
      </c>
      <c r="S117" s="252">
        <v>45582.592361111114</v>
      </c>
      <c r="T117" s="252">
        <v>45582.59234953704</v>
      </c>
      <c r="U117" s="252">
        <v>45643.38340277778</v>
      </c>
      <c r="V117" s="252">
        <v>45582.592094907406</v>
      </c>
      <c r="W117" s="250" t="s">
        <v>1332</v>
      </c>
    </row>
    <row r="118" ht="15.75" customHeight="1">
      <c r="A118" s="241" t="s">
        <v>1490</v>
      </c>
      <c r="B118" s="242" t="s">
        <v>1369</v>
      </c>
      <c r="C118" s="242" t="s">
        <v>1166</v>
      </c>
      <c r="D118" s="242" t="s">
        <v>1330</v>
      </c>
      <c r="E118" s="242" t="s">
        <v>1341</v>
      </c>
      <c r="F118" s="242">
        <v>499.0</v>
      </c>
      <c r="G118" s="242" t="s">
        <v>1331</v>
      </c>
      <c r="H118" s="243">
        <v>1.0</v>
      </c>
      <c r="I118" s="243">
        <v>1.0</v>
      </c>
      <c r="J118" s="243">
        <v>12.0</v>
      </c>
      <c r="K118" s="243">
        <v>2.0</v>
      </c>
      <c r="L118" s="243">
        <v>1.0</v>
      </c>
      <c r="M118" s="242"/>
      <c r="N118" s="242"/>
      <c r="O118" s="242" t="s">
        <v>1491</v>
      </c>
      <c r="P118" s="242">
        <f>918957109474</f>
        <v>918957109474</v>
      </c>
      <c r="Q118" s="251">
        <v>45582.658900462964</v>
      </c>
      <c r="R118" s="244">
        <v>45917.0</v>
      </c>
      <c r="S118" s="251">
        <v>45582.65923611111</v>
      </c>
      <c r="T118" s="251">
        <v>45582.659224537034</v>
      </c>
      <c r="U118" s="251">
        <v>45613.50997685185</v>
      </c>
      <c r="V118" s="251">
        <v>45582.65883101852</v>
      </c>
      <c r="W118" s="245" t="s">
        <v>1332</v>
      </c>
    </row>
    <row r="119" ht="15.75" customHeight="1">
      <c r="A119" s="246" t="s">
        <v>1492</v>
      </c>
      <c r="B119" s="247" t="s">
        <v>1369</v>
      </c>
      <c r="C119" s="247" t="s">
        <v>1166</v>
      </c>
      <c r="D119" s="247" t="s">
        <v>1330</v>
      </c>
      <c r="E119" s="247" t="s">
        <v>1341</v>
      </c>
      <c r="F119" s="247">
        <v>499.0</v>
      </c>
      <c r="G119" s="247" t="s">
        <v>1331</v>
      </c>
      <c r="H119" s="248">
        <v>1.0</v>
      </c>
      <c r="I119" s="248">
        <v>1.0</v>
      </c>
      <c r="J119" s="248">
        <v>12.0</v>
      </c>
      <c r="K119" s="248">
        <v>1.0</v>
      </c>
      <c r="L119" s="248">
        <v>1.0</v>
      </c>
      <c r="M119" s="247"/>
      <c r="N119" s="247"/>
      <c r="O119" s="247" t="s">
        <v>1493</v>
      </c>
      <c r="P119" s="247">
        <f>919810704811</f>
        <v>919810704811</v>
      </c>
      <c r="Q119" s="252">
        <v>45582.75834490741</v>
      </c>
      <c r="R119" s="249">
        <v>45917.0</v>
      </c>
      <c r="S119" s="252">
        <v>45582.758564814816</v>
      </c>
      <c r="T119" s="252">
        <v>45582.75855324074</v>
      </c>
      <c r="U119" s="252">
        <v>45612.45064814815</v>
      </c>
      <c r="V119" s="252">
        <v>45582.75821759259</v>
      </c>
      <c r="W119" s="250" t="s">
        <v>1332</v>
      </c>
    </row>
    <row r="120" ht="15.75" customHeight="1">
      <c r="A120" s="241" t="s">
        <v>1494</v>
      </c>
      <c r="B120" s="242" t="s">
        <v>1369</v>
      </c>
      <c r="C120" s="242" t="s">
        <v>1166</v>
      </c>
      <c r="D120" s="242" t="s">
        <v>1330</v>
      </c>
      <c r="E120" s="242" t="s">
        <v>1341</v>
      </c>
      <c r="F120" s="242">
        <v>499.0</v>
      </c>
      <c r="G120" s="242" t="s">
        <v>1331</v>
      </c>
      <c r="H120" s="243">
        <v>1.0</v>
      </c>
      <c r="I120" s="243">
        <v>1.0</v>
      </c>
      <c r="J120" s="243">
        <v>12.0</v>
      </c>
      <c r="K120" s="243">
        <v>1.0</v>
      </c>
      <c r="L120" s="243">
        <v>1.0</v>
      </c>
      <c r="M120" s="242"/>
      <c r="N120" s="242"/>
      <c r="O120" s="242" t="s">
        <v>1495</v>
      </c>
      <c r="P120" s="242">
        <f>918303830206</f>
        <v>918303830206</v>
      </c>
      <c r="Q120" s="251">
        <v>45582.815787037034</v>
      </c>
      <c r="R120" s="244">
        <v>45917.0</v>
      </c>
      <c r="S120" s="251">
        <v>45582.81621527778</v>
      </c>
      <c r="T120" s="251">
        <v>45582.816203703704</v>
      </c>
      <c r="U120" s="251">
        <v>45587.844930555555</v>
      </c>
      <c r="V120" s="251">
        <v>45582.81543981482</v>
      </c>
      <c r="W120" s="245" t="s">
        <v>1332</v>
      </c>
    </row>
    <row r="121" ht="15.75" customHeight="1">
      <c r="A121" s="246" t="s">
        <v>1496</v>
      </c>
      <c r="B121" s="247" t="s">
        <v>1328</v>
      </c>
      <c r="C121" s="247" t="s">
        <v>1166</v>
      </c>
      <c r="D121" s="247" t="s">
        <v>1330</v>
      </c>
      <c r="E121" s="247" t="s">
        <v>1341</v>
      </c>
      <c r="F121" s="247">
        <v>499.0</v>
      </c>
      <c r="G121" s="247" t="s">
        <v>1331</v>
      </c>
      <c r="H121" s="248">
        <v>1.0</v>
      </c>
      <c r="I121" s="248">
        <v>1.0</v>
      </c>
      <c r="J121" s="248">
        <v>12.0</v>
      </c>
      <c r="K121" s="248">
        <v>0.0</v>
      </c>
      <c r="L121" s="248">
        <v>1.0</v>
      </c>
      <c r="M121" s="247"/>
      <c r="N121" s="247"/>
      <c r="O121" s="247"/>
      <c r="P121" s="247"/>
      <c r="Q121" s="247"/>
      <c r="R121" s="247"/>
      <c r="S121" s="247"/>
      <c r="T121" s="247"/>
      <c r="U121" s="247"/>
      <c r="V121" s="249">
        <v>45553.2121875</v>
      </c>
      <c r="W121" s="250" t="s">
        <v>1332</v>
      </c>
    </row>
    <row r="122" ht="15.75" customHeight="1">
      <c r="A122" s="241" t="s">
        <v>1497</v>
      </c>
      <c r="B122" s="242" t="s">
        <v>1498</v>
      </c>
      <c r="C122" s="242" t="s">
        <v>1499</v>
      </c>
      <c r="D122" s="242" t="s">
        <v>1500</v>
      </c>
      <c r="E122" s="242"/>
      <c r="F122" s="242">
        <v>3999.0</v>
      </c>
      <c r="G122" s="242" t="s">
        <v>1331</v>
      </c>
      <c r="H122" s="243">
        <v>1.0</v>
      </c>
      <c r="I122" s="243">
        <v>1.0</v>
      </c>
      <c r="J122" s="243">
        <v>6.0</v>
      </c>
      <c r="K122" s="243">
        <v>0.0</v>
      </c>
      <c r="L122" s="243">
        <v>1.0</v>
      </c>
      <c r="M122" s="242"/>
      <c r="N122" s="242"/>
      <c r="O122" s="242"/>
      <c r="P122" s="242"/>
      <c r="Q122" s="242"/>
      <c r="R122" s="242"/>
      <c r="S122" s="242"/>
      <c r="T122" s="242"/>
      <c r="U122" s="242"/>
      <c r="V122" s="244">
        <v>45553.48292824074</v>
      </c>
      <c r="W122" s="245" t="s">
        <v>1332</v>
      </c>
    </row>
    <row r="123" ht="15.75" customHeight="1">
      <c r="A123" s="246" t="s">
        <v>1501</v>
      </c>
      <c r="B123" s="247" t="s">
        <v>1369</v>
      </c>
      <c r="C123" s="247" t="s">
        <v>1166</v>
      </c>
      <c r="D123" s="247" t="s">
        <v>1330</v>
      </c>
      <c r="E123" s="247" t="s">
        <v>1341</v>
      </c>
      <c r="F123" s="247">
        <v>499.0</v>
      </c>
      <c r="G123" s="247" t="s">
        <v>1331</v>
      </c>
      <c r="H123" s="248">
        <v>1.0</v>
      </c>
      <c r="I123" s="248">
        <v>1.0</v>
      </c>
      <c r="J123" s="248">
        <v>12.0</v>
      </c>
      <c r="K123" s="248">
        <v>1.0</v>
      </c>
      <c r="L123" s="248">
        <v>1.0</v>
      </c>
      <c r="M123" s="247"/>
      <c r="N123" s="247"/>
      <c r="O123" s="247" t="s">
        <v>1502</v>
      </c>
      <c r="P123" s="247">
        <f>918510983365</f>
        <v>918510983365</v>
      </c>
      <c r="Q123" s="249">
        <v>45553.566296296296</v>
      </c>
      <c r="R123" s="249">
        <v>45887.0</v>
      </c>
      <c r="S123" s="249">
        <v>45553.566655092596</v>
      </c>
      <c r="T123" s="249">
        <v>45553.56664351852</v>
      </c>
      <c r="U123" s="252">
        <v>45582.91106481481</v>
      </c>
      <c r="V123" s="249">
        <v>45553.56548611111</v>
      </c>
      <c r="W123" s="250" t="s">
        <v>1332</v>
      </c>
    </row>
    <row r="124" ht="15.75" customHeight="1">
      <c r="A124" s="241" t="s">
        <v>1503</v>
      </c>
      <c r="B124" s="242" t="s">
        <v>1369</v>
      </c>
      <c r="C124" s="242" t="s">
        <v>1166</v>
      </c>
      <c r="D124" s="242" t="s">
        <v>1330</v>
      </c>
      <c r="E124" s="242" t="s">
        <v>1341</v>
      </c>
      <c r="F124" s="242">
        <v>499.0</v>
      </c>
      <c r="G124" s="242" t="s">
        <v>1331</v>
      </c>
      <c r="H124" s="243">
        <v>1.0</v>
      </c>
      <c r="I124" s="243">
        <v>1.0</v>
      </c>
      <c r="J124" s="243">
        <v>12.0</v>
      </c>
      <c r="K124" s="243">
        <v>4.0</v>
      </c>
      <c r="L124" s="243">
        <v>1.0</v>
      </c>
      <c r="M124" s="242"/>
      <c r="N124" s="242"/>
      <c r="O124" s="242" t="s">
        <v>1504</v>
      </c>
      <c r="P124" s="242">
        <f>919167790371</f>
        <v>919167790371</v>
      </c>
      <c r="Q124" s="244">
        <v>45553.73605324074</v>
      </c>
      <c r="R124" s="244">
        <v>45887.0</v>
      </c>
      <c r="S124" s="244">
        <v>45553.73650462963</v>
      </c>
      <c r="T124" s="244">
        <v>45553.736493055556</v>
      </c>
      <c r="U124" s="244">
        <v>45697.56652777778</v>
      </c>
      <c r="V124" s="244">
        <v>45553.735868055555</v>
      </c>
      <c r="W124" s="245" t="s">
        <v>1332</v>
      </c>
    </row>
    <row r="125" ht="15.75" customHeight="1">
      <c r="A125" s="246" t="s">
        <v>1505</v>
      </c>
      <c r="B125" s="247" t="s">
        <v>1328</v>
      </c>
      <c r="C125" s="247" t="s">
        <v>1506</v>
      </c>
      <c r="D125" s="247" t="s">
        <v>1507</v>
      </c>
      <c r="E125" s="247" t="s">
        <v>1508</v>
      </c>
      <c r="F125" s="247">
        <v>100.0</v>
      </c>
      <c r="G125" s="247" t="s">
        <v>1331</v>
      </c>
      <c r="H125" s="248">
        <v>1.0</v>
      </c>
      <c r="I125" s="248">
        <v>1.0</v>
      </c>
      <c r="J125" s="248">
        <v>6.0</v>
      </c>
      <c r="K125" s="248">
        <v>0.0</v>
      </c>
      <c r="L125" s="248">
        <v>1.0</v>
      </c>
      <c r="M125" s="247"/>
      <c r="N125" s="247"/>
      <c r="O125" s="247"/>
      <c r="P125" s="247"/>
      <c r="Q125" s="247"/>
      <c r="R125" s="247"/>
      <c r="S125" s="247"/>
      <c r="T125" s="247"/>
      <c r="U125" s="247"/>
      <c r="V125" s="249">
        <v>45553.911307870374</v>
      </c>
      <c r="W125" s="250" t="s">
        <v>1332</v>
      </c>
    </row>
    <row r="126" ht="15.75" customHeight="1">
      <c r="A126" s="241" t="s">
        <v>1509</v>
      </c>
      <c r="B126" s="242" t="s">
        <v>1328</v>
      </c>
      <c r="C126" s="242" t="s">
        <v>1166</v>
      </c>
      <c r="D126" s="242" t="s">
        <v>1330</v>
      </c>
      <c r="E126" s="242" t="s">
        <v>1341</v>
      </c>
      <c r="F126" s="242">
        <v>499.0</v>
      </c>
      <c r="G126" s="242" t="s">
        <v>1331</v>
      </c>
      <c r="H126" s="243">
        <v>1.0</v>
      </c>
      <c r="I126" s="243">
        <v>1.0</v>
      </c>
      <c r="J126" s="243">
        <v>12.0</v>
      </c>
      <c r="K126" s="243">
        <v>0.0</v>
      </c>
      <c r="L126" s="243">
        <v>1.0</v>
      </c>
      <c r="M126" s="242"/>
      <c r="N126" s="242"/>
      <c r="O126" s="242"/>
      <c r="P126" s="242"/>
      <c r="Q126" s="242"/>
      <c r="R126" s="242"/>
      <c r="S126" s="242"/>
      <c r="T126" s="242"/>
      <c r="U126" s="242"/>
      <c r="V126" s="244">
        <v>45553.9237037037</v>
      </c>
      <c r="W126" s="245" t="s">
        <v>1332</v>
      </c>
    </row>
    <row r="127" ht="15.75" customHeight="1">
      <c r="A127" s="246" t="s">
        <v>1510</v>
      </c>
      <c r="B127" s="247" t="s">
        <v>1328</v>
      </c>
      <c r="C127" s="247" t="s">
        <v>1166</v>
      </c>
      <c r="D127" s="247" t="s">
        <v>1330</v>
      </c>
      <c r="E127" s="247" t="s">
        <v>1341</v>
      </c>
      <c r="F127" s="247">
        <v>499.0</v>
      </c>
      <c r="G127" s="247" t="s">
        <v>1331</v>
      </c>
      <c r="H127" s="248">
        <v>1.0</v>
      </c>
      <c r="I127" s="248">
        <v>1.0</v>
      </c>
      <c r="J127" s="248">
        <v>12.0</v>
      </c>
      <c r="K127" s="248">
        <v>0.0</v>
      </c>
      <c r="L127" s="248">
        <v>1.0</v>
      </c>
      <c r="M127" s="247"/>
      <c r="N127" s="247"/>
      <c r="O127" s="247"/>
      <c r="P127" s="247"/>
      <c r="Q127" s="247"/>
      <c r="R127" s="247"/>
      <c r="S127" s="247"/>
      <c r="T127" s="247"/>
      <c r="U127" s="247"/>
      <c r="V127" s="249">
        <v>45553.924895833334</v>
      </c>
      <c r="W127" s="250" t="s">
        <v>1332</v>
      </c>
    </row>
    <row r="128" ht="15.75" customHeight="1">
      <c r="A128" s="241" t="s">
        <v>1511</v>
      </c>
      <c r="B128" s="242" t="s">
        <v>1328</v>
      </c>
      <c r="C128" s="242" t="s">
        <v>1166</v>
      </c>
      <c r="D128" s="242" t="s">
        <v>1330</v>
      </c>
      <c r="E128" s="242" t="s">
        <v>1341</v>
      </c>
      <c r="F128" s="242">
        <v>499.0</v>
      </c>
      <c r="G128" s="242" t="s">
        <v>1331</v>
      </c>
      <c r="H128" s="243">
        <v>1.0</v>
      </c>
      <c r="I128" s="243">
        <v>1.0</v>
      </c>
      <c r="J128" s="243">
        <v>12.0</v>
      </c>
      <c r="K128" s="243">
        <v>0.0</v>
      </c>
      <c r="L128" s="243">
        <v>1.0</v>
      </c>
      <c r="M128" s="242"/>
      <c r="N128" s="242"/>
      <c r="O128" s="242"/>
      <c r="P128" s="242"/>
      <c r="Q128" s="242"/>
      <c r="R128" s="242"/>
      <c r="S128" s="242"/>
      <c r="T128" s="242"/>
      <c r="U128" s="242"/>
      <c r="V128" s="244">
        <v>45553.92622685185</v>
      </c>
      <c r="W128" s="245" t="s">
        <v>1332</v>
      </c>
    </row>
    <row r="129" ht="15.75" customHeight="1">
      <c r="A129" s="246" t="s">
        <v>1512</v>
      </c>
      <c r="B129" s="247" t="s">
        <v>1350</v>
      </c>
      <c r="C129" s="247" t="s">
        <v>1166</v>
      </c>
      <c r="D129" s="247" t="s">
        <v>1330</v>
      </c>
      <c r="E129" s="247" t="s">
        <v>1341</v>
      </c>
      <c r="F129" s="247">
        <v>499.0</v>
      </c>
      <c r="G129" s="247" t="s">
        <v>1331</v>
      </c>
      <c r="H129" s="248">
        <v>1.0</v>
      </c>
      <c r="I129" s="248">
        <v>1.0</v>
      </c>
      <c r="J129" s="248">
        <v>12.0</v>
      </c>
      <c r="K129" s="248">
        <v>1.0</v>
      </c>
      <c r="L129" s="248">
        <v>1.0</v>
      </c>
      <c r="M129" s="247" t="s">
        <v>1513</v>
      </c>
      <c r="N129" s="247"/>
      <c r="O129" s="247" t="s">
        <v>1514</v>
      </c>
      <c r="P129" s="247">
        <f>918910164011</f>
        <v>918910164011</v>
      </c>
      <c r="Q129" s="249">
        <v>45553.94521990741</v>
      </c>
      <c r="R129" s="249">
        <v>45887.0</v>
      </c>
      <c r="S129" s="249">
        <v>45553.94567129629</v>
      </c>
      <c r="T129" s="249">
        <v>45553.94565972222</v>
      </c>
      <c r="U129" s="247"/>
      <c r="V129" s="249">
        <v>45553.944375</v>
      </c>
      <c r="W129" s="250" t="s">
        <v>1332</v>
      </c>
    </row>
    <row r="130" ht="15.75" customHeight="1">
      <c r="A130" s="241" t="s">
        <v>1515</v>
      </c>
      <c r="B130" s="242" t="s">
        <v>1328</v>
      </c>
      <c r="C130" s="242" t="s">
        <v>1516</v>
      </c>
      <c r="D130" s="242" t="s">
        <v>1517</v>
      </c>
      <c r="E130" s="242" t="s">
        <v>1518</v>
      </c>
      <c r="F130" s="242">
        <v>3999.0</v>
      </c>
      <c r="G130" s="242" t="s">
        <v>1331</v>
      </c>
      <c r="H130" s="243">
        <v>1.0</v>
      </c>
      <c r="I130" s="243">
        <v>1.0</v>
      </c>
      <c r="J130" s="243">
        <v>12.0</v>
      </c>
      <c r="K130" s="243">
        <v>0.0</v>
      </c>
      <c r="L130" s="243">
        <v>1.0</v>
      </c>
      <c r="M130" s="242"/>
      <c r="N130" s="242"/>
      <c r="O130" s="242"/>
      <c r="P130" s="242"/>
      <c r="Q130" s="242"/>
      <c r="R130" s="242"/>
      <c r="S130" s="242"/>
      <c r="T130" s="242"/>
      <c r="U130" s="242"/>
      <c r="V130" s="251">
        <v>45583.01550925926</v>
      </c>
      <c r="W130" s="245" t="s">
        <v>1332</v>
      </c>
    </row>
    <row r="131" ht="15.75" customHeight="1">
      <c r="A131" s="246" t="s">
        <v>1519</v>
      </c>
      <c r="B131" s="247" t="s">
        <v>1498</v>
      </c>
      <c r="C131" s="247" t="s">
        <v>1520</v>
      </c>
      <c r="D131" s="247" t="s">
        <v>1521</v>
      </c>
      <c r="E131" s="247" t="s">
        <v>1522</v>
      </c>
      <c r="F131" s="247">
        <v>3999.0</v>
      </c>
      <c r="G131" s="247" t="s">
        <v>1331</v>
      </c>
      <c r="H131" s="248">
        <v>12.0</v>
      </c>
      <c r="I131" s="248">
        <v>1.0</v>
      </c>
      <c r="J131" s="248">
        <v>12.0</v>
      </c>
      <c r="K131" s="248">
        <v>0.0</v>
      </c>
      <c r="L131" s="248">
        <v>1.0</v>
      </c>
      <c r="M131" s="247"/>
      <c r="N131" s="247"/>
      <c r="O131" s="247"/>
      <c r="P131" s="247"/>
      <c r="Q131" s="247"/>
      <c r="R131" s="247"/>
      <c r="S131" s="247"/>
      <c r="T131" s="247"/>
      <c r="U131" s="247"/>
      <c r="V131" s="252">
        <v>45583.022569444445</v>
      </c>
      <c r="W131" s="250" t="s">
        <v>1332</v>
      </c>
    </row>
    <row r="132" ht="15.75" customHeight="1">
      <c r="A132" s="241" t="s">
        <v>1523</v>
      </c>
      <c r="B132" s="242" t="s">
        <v>1498</v>
      </c>
      <c r="C132" s="242" t="s">
        <v>1524</v>
      </c>
      <c r="D132" s="242" t="s">
        <v>1521</v>
      </c>
      <c r="E132" s="242" t="s">
        <v>1525</v>
      </c>
      <c r="F132" s="242">
        <v>3999.0</v>
      </c>
      <c r="G132" s="242" t="s">
        <v>1331</v>
      </c>
      <c r="H132" s="243">
        <v>1.0</v>
      </c>
      <c r="I132" s="243">
        <v>1.0</v>
      </c>
      <c r="J132" s="243">
        <v>12.0</v>
      </c>
      <c r="K132" s="243">
        <v>0.0</v>
      </c>
      <c r="L132" s="243">
        <v>1.0</v>
      </c>
      <c r="M132" s="242"/>
      <c r="N132" s="242"/>
      <c r="O132" s="242"/>
      <c r="P132" s="242"/>
      <c r="Q132" s="242"/>
      <c r="R132" s="242"/>
      <c r="S132" s="242"/>
      <c r="T132" s="242"/>
      <c r="U132" s="242"/>
      <c r="V132" s="251">
        <v>45583.025185185186</v>
      </c>
      <c r="W132" s="245" t="s">
        <v>1332</v>
      </c>
    </row>
    <row r="133" ht="15.75" customHeight="1">
      <c r="A133" s="246" t="s">
        <v>1526</v>
      </c>
      <c r="B133" s="247" t="s">
        <v>1498</v>
      </c>
      <c r="C133" s="247" t="s">
        <v>1527</v>
      </c>
      <c r="D133" s="247" t="s">
        <v>1528</v>
      </c>
      <c r="E133" s="247" t="s">
        <v>1525</v>
      </c>
      <c r="F133" s="247">
        <v>2499.0</v>
      </c>
      <c r="G133" s="247" t="s">
        <v>1331</v>
      </c>
      <c r="H133" s="248">
        <v>1.0</v>
      </c>
      <c r="I133" s="248">
        <v>1.0</v>
      </c>
      <c r="J133" s="248">
        <v>12.0</v>
      </c>
      <c r="K133" s="248">
        <v>0.0</v>
      </c>
      <c r="L133" s="248">
        <v>1.0</v>
      </c>
      <c r="M133" s="247"/>
      <c r="N133" s="247"/>
      <c r="O133" s="247"/>
      <c r="P133" s="247"/>
      <c r="Q133" s="247"/>
      <c r="R133" s="247"/>
      <c r="S133" s="247"/>
      <c r="T133" s="247"/>
      <c r="U133" s="247"/>
      <c r="V133" s="252">
        <v>45583.03166666667</v>
      </c>
      <c r="W133" s="250" t="s">
        <v>1332</v>
      </c>
    </row>
    <row r="134" ht="15.75" customHeight="1">
      <c r="A134" s="241" t="s">
        <v>1529</v>
      </c>
      <c r="B134" s="242" t="s">
        <v>1328</v>
      </c>
      <c r="C134" s="242" t="s">
        <v>1166</v>
      </c>
      <c r="D134" s="242" t="s">
        <v>1330</v>
      </c>
      <c r="E134" s="242" t="s">
        <v>1341</v>
      </c>
      <c r="F134" s="242">
        <v>499.0</v>
      </c>
      <c r="G134" s="242" t="s">
        <v>1331</v>
      </c>
      <c r="H134" s="243">
        <v>1.0</v>
      </c>
      <c r="I134" s="243">
        <v>1.0</v>
      </c>
      <c r="J134" s="243">
        <v>12.0</v>
      </c>
      <c r="K134" s="243">
        <v>0.0</v>
      </c>
      <c r="L134" s="243">
        <v>1.0</v>
      </c>
      <c r="M134" s="242"/>
      <c r="N134" s="242"/>
      <c r="O134" s="242"/>
      <c r="P134" s="242"/>
      <c r="Q134" s="242"/>
      <c r="R134" s="242"/>
      <c r="S134" s="242"/>
      <c r="T134" s="242"/>
      <c r="U134" s="242"/>
      <c r="V134" s="251">
        <v>45614.46381944444</v>
      </c>
      <c r="W134" s="245" t="s">
        <v>1332</v>
      </c>
    </row>
    <row r="135" ht="15.75" customHeight="1">
      <c r="A135" s="246" t="s">
        <v>1530</v>
      </c>
      <c r="B135" s="247" t="s">
        <v>1531</v>
      </c>
      <c r="C135" s="247" t="s">
        <v>1532</v>
      </c>
      <c r="D135" s="247" t="s">
        <v>1533</v>
      </c>
      <c r="E135" s="247"/>
      <c r="F135" s="247">
        <v>4999.0</v>
      </c>
      <c r="G135" s="247" t="s">
        <v>1331</v>
      </c>
      <c r="H135" s="248">
        <v>1.0</v>
      </c>
      <c r="I135" s="248">
        <v>1.0</v>
      </c>
      <c r="J135" s="248">
        <v>2.0</v>
      </c>
      <c r="K135" s="248">
        <v>1.0</v>
      </c>
      <c r="L135" s="248">
        <v>1.0</v>
      </c>
      <c r="M135" s="247" t="s">
        <v>1534</v>
      </c>
      <c r="N135" s="247"/>
      <c r="O135" s="247" t="s">
        <v>1535</v>
      </c>
      <c r="P135" s="247">
        <f>918130500766</f>
        <v>918130500766</v>
      </c>
      <c r="Q135" s="252">
        <v>45616.710277777776</v>
      </c>
      <c r="R135" s="252">
        <v>45646.0</v>
      </c>
      <c r="S135" s="252">
        <v>45616.71046296296</v>
      </c>
      <c r="T135" s="252">
        <v>45616.71045138889</v>
      </c>
      <c r="U135" s="247"/>
      <c r="V135" s="252">
        <v>45614.51464120371</v>
      </c>
      <c r="W135" s="250" t="s">
        <v>1332</v>
      </c>
    </row>
    <row r="136" ht="15.75" customHeight="1">
      <c r="A136" s="241" t="s">
        <v>1536</v>
      </c>
      <c r="B136" s="242" t="s">
        <v>1328</v>
      </c>
      <c r="C136" s="242" t="s">
        <v>1537</v>
      </c>
      <c r="D136" s="242" t="s">
        <v>1538</v>
      </c>
      <c r="E136" s="242"/>
      <c r="F136" s="242">
        <v>120000.0</v>
      </c>
      <c r="G136" s="242" t="s">
        <v>1331</v>
      </c>
      <c r="H136" s="243">
        <v>6.0</v>
      </c>
      <c r="I136" s="243">
        <v>1.0</v>
      </c>
      <c r="J136" s="243">
        <v>2.0</v>
      </c>
      <c r="K136" s="243">
        <v>0.0</v>
      </c>
      <c r="L136" s="243">
        <v>1.0</v>
      </c>
      <c r="M136" s="242"/>
      <c r="N136" s="242"/>
      <c r="O136" s="242"/>
      <c r="P136" s="242"/>
      <c r="Q136" s="242"/>
      <c r="R136" s="242"/>
      <c r="S136" s="242"/>
      <c r="T136" s="242"/>
      <c r="U136" s="242"/>
      <c r="V136" s="251">
        <v>45614.7241087963</v>
      </c>
      <c r="W136" s="245" t="s">
        <v>1332</v>
      </c>
    </row>
    <row r="137" ht="15.75" customHeight="1">
      <c r="A137" s="246" t="s">
        <v>1539</v>
      </c>
      <c r="B137" s="247" t="s">
        <v>1328</v>
      </c>
      <c r="C137" s="247" t="s">
        <v>1166</v>
      </c>
      <c r="D137" s="247" t="s">
        <v>1330</v>
      </c>
      <c r="E137" s="247" t="s">
        <v>1341</v>
      </c>
      <c r="F137" s="247">
        <v>499.0</v>
      </c>
      <c r="G137" s="247" t="s">
        <v>1331</v>
      </c>
      <c r="H137" s="248">
        <v>1.0</v>
      </c>
      <c r="I137" s="248">
        <v>1.0</v>
      </c>
      <c r="J137" s="248">
        <v>12.0</v>
      </c>
      <c r="K137" s="248">
        <v>0.0</v>
      </c>
      <c r="L137" s="248">
        <v>1.0</v>
      </c>
      <c r="M137" s="247"/>
      <c r="N137" s="247"/>
      <c r="O137" s="247"/>
      <c r="P137" s="247"/>
      <c r="Q137" s="247"/>
      <c r="R137" s="247"/>
      <c r="S137" s="247"/>
      <c r="T137" s="247"/>
      <c r="U137" s="247"/>
      <c r="V137" s="249">
        <v>45554.43185185185</v>
      </c>
      <c r="W137" s="250" t="s">
        <v>1332</v>
      </c>
    </row>
    <row r="138" ht="15.75" customHeight="1">
      <c r="A138" s="241" t="s">
        <v>1298</v>
      </c>
      <c r="B138" s="242" t="s">
        <v>1340</v>
      </c>
      <c r="C138" s="242" t="s">
        <v>1166</v>
      </c>
      <c r="D138" s="242" t="s">
        <v>1330</v>
      </c>
      <c r="E138" s="242" t="s">
        <v>1341</v>
      </c>
      <c r="F138" s="242">
        <v>499.0</v>
      </c>
      <c r="G138" s="242" t="s">
        <v>1331</v>
      </c>
      <c r="H138" s="243">
        <v>1.0</v>
      </c>
      <c r="I138" s="243">
        <v>1.0</v>
      </c>
      <c r="J138" s="243">
        <v>12.0</v>
      </c>
      <c r="K138" s="243">
        <v>6.0</v>
      </c>
      <c r="L138" s="243">
        <v>1.0</v>
      </c>
      <c r="M138" s="242"/>
      <c r="N138" s="242"/>
      <c r="O138" s="242" t="s">
        <v>1540</v>
      </c>
      <c r="P138" s="242">
        <f>917044081931</f>
        <v>917044081931</v>
      </c>
      <c r="Q138" s="244">
        <v>45554.496354166666</v>
      </c>
      <c r="R138" s="244">
        <v>45888.0</v>
      </c>
      <c r="S138" s="244">
        <v>45554.49667824074</v>
      </c>
      <c r="T138" s="244">
        <v>45554.49665509259</v>
      </c>
      <c r="U138" s="242"/>
      <c r="V138" s="244">
        <v>45554.49590277778</v>
      </c>
      <c r="W138" s="245" t="s">
        <v>1332</v>
      </c>
    </row>
    <row r="139" ht="15.75" customHeight="1">
      <c r="A139" s="246" t="s">
        <v>1541</v>
      </c>
      <c r="B139" s="247" t="s">
        <v>1328</v>
      </c>
      <c r="C139" s="247" t="s">
        <v>1516</v>
      </c>
      <c r="D139" s="247" t="s">
        <v>1517</v>
      </c>
      <c r="E139" s="247" t="s">
        <v>1518</v>
      </c>
      <c r="F139" s="247">
        <v>3999.0</v>
      </c>
      <c r="G139" s="247" t="s">
        <v>1331</v>
      </c>
      <c r="H139" s="248">
        <v>1.0</v>
      </c>
      <c r="I139" s="248">
        <v>1.0</v>
      </c>
      <c r="J139" s="248">
        <v>6.0</v>
      </c>
      <c r="K139" s="248">
        <v>0.0</v>
      </c>
      <c r="L139" s="248">
        <v>1.0</v>
      </c>
      <c r="M139" s="247"/>
      <c r="N139" s="247"/>
      <c r="O139" s="247"/>
      <c r="P139" s="247"/>
      <c r="Q139" s="247"/>
      <c r="R139" s="247"/>
      <c r="S139" s="247"/>
      <c r="T139" s="247"/>
      <c r="U139" s="247"/>
      <c r="V139" s="249">
        <v>45554.77490740741</v>
      </c>
      <c r="W139" s="250" t="s">
        <v>1332</v>
      </c>
    </row>
    <row r="140" ht="15.75" customHeight="1">
      <c r="A140" s="241" t="s">
        <v>1542</v>
      </c>
      <c r="B140" s="242" t="s">
        <v>1328</v>
      </c>
      <c r="C140" s="242" t="s">
        <v>1166</v>
      </c>
      <c r="D140" s="242" t="s">
        <v>1330</v>
      </c>
      <c r="E140" s="242" t="s">
        <v>1341</v>
      </c>
      <c r="F140" s="242">
        <v>499.0</v>
      </c>
      <c r="G140" s="242" t="s">
        <v>1331</v>
      </c>
      <c r="H140" s="243">
        <v>1.0</v>
      </c>
      <c r="I140" s="243">
        <v>1.0</v>
      </c>
      <c r="J140" s="243">
        <v>12.0</v>
      </c>
      <c r="K140" s="243">
        <v>0.0</v>
      </c>
      <c r="L140" s="243">
        <v>1.0</v>
      </c>
      <c r="M140" s="242"/>
      <c r="N140" s="242"/>
      <c r="O140" s="242"/>
      <c r="P140" s="242"/>
      <c r="Q140" s="242"/>
      <c r="R140" s="242"/>
      <c r="S140" s="242"/>
      <c r="T140" s="242"/>
      <c r="U140" s="242"/>
      <c r="V140" s="251">
        <v>45584.5271875</v>
      </c>
      <c r="W140" s="245" t="s">
        <v>1332</v>
      </c>
    </row>
    <row r="141" ht="15.75" customHeight="1">
      <c r="A141" s="246" t="s">
        <v>1543</v>
      </c>
      <c r="B141" s="247" t="s">
        <v>1328</v>
      </c>
      <c r="C141" s="247" t="s">
        <v>1166</v>
      </c>
      <c r="D141" s="247" t="s">
        <v>1330</v>
      </c>
      <c r="E141" s="247" t="s">
        <v>1341</v>
      </c>
      <c r="F141" s="247">
        <v>499.0</v>
      </c>
      <c r="G141" s="247" t="s">
        <v>1331</v>
      </c>
      <c r="H141" s="248">
        <v>1.0</v>
      </c>
      <c r="I141" s="248">
        <v>1.0</v>
      </c>
      <c r="J141" s="248">
        <v>12.0</v>
      </c>
      <c r="K141" s="248">
        <v>0.0</v>
      </c>
      <c r="L141" s="248">
        <v>1.0</v>
      </c>
      <c r="M141" s="247"/>
      <c r="N141" s="247"/>
      <c r="O141" s="247"/>
      <c r="P141" s="247"/>
      <c r="Q141" s="247"/>
      <c r="R141" s="247"/>
      <c r="S141" s="247"/>
      <c r="T141" s="247"/>
      <c r="U141" s="247"/>
      <c r="V141" s="252">
        <v>45584.52763888889</v>
      </c>
      <c r="W141" s="250" t="s">
        <v>1332</v>
      </c>
    </row>
    <row r="142" ht="15.75" customHeight="1">
      <c r="A142" s="241" t="s">
        <v>1544</v>
      </c>
      <c r="B142" s="242" t="s">
        <v>1328</v>
      </c>
      <c r="C142" s="242" t="s">
        <v>1166</v>
      </c>
      <c r="D142" s="242" t="s">
        <v>1330</v>
      </c>
      <c r="E142" s="242" t="s">
        <v>1341</v>
      </c>
      <c r="F142" s="242">
        <v>499.0</v>
      </c>
      <c r="G142" s="242" t="s">
        <v>1331</v>
      </c>
      <c r="H142" s="243">
        <v>1.0</v>
      </c>
      <c r="I142" s="243">
        <v>1.0</v>
      </c>
      <c r="J142" s="243">
        <v>12.0</v>
      </c>
      <c r="K142" s="243">
        <v>0.0</v>
      </c>
      <c r="L142" s="243">
        <v>1.0</v>
      </c>
      <c r="M142" s="242"/>
      <c r="N142" s="242"/>
      <c r="O142" s="242"/>
      <c r="P142" s="242"/>
      <c r="Q142" s="242"/>
      <c r="R142" s="242"/>
      <c r="S142" s="242"/>
      <c r="T142" s="242"/>
      <c r="U142" s="242"/>
      <c r="V142" s="251">
        <v>45584.69949074074</v>
      </c>
      <c r="W142" s="245" t="s">
        <v>1332</v>
      </c>
    </row>
    <row r="143" ht="15.75" customHeight="1">
      <c r="A143" s="246" t="s">
        <v>1545</v>
      </c>
      <c r="B143" s="247" t="s">
        <v>1369</v>
      </c>
      <c r="C143" s="247" t="s">
        <v>1527</v>
      </c>
      <c r="D143" s="247" t="s">
        <v>1528</v>
      </c>
      <c r="E143" s="247" t="s">
        <v>1525</v>
      </c>
      <c r="F143" s="247">
        <v>2499.0</v>
      </c>
      <c r="G143" s="247" t="s">
        <v>1331</v>
      </c>
      <c r="H143" s="248">
        <v>1.0</v>
      </c>
      <c r="I143" s="248">
        <v>1.0</v>
      </c>
      <c r="J143" s="248">
        <v>11.0</v>
      </c>
      <c r="K143" s="248">
        <v>1.0</v>
      </c>
      <c r="L143" s="248">
        <v>1.0</v>
      </c>
      <c r="M143" s="247" t="s">
        <v>1513</v>
      </c>
      <c r="N143" s="247"/>
      <c r="O143" s="247" t="s">
        <v>1514</v>
      </c>
      <c r="P143" s="247">
        <f>918910164011</f>
        <v>918910164011</v>
      </c>
      <c r="Q143" s="252">
        <v>45584.826840277776</v>
      </c>
      <c r="R143" s="249">
        <v>45888.0</v>
      </c>
      <c r="S143" s="252">
        <v>45584.8272337963</v>
      </c>
      <c r="T143" s="252">
        <v>45584.827210648145</v>
      </c>
      <c r="U143" s="252">
        <v>45642.753599537034</v>
      </c>
      <c r="V143" s="252">
        <v>45584.823287037034</v>
      </c>
      <c r="W143" s="250" t="s">
        <v>1332</v>
      </c>
    </row>
    <row r="144" ht="15.75" customHeight="1">
      <c r="A144" s="241" t="s">
        <v>1546</v>
      </c>
      <c r="B144" s="242" t="s">
        <v>1328</v>
      </c>
      <c r="C144" s="242" t="s">
        <v>1527</v>
      </c>
      <c r="D144" s="242" t="s">
        <v>1528</v>
      </c>
      <c r="E144" s="242" t="s">
        <v>1525</v>
      </c>
      <c r="F144" s="242">
        <v>2499.0</v>
      </c>
      <c r="G144" s="242" t="s">
        <v>1331</v>
      </c>
      <c r="H144" s="243">
        <v>1.0</v>
      </c>
      <c r="I144" s="243">
        <v>1.0</v>
      </c>
      <c r="J144" s="243">
        <v>12.0</v>
      </c>
      <c r="K144" s="243">
        <v>0.0</v>
      </c>
      <c r="L144" s="243">
        <v>1.0</v>
      </c>
      <c r="M144" s="242"/>
      <c r="N144" s="242"/>
      <c r="O144" s="242"/>
      <c r="P144" s="242"/>
      <c r="Q144" s="242"/>
      <c r="R144" s="242"/>
      <c r="S144" s="242"/>
      <c r="T144" s="242"/>
      <c r="U144" s="242"/>
      <c r="V144" s="251">
        <v>45584.829988425925</v>
      </c>
      <c r="W144" s="245" t="s">
        <v>1332</v>
      </c>
    </row>
    <row r="145" ht="15.75" customHeight="1">
      <c r="A145" s="246" t="s">
        <v>1547</v>
      </c>
      <c r="B145" s="247" t="s">
        <v>1328</v>
      </c>
      <c r="C145" s="247" t="s">
        <v>1166</v>
      </c>
      <c r="D145" s="247" t="s">
        <v>1330</v>
      </c>
      <c r="E145" s="247" t="s">
        <v>1341</v>
      </c>
      <c r="F145" s="247">
        <v>499.0</v>
      </c>
      <c r="G145" s="247" t="s">
        <v>1331</v>
      </c>
      <c r="H145" s="248">
        <v>1.0</v>
      </c>
      <c r="I145" s="248">
        <v>1.0</v>
      </c>
      <c r="J145" s="248">
        <v>12.0</v>
      </c>
      <c r="K145" s="248">
        <v>0.0</v>
      </c>
      <c r="L145" s="248">
        <v>1.0</v>
      </c>
      <c r="M145" s="247"/>
      <c r="N145" s="247"/>
      <c r="O145" s="247"/>
      <c r="P145" s="247"/>
      <c r="Q145" s="247"/>
      <c r="R145" s="247"/>
      <c r="S145" s="247"/>
      <c r="T145" s="247"/>
      <c r="U145" s="247"/>
      <c r="V145" s="249">
        <v>45555.335335648146</v>
      </c>
      <c r="W145" s="250" t="s">
        <v>1332</v>
      </c>
    </row>
    <row r="146" ht="15.75" customHeight="1">
      <c r="A146" s="241" t="s">
        <v>1548</v>
      </c>
      <c r="B146" s="242" t="s">
        <v>1350</v>
      </c>
      <c r="C146" s="242" t="s">
        <v>1549</v>
      </c>
      <c r="D146" s="242" t="s">
        <v>1550</v>
      </c>
      <c r="E146" s="242"/>
      <c r="F146" s="242">
        <v>2499.0</v>
      </c>
      <c r="G146" s="242" t="s">
        <v>1331</v>
      </c>
      <c r="H146" s="243">
        <v>1.0</v>
      </c>
      <c r="I146" s="243">
        <v>1.0</v>
      </c>
      <c r="J146" s="243">
        <v>12.0</v>
      </c>
      <c r="K146" s="243">
        <v>1.0</v>
      </c>
      <c r="L146" s="243">
        <v>1.0</v>
      </c>
      <c r="M146" s="242" t="s">
        <v>1551</v>
      </c>
      <c r="N146" s="242"/>
      <c r="O146" s="242"/>
      <c r="P146" s="242">
        <f>919205089671</f>
        <v>919205089671</v>
      </c>
      <c r="Q146" s="251">
        <v>45586.67969907408</v>
      </c>
      <c r="R146" s="244">
        <v>45921.0</v>
      </c>
      <c r="S146" s="251">
        <v>45586.6799537037</v>
      </c>
      <c r="T146" s="251">
        <v>45586.67994212963</v>
      </c>
      <c r="U146" s="242"/>
      <c r="V146" s="251">
        <v>45585.655127314814</v>
      </c>
      <c r="W146" s="245" t="s">
        <v>1332</v>
      </c>
    </row>
    <row r="147" ht="15.75" customHeight="1">
      <c r="A147" s="246" t="s">
        <v>1552</v>
      </c>
      <c r="B147" s="247" t="s">
        <v>1328</v>
      </c>
      <c r="C147" s="247" t="s">
        <v>1166</v>
      </c>
      <c r="D147" s="247" t="s">
        <v>1330</v>
      </c>
      <c r="E147" s="247" t="s">
        <v>1341</v>
      </c>
      <c r="F147" s="247">
        <v>499.0</v>
      </c>
      <c r="G147" s="247" t="s">
        <v>1331</v>
      </c>
      <c r="H147" s="248">
        <v>1.0</v>
      </c>
      <c r="I147" s="248">
        <v>1.0</v>
      </c>
      <c r="J147" s="248">
        <v>12.0</v>
      </c>
      <c r="K147" s="248">
        <v>0.0</v>
      </c>
      <c r="L147" s="248">
        <v>1.0</v>
      </c>
      <c r="M147" s="247"/>
      <c r="N147" s="247"/>
      <c r="O147" s="247"/>
      <c r="P147" s="247"/>
      <c r="Q147" s="247"/>
      <c r="R147" s="247"/>
      <c r="S147" s="247"/>
      <c r="T147" s="247"/>
      <c r="U147" s="247"/>
      <c r="V147" s="252">
        <v>45616.60934027778</v>
      </c>
      <c r="W147" s="250" t="s">
        <v>1332</v>
      </c>
    </row>
    <row r="148" ht="15.75" customHeight="1">
      <c r="A148" s="241" t="s">
        <v>1553</v>
      </c>
      <c r="B148" s="242" t="s">
        <v>1328</v>
      </c>
      <c r="C148" s="242" t="s">
        <v>1166</v>
      </c>
      <c r="D148" s="242" t="s">
        <v>1330</v>
      </c>
      <c r="E148" s="242" t="s">
        <v>1341</v>
      </c>
      <c r="F148" s="242">
        <v>499.0</v>
      </c>
      <c r="G148" s="242" t="s">
        <v>1331</v>
      </c>
      <c r="H148" s="243">
        <v>1.0</v>
      </c>
      <c r="I148" s="243">
        <v>1.0</v>
      </c>
      <c r="J148" s="243">
        <v>12.0</v>
      </c>
      <c r="K148" s="243">
        <v>0.0</v>
      </c>
      <c r="L148" s="243">
        <v>1.0</v>
      </c>
      <c r="M148" s="242"/>
      <c r="N148" s="242"/>
      <c r="O148" s="242"/>
      <c r="P148" s="242"/>
      <c r="Q148" s="242"/>
      <c r="R148" s="242"/>
      <c r="S148" s="242"/>
      <c r="T148" s="242"/>
      <c r="U148" s="242"/>
      <c r="V148" s="251">
        <v>45616.74859953704</v>
      </c>
      <c r="W148" s="245" t="s">
        <v>1332</v>
      </c>
    </row>
    <row r="149" ht="15.75" customHeight="1">
      <c r="A149" s="246" t="s">
        <v>1554</v>
      </c>
      <c r="B149" s="247" t="s">
        <v>1328</v>
      </c>
      <c r="C149" s="247" t="s">
        <v>1166</v>
      </c>
      <c r="D149" s="247" t="s">
        <v>1330</v>
      </c>
      <c r="E149" s="247" t="s">
        <v>1341</v>
      </c>
      <c r="F149" s="247">
        <v>499.0</v>
      </c>
      <c r="G149" s="247" t="s">
        <v>1331</v>
      </c>
      <c r="H149" s="248">
        <v>1.0</v>
      </c>
      <c r="I149" s="248">
        <v>1.0</v>
      </c>
      <c r="J149" s="248">
        <v>12.0</v>
      </c>
      <c r="K149" s="248">
        <v>0.0</v>
      </c>
      <c r="L149" s="248">
        <v>1.0</v>
      </c>
      <c r="M149" s="247"/>
      <c r="N149" s="247"/>
      <c r="O149" s="247"/>
      <c r="P149" s="247"/>
      <c r="Q149" s="247"/>
      <c r="R149" s="247"/>
      <c r="S149" s="247"/>
      <c r="T149" s="247"/>
      <c r="U149" s="247"/>
      <c r="V149" s="249">
        <v>45556.06584490741</v>
      </c>
      <c r="W149" s="250" t="s">
        <v>1332</v>
      </c>
    </row>
    <row r="150" ht="15.75" customHeight="1">
      <c r="A150" s="241" t="s">
        <v>1555</v>
      </c>
      <c r="B150" s="242" t="s">
        <v>1369</v>
      </c>
      <c r="C150" s="242" t="s">
        <v>1166</v>
      </c>
      <c r="D150" s="242" t="s">
        <v>1330</v>
      </c>
      <c r="E150" s="242" t="s">
        <v>1341</v>
      </c>
      <c r="F150" s="242">
        <v>499.0</v>
      </c>
      <c r="G150" s="242" t="s">
        <v>1331</v>
      </c>
      <c r="H150" s="243">
        <v>1.0</v>
      </c>
      <c r="I150" s="243">
        <v>1.0</v>
      </c>
      <c r="J150" s="243">
        <v>12.0</v>
      </c>
      <c r="K150" s="243">
        <v>1.0</v>
      </c>
      <c r="L150" s="243">
        <v>1.0</v>
      </c>
      <c r="M150" s="242" t="s">
        <v>1556</v>
      </c>
      <c r="N150" s="242"/>
      <c r="O150" s="242" t="s">
        <v>1557</v>
      </c>
      <c r="P150" s="242">
        <f>919492140064</f>
        <v>919492140064</v>
      </c>
      <c r="Q150" s="244">
        <v>45556.53701388889</v>
      </c>
      <c r="R150" s="244">
        <v>45890.0</v>
      </c>
      <c r="S150" s="244">
        <v>45556.537199074075</v>
      </c>
      <c r="T150" s="244">
        <v>45556.5371875</v>
      </c>
      <c r="U150" s="244">
        <v>45600.87587962963</v>
      </c>
      <c r="V150" s="244">
        <v>45556.53689814815</v>
      </c>
      <c r="W150" s="245" t="s">
        <v>1332</v>
      </c>
    </row>
    <row r="151" ht="15.75" customHeight="1">
      <c r="A151" s="246" t="s">
        <v>1558</v>
      </c>
      <c r="B151" s="247" t="s">
        <v>1328</v>
      </c>
      <c r="C151" s="247" t="s">
        <v>1166</v>
      </c>
      <c r="D151" s="247" t="s">
        <v>1330</v>
      </c>
      <c r="E151" s="247" t="s">
        <v>1341</v>
      </c>
      <c r="F151" s="247">
        <v>499.0</v>
      </c>
      <c r="G151" s="247" t="s">
        <v>1331</v>
      </c>
      <c r="H151" s="248">
        <v>1.0</v>
      </c>
      <c r="I151" s="248">
        <v>1.0</v>
      </c>
      <c r="J151" s="248">
        <v>12.0</v>
      </c>
      <c r="K151" s="248">
        <v>0.0</v>
      </c>
      <c r="L151" s="248">
        <v>1.0</v>
      </c>
      <c r="M151" s="247"/>
      <c r="N151" s="247"/>
      <c r="O151" s="247"/>
      <c r="P151" s="247"/>
      <c r="Q151" s="247"/>
      <c r="R151" s="247"/>
      <c r="S151" s="247"/>
      <c r="T151" s="247"/>
      <c r="U151" s="247"/>
      <c r="V151" s="249">
        <v>45556.57115740741</v>
      </c>
      <c r="W151" s="250" t="s">
        <v>1332</v>
      </c>
    </row>
    <row r="152" ht="15.75" customHeight="1">
      <c r="A152" s="241" t="s">
        <v>1559</v>
      </c>
      <c r="B152" s="242" t="s">
        <v>1531</v>
      </c>
      <c r="C152" s="242" t="s">
        <v>1499</v>
      </c>
      <c r="D152" s="242" t="s">
        <v>1500</v>
      </c>
      <c r="E152" s="242"/>
      <c r="F152" s="242">
        <v>3999.0</v>
      </c>
      <c r="G152" s="242" t="s">
        <v>1331</v>
      </c>
      <c r="H152" s="243">
        <v>1.0</v>
      </c>
      <c r="I152" s="243">
        <v>1.0</v>
      </c>
      <c r="J152" s="243">
        <v>6.0</v>
      </c>
      <c r="K152" s="243">
        <v>5.0</v>
      </c>
      <c r="L152" s="243">
        <v>1.0</v>
      </c>
      <c r="M152" s="242"/>
      <c r="N152" s="242"/>
      <c r="O152" s="242" t="s">
        <v>1560</v>
      </c>
      <c r="P152" s="242">
        <f>917793003245</f>
        <v>917793003245</v>
      </c>
      <c r="Q152" s="244">
        <v>45557.54608796296</v>
      </c>
      <c r="R152" s="244">
        <v>45710.0</v>
      </c>
      <c r="S152" s="244">
        <v>45557.54662037037</v>
      </c>
      <c r="T152" s="244">
        <v>45557.54659722222</v>
      </c>
      <c r="U152" s="242"/>
      <c r="V152" s="244">
        <v>45556.576631944445</v>
      </c>
      <c r="W152" s="245" t="s">
        <v>1332</v>
      </c>
    </row>
    <row r="153" ht="15.75" customHeight="1">
      <c r="A153" s="246" t="s">
        <v>1295</v>
      </c>
      <c r="B153" s="247" t="s">
        <v>1340</v>
      </c>
      <c r="C153" s="247" t="s">
        <v>1166</v>
      </c>
      <c r="D153" s="247" t="s">
        <v>1330</v>
      </c>
      <c r="E153" s="247" t="s">
        <v>1341</v>
      </c>
      <c r="F153" s="247">
        <v>499.0</v>
      </c>
      <c r="G153" s="247" t="s">
        <v>1331</v>
      </c>
      <c r="H153" s="248">
        <v>1.0</v>
      </c>
      <c r="I153" s="248">
        <v>1.0</v>
      </c>
      <c r="J153" s="248">
        <v>12.0</v>
      </c>
      <c r="K153" s="248">
        <v>6.0</v>
      </c>
      <c r="L153" s="248">
        <v>1.0</v>
      </c>
      <c r="M153" s="247"/>
      <c r="N153" s="247"/>
      <c r="O153" s="247" t="s">
        <v>1561</v>
      </c>
      <c r="P153" s="247">
        <f>919553331000</f>
        <v>919553331000</v>
      </c>
      <c r="Q153" s="249">
        <v>45557.38553240741</v>
      </c>
      <c r="R153" s="249">
        <v>45891.0</v>
      </c>
      <c r="S153" s="249">
        <v>45558.599178240744</v>
      </c>
      <c r="T153" s="249">
        <v>45558.59916666667</v>
      </c>
      <c r="U153" s="247"/>
      <c r="V153" s="249">
        <v>45556.84568287037</v>
      </c>
      <c r="W153" s="250" t="s">
        <v>1332</v>
      </c>
    </row>
    <row r="154" ht="15.75" customHeight="1">
      <c r="A154" s="241" t="s">
        <v>1562</v>
      </c>
      <c r="B154" s="242" t="s">
        <v>1328</v>
      </c>
      <c r="C154" s="242" t="s">
        <v>1166</v>
      </c>
      <c r="D154" s="242" t="s">
        <v>1330</v>
      </c>
      <c r="E154" s="242" t="s">
        <v>1341</v>
      </c>
      <c r="F154" s="242">
        <v>499.0</v>
      </c>
      <c r="G154" s="242" t="s">
        <v>1331</v>
      </c>
      <c r="H154" s="243">
        <v>1.0</v>
      </c>
      <c r="I154" s="243">
        <v>1.0</v>
      </c>
      <c r="J154" s="243">
        <v>12.0</v>
      </c>
      <c r="K154" s="243">
        <v>0.0</v>
      </c>
      <c r="L154" s="243">
        <v>1.0</v>
      </c>
      <c r="M154" s="242"/>
      <c r="N154" s="242"/>
      <c r="O154" s="242"/>
      <c r="P154" s="242"/>
      <c r="Q154" s="242"/>
      <c r="R154" s="242"/>
      <c r="S154" s="242"/>
      <c r="T154" s="242"/>
      <c r="U154" s="242"/>
      <c r="V154" s="244">
        <v>45556.86127314815</v>
      </c>
      <c r="W154" s="245" t="s">
        <v>1332</v>
      </c>
    </row>
    <row r="155" ht="15.75" customHeight="1">
      <c r="A155" s="246" t="s">
        <v>1563</v>
      </c>
      <c r="B155" s="247" t="s">
        <v>1328</v>
      </c>
      <c r="C155" s="247" t="s">
        <v>1166</v>
      </c>
      <c r="D155" s="247" t="s">
        <v>1330</v>
      </c>
      <c r="E155" s="247" t="s">
        <v>1341</v>
      </c>
      <c r="F155" s="247">
        <v>499.0</v>
      </c>
      <c r="G155" s="247" t="s">
        <v>1331</v>
      </c>
      <c r="H155" s="248">
        <v>1.0</v>
      </c>
      <c r="I155" s="248">
        <v>1.0</v>
      </c>
      <c r="J155" s="248">
        <v>12.0</v>
      </c>
      <c r="K155" s="248">
        <v>0.0</v>
      </c>
      <c r="L155" s="248">
        <v>1.0</v>
      </c>
      <c r="M155" s="247"/>
      <c r="N155" s="247"/>
      <c r="O155" s="247"/>
      <c r="P155" s="247"/>
      <c r="Q155" s="247"/>
      <c r="R155" s="247"/>
      <c r="S155" s="247"/>
      <c r="T155" s="247"/>
      <c r="U155" s="247"/>
      <c r="V155" s="249">
        <v>45556.86262731482</v>
      </c>
      <c r="W155" s="250" t="s">
        <v>1332</v>
      </c>
    </row>
    <row r="156" ht="15.75" customHeight="1">
      <c r="A156" s="241" t="s">
        <v>1564</v>
      </c>
      <c r="B156" s="242" t="s">
        <v>1328</v>
      </c>
      <c r="C156" s="242" t="s">
        <v>1166</v>
      </c>
      <c r="D156" s="242" t="s">
        <v>1330</v>
      </c>
      <c r="E156" s="242" t="s">
        <v>1341</v>
      </c>
      <c r="F156" s="242">
        <v>499.0</v>
      </c>
      <c r="G156" s="242" t="s">
        <v>1331</v>
      </c>
      <c r="H156" s="243">
        <v>1.0</v>
      </c>
      <c r="I156" s="243">
        <v>1.0</v>
      </c>
      <c r="J156" s="243">
        <v>12.0</v>
      </c>
      <c r="K156" s="243">
        <v>0.0</v>
      </c>
      <c r="L156" s="243">
        <v>1.0</v>
      </c>
      <c r="M156" s="242"/>
      <c r="N156" s="242"/>
      <c r="O156" s="242"/>
      <c r="P156" s="242"/>
      <c r="Q156" s="242"/>
      <c r="R156" s="242"/>
      <c r="S156" s="242"/>
      <c r="T156" s="242"/>
      <c r="U156" s="242"/>
      <c r="V156" s="244">
        <v>45556.866585648146</v>
      </c>
      <c r="W156" s="245" t="s">
        <v>1332</v>
      </c>
    </row>
    <row r="157" ht="15.75" customHeight="1">
      <c r="A157" s="246" t="s">
        <v>1565</v>
      </c>
      <c r="B157" s="247" t="s">
        <v>1328</v>
      </c>
      <c r="C157" s="247" t="s">
        <v>1166</v>
      </c>
      <c r="D157" s="247" t="s">
        <v>1330</v>
      </c>
      <c r="E157" s="247" t="s">
        <v>1341</v>
      </c>
      <c r="F157" s="247">
        <v>499.0</v>
      </c>
      <c r="G157" s="247" t="s">
        <v>1331</v>
      </c>
      <c r="H157" s="248">
        <v>1.0</v>
      </c>
      <c r="I157" s="248">
        <v>1.0</v>
      </c>
      <c r="J157" s="248">
        <v>12.0</v>
      </c>
      <c r="K157" s="248">
        <v>0.0</v>
      </c>
      <c r="L157" s="248">
        <v>1.0</v>
      </c>
      <c r="M157" s="247"/>
      <c r="N157" s="247"/>
      <c r="O157" s="247"/>
      <c r="P157" s="247"/>
      <c r="Q157" s="247"/>
      <c r="R157" s="247"/>
      <c r="S157" s="247"/>
      <c r="T157" s="247"/>
      <c r="U157" s="247"/>
      <c r="V157" s="249">
        <v>45556.867789351854</v>
      </c>
      <c r="W157" s="250" t="s">
        <v>1332</v>
      </c>
    </row>
    <row r="158" ht="15.75" customHeight="1">
      <c r="A158" s="241" t="s">
        <v>1566</v>
      </c>
      <c r="B158" s="242" t="s">
        <v>1369</v>
      </c>
      <c r="C158" s="242" t="s">
        <v>1166</v>
      </c>
      <c r="D158" s="242" t="s">
        <v>1330</v>
      </c>
      <c r="E158" s="242" t="s">
        <v>1341</v>
      </c>
      <c r="F158" s="242">
        <v>499.0</v>
      </c>
      <c r="G158" s="242" t="s">
        <v>1331</v>
      </c>
      <c r="H158" s="243">
        <v>1.0</v>
      </c>
      <c r="I158" s="243">
        <v>1.0</v>
      </c>
      <c r="J158" s="243">
        <v>12.0</v>
      </c>
      <c r="K158" s="243">
        <v>1.0</v>
      </c>
      <c r="L158" s="243">
        <v>1.0</v>
      </c>
      <c r="M158" s="242"/>
      <c r="N158" s="242"/>
      <c r="O158" s="242" t="s">
        <v>1561</v>
      </c>
      <c r="P158" s="242">
        <f>919553331000</f>
        <v>919553331000</v>
      </c>
      <c r="Q158" s="244">
        <v>45556.90452546296</v>
      </c>
      <c r="R158" s="244">
        <v>45890.0</v>
      </c>
      <c r="S158" s="244">
        <v>45556.904965277776</v>
      </c>
      <c r="T158" s="244">
        <v>45556.90494212963</v>
      </c>
      <c r="U158" s="251">
        <v>45587.617002314815</v>
      </c>
      <c r="V158" s="244">
        <v>45556.90341435185</v>
      </c>
      <c r="W158" s="245" t="s">
        <v>1332</v>
      </c>
    </row>
    <row r="159" ht="15.75" customHeight="1">
      <c r="A159" s="246" t="s">
        <v>1567</v>
      </c>
      <c r="B159" s="247" t="s">
        <v>1328</v>
      </c>
      <c r="C159" s="247" t="s">
        <v>1166</v>
      </c>
      <c r="D159" s="247" t="s">
        <v>1330</v>
      </c>
      <c r="E159" s="247" t="s">
        <v>1341</v>
      </c>
      <c r="F159" s="247">
        <v>499.0</v>
      </c>
      <c r="G159" s="247" t="s">
        <v>1331</v>
      </c>
      <c r="H159" s="248">
        <v>1.0</v>
      </c>
      <c r="I159" s="248">
        <v>1.0</v>
      </c>
      <c r="J159" s="248">
        <v>12.0</v>
      </c>
      <c r="K159" s="248">
        <v>0.0</v>
      </c>
      <c r="L159" s="248">
        <v>1.0</v>
      </c>
      <c r="M159" s="247"/>
      <c r="N159" s="247"/>
      <c r="O159" s="247"/>
      <c r="P159" s="247"/>
      <c r="Q159" s="247"/>
      <c r="R159" s="247"/>
      <c r="S159" s="247"/>
      <c r="T159" s="247"/>
      <c r="U159" s="247"/>
      <c r="V159" s="249">
        <v>45556.98395833333</v>
      </c>
      <c r="W159" s="250" t="s">
        <v>1332</v>
      </c>
    </row>
    <row r="160" ht="15.75" customHeight="1">
      <c r="A160" s="241" t="s">
        <v>1568</v>
      </c>
      <c r="B160" s="242" t="s">
        <v>1369</v>
      </c>
      <c r="C160" s="242" t="s">
        <v>1569</v>
      </c>
      <c r="D160" s="242" t="s">
        <v>1570</v>
      </c>
      <c r="E160" s="242" t="s">
        <v>1571</v>
      </c>
      <c r="F160" s="242">
        <v>15000.0</v>
      </c>
      <c r="G160" s="242" t="s">
        <v>1331</v>
      </c>
      <c r="H160" s="243">
        <v>1.0</v>
      </c>
      <c r="I160" s="243">
        <v>1.0</v>
      </c>
      <c r="J160" s="243">
        <v>12.0</v>
      </c>
      <c r="K160" s="243">
        <v>2.0</v>
      </c>
      <c r="L160" s="243">
        <v>1.0</v>
      </c>
      <c r="M160" s="242"/>
      <c r="N160" s="242"/>
      <c r="O160" s="242" t="s">
        <v>1572</v>
      </c>
      <c r="P160" s="242">
        <f>919811611205</f>
        <v>919811611205</v>
      </c>
      <c r="Q160" s="251">
        <v>45586.70452546296</v>
      </c>
      <c r="R160" s="244">
        <v>45921.0</v>
      </c>
      <c r="S160" s="251">
        <v>45587.599699074075</v>
      </c>
      <c r="T160" s="251">
        <v>45587.5996875</v>
      </c>
      <c r="U160" s="251">
        <v>45645.8328587963</v>
      </c>
      <c r="V160" s="251">
        <v>45586.60135416667</v>
      </c>
      <c r="W160" s="245" t="s">
        <v>1332</v>
      </c>
    </row>
    <row r="161" ht="15.75" customHeight="1">
      <c r="A161" s="246" t="s">
        <v>1573</v>
      </c>
      <c r="B161" s="247" t="s">
        <v>1328</v>
      </c>
      <c r="C161" s="247" t="s">
        <v>1166</v>
      </c>
      <c r="D161" s="247" t="s">
        <v>1330</v>
      </c>
      <c r="E161" s="247" t="s">
        <v>1341</v>
      </c>
      <c r="F161" s="247">
        <v>499.0</v>
      </c>
      <c r="G161" s="247" t="s">
        <v>1331</v>
      </c>
      <c r="H161" s="248">
        <v>1.0</v>
      </c>
      <c r="I161" s="248">
        <v>1.0</v>
      </c>
      <c r="J161" s="248">
        <v>12.0</v>
      </c>
      <c r="K161" s="248">
        <v>0.0</v>
      </c>
      <c r="L161" s="248">
        <v>1.0</v>
      </c>
      <c r="M161" s="247"/>
      <c r="N161" s="247"/>
      <c r="O161" s="247"/>
      <c r="P161" s="247"/>
      <c r="Q161" s="247"/>
      <c r="R161" s="247"/>
      <c r="S161" s="247"/>
      <c r="T161" s="247"/>
      <c r="U161" s="247"/>
      <c r="V161" s="252">
        <v>45617.526666666665</v>
      </c>
      <c r="W161" s="250" t="s">
        <v>1332</v>
      </c>
    </row>
    <row r="162" ht="15.75" customHeight="1">
      <c r="A162" s="241" t="s">
        <v>1574</v>
      </c>
      <c r="B162" s="242" t="s">
        <v>1369</v>
      </c>
      <c r="C162" s="242" t="s">
        <v>1166</v>
      </c>
      <c r="D162" s="242" t="s">
        <v>1330</v>
      </c>
      <c r="E162" s="242" t="s">
        <v>1341</v>
      </c>
      <c r="F162" s="242">
        <v>499.0</v>
      </c>
      <c r="G162" s="242" t="s">
        <v>1331</v>
      </c>
      <c r="H162" s="243">
        <v>1.0</v>
      </c>
      <c r="I162" s="243">
        <v>1.0</v>
      </c>
      <c r="J162" s="243">
        <v>12.0</v>
      </c>
      <c r="K162" s="243">
        <v>1.0</v>
      </c>
      <c r="L162" s="243">
        <v>1.0</v>
      </c>
      <c r="M162" s="242"/>
      <c r="N162" s="242"/>
      <c r="O162" s="242" t="s">
        <v>1575</v>
      </c>
      <c r="P162" s="242">
        <f>918971668081</f>
        <v>918971668081</v>
      </c>
      <c r="Q162" s="251">
        <v>45617.63820601852</v>
      </c>
      <c r="R162" s="251">
        <v>45951.0</v>
      </c>
      <c r="S162" s="251">
        <v>45617.63849537037</v>
      </c>
      <c r="T162" s="251">
        <v>45617.63847222222</v>
      </c>
      <c r="U162" s="251">
        <v>45617.63868055555</v>
      </c>
      <c r="V162" s="251">
        <v>45617.63796296297</v>
      </c>
      <c r="W162" s="245" t="s">
        <v>1332</v>
      </c>
    </row>
    <row r="163" ht="15.75" customHeight="1">
      <c r="A163" s="246" t="s">
        <v>1576</v>
      </c>
      <c r="B163" s="247" t="s">
        <v>1369</v>
      </c>
      <c r="C163" s="247" t="s">
        <v>1166</v>
      </c>
      <c r="D163" s="247" t="s">
        <v>1330</v>
      </c>
      <c r="E163" s="247" t="s">
        <v>1341</v>
      </c>
      <c r="F163" s="247">
        <v>499.0</v>
      </c>
      <c r="G163" s="247" t="s">
        <v>1331</v>
      </c>
      <c r="H163" s="248">
        <v>1.0</v>
      </c>
      <c r="I163" s="248">
        <v>1.0</v>
      </c>
      <c r="J163" s="248">
        <v>12.0</v>
      </c>
      <c r="K163" s="248">
        <v>1.0</v>
      </c>
      <c r="L163" s="248">
        <v>1.0</v>
      </c>
      <c r="M163" s="247"/>
      <c r="N163" s="247"/>
      <c r="O163" s="247" t="s">
        <v>1577</v>
      </c>
      <c r="P163" s="247">
        <f>919660603888</f>
        <v>919660603888</v>
      </c>
      <c r="Q163" s="252">
        <v>45617.65236111111</v>
      </c>
      <c r="R163" s="252">
        <v>45951.0</v>
      </c>
      <c r="S163" s="252">
        <v>45617.65263888889</v>
      </c>
      <c r="T163" s="252">
        <v>45617.65262731481</v>
      </c>
      <c r="U163" s="252">
        <v>45617.653020833335</v>
      </c>
      <c r="V163" s="252">
        <v>45617.651412037034</v>
      </c>
      <c r="W163" s="250" t="s">
        <v>1332</v>
      </c>
    </row>
    <row r="164" ht="15.75" customHeight="1">
      <c r="A164" s="241" t="s">
        <v>1578</v>
      </c>
      <c r="B164" s="242" t="s">
        <v>1328</v>
      </c>
      <c r="C164" s="242" t="s">
        <v>1166</v>
      </c>
      <c r="D164" s="242" t="s">
        <v>1330</v>
      </c>
      <c r="E164" s="242" t="s">
        <v>1341</v>
      </c>
      <c r="F164" s="242">
        <v>499.0</v>
      </c>
      <c r="G164" s="242" t="s">
        <v>1331</v>
      </c>
      <c r="H164" s="243">
        <v>1.0</v>
      </c>
      <c r="I164" s="243">
        <v>1.0</v>
      </c>
      <c r="J164" s="243">
        <v>12.0</v>
      </c>
      <c r="K164" s="243">
        <v>0.0</v>
      </c>
      <c r="L164" s="243">
        <v>1.0</v>
      </c>
      <c r="M164" s="242"/>
      <c r="N164" s="242"/>
      <c r="O164" s="242"/>
      <c r="P164" s="242"/>
      <c r="Q164" s="242"/>
      <c r="R164" s="242"/>
      <c r="S164" s="242"/>
      <c r="T164" s="242"/>
      <c r="U164" s="242"/>
      <c r="V164" s="244">
        <v>45557.91606481482</v>
      </c>
      <c r="W164" s="245" t="s">
        <v>1332</v>
      </c>
    </row>
    <row r="165" ht="15.75" customHeight="1">
      <c r="A165" s="246" t="s">
        <v>1579</v>
      </c>
      <c r="B165" s="247" t="s">
        <v>1350</v>
      </c>
      <c r="C165" s="247" t="s">
        <v>1166</v>
      </c>
      <c r="D165" s="247" t="s">
        <v>1330</v>
      </c>
      <c r="E165" s="247" t="s">
        <v>1341</v>
      </c>
      <c r="F165" s="247">
        <v>499.0</v>
      </c>
      <c r="G165" s="247" t="s">
        <v>1331</v>
      </c>
      <c r="H165" s="248">
        <v>1.0</v>
      </c>
      <c r="I165" s="248">
        <v>1.0</v>
      </c>
      <c r="J165" s="248">
        <v>12.0</v>
      </c>
      <c r="K165" s="248">
        <v>1.0</v>
      </c>
      <c r="L165" s="248">
        <v>1.0</v>
      </c>
      <c r="M165" s="247"/>
      <c r="N165" s="247"/>
      <c r="O165" s="247" t="s">
        <v>1580</v>
      </c>
      <c r="P165" s="247">
        <f>918240014358</f>
        <v>918240014358</v>
      </c>
      <c r="Q165" s="252">
        <v>45587.468981481485</v>
      </c>
      <c r="R165" s="249">
        <v>45922.0</v>
      </c>
      <c r="S165" s="252">
        <v>45587.46943287037</v>
      </c>
      <c r="T165" s="252">
        <v>45587.46942129629</v>
      </c>
      <c r="U165" s="247"/>
      <c r="V165" s="252">
        <v>45587.46888888889</v>
      </c>
      <c r="W165" s="250" t="s">
        <v>1332</v>
      </c>
    </row>
    <row r="166" ht="15.75" customHeight="1">
      <c r="A166" s="241" t="s">
        <v>1581</v>
      </c>
      <c r="B166" s="242" t="s">
        <v>1328</v>
      </c>
      <c r="C166" s="242" t="s">
        <v>1166</v>
      </c>
      <c r="D166" s="242" t="s">
        <v>1330</v>
      </c>
      <c r="E166" s="242" t="s">
        <v>1341</v>
      </c>
      <c r="F166" s="242">
        <v>499.0</v>
      </c>
      <c r="G166" s="242" t="s">
        <v>1331</v>
      </c>
      <c r="H166" s="243">
        <v>1.0</v>
      </c>
      <c r="I166" s="243">
        <v>1.0</v>
      </c>
      <c r="J166" s="243">
        <v>12.0</v>
      </c>
      <c r="K166" s="243">
        <v>0.0</v>
      </c>
      <c r="L166" s="243">
        <v>1.0</v>
      </c>
      <c r="M166" s="242"/>
      <c r="N166" s="242"/>
      <c r="O166" s="242"/>
      <c r="P166" s="242"/>
      <c r="Q166" s="242"/>
      <c r="R166" s="242"/>
      <c r="S166" s="242"/>
      <c r="T166" s="242"/>
      <c r="U166" s="242"/>
      <c r="V166" s="251">
        <v>45587.70431712963</v>
      </c>
      <c r="W166" s="245" t="s">
        <v>1332</v>
      </c>
    </row>
    <row r="167" ht="15.75" customHeight="1">
      <c r="A167" s="246" t="s">
        <v>1582</v>
      </c>
      <c r="B167" s="247" t="s">
        <v>1328</v>
      </c>
      <c r="C167" s="247" t="s">
        <v>1166</v>
      </c>
      <c r="D167" s="247" t="s">
        <v>1330</v>
      </c>
      <c r="E167" s="247" t="s">
        <v>1341</v>
      </c>
      <c r="F167" s="247">
        <v>499.0</v>
      </c>
      <c r="G167" s="247" t="s">
        <v>1331</v>
      </c>
      <c r="H167" s="248">
        <v>1.0</v>
      </c>
      <c r="I167" s="248">
        <v>1.0</v>
      </c>
      <c r="J167" s="248">
        <v>12.0</v>
      </c>
      <c r="K167" s="248">
        <v>0.0</v>
      </c>
      <c r="L167" s="248">
        <v>1.0</v>
      </c>
      <c r="M167" s="247"/>
      <c r="N167" s="247"/>
      <c r="O167" s="247"/>
      <c r="P167" s="247"/>
      <c r="Q167" s="247"/>
      <c r="R167" s="247"/>
      <c r="S167" s="247"/>
      <c r="T167" s="247"/>
      <c r="U167" s="247"/>
      <c r="V167" s="252">
        <v>45587.74513888889</v>
      </c>
      <c r="W167" s="250" t="s">
        <v>1332</v>
      </c>
    </row>
    <row r="168" ht="15.75" customHeight="1">
      <c r="A168" s="241" t="s">
        <v>1583</v>
      </c>
      <c r="B168" s="242" t="s">
        <v>1328</v>
      </c>
      <c r="C168" s="242" t="s">
        <v>1166</v>
      </c>
      <c r="D168" s="242" t="s">
        <v>1330</v>
      </c>
      <c r="E168" s="242" t="s">
        <v>1341</v>
      </c>
      <c r="F168" s="242">
        <v>499.0</v>
      </c>
      <c r="G168" s="242" t="s">
        <v>1331</v>
      </c>
      <c r="H168" s="243">
        <v>1.0</v>
      </c>
      <c r="I168" s="243">
        <v>1.0</v>
      </c>
      <c r="J168" s="243">
        <v>12.0</v>
      </c>
      <c r="K168" s="243">
        <v>0.0</v>
      </c>
      <c r="L168" s="243">
        <v>1.0</v>
      </c>
      <c r="M168" s="242"/>
      <c r="N168" s="242"/>
      <c r="O168" s="242"/>
      <c r="P168" s="242"/>
      <c r="Q168" s="242"/>
      <c r="R168" s="242"/>
      <c r="S168" s="242"/>
      <c r="T168" s="242"/>
      <c r="U168" s="242"/>
      <c r="V168" s="251">
        <v>45587.949166666665</v>
      </c>
      <c r="W168" s="245" t="s">
        <v>1332</v>
      </c>
    </row>
    <row r="169" ht="15.75" customHeight="1">
      <c r="A169" s="246" t="s">
        <v>1584</v>
      </c>
      <c r="B169" s="247" t="s">
        <v>1328</v>
      </c>
      <c r="C169" s="247" t="s">
        <v>1166</v>
      </c>
      <c r="D169" s="247" t="s">
        <v>1330</v>
      </c>
      <c r="E169" s="247" t="s">
        <v>1341</v>
      </c>
      <c r="F169" s="247">
        <v>499.0</v>
      </c>
      <c r="G169" s="247" t="s">
        <v>1331</v>
      </c>
      <c r="H169" s="248">
        <v>1.0</v>
      </c>
      <c r="I169" s="248">
        <v>1.0</v>
      </c>
      <c r="J169" s="248">
        <v>12.0</v>
      </c>
      <c r="K169" s="248">
        <v>0.0</v>
      </c>
      <c r="L169" s="248">
        <v>1.0</v>
      </c>
      <c r="M169" s="247"/>
      <c r="N169" s="247"/>
      <c r="O169" s="247"/>
      <c r="P169" s="247"/>
      <c r="Q169" s="247"/>
      <c r="R169" s="247"/>
      <c r="S169" s="247"/>
      <c r="T169" s="247"/>
      <c r="U169" s="247"/>
      <c r="V169" s="252">
        <v>45587.94961805556</v>
      </c>
      <c r="W169" s="250" t="s">
        <v>1332</v>
      </c>
    </row>
    <row r="170" ht="15.75" customHeight="1">
      <c r="A170" s="241" t="s">
        <v>1585</v>
      </c>
      <c r="B170" s="242" t="s">
        <v>1328</v>
      </c>
      <c r="C170" s="242" t="s">
        <v>1166</v>
      </c>
      <c r="D170" s="242" t="s">
        <v>1330</v>
      </c>
      <c r="E170" s="242" t="s">
        <v>1341</v>
      </c>
      <c r="F170" s="242">
        <v>499.0</v>
      </c>
      <c r="G170" s="242" t="s">
        <v>1331</v>
      </c>
      <c r="H170" s="243">
        <v>1.0</v>
      </c>
      <c r="I170" s="243">
        <v>1.0</v>
      </c>
      <c r="J170" s="243">
        <v>12.0</v>
      </c>
      <c r="K170" s="243">
        <v>0.0</v>
      </c>
      <c r="L170" s="243">
        <v>1.0</v>
      </c>
      <c r="M170" s="242"/>
      <c r="N170" s="242"/>
      <c r="O170" s="242"/>
      <c r="P170" s="242"/>
      <c r="Q170" s="242"/>
      <c r="R170" s="242"/>
      <c r="S170" s="242"/>
      <c r="T170" s="242"/>
      <c r="U170" s="242"/>
      <c r="V170" s="251">
        <v>45618.462592592594</v>
      </c>
      <c r="W170" s="245" t="s">
        <v>1332</v>
      </c>
    </row>
    <row r="171" ht="15.75" customHeight="1">
      <c r="A171" s="246" t="s">
        <v>1586</v>
      </c>
      <c r="B171" s="247" t="s">
        <v>1328</v>
      </c>
      <c r="C171" s="247" t="s">
        <v>1166</v>
      </c>
      <c r="D171" s="247" t="s">
        <v>1330</v>
      </c>
      <c r="E171" s="247" t="s">
        <v>1341</v>
      </c>
      <c r="F171" s="247">
        <v>499.0</v>
      </c>
      <c r="G171" s="247" t="s">
        <v>1331</v>
      </c>
      <c r="H171" s="248">
        <v>1.0</v>
      </c>
      <c r="I171" s="248">
        <v>1.0</v>
      </c>
      <c r="J171" s="248">
        <v>12.0</v>
      </c>
      <c r="K171" s="248">
        <v>0.0</v>
      </c>
      <c r="L171" s="248">
        <v>1.0</v>
      </c>
      <c r="M171" s="247"/>
      <c r="N171" s="247"/>
      <c r="O171" s="247"/>
      <c r="P171" s="247"/>
      <c r="Q171" s="247"/>
      <c r="R171" s="247"/>
      <c r="S171" s="247"/>
      <c r="T171" s="247"/>
      <c r="U171" s="247"/>
      <c r="V171" s="252">
        <v>45618.46396990741</v>
      </c>
      <c r="W171" s="250" t="s">
        <v>1332</v>
      </c>
    </row>
    <row r="172" ht="15.75" customHeight="1">
      <c r="A172" s="241" t="s">
        <v>1587</v>
      </c>
      <c r="B172" s="242" t="s">
        <v>1328</v>
      </c>
      <c r="C172" s="242" t="s">
        <v>1166</v>
      </c>
      <c r="D172" s="242" t="s">
        <v>1330</v>
      </c>
      <c r="E172" s="242" t="s">
        <v>1341</v>
      </c>
      <c r="F172" s="242">
        <v>499.0</v>
      </c>
      <c r="G172" s="242" t="s">
        <v>1331</v>
      </c>
      <c r="H172" s="243">
        <v>1.0</v>
      </c>
      <c r="I172" s="243">
        <v>1.0</v>
      </c>
      <c r="J172" s="243">
        <v>12.0</v>
      </c>
      <c r="K172" s="243">
        <v>0.0</v>
      </c>
      <c r="L172" s="243">
        <v>1.0</v>
      </c>
      <c r="M172" s="242"/>
      <c r="N172" s="242"/>
      <c r="O172" s="242"/>
      <c r="P172" s="242"/>
      <c r="Q172" s="242"/>
      <c r="R172" s="242"/>
      <c r="S172" s="242"/>
      <c r="T172" s="242"/>
      <c r="U172" s="242"/>
      <c r="V172" s="251">
        <v>45618.46440972222</v>
      </c>
      <c r="W172" s="245" t="s">
        <v>1332</v>
      </c>
    </row>
    <row r="173" ht="15.75" customHeight="1">
      <c r="A173" s="246" t="s">
        <v>1588</v>
      </c>
      <c r="B173" s="247" t="s">
        <v>1328</v>
      </c>
      <c r="C173" s="247" t="s">
        <v>1166</v>
      </c>
      <c r="D173" s="247" t="s">
        <v>1330</v>
      </c>
      <c r="E173" s="247" t="s">
        <v>1341</v>
      </c>
      <c r="F173" s="247">
        <v>499.0</v>
      </c>
      <c r="G173" s="247" t="s">
        <v>1331</v>
      </c>
      <c r="H173" s="248">
        <v>1.0</v>
      </c>
      <c r="I173" s="248">
        <v>1.0</v>
      </c>
      <c r="J173" s="248">
        <v>12.0</v>
      </c>
      <c r="K173" s="248">
        <v>0.0</v>
      </c>
      <c r="L173" s="248">
        <v>1.0</v>
      </c>
      <c r="M173" s="247"/>
      <c r="N173" s="247"/>
      <c r="O173" s="247"/>
      <c r="P173" s="247"/>
      <c r="Q173" s="247"/>
      <c r="R173" s="247"/>
      <c r="S173" s="247"/>
      <c r="T173" s="247"/>
      <c r="U173" s="247"/>
      <c r="V173" s="252">
        <v>45618.47487268518</v>
      </c>
      <c r="W173" s="250" t="s">
        <v>1332</v>
      </c>
    </row>
    <row r="174" ht="15.75" customHeight="1">
      <c r="A174" s="241" t="s">
        <v>1589</v>
      </c>
      <c r="B174" s="242" t="s">
        <v>1328</v>
      </c>
      <c r="C174" s="242" t="s">
        <v>1166</v>
      </c>
      <c r="D174" s="242" t="s">
        <v>1330</v>
      </c>
      <c r="E174" s="242" t="s">
        <v>1341</v>
      </c>
      <c r="F174" s="242">
        <v>499.0</v>
      </c>
      <c r="G174" s="242" t="s">
        <v>1331</v>
      </c>
      <c r="H174" s="243">
        <v>1.0</v>
      </c>
      <c r="I174" s="243">
        <v>1.0</v>
      </c>
      <c r="J174" s="243">
        <v>12.0</v>
      </c>
      <c r="K174" s="243">
        <v>0.0</v>
      </c>
      <c r="L174" s="243">
        <v>1.0</v>
      </c>
      <c r="M174" s="242"/>
      <c r="N174" s="242"/>
      <c r="O174" s="242"/>
      <c r="P174" s="242"/>
      <c r="Q174" s="242"/>
      <c r="R174" s="242"/>
      <c r="S174" s="242"/>
      <c r="T174" s="242"/>
      <c r="U174" s="242"/>
      <c r="V174" s="251">
        <v>45618.47665509259</v>
      </c>
      <c r="W174" s="245" t="s">
        <v>1332</v>
      </c>
    </row>
    <row r="175" ht="15.75" customHeight="1">
      <c r="A175" s="246" t="s">
        <v>1590</v>
      </c>
      <c r="B175" s="247" t="s">
        <v>1328</v>
      </c>
      <c r="C175" s="247" t="s">
        <v>1166</v>
      </c>
      <c r="D175" s="247" t="s">
        <v>1330</v>
      </c>
      <c r="E175" s="247" t="s">
        <v>1341</v>
      </c>
      <c r="F175" s="247">
        <v>499.0</v>
      </c>
      <c r="G175" s="247" t="s">
        <v>1331</v>
      </c>
      <c r="H175" s="248">
        <v>1.0</v>
      </c>
      <c r="I175" s="248">
        <v>1.0</v>
      </c>
      <c r="J175" s="248">
        <v>12.0</v>
      </c>
      <c r="K175" s="248">
        <v>0.0</v>
      </c>
      <c r="L175" s="248">
        <v>1.0</v>
      </c>
      <c r="M175" s="247"/>
      <c r="N175" s="247"/>
      <c r="O175" s="247"/>
      <c r="P175" s="247"/>
      <c r="Q175" s="247"/>
      <c r="R175" s="247"/>
      <c r="S175" s="247"/>
      <c r="T175" s="247"/>
      <c r="U175" s="247"/>
      <c r="V175" s="249">
        <v>45558.04258101852</v>
      </c>
      <c r="W175" s="250" t="s">
        <v>1332</v>
      </c>
    </row>
    <row r="176" ht="15.75" customHeight="1">
      <c r="A176" s="241" t="s">
        <v>1591</v>
      </c>
      <c r="B176" s="242" t="s">
        <v>1328</v>
      </c>
      <c r="C176" s="242" t="s">
        <v>1166</v>
      </c>
      <c r="D176" s="242" t="s">
        <v>1330</v>
      </c>
      <c r="E176" s="242" t="s">
        <v>1341</v>
      </c>
      <c r="F176" s="242">
        <v>499.0</v>
      </c>
      <c r="G176" s="242" t="s">
        <v>1331</v>
      </c>
      <c r="H176" s="243">
        <v>1.0</v>
      </c>
      <c r="I176" s="243">
        <v>1.0</v>
      </c>
      <c r="J176" s="243">
        <v>12.0</v>
      </c>
      <c r="K176" s="243">
        <v>0.0</v>
      </c>
      <c r="L176" s="243">
        <v>1.0</v>
      </c>
      <c r="M176" s="242"/>
      <c r="N176" s="242"/>
      <c r="O176" s="242"/>
      <c r="P176" s="242"/>
      <c r="Q176" s="242"/>
      <c r="R176" s="242"/>
      <c r="S176" s="242"/>
      <c r="T176" s="242"/>
      <c r="U176" s="242"/>
      <c r="V176" s="244">
        <v>45558.04320601852</v>
      </c>
      <c r="W176" s="245" t="s">
        <v>1332</v>
      </c>
    </row>
    <row r="177" ht="15.75" customHeight="1">
      <c r="A177" s="246" t="s">
        <v>1592</v>
      </c>
      <c r="B177" s="247" t="s">
        <v>1328</v>
      </c>
      <c r="C177" s="247" t="s">
        <v>1166</v>
      </c>
      <c r="D177" s="247" t="s">
        <v>1330</v>
      </c>
      <c r="E177" s="247" t="s">
        <v>1341</v>
      </c>
      <c r="F177" s="247">
        <v>499.0</v>
      </c>
      <c r="G177" s="247" t="s">
        <v>1331</v>
      </c>
      <c r="H177" s="248">
        <v>1.0</v>
      </c>
      <c r="I177" s="248">
        <v>1.0</v>
      </c>
      <c r="J177" s="248">
        <v>12.0</v>
      </c>
      <c r="K177" s="248">
        <v>0.0</v>
      </c>
      <c r="L177" s="248">
        <v>1.0</v>
      </c>
      <c r="M177" s="247"/>
      <c r="N177" s="247"/>
      <c r="O177" s="247"/>
      <c r="P177" s="247"/>
      <c r="Q177" s="247"/>
      <c r="R177" s="247"/>
      <c r="S177" s="247"/>
      <c r="T177" s="247"/>
      <c r="U177" s="247"/>
      <c r="V177" s="249">
        <v>45558.04491898148</v>
      </c>
      <c r="W177" s="250" t="s">
        <v>1332</v>
      </c>
    </row>
    <row r="178" ht="15.75" customHeight="1">
      <c r="A178" s="241" t="s">
        <v>1593</v>
      </c>
      <c r="B178" s="242" t="s">
        <v>1369</v>
      </c>
      <c r="C178" s="242" t="s">
        <v>1166</v>
      </c>
      <c r="D178" s="242" t="s">
        <v>1330</v>
      </c>
      <c r="E178" s="242" t="s">
        <v>1341</v>
      </c>
      <c r="F178" s="242">
        <v>499.0</v>
      </c>
      <c r="G178" s="242" t="s">
        <v>1331</v>
      </c>
      <c r="H178" s="243">
        <v>1.0</v>
      </c>
      <c r="I178" s="243">
        <v>1.0</v>
      </c>
      <c r="J178" s="243">
        <v>12.0</v>
      </c>
      <c r="K178" s="243">
        <v>3.0</v>
      </c>
      <c r="L178" s="243">
        <v>1.0</v>
      </c>
      <c r="M178" s="242"/>
      <c r="N178" s="242"/>
      <c r="O178" s="242" t="s">
        <v>1594</v>
      </c>
      <c r="P178" s="242">
        <f>919702665519</f>
        <v>919702665519</v>
      </c>
      <c r="Q178" s="244">
        <v>45558.05646990741</v>
      </c>
      <c r="R178" s="244">
        <v>45892.0</v>
      </c>
      <c r="S178" s="244">
        <v>45558.05679398148</v>
      </c>
      <c r="T178" s="244">
        <v>45558.05678240741</v>
      </c>
      <c r="U178" s="244">
        <v>45688.514027777775</v>
      </c>
      <c r="V178" s="244">
        <v>45558.05179398148</v>
      </c>
      <c r="W178" s="245" t="s">
        <v>1332</v>
      </c>
    </row>
    <row r="179" ht="15.75" customHeight="1">
      <c r="A179" s="246" t="s">
        <v>1595</v>
      </c>
      <c r="B179" s="247" t="s">
        <v>1369</v>
      </c>
      <c r="C179" s="247" t="s">
        <v>1166</v>
      </c>
      <c r="D179" s="247" t="s">
        <v>1330</v>
      </c>
      <c r="E179" s="247" t="s">
        <v>1341</v>
      </c>
      <c r="F179" s="247">
        <v>499.0</v>
      </c>
      <c r="G179" s="247" t="s">
        <v>1331</v>
      </c>
      <c r="H179" s="248">
        <v>1.0</v>
      </c>
      <c r="I179" s="248">
        <v>1.0</v>
      </c>
      <c r="J179" s="248">
        <v>12.0</v>
      </c>
      <c r="K179" s="248">
        <v>3.0</v>
      </c>
      <c r="L179" s="248">
        <v>1.0</v>
      </c>
      <c r="M179" s="247"/>
      <c r="N179" s="247"/>
      <c r="O179" s="247" t="s">
        <v>1596</v>
      </c>
      <c r="P179" s="247">
        <f>919930536640</f>
        <v>919930536640</v>
      </c>
      <c r="Q179" s="249">
        <v>45558.442766203705</v>
      </c>
      <c r="R179" s="249">
        <v>45892.0</v>
      </c>
      <c r="S179" s="249">
        <v>45558.442974537036</v>
      </c>
      <c r="T179" s="249">
        <v>45558.44296296296</v>
      </c>
      <c r="U179" s="249">
        <v>45690.733194444445</v>
      </c>
      <c r="V179" s="249">
        <v>45558.44256944444</v>
      </c>
      <c r="W179" s="250" t="s">
        <v>1332</v>
      </c>
    </row>
    <row r="180" ht="15.75" customHeight="1">
      <c r="A180" s="241" t="s">
        <v>1597</v>
      </c>
      <c r="B180" s="242" t="s">
        <v>1328</v>
      </c>
      <c r="C180" s="242" t="s">
        <v>1166</v>
      </c>
      <c r="D180" s="242" t="s">
        <v>1330</v>
      </c>
      <c r="E180" s="242" t="s">
        <v>1341</v>
      </c>
      <c r="F180" s="242">
        <v>499.0</v>
      </c>
      <c r="G180" s="242" t="s">
        <v>1331</v>
      </c>
      <c r="H180" s="243">
        <v>1.0</v>
      </c>
      <c r="I180" s="243">
        <v>1.0</v>
      </c>
      <c r="J180" s="243">
        <v>12.0</v>
      </c>
      <c r="K180" s="243">
        <v>0.0</v>
      </c>
      <c r="L180" s="243">
        <v>1.0</v>
      </c>
      <c r="M180" s="242"/>
      <c r="N180" s="242"/>
      <c r="O180" s="242"/>
      <c r="P180" s="242"/>
      <c r="Q180" s="242"/>
      <c r="R180" s="242"/>
      <c r="S180" s="242"/>
      <c r="T180" s="242"/>
      <c r="U180" s="242"/>
      <c r="V180" s="244">
        <v>45558.54670138889</v>
      </c>
      <c r="W180" s="245" t="s">
        <v>1332</v>
      </c>
    </row>
    <row r="181" ht="15.75" customHeight="1">
      <c r="A181" s="246" t="s">
        <v>1598</v>
      </c>
      <c r="B181" s="247" t="s">
        <v>1369</v>
      </c>
      <c r="C181" s="247" t="s">
        <v>1166</v>
      </c>
      <c r="D181" s="247" t="s">
        <v>1330</v>
      </c>
      <c r="E181" s="247" t="s">
        <v>1341</v>
      </c>
      <c r="F181" s="247">
        <v>499.0</v>
      </c>
      <c r="G181" s="247" t="s">
        <v>1331</v>
      </c>
      <c r="H181" s="248">
        <v>1.0</v>
      </c>
      <c r="I181" s="248">
        <v>1.0</v>
      </c>
      <c r="J181" s="248">
        <v>12.0</v>
      </c>
      <c r="K181" s="248">
        <v>0.0</v>
      </c>
      <c r="L181" s="248">
        <v>1.0</v>
      </c>
      <c r="M181" s="247"/>
      <c r="N181" s="247"/>
      <c r="O181" s="247"/>
      <c r="P181" s="247"/>
      <c r="Q181" s="247"/>
      <c r="R181" s="247"/>
      <c r="S181" s="247"/>
      <c r="T181" s="247"/>
      <c r="U181" s="252">
        <v>45588.56136574074</v>
      </c>
      <c r="V181" s="252">
        <v>45588.55946759259</v>
      </c>
      <c r="W181" s="250" t="s">
        <v>1332</v>
      </c>
    </row>
    <row r="182" ht="15.75" customHeight="1">
      <c r="A182" s="241" t="s">
        <v>1599</v>
      </c>
      <c r="B182" s="242" t="s">
        <v>1369</v>
      </c>
      <c r="C182" s="242" t="s">
        <v>1166</v>
      </c>
      <c r="D182" s="242" t="s">
        <v>1330</v>
      </c>
      <c r="E182" s="242" t="s">
        <v>1341</v>
      </c>
      <c r="F182" s="242">
        <v>499.0</v>
      </c>
      <c r="G182" s="242" t="s">
        <v>1331</v>
      </c>
      <c r="H182" s="243">
        <v>1.0</v>
      </c>
      <c r="I182" s="243">
        <v>1.0</v>
      </c>
      <c r="J182" s="243">
        <v>12.0</v>
      </c>
      <c r="K182" s="243">
        <v>0.0</v>
      </c>
      <c r="L182" s="243">
        <v>1.0</v>
      </c>
      <c r="M182" s="242"/>
      <c r="N182" s="242"/>
      <c r="O182" s="242"/>
      <c r="P182" s="242"/>
      <c r="Q182" s="242"/>
      <c r="R182" s="242"/>
      <c r="S182" s="242"/>
      <c r="T182" s="242"/>
      <c r="U182" s="251">
        <v>45588.821597222224</v>
      </c>
      <c r="V182" s="251">
        <v>45588.82065972222</v>
      </c>
      <c r="W182" s="245" t="s">
        <v>1332</v>
      </c>
    </row>
    <row r="183" ht="15.75" customHeight="1">
      <c r="A183" s="246" t="s">
        <v>1292</v>
      </c>
      <c r="B183" s="247" t="s">
        <v>1340</v>
      </c>
      <c r="C183" s="247" t="s">
        <v>1166</v>
      </c>
      <c r="D183" s="247" t="s">
        <v>1330</v>
      </c>
      <c r="E183" s="247" t="s">
        <v>1341</v>
      </c>
      <c r="F183" s="247">
        <v>499.0</v>
      </c>
      <c r="G183" s="247" t="s">
        <v>1331</v>
      </c>
      <c r="H183" s="248">
        <v>1.0</v>
      </c>
      <c r="I183" s="248">
        <v>1.0</v>
      </c>
      <c r="J183" s="248">
        <v>12.0</v>
      </c>
      <c r="K183" s="248">
        <v>6.0</v>
      </c>
      <c r="L183" s="248">
        <v>1.0</v>
      </c>
      <c r="M183" s="247"/>
      <c r="N183" s="247"/>
      <c r="O183" s="247" t="s">
        <v>1600</v>
      </c>
      <c r="P183" s="247">
        <f>919818995443</f>
        <v>919818995443</v>
      </c>
      <c r="Q183" s="249">
        <v>45559.796851851854</v>
      </c>
      <c r="R183" s="249">
        <v>45893.0</v>
      </c>
      <c r="S183" s="249">
        <v>45559.79717592592</v>
      </c>
      <c r="T183" s="249">
        <v>45559.797164351854</v>
      </c>
      <c r="U183" s="247"/>
      <c r="V183" s="249">
        <v>45559.79608796296</v>
      </c>
      <c r="W183" s="250" t="s">
        <v>1332</v>
      </c>
    </row>
    <row r="184" ht="15.75" customHeight="1">
      <c r="A184" s="241" t="s">
        <v>1601</v>
      </c>
      <c r="B184" s="242" t="s">
        <v>1328</v>
      </c>
      <c r="C184" s="242" t="s">
        <v>1166</v>
      </c>
      <c r="D184" s="242" t="s">
        <v>1330</v>
      </c>
      <c r="E184" s="242" t="s">
        <v>1341</v>
      </c>
      <c r="F184" s="242">
        <v>499.0</v>
      </c>
      <c r="G184" s="242" t="s">
        <v>1331</v>
      </c>
      <c r="H184" s="243">
        <v>1.0</v>
      </c>
      <c r="I184" s="243">
        <v>1.0</v>
      </c>
      <c r="J184" s="243">
        <v>12.0</v>
      </c>
      <c r="K184" s="243">
        <v>0.0</v>
      </c>
      <c r="L184" s="243">
        <v>1.0</v>
      </c>
      <c r="M184" s="242"/>
      <c r="N184" s="242"/>
      <c r="O184" s="242"/>
      <c r="P184" s="242"/>
      <c r="Q184" s="242"/>
      <c r="R184" s="242"/>
      <c r="S184" s="242"/>
      <c r="T184" s="242"/>
      <c r="U184" s="242"/>
      <c r="V184" s="251">
        <v>45589.40967592593</v>
      </c>
      <c r="W184" s="245" t="s">
        <v>1332</v>
      </c>
    </row>
    <row r="185" ht="15.75" customHeight="1">
      <c r="A185" s="246" t="s">
        <v>1602</v>
      </c>
      <c r="B185" s="247" t="s">
        <v>1328</v>
      </c>
      <c r="C185" s="247" t="s">
        <v>1166</v>
      </c>
      <c r="D185" s="247" t="s">
        <v>1330</v>
      </c>
      <c r="E185" s="247" t="s">
        <v>1341</v>
      </c>
      <c r="F185" s="247">
        <v>499.0</v>
      </c>
      <c r="G185" s="247" t="s">
        <v>1331</v>
      </c>
      <c r="H185" s="248">
        <v>1.0</v>
      </c>
      <c r="I185" s="248">
        <v>1.0</v>
      </c>
      <c r="J185" s="248">
        <v>12.0</v>
      </c>
      <c r="K185" s="248">
        <v>0.0</v>
      </c>
      <c r="L185" s="248">
        <v>1.0</v>
      </c>
      <c r="M185" s="247"/>
      <c r="N185" s="247"/>
      <c r="O185" s="247"/>
      <c r="P185" s="247"/>
      <c r="Q185" s="247"/>
      <c r="R185" s="247"/>
      <c r="S185" s="247"/>
      <c r="T185" s="247"/>
      <c r="U185" s="247"/>
      <c r="V185" s="252">
        <v>45589.41075231481</v>
      </c>
      <c r="W185" s="250" t="s">
        <v>1332</v>
      </c>
    </row>
    <row r="186" ht="15.75" customHeight="1">
      <c r="A186" s="241" t="s">
        <v>1603</v>
      </c>
      <c r="B186" s="242" t="s">
        <v>1328</v>
      </c>
      <c r="C186" s="242" t="s">
        <v>1166</v>
      </c>
      <c r="D186" s="242" t="s">
        <v>1330</v>
      </c>
      <c r="E186" s="242" t="s">
        <v>1341</v>
      </c>
      <c r="F186" s="242">
        <v>499.0</v>
      </c>
      <c r="G186" s="242" t="s">
        <v>1331</v>
      </c>
      <c r="H186" s="243">
        <v>1.0</v>
      </c>
      <c r="I186" s="243">
        <v>1.0</v>
      </c>
      <c r="J186" s="243">
        <v>12.0</v>
      </c>
      <c r="K186" s="243">
        <v>0.0</v>
      </c>
      <c r="L186" s="243">
        <v>1.0</v>
      </c>
      <c r="M186" s="242"/>
      <c r="N186" s="242"/>
      <c r="O186" s="242"/>
      <c r="P186" s="242"/>
      <c r="Q186" s="242"/>
      <c r="R186" s="242"/>
      <c r="S186" s="242"/>
      <c r="T186" s="242"/>
      <c r="U186" s="242"/>
      <c r="V186" s="251">
        <v>45620.709027777775</v>
      </c>
      <c r="W186" s="245" t="s">
        <v>1332</v>
      </c>
    </row>
    <row r="187" ht="15.75" customHeight="1">
      <c r="A187" s="246" t="s">
        <v>1242</v>
      </c>
      <c r="B187" s="247" t="s">
        <v>1340</v>
      </c>
      <c r="C187" s="247" t="s">
        <v>1243</v>
      </c>
      <c r="D187" s="247" t="s">
        <v>1604</v>
      </c>
      <c r="E187" s="247"/>
      <c r="F187" s="247">
        <v>2499.0</v>
      </c>
      <c r="G187" s="247" t="s">
        <v>1331</v>
      </c>
      <c r="H187" s="248">
        <v>1.0</v>
      </c>
      <c r="I187" s="248">
        <v>1.0</v>
      </c>
      <c r="J187" s="248">
        <v>11.0</v>
      </c>
      <c r="K187" s="248">
        <v>1.0</v>
      </c>
      <c r="L187" s="248">
        <v>1.0</v>
      </c>
      <c r="M187" s="247"/>
      <c r="N187" s="247"/>
      <c r="O187" s="247" t="s">
        <v>1605</v>
      </c>
      <c r="P187" s="247">
        <f>919205089671</f>
        <v>919205089671</v>
      </c>
      <c r="Q187" s="252">
        <v>45624.51840277778</v>
      </c>
      <c r="R187" s="249">
        <v>45928.0</v>
      </c>
      <c r="S187" s="252">
        <v>45624.5190625</v>
      </c>
      <c r="T187" s="252">
        <v>45624.51905092593</v>
      </c>
      <c r="U187" s="247"/>
      <c r="V187" s="252">
        <v>45620.82915509259</v>
      </c>
      <c r="W187" s="250" t="s">
        <v>1332</v>
      </c>
    </row>
    <row r="188" ht="15.75" customHeight="1">
      <c r="A188" s="241" t="s">
        <v>1289</v>
      </c>
      <c r="B188" s="242" t="s">
        <v>1340</v>
      </c>
      <c r="C188" s="242" t="s">
        <v>1166</v>
      </c>
      <c r="D188" s="242" t="s">
        <v>1330</v>
      </c>
      <c r="E188" s="242" t="s">
        <v>1341</v>
      </c>
      <c r="F188" s="242">
        <v>499.0</v>
      </c>
      <c r="G188" s="242" t="s">
        <v>1331</v>
      </c>
      <c r="H188" s="243">
        <v>1.0</v>
      </c>
      <c r="I188" s="243">
        <v>1.0</v>
      </c>
      <c r="J188" s="243">
        <v>12.0</v>
      </c>
      <c r="K188" s="243">
        <v>6.0</v>
      </c>
      <c r="L188" s="243">
        <v>1.0</v>
      </c>
      <c r="M188" s="242"/>
      <c r="N188" s="242"/>
      <c r="O188" s="242" t="s">
        <v>1606</v>
      </c>
      <c r="P188" s="242">
        <f>919810919725</f>
        <v>919810919725</v>
      </c>
      <c r="Q188" s="244">
        <v>45560.615949074076</v>
      </c>
      <c r="R188" s="244">
        <v>45894.0</v>
      </c>
      <c r="S188" s="244">
        <v>45560.616481481484</v>
      </c>
      <c r="T188" s="244">
        <v>45560.61646990741</v>
      </c>
      <c r="U188" s="242"/>
      <c r="V188" s="244">
        <v>45560.615335648145</v>
      </c>
      <c r="W188" s="245" t="s">
        <v>1332</v>
      </c>
    </row>
    <row r="189" ht="15.75" customHeight="1">
      <c r="A189" s="246" t="s">
        <v>1607</v>
      </c>
      <c r="B189" s="247" t="s">
        <v>1328</v>
      </c>
      <c r="C189" s="247" t="s">
        <v>1166</v>
      </c>
      <c r="D189" s="247" t="s">
        <v>1330</v>
      </c>
      <c r="E189" s="247" t="s">
        <v>1341</v>
      </c>
      <c r="F189" s="247">
        <v>499.0</v>
      </c>
      <c r="G189" s="247" t="s">
        <v>1331</v>
      </c>
      <c r="H189" s="248">
        <v>1.0</v>
      </c>
      <c r="I189" s="248">
        <v>1.0</v>
      </c>
      <c r="J189" s="248">
        <v>12.0</v>
      </c>
      <c r="K189" s="248">
        <v>0.0</v>
      </c>
      <c r="L189" s="248">
        <v>1.0</v>
      </c>
      <c r="M189" s="247"/>
      <c r="N189" s="247"/>
      <c r="O189" s="247"/>
      <c r="P189" s="247"/>
      <c r="Q189" s="247"/>
      <c r="R189" s="247"/>
      <c r="S189" s="247"/>
      <c r="T189" s="247"/>
      <c r="U189" s="247"/>
      <c r="V189" s="252">
        <v>45590.701944444445</v>
      </c>
      <c r="W189" s="250" t="s">
        <v>1332</v>
      </c>
    </row>
    <row r="190" ht="15.75" customHeight="1">
      <c r="A190" s="241" t="s">
        <v>1608</v>
      </c>
      <c r="B190" s="242" t="s">
        <v>1369</v>
      </c>
      <c r="C190" s="242" t="s">
        <v>1166</v>
      </c>
      <c r="D190" s="242" t="s">
        <v>1330</v>
      </c>
      <c r="E190" s="242" t="s">
        <v>1341</v>
      </c>
      <c r="F190" s="242">
        <v>499.0</v>
      </c>
      <c r="G190" s="242" t="s">
        <v>1331</v>
      </c>
      <c r="H190" s="243">
        <v>1.0</v>
      </c>
      <c r="I190" s="243">
        <v>1.0</v>
      </c>
      <c r="J190" s="243">
        <v>12.0</v>
      </c>
      <c r="K190" s="243">
        <v>1.0</v>
      </c>
      <c r="L190" s="243">
        <v>1.0</v>
      </c>
      <c r="M190" s="242"/>
      <c r="N190" s="242"/>
      <c r="O190" s="242" t="s">
        <v>1609</v>
      </c>
      <c r="P190" s="242">
        <f>919680963641</f>
        <v>919680963641</v>
      </c>
      <c r="Q190" s="251">
        <v>45621.021574074075</v>
      </c>
      <c r="R190" s="251">
        <v>45955.0</v>
      </c>
      <c r="S190" s="251">
        <v>45621.02395833333</v>
      </c>
      <c r="T190" s="251">
        <v>45621.02394675926</v>
      </c>
      <c r="U190" s="244">
        <v>45628.042280092595</v>
      </c>
      <c r="V190" s="251">
        <v>45621.021458333336</v>
      </c>
      <c r="W190" s="245" t="s">
        <v>1332</v>
      </c>
    </row>
    <row r="191" ht="15.75" customHeight="1">
      <c r="A191" s="246" t="s">
        <v>1610</v>
      </c>
      <c r="B191" s="247" t="s">
        <v>1350</v>
      </c>
      <c r="C191" s="247" t="s">
        <v>1166</v>
      </c>
      <c r="D191" s="247" t="s">
        <v>1330</v>
      </c>
      <c r="E191" s="247" t="s">
        <v>1341</v>
      </c>
      <c r="F191" s="247">
        <v>499.0</v>
      </c>
      <c r="G191" s="247" t="s">
        <v>1331</v>
      </c>
      <c r="H191" s="248">
        <v>1.0</v>
      </c>
      <c r="I191" s="248">
        <v>1.0</v>
      </c>
      <c r="J191" s="248">
        <v>12.0</v>
      </c>
      <c r="K191" s="248">
        <v>1.0</v>
      </c>
      <c r="L191" s="248">
        <v>1.0</v>
      </c>
      <c r="M191" s="247"/>
      <c r="N191" s="247"/>
      <c r="O191" s="247" t="s">
        <v>1609</v>
      </c>
      <c r="P191" s="247">
        <f>918917558381</f>
        <v>918917558381</v>
      </c>
      <c r="Q191" s="252">
        <v>45621.542905092596</v>
      </c>
      <c r="R191" s="252">
        <v>45955.0</v>
      </c>
      <c r="S191" s="252">
        <v>45621.543333333335</v>
      </c>
      <c r="T191" s="252">
        <v>45621.54332175926</v>
      </c>
      <c r="U191" s="247"/>
      <c r="V191" s="252">
        <v>45621.54274305556</v>
      </c>
      <c r="W191" s="250" t="s">
        <v>1332</v>
      </c>
    </row>
    <row r="192" ht="15.75" customHeight="1">
      <c r="A192" s="241" t="s">
        <v>1611</v>
      </c>
      <c r="B192" s="242" t="s">
        <v>1328</v>
      </c>
      <c r="C192" s="242" t="s">
        <v>1166</v>
      </c>
      <c r="D192" s="242" t="s">
        <v>1330</v>
      </c>
      <c r="E192" s="242" t="s">
        <v>1341</v>
      </c>
      <c r="F192" s="242">
        <v>499.0</v>
      </c>
      <c r="G192" s="242" t="s">
        <v>1331</v>
      </c>
      <c r="H192" s="243">
        <v>1.0</v>
      </c>
      <c r="I192" s="243">
        <v>1.0</v>
      </c>
      <c r="J192" s="243">
        <v>12.0</v>
      </c>
      <c r="K192" s="243">
        <v>0.0</v>
      </c>
      <c r="L192" s="243">
        <v>1.0</v>
      </c>
      <c r="M192" s="242"/>
      <c r="N192" s="242"/>
      <c r="O192" s="242"/>
      <c r="P192" s="242"/>
      <c r="Q192" s="242"/>
      <c r="R192" s="242"/>
      <c r="S192" s="242"/>
      <c r="T192" s="242"/>
      <c r="U192" s="242"/>
      <c r="V192" s="251">
        <v>45621.57748842592</v>
      </c>
      <c r="W192" s="245" t="s">
        <v>1332</v>
      </c>
    </row>
    <row r="193" ht="15.75" customHeight="1">
      <c r="A193" s="246" t="s">
        <v>1612</v>
      </c>
      <c r="B193" s="247" t="s">
        <v>1328</v>
      </c>
      <c r="C193" s="247" t="s">
        <v>1166</v>
      </c>
      <c r="D193" s="247" t="s">
        <v>1330</v>
      </c>
      <c r="E193" s="247" t="s">
        <v>1341</v>
      </c>
      <c r="F193" s="247">
        <v>499.0</v>
      </c>
      <c r="G193" s="247" t="s">
        <v>1331</v>
      </c>
      <c r="H193" s="248">
        <v>1.0</v>
      </c>
      <c r="I193" s="248">
        <v>1.0</v>
      </c>
      <c r="J193" s="248">
        <v>12.0</v>
      </c>
      <c r="K193" s="248">
        <v>0.0</v>
      </c>
      <c r="L193" s="248">
        <v>1.0</v>
      </c>
      <c r="M193" s="247"/>
      <c r="N193" s="247"/>
      <c r="O193" s="247"/>
      <c r="P193" s="247"/>
      <c r="Q193" s="247"/>
      <c r="R193" s="247"/>
      <c r="S193" s="247"/>
      <c r="T193" s="247"/>
      <c r="U193" s="247"/>
      <c r="V193" s="249">
        <v>45561.30289351852</v>
      </c>
      <c r="W193" s="250" t="s">
        <v>1332</v>
      </c>
    </row>
    <row r="194" ht="15.75" customHeight="1">
      <c r="A194" s="241" t="s">
        <v>1613</v>
      </c>
      <c r="B194" s="242" t="s">
        <v>1328</v>
      </c>
      <c r="C194" s="242" t="s">
        <v>1166</v>
      </c>
      <c r="D194" s="242" t="s">
        <v>1330</v>
      </c>
      <c r="E194" s="242" t="s">
        <v>1341</v>
      </c>
      <c r="F194" s="242">
        <v>499.0</v>
      </c>
      <c r="G194" s="242" t="s">
        <v>1331</v>
      </c>
      <c r="H194" s="243">
        <v>1.0</v>
      </c>
      <c r="I194" s="243">
        <v>1.0</v>
      </c>
      <c r="J194" s="243">
        <v>12.0</v>
      </c>
      <c r="K194" s="243">
        <v>0.0</v>
      </c>
      <c r="L194" s="243">
        <v>1.0</v>
      </c>
      <c r="M194" s="242"/>
      <c r="N194" s="242"/>
      <c r="O194" s="242"/>
      <c r="P194" s="242"/>
      <c r="Q194" s="242"/>
      <c r="R194" s="242"/>
      <c r="S194" s="242"/>
      <c r="T194" s="242"/>
      <c r="U194" s="242"/>
      <c r="V194" s="244">
        <v>45561.74545138889</v>
      </c>
      <c r="W194" s="245" t="s">
        <v>1332</v>
      </c>
    </row>
    <row r="195" ht="15.75" customHeight="1">
      <c r="A195" s="246" t="s">
        <v>1614</v>
      </c>
      <c r="B195" s="247" t="s">
        <v>1369</v>
      </c>
      <c r="C195" s="247" t="s">
        <v>1166</v>
      </c>
      <c r="D195" s="247" t="s">
        <v>1330</v>
      </c>
      <c r="E195" s="247" t="s">
        <v>1341</v>
      </c>
      <c r="F195" s="247">
        <v>499.0</v>
      </c>
      <c r="G195" s="247" t="s">
        <v>1331</v>
      </c>
      <c r="H195" s="248">
        <v>1.0</v>
      </c>
      <c r="I195" s="248">
        <v>1.0</v>
      </c>
      <c r="J195" s="248">
        <v>12.0</v>
      </c>
      <c r="K195" s="248">
        <v>1.0</v>
      </c>
      <c r="L195" s="248">
        <v>1.0</v>
      </c>
      <c r="M195" s="247"/>
      <c r="N195" s="247"/>
      <c r="O195" s="247" t="s">
        <v>1615</v>
      </c>
      <c r="P195" s="247">
        <f>919619653953</f>
        <v>919619653953</v>
      </c>
      <c r="Q195" s="252">
        <v>45591.48175925926</v>
      </c>
      <c r="R195" s="249">
        <v>45926.0</v>
      </c>
      <c r="S195" s="252">
        <v>45591.482094907406</v>
      </c>
      <c r="T195" s="252">
        <v>45591.482083333336</v>
      </c>
      <c r="U195" s="252">
        <v>45594.9421875</v>
      </c>
      <c r="V195" s="252">
        <v>45591.48144675926</v>
      </c>
      <c r="W195" s="250" t="s">
        <v>1332</v>
      </c>
    </row>
    <row r="196" ht="15.75" customHeight="1">
      <c r="A196" s="241" t="s">
        <v>1616</v>
      </c>
      <c r="B196" s="242" t="s">
        <v>1328</v>
      </c>
      <c r="C196" s="242" t="s">
        <v>1166</v>
      </c>
      <c r="D196" s="242" t="s">
        <v>1330</v>
      </c>
      <c r="E196" s="242" t="s">
        <v>1341</v>
      </c>
      <c r="F196" s="242">
        <v>499.0</v>
      </c>
      <c r="G196" s="242" t="s">
        <v>1331</v>
      </c>
      <c r="H196" s="243">
        <v>1.0</v>
      </c>
      <c r="I196" s="243">
        <v>1.0</v>
      </c>
      <c r="J196" s="243">
        <v>12.0</v>
      </c>
      <c r="K196" s="243">
        <v>0.0</v>
      </c>
      <c r="L196" s="243">
        <v>1.0</v>
      </c>
      <c r="M196" s="242"/>
      <c r="N196" s="242"/>
      <c r="O196" s="242"/>
      <c r="P196" s="242"/>
      <c r="Q196" s="242"/>
      <c r="R196" s="242"/>
      <c r="S196" s="242"/>
      <c r="T196" s="242"/>
      <c r="U196" s="242"/>
      <c r="V196" s="244">
        <v>45562.434212962966</v>
      </c>
      <c r="W196" s="245" t="s">
        <v>1332</v>
      </c>
    </row>
    <row r="197" ht="15.75" customHeight="1">
      <c r="A197" s="246" t="s">
        <v>1617</v>
      </c>
      <c r="B197" s="247" t="s">
        <v>1328</v>
      </c>
      <c r="C197" s="247" t="s">
        <v>1166</v>
      </c>
      <c r="D197" s="247" t="s">
        <v>1330</v>
      </c>
      <c r="E197" s="247" t="s">
        <v>1341</v>
      </c>
      <c r="F197" s="247">
        <v>499.0</v>
      </c>
      <c r="G197" s="247" t="s">
        <v>1331</v>
      </c>
      <c r="H197" s="248">
        <v>1.0</v>
      </c>
      <c r="I197" s="248">
        <v>1.0</v>
      </c>
      <c r="J197" s="248">
        <v>12.0</v>
      </c>
      <c r="K197" s="248">
        <v>0.0</v>
      </c>
      <c r="L197" s="248">
        <v>1.0</v>
      </c>
      <c r="M197" s="247"/>
      <c r="N197" s="247"/>
      <c r="O197" s="247"/>
      <c r="P197" s="247"/>
      <c r="Q197" s="247"/>
      <c r="R197" s="247"/>
      <c r="S197" s="247"/>
      <c r="T197" s="247"/>
      <c r="U197" s="247"/>
      <c r="V197" s="249">
        <v>45562.43798611111</v>
      </c>
      <c r="W197" s="250" t="s">
        <v>1332</v>
      </c>
    </row>
    <row r="198" ht="15.75" customHeight="1">
      <c r="A198" s="241" t="s">
        <v>1286</v>
      </c>
      <c r="B198" s="242" t="s">
        <v>1340</v>
      </c>
      <c r="C198" s="242" t="s">
        <v>1166</v>
      </c>
      <c r="D198" s="242" t="s">
        <v>1330</v>
      </c>
      <c r="E198" s="242" t="s">
        <v>1341</v>
      </c>
      <c r="F198" s="242">
        <v>499.0</v>
      </c>
      <c r="G198" s="242" t="s">
        <v>1331</v>
      </c>
      <c r="H198" s="243">
        <v>1.0</v>
      </c>
      <c r="I198" s="243">
        <v>1.0</v>
      </c>
      <c r="J198" s="243">
        <v>12.0</v>
      </c>
      <c r="K198" s="243">
        <v>6.0</v>
      </c>
      <c r="L198" s="243">
        <v>1.0</v>
      </c>
      <c r="M198" s="242"/>
      <c r="N198" s="242"/>
      <c r="O198" s="242" t="s">
        <v>1618</v>
      </c>
      <c r="P198" s="242">
        <f>919972917159</f>
        <v>919972917159</v>
      </c>
      <c r="Q198" s="244">
        <v>45562.500868055555</v>
      </c>
      <c r="R198" s="244">
        <v>45896.0</v>
      </c>
      <c r="S198" s="244">
        <v>45562.501655092594</v>
      </c>
      <c r="T198" s="244">
        <v>45562.50163194445</v>
      </c>
      <c r="U198" s="242"/>
      <c r="V198" s="244">
        <v>45562.50019675926</v>
      </c>
      <c r="W198" s="245" t="s">
        <v>1332</v>
      </c>
    </row>
    <row r="199" ht="15.75" customHeight="1">
      <c r="A199" s="246" t="s">
        <v>1619</v>
      </c>
      <c r="B199" s="247" t="s">
        <v>1369</v>
      </c>
      <c r="C199" s="247" t="s">
        <v>1166</v>
      </c>
      <c r="D199" s="247" t="s">
        <v>1330</v>
      </c>
      <c r="E199" s="247" t="s">
        <v>1341</v>
      </c>
      <c r="F199" s="247">
        <v>499.0</v>
      </c>
      <c r="G199" s="247" t="s">
        <v>1331</v>
      </c>
      <c r="H199" s="248">
        <v>1.0</v>
      </c>
      <c r="I199" s="248">
        <v>1.0</v>
      </c>
      <c r="J199" s="248">
        <v>12.0</v>
      </c>
      <c r="K199" s="248">
        <v>4.0</v>
      </c>
      <c r="L199" s="248">
        <v>1.0</v>
      </c>
      <c r="M199" s="247"/>
      <c r="N199" s="247"/>
      <c r="O199" s="247" t="s">
        <v>1620</v>
      </c>
      <c r="P199" s="247">
        <f>918660139203</f>
        <v>918660139203</v>
      </c>
      <c r="Q199" s="249">
        <v>45562.76828703703</v>
      </c>
      <c r="R199" s="249">
        <v>45896.0</v>
      </c>
      <c r="S199" s="249">
        <v>45562.77006944444</v>
      </c>
      <c r="T199" s="249">
        <v>45562.7700462963</v>
      </c>
      <c r="U199" s="249">
        <v>45661.75200231482</v>
      </c>
      <c r="V199" s="249">
        <v>45562.76819444444</v>
      </c>
      <c r="W199" s="250" t="s">
        <v>1332</v>
      </c>
    </row>
    <row r="200" ht="15.75" customHeight="1">
      <c r="A200" s="241" t="s">
        <v>1621</v>
      </c>
      <c r="B200" s="242" t="s">
        <v>1369</v>
      </c>
      <c r="C200" s="242" t="s">
        <v>1166</v>
      </c>
      <c r="D200" s="242" t="s">
        <v>1330</v>
      </c>
      <c r="E200" s="242" t="s">
        <v>1341</v>
      </c>
      <c r="F200" s="242">
        <v>499.0</v>
      </c>
      <c r="G200" s="242" t="s">
        <v>1331</v>
      </c>
      <c r="H200" s="243">
        <v>1.0</v>
      </c>
      <c r="I200" s="243">
        <v>1.0</v>
      </c>
      <c r="J200" s="243">
        <v>12.0</v>
      </c>
      <c r="K200" s="243">
        <v>1.0</v>
      </c>
      <c r="L200" s="243">
        <v>1.0</v>
      </c>
      <c r="M200" s="242"/>
      <c r="N200" s="242"/>
      <c r="O200" s="242" t="s">
        <v>1622</v>
      </c>
      <c r="P200" s="242">
        <f>918586872163</f>
        <v>918586872163</v>
      </c>
      <c r="Q200" s="244">
        <v>45562.83424768518</v>
      </c>
      <c r="R200" s="244">
        <v>45896.0</v>
      </c>
      <c r="S200" s="244">
        <v>45562.83456018518</v>
      </c>
      <c r="T200" s="244">
        <v>45562.834548611114</v>
      </c>
      <c r="U200" s="244">
        <v>45569.83833333333</v>
      </c>
      <c r="V200" s="244">
        <v>45562.834131944444</v>
      </c>
      <c r="W200" s="245" t="s">
        <v>1332</v>
      </c>
    </row>
    <row r="201" ht="15.75" customHeight="1">
      <c r="A201" s="246" t="s">
        <v>1239</v>
      </c>
      <c r="B201" s="247" t="s">
        <v>1340</v>
      </c>
      <c r="C201" s="247" t="s">
        <v>1166</v>
      </c>
      <c r="D201" s="247" t="s">
        <v>1330</v>
      </c>
      <c r="E201" s="247" t="s">
        <v>1341</v>
      </c>
      <c r="F201" s="247">
        <v>499.0</v>
      </c>
      <c r="G201" s="247" t="s">
        <v>1331</v>
      </c>
      <c r="H201" s="248">
        <v>1.0</v>
      </c>
      <c r="I201" s="248">
        <v>1.0</v>
      </c>
      <c r="J201" s="248">
        <v>12.0</v>
      </c>
      <c r="K201" s="248">
        <v>4.0</v>
      </c>
      <c r="L201" s="248">
        <v>1.0</v>
      </c>
      <c r="M201" s="247"/>
      <c r="N201" s="247"/>
      <c r="O201" s="247" t="s">
        <v>1623</v>
      </c>
      <c r="P201" s="247">
        <f>917006606982</f>
        <v>917006606982</v>
      </c>
      <c r="Q201" s="252">
        <v>45623.67815972222</v>
      </c>
      <c r="R201" s="252">
        <v>45957.0</v>
      </c>
      <c r="S201" s="252">
        <v>45623.678391203706</v>
      </c>
      <c r="T201" s="252">
        <v>45623.67837962963</v>
      </c>
      <c r="U201" s="247"/>
      <c r="V201" s="252">
        <v>45623.67802083334</v>
      </c>
      <c r="W201" s="250" t="s">
        <v>1332</v>
      </c>
    </row>
    <row r="202" ht="15.75" customHeight="1">
      <c r="A202" s="241" t="s">
        <v>1624</v>
      </c>
      <c r="B202" s="242" t="s">
        <v>1369</v>
      </c>
      <c r="C202" s="242" t="s">
        <v>1166</v>
      </c>
      <c r="D202" s="242" t="s">
        <v>1330</v>
      </c>
      <c r="E202" s="242" t="s">
        <v>1341</v>
      </c>
      <c r="F202" s="242">
        <v>499.0</v>
      </c>
      <c r="G202" s="242" t="s">
        <v>1331</v>
      </c>
      <c r="H202" s="243">
        <v>1.0</v>
      </c>
      <c r="I202" s="243">
        <v>1.0</v>
      </c>
      <c r="J202" s="243">
        <v>12.0</v>
      </c>
      <c r="K202" s="243">
        <v>1.0</v>
      </c>
      <c r="L202" s="243">
        <v>1.0</v>
      </c>
      <c r="M202" s="242"/>
      <c r="N202" s="242"/>
      <c r="O202" s="242" t="s">
        <v>1625</v>
      </c>
      <c r="P202" s="242">
        <f>918461943444</f>
        <v>918461943444</v>
      </c>
      <c r="Q202" s="251">
        <v>45623.95284722222</v>
      </c>
      <c r="R202" s="251">
        <v>45957.0</v>
      </c>
      <c r="S202" s="251">
        <v>45623.953148148146</v>
      </c>
      <c r="T202" s="251">
        <v>45623.953125</v>
      </c>
      <c r="U202" s="251">
        <v>45623.953368055554</v>
      </c>
      <c r="V202" s="251">
        <v>45623.95270833333</v>
      </c>
      <c r="W202" s="245" t="s">
        <v>1332</v>
      </c>
    </row>
    <row r="203" ht="15.75" customHeight="1">
      <c r="A203" s="246" t="s">
        <v>1626</v>
      </c>
      <c r="B203" s="247" t="s">
        <v>1369</v>
      </c>
      <c r="C203" s="247" t="s">
        <v>1166</v>
      </c>
      <c r="D203" s="247" t="s">
        <v>1330</v>
      </c>
      <c r="E203" s="247" t="s">
        <v>1341</v>
      </c>
      <c r="F203" s="247">
        <v>499.0</v>
      </c>
      <c r="G203" s="247" t="s">
        <v>1331</v>
      </c>
      <c r="H203" s="248">
        <v>1.0</v>
      </c>
      <c r="I203" s="248">
        <v>1.0</v>
      </c>
      <c r="J203" s="248">
        <v>12.0</v>
      </c>
      <c r="K203" s="248">
        <v>1.0</v>
      </c>
      <c r="L203" s="248">
        <v>1.0</v>
      </c>
      <c r="M203" s="247"/>
      <c r="N203" s="247"/>
      <c r="O203" s="247" t="s">
        <v>1627</v>
      </c>
      <c r="P203" s="247">
        <f>919260920238</f>
        <v>919260920238</v>
      </c>
      <c r="Q203" s="249">
        <v>45563.60192129629</v>
      </c>
      <c r="R203" s="249">
        <v>45897.0</v>
      </c>
      <c r="S203" s="249">
        <v>45563.60256944445</v>
      </c>
      <c r="T203" s="249">
        <v>45563.60255787037</v>
      </c>
      <c r="U203" s="249">
        <v>45690.736550925925</v>
      </c>
      <c r="V203" s="249">
        <v>45563.60166666667</v>
      </c>
      <c r="W203" s="250" t="s">
        <v>1332</v>
      </c>
    </row>
    <row r="204" ht="15.75" customHeight="1">
      <c r="A204" s="241" t="s">
        <v>1628</v>
      </c>
      <c r="B204" s="242" t="s">
        <v>1498</v>
      </c>
      <c r="C204" s="242" t="s">
        <v>1629</v>
      </c>
      <c r="D204" s="242" t="s">
        <v>1630</v>
      </c>
      <c r="E204" s="242" t="s">
        <v>1631</v>
      </c>
      <c r="F204" s="242">
        <v>2499.0</v>
      </c>
      <c r="G204" s="242" t="s">
        <v>1331</v>
      </c>
      <c r="H204" s="243">
        <v>12.0</v>
      </c>
      <c r="I204" s="243">
        <v>1.0</v>
      </c>
      <c r="J204" s="243">
        <v>11.0</v>
      </c>
      <c r="K204" s="243">
        <v>0.0</v>
      </c>
      <c r="L204" s="243">
        <v>1.0</v>
      </c>
      <c r="M204" s="242"/>
      <c r="N204" s="242"/>
      <c r="O204" s="242"/>
      <c r="P204" s="242"/>
      <c r="Q204" s="251">
        <v>45624.0</v>
      </c>
      <c r="R204" s="251">
        <v>49276.0</v>
      </c>
      <c r="S204" s="242"/>
      <c r="T204" s="242"/>
      <c r="U204" s="242"/>
      <c r="V204" s="251">
        <v>45593.526608796295</v>
      </c>
      <c r="W204" s="245" t="s">
        <v>1332</v>
      </c>
    </row>
    <row r="205" ht="15.75" customHeight="1">
      <c r="A205" s="246" t="s">
        <v>1632</v>
      </c>
      <c r="B205" s="247" t="s">
        <v>1328</v>
      </c>
      <c r="C205" s="247" t="s">
        <v>1166</v>
      </c>
      <c r="D205" s="247" t="s">
        <v>1330</v>
      </c>
      <c r="E205" s="247" t="s">
        <v>1341</v>
      </c>
      <c r="F205" s="247">
        <v>499.0</v>
      </c>
      <c r="G205" s="247" t="s">
        <v>1331</v>
      </c>
      <c r="H205" s="248">
        <v>1.0</v>
      </c>
      <c r="I205" s="248">
        <v>1.0</v>
      </c>
      <c r="J205" s="248">
        <v>12.0</v>
      </c>
      <c r="K205" s="248">
        <v>0.0</v>
      </c>
      <c r="L205" s="248">
        <v>1.0</v>
      </c>
      <c r="M205" s="247"/>
      <c r="N205" s="247"/>
      <c r="O205" s="247"/>
      <c r="P205" s="247"/>
      <c r="Q205" s="247"/>
      <c r="R205" s="247"/>
      <c r="S205" s="247"/>
      <c r="T205" s="247"/>
      <c r="U205" s="247"/>
      <c r="V205" s="252">
        <v>45593.64262731482</v>
      </c>
      <c r="W205" s="250" t="s">
        <v>1332</v>
      </c>
    </row>
    <row r="206" ht="15.75" customHeight="1">
      <c r="A206" s="241" t="s">
        <v>1633</v>
      </c>
      <c r="B206" s="242" t="s">
        <v>1350</v>
      </c>
      <c r="C206" s="242" t="s">
        <v>1166</v>
      </c>
      <c r="D206" s="242" t="s">
        <v>1330</v>
      </c>
      <c r="E206" s="242" t="s">
        <v>1341</v>
      </c>
      <c r="F206" s="242">
        <v>499.0</v>
      </c>
      <c r="G206" s="242" t="s">
        <v>1331</v>
      </c>
      <c r="H206" s="243">
        <v>1.0</v>
      </c>
      <c r="I206" s="243">
        <v>1.0</v>
      </c>
      <c r="J206" s="243">
        <v>12.0</v>
      </c>
      <c r="K206" s="243">
        <v>2.0</v>
      </c>
      <c r="L206" s="243">
        <v>1.0</v>
      </c>
      <c r="M206" s="242"/>
      <c r="N206" s="242"/>
      <c r="O206" s="242" t="s">
        <v>1634</v>
      </c>
      <c r="P206" s="242">
        <f>917506497916</f>
        <v>917506497916</v>
      </c>
      <c r="Q206" s="251">
        <v>45593.65023148148</v>
      </c>
      <c r="R206" s="244">
        <v>45928.0</v>
      </c>
      <c r="S206" s="251">
        <v>45593.650509259256</v>
      </c>
      <c r="T206" s="251">
        <v>45593.65049768519</v>
      </c>
      <c r="U206" s="242"/>
      <c r="V206" s="251">
        <v>45593.64538194444</v>
      </c>
      <c r="W206" s="245" t="s">
        <v>1332</v>
      </c>
    </row>
    <row r="207" ht="15.75" customHeight="1">
      <c r="A207" s="246" t="s">
        <v>1635</v>
      </c>
      <c r="B207" s="247" t="s">
        <v>1328</v>
      </c>
      <c r="C207" s="247" t="s">
        <v>1166</v>
      </c>
      <c r="D207" s="247" t="s">
        <v>1330</v>
      </c>
      <c r="E207" s="247" t="s">
        <v>1341</v>
      </c>
      <c r="F207" s="247">
        <v>499.0</v>
      </c>
      <c r="G207" s="247" t="s">
        <v>1331</v>
      </c>
      <c r="H207" s="248">
        <v>1.0</v>
      </c>
      <c r="I207" s="248">
        <v>1.0</v>
      </c>
      <c r="J207" s="248">
        <v>12.0</v>
      </c>
      <c r="K207" s="248">
        <v>0.0</v>
      </c>
      <c r="L207" s="248">
        <v>1.0</v>
      </c>
      <c r="M207" s="247"/>
      <c r="N207" s="247"/>
      <c r="O207" s="247"/>
      <c r="P207" s="247"/>
      <c r="Q207" s="247"/>
      <c r="R207" s="247"/>
      <c r="S207" s="247"/>
      <c r="T207" s="247"/>
      <c r="U207" s="247"/>
      <c r="V207" s="252">
        <v>45593.82630787037</v>
      </c>
      <c r="W207" s="250" t="s">
        <v>1332</v>
      </c>
    </row>
    <row r="208" ht="15.75" customHeight="1">
      <c r="A208" s="241" t="s">
        <v>1636</v>
      </c>
      <c r="B208" s="242" t="s">
        <v>1328</v>
      </c>
      <c r="C208" s="242" t="s">
        <v>1166</v>
      </c>
      <c r="D208" s="242" t="s">
        <v>1330</v>
      </c>
      <c r="E208" s="242" t="s">
        <v>1341</v>
      </c>
      <c r="F208" s="242">
        <v>499.0</v>
      </c>
      <c r="G208" s="242" t="s">
        <v>1331</v>
      </c>
      <c r="H208" s="243">
        <v>1.0</v>
      </c>
      <c r="I208" s="243">
        <v>1.0</v>
      </c>
      <c r="J208" s="243">
        <v>12.0</v>
      </c>
      <c r="K208" s="243">
        <v>0.0</v>
      </c>
      <c r="L208" s="243">
        <v>1.0</v>
      </c>
      <c r="M208" s="242"/>
      <c r="N208" s="242"/>
      <c r="O208" s="242"/>
      <c r="P208" s="242"/>
      <c r="Q208" s="242"/>
      <c r="R208" s="242"/>
      <c r="S208" s="242"/>
      <c r="T208" s="242"/>
      <c r="U208" s="242"/>
      <c r="V208" s="251">
        <v>45593.826585648145</v>
      </c>
      <c r="W208" s="245" t="s">
        <v>1332</v>
      </c>
    </row>
    <row r="209" ht="15.75" customHeight="1">
      <c r="A209" s="246" t="s">
        <v>1637</v>
      </c>
      <c r="B209" s="247" t="s">
        <v>1328</v>
      </c>
      <c r="C209" s="247" t="s">
        <v>1638</v>
      </c>
      <c r="D209" s="247" t="s">
        <v>1639</v>
      </c>
      <c r="E209" s="247" t="s">
        <v>1640</v>
      </c>
      <c r="F209" s="247">
        <v>2499.0</v>
      </c>
      <c r="G209" s="247" t="s">
        <v>1331</v>
      </c>
      <c r="H209" s="248">
        <v>1.0</v>
      </c>
      <c r="I209" s="248">
        <v>1.0</v>
      </c>
      <c r="J209" s="248">
        <v>11.0</v>
      </c>
      <c r="K209" s="248">
        <v>0.0</v>
      </c>
      <c r="L209" s="248">
        <v>1.0</v>
      </c>
      <c r="M209" s="247"/>
      <c r="N209" s="247"/>
      <c r="O209" s="247"/>
      <c r="P209" s="247"/>
      <c r="Q209" s="247"/>
      <c r="R209" s="247"/>
      <c r="S209" s="247"/>
      <c r="T209" s="247"/>
      <c r="U209" s="247"/>
      <c r="V209" s="252">
        <v>45624.478530092594</v>
      </c>
      <c r="W209" s="250" t="s">
        <v>1332</v>
      </c>
    </row>
    <row r="210" ht="15.75" customHeight="1">
      <c r="A210" s="241" t="s">
        <v>1641</v>
      </c>
      <c r="B210" s="242" t="s">
        <v>1328</v>
      </c>
      <c r="C210" s="242" t="s">
        <v>1642</v>
      </c>
      <c r="D210" s="242" t="s">
        <v>1643</v>
      </c>
      <c r="E210" s="242"/>
      <c r="F210" s="242">
        <v>2499.0</v>
      </c>
      <c r="G210" s="242" t="s">
        <v>1331</v>
      </c>
      <c r="H210" s="243">
        <v>1.0</v>
      </c>
      <c r="I210" s="243">
        <v>1.0</v>
      </c>
      <c r="J210" s="243">
        <v>11.0</v>
      </c>
      <c r="K210" s="243">
        <v>0.0</v>
      </c>
      <c r="L210" s="243">
        <v>1.0</v>
      </c>
      <c r="M210" s="242"/>
      <c r="N210" s="242"/>
      <c r="O210" s="242"/>
      <c r="P210" s="242"/>
      <c r="Q210" s="242"/>
      <c r="R210" s="242"/>
      <c r="S210" s="242"/>
      <c r="T210" s="242"/>
      <c r="U210" s="242"/>
      <c r="V210" s="251">
        <v>45624.479895833334</v>
      </c>
      <c r="W210" s="245" t="s">
        <v>1332</v>
      </c>
    </row>
    <row r="211" ht="15.75" customHeight="1">
      <c r="A211" s="246" t="s">
        <v>1644</v>
      </c>
      <c r="B211" s="247" t="s">
        <v>1328</v>
      </c>
      <c r="C211" s="247" t="s">
        <v>1166</v>
      </c>
      <c r="D211" s="247" t="s">
        <v>1330</v>
      </c>
      <c r="E211" s="247" t="s">
        <v>1341</v>
      </c>
      <c r="F211" s="247">
        <v>499.0</v>
      </c>
      <c r="G211" s="247" t="s">
        <v>1331</v>
      </c>
      <c r="H211" s="248">
        <v>1.0</v>
      </c>
      <c r="I211" s="248">
        <v>1.0</v>
      </c>
      <c r="J211" s="248">
        <v>12.0</v>
      </c>
      <c r="K211" s="248">
        <v>0.0</v>
      </c>
      <c r="L211" s="248">
        <v>1.0</v>
      </c>
      <c r="M211" s="247"/>
      <c r="N211" s="247"/>
      <c r="O211" s="247"/>
      <c r="P211" s="247"/>
      <c r="Q211" s="247"/>
      <c r="R211" s="247"/>
      <c r="S211" s="247"/>
      <c r="T211" s="247"/>
      <c r="U211" s="247"/>
      <c r="V211" s="252">
        <v>45624.65508101852</v>
      </c>
      <c r="W211" s="250" t="s">
        <v>1332</v>
      </c>
    </row>
    <row r="212" ht="15.75" customHeight="1">
      <c r="A212" s="241" t="s">
        <v>1645</v>
      </c>
      <c r="B212" s="242" t="s">
        <v>1328</v>
      </c>
      <c r="C212" s="242" t="s">
        <v>1646</v>
      </c>
      <c r="D212" s="242" t="s">
        <v>1647</v>
      </c>
      <c r="E212" s="242" t="s">
        <v>1648</v>
      </c>
      <c r="F212" s="242">
        <v>8000.0</v>
      </c>
      <c r="G212" s="242" t="s">
        <v>1331</v>
      </c>
      <c r="H212" s="243">
        <v>1.0</v>
      </c>
      <c r="I212" s="243">
        <v>1.0</v>
      </c>
      <c r="J212" s="243">
        <v>12.0</v>
      </c>
      <c r="K212" s="243">
        <v>0.0</v>
      </c>
      <c r="L212" s="243">
        <v>1.0</v>
      </c>
      <c r="M212" s="242"/>
      <c r="N212" s="242"/>
      <c r="O212" s="242"/>
      <c r="P212" s="242"/>
      <c r="Q212" s="242"/>
      <c r="R212" s="242"/>
      <c r="S212" s="242"/>
      <c r="T212" s="242"/>
      <c r="U212" s="242"/>
      <c r="V212" s="251">
        <v>45594.751921296294</v>
      </c>
      <c r="W212" s="245" t="s">
        <v>1332</v>
      </c>
    </row>
    <row r="213" ht="15.75" customHeight="1">
      <c r="A213" s="246" t="s">
        <v>1253</v>
      </c>
      <c r="B213" s="247" t="s">
        <v>1340</v>
      </c>
      <c r="C213" s="247" t="s">
        <v>1254</v>
      </c>
      <c r="D213" s="247" t="s">
        <v>1649</v>
      </c>
      <c r="E213" s="247" t="s">
        <v>1650</v>
      </c>
      <c r="F213" s="247">
        <v>8000.0</v>
      </c>
      <c r="G213" s="247" t="s">
        <v>1331</v>
      </c>
      <c r="H213" s="248">
        <v>1.0</v>
      </c>
      <c r="I213" s="248">
        <v>1.0</v>
      </c>
      <c r="J213" s="248">
        <v>12.0</v>
      </c>
      <c r="K213" s="248">
        <v>5.0</v>
      </c>
      <c r="L213" s="248">
        <v>1.0</v>
      </c>
      <c r="M213" s="247" t="s">
        <v>1256</v>
      </c>
      <c r="N213" s="247"/>
      <c r="O213" s="247" t="s">
        <v>1651</v>
      </c>
      <c r="P213" s="247">
        <f>918527066461</f>
        <v>918527066461</v>
      </c>
      <c r="Q213" s="252">
        <v>45594.75607638889</v>
      </c>
      <c r="R213" s="249">
        <v>45929.0</v>
      </c>
      <c r="S213" s="252">
        <v>45594.75709490741</v>
      </c>
      <c r="T213" s="252">
        <v>45594.75707175926</v>
      </c>
      <c r="U213" s="247"/>
      <c r="V213" s="252">
        <v>45594.75449074074</v>
      </c>
      <c r="W213" s="250" t="s">
        <v>1332</v>
      </c>
    </row>
    <row r="214" ht="15.75" customHeight="1">
      <c r="A214" s="241" t="s">
        <v>1652</v>
      </c>
      <c r="B214" s="242" t="s">
        <v>1328</v>
      </c>
      <c r="C214" s="242" t="s">
        <v>1166</v>
      </c>
      <c r="D214" s="242" t="s">
        <v>1330</v>
      </c>
      <c r="E214" s="242" t="s">
        <v>1341</v>
      </c>
      <c r="F214" s="242">
        <v>499.0</v>
      </c>
      <c r="G214" s="242" t="s">
        <v>1331</v>
      </c>
      <c r="H214" s="243">
        <v>1.0</v>
      </c>
      <c r="I214" s="243">
        <v>1.0</v>
      </c>
      <c r="J214" s="243">
        <v>12.0</v>
      </c>
      <c r="K214" s="243">
        <v>0.0</v>
      </c>
      <c r="L214" s="243">
        <v>1.0</v>
      </c>
      <c r="M214" s="242"/>
      <c r="N214" s="242"/>
      <c r="O214" s="242"/>
      <c r="P214" s="242"/>
      <c r="Q214" s="242"/>
      <c r="R214" s="242"/>
      <c r="S214" s="242"/>
      <c r="T214" s="242"/>
      <c r="U214" s="242"/>
      <c r="V214" s="251">
        <v>45625.325787037036</v>
      </c>
      <c r="W214" s="245" t="s">
        <v>1332</v>
      </c>
    </row>
    <row r="215" ht="15.75" customHeight="1">
      <c r="A215" s="246" t="s">
        <v>1653</v>
      </c>
      <c r="B215" s="247" t="s">
        <v>1369</v>
      </c>
      <c r="C215" s="247" t="s">
        <v>1166</v>
      </c>
      <c r="D215" s="247" t="s">
        <v>1330</v>
      </c>
      <c r="E215" s="247" t="s">
        <v>1341</v>
      </c>
      <c r="F215" s="247">
        <v>499.0</v>
      </c>
      <c r="G215" s="247" t="s">
        <v>1331</v>
      </c>
      <c r="H215" s="248">
        <v>1.0</v>
      </c>
      <c r="I215" s="248">
        <v>1.0</v>
      </c>
      <c r="J215" s="248">
        <v>12.0</v>
      </c>
      <c r="K215" s="248">
        <v>1.0</v>
      </c>
      <c r="L215" s="248">
        <v>1.0</v>
      </c>
      <c r="M215" s="247"/>
      <c r="N215" s="247"/>
      <c r="O215" s="247" t="s">
        <v>1654</v>
      </c>
      <c r="P215" s="247">
        <f>918921798533</f>
        <v>918921798533</v>
      </c>
      <c r="Q215" s="252">
        <v>45625.775243055556</v>
      </c>
      <c r="R215" s="252">
        <v>45959.0</v>
      </c>
      <c r="S215" s="252">
        <v>45625.77543981482</v>
      </c>
      <c r="T215" s="252">
        <v>45625.775416666664</v>
      </c>
      <c r="U215" s="252">
        <v>45654.83136574074</v>
      </c>
      <c r="V215" s="252">
        <v>45625.77512731482</v>
      </c>
      <c r="W215" s="250" t="s">
        <v>1332</v>
      </c>
    </row>
    <row r="216" ht="15.75" customHeight="1">
      <c r="A216" s="241" t="s">
        <v>1655</v>
      </c>
      <c r="B216" s="242" t="s">
        <v>1369</v>
      </c>
      <c r="C216" s="242" t="s">
        <v>1166</v>
      </c>
      <c r="D216" s="242" t="s">
        <v>1330</v>
      </c>
      <c r="E216" s="242" t="s">
        <v>1341</v>
      </c>
      <c r="F216" s="242">
        <v>499.0</v>
      </c>
      <c r="G216" s="242" t="s">
        <v>1331</v>
      </c>
      <c r="H216" s="243">
        <v>1.0</v>
      </c>
      <c r="I216" s="243">
        <v>1.0</v>
      </c>
      <c r="J216" s="243">
        <v>12.0</v>
      </c>
      <c r="K216" s="243">
        <v>1.0</v>
      </c>
      <c r="L216" s="243">
        <v>1.0</v>
      </c>
      <c r="M216" s="242"/>
      <c r="N216" s="242"/>
      <c r="O216" s="242" t="s">
        <v>1656</v>
      </c>
      <c r="P216" s="242">
        <f>919236647258</f>
        <v>919236647258</v>
      </c>
      <c r="Q216" s="244">
        <v>45565.004166666666</v>
      </c>
      <c r="R216" s="244">
        <v>45899.0</v>
      </c>
      <c r="S216" s="244">
        <v>45565.006064814814</v>
      </c>
      <c r="T216" s="244">
        <v>45565.006053240744</v>
      </c>
      <c r="U216" s="244">
        <v>45677.76138888889</v>
      </c>
      <c r="V216" s="244">
        <v>45565.00407407407</v>
      </c>
      <c r="W216" s="245" t="s">
        <v>1332</v>
      </c>
    </row>
    <row r="217" ht="15.75" customHeight="1">
      <c r="A217" s="246" t="s">
        <v>1657</v>
      </c>
      <c r="B217" s="247" t="s">
        <v>1328</v>
      </c>
      <c r="C217" s="247" t="s">
        <v>1166</v>
      </c>
      <c r="D217" s="247" t="s">
        <v>1330</v>
      </c>
      <c r="E217" s="247" t="s">
        <v>1341</v>
      </c>
      <c r="F217" s="247">
        <v>499.0</v>
      </c>
      <c r="G217" s="247" t="s">
        <v>1331</v>
      </c>
      <c r="H217" s="248">
        <v>1.0</v>
      </c>
      <c r="I217" s="248">
        <v>1.0</v>
      </c>
      <c r="J217" s="248">
        <v>12.0</v>
      </c>
      <c r="K217" s="248">
        <v>0.0</v>
      </c>
      <c r="L217" s="248">
        <v>1.0</v>
      </c>
      <c r="M217" s="247"/>
      <c r="N217" s="247"/>
      <c r="O217" s="247"/>
      <c r="P217" s="247"/>
      <c r="Q217" s="247"/>
      <c r="R217" s="247"/>
      <c r="S217" s="247"/>
      <c r="T217" s="247"/>
      <c r="U217" s="247"/>
      <c r="V217" s="249">
        <v>45565.62195601852</v>
      </c>
      <c r="W217" s="250" t="s">
        <v>1332</v>
      </c>
    </row>
    <row r="218" ht="15.75" customHeight="1">
      <c r="A218" s="241" t="s">
        <v>1283</v>
      </c>
      <c r="B218" s="242" t="s">
        <v>1340</v>
      </c>
      <c r="C218" s="242" t="s">
        <v>1166</v>
      </c>
      <c r="D218" s="242" t="s">
        <v>1330</v>
      </c>
      <c r="E218" s="242" t="s">
        <v>1341</v>
      </c>
      <c r="F218" s="242">
        <v>499.0</v>
      </c>
      <c r="G218" s="242" t="s">
        <v>1331</v>
      </c>
      <c r="H218" s="243">
        <v>1.0</v>
      </c>
      <c r="I218" s="243">
        <v>1.0</v>
      </c>
      <c r="J218" s="243">
        <v>12.0</v>
      </c>
      <c r="K218" s="243">
        <v>6.0</v>
      </c>
      <c r="L218" s="243">
        <v>1.0</v>
      </c>
      <c r="M218" s="242"/>
      <c r="N218" s="242"/>
      <c r="O218" s="242" t="s">
        <v>1658</v>
      </c>
      <c r="P218" s="242">
        <f>919790787854</f>
        <v>919790787854</v>
      </c>
      <c r="Q218" s="244">
        <v>45565.7315625</v>
      </c>
      <c r="R218" s="244">
        <v>45899.0</v>
      </c>
      <c r="S218" s="244">
        <v>45565.73197916667</v>
      </c>
      <c r="T218" s="244">
        <v>45565.73196759259</v>
      </c>
      <c r="U218" s="242"/>
      <c r="V218" s="244">
        <v>45565.73069444444</v>
      </c>
      <c r="W218" s="245" t="s">
        <v>1332</v>
      </c>
    </row>
    <row r="219" ht="15.75" customHeight="1">
      <c r="A219" s="246" t="s">
        <v>1659</v>
      </c>
      <c r="B219" s="247" t="s">
        <v>1328</v>
      </c>
      <c r="C219" s="247" t="s">
        <v>1166</v>
      </c>
      <c r="D219" s="247" t="s">
        <v>1330</v>
      </c>
      <c r="E219" s="247" t="s">
        <v>1341</v>
      </c>
      <c r="F219" s="247">
        <v>499.0</v>
      </c>
      <c r="G219" s="247" t="s">
        <v>1331</v>
      </c>
      <c r="H219" s="248">
        <v>1.0</v>
      </c>
      <c r="I219" s="248">
        <v>1.0</v>
      </c>
      <c r="J219" s="248">
        <v>12.0</v>
      </c>
      <c r="K219" s="248">
        <v>0.0</v>
      </c>
      <c r="L219" s="248">
        <v>1.0</v>
      </c>
      <c r="M219" s="247"/>
      <c r="N219" s="247"/>
      <c r="O219" s="247"/>
      <c r="P219" s="247"/>
      <c r="Q219" s="247"/>
      <c r="R219" s="247"/>
      <c r="S219" s="247"/>
      <c r="T219" s="247"/>
      <c r="U219" s="247"/>
      <c r="V219" s="249">
        <v>45565.75047453704</v>
      </c>
      <c r="W219" s="250" t="s">
        <v>1332</v>
      </c>
    </row>
    <row r="220" ht="15.75" customHeight="1">
      <c r="A220" s="241" t="s">
        <v>1660</v>
      </c>
      <c r="B220" s="242" t="s">
        <v>1360</v>
      </c>
      <c r="C220" s="242" t="s">
        <v>1166</v>
      </c>
      <c r="D220" s="242" t="s">
        <v>1330</v>
      </c>
      <c r="E220" s="242" t="s">
        <v>1341</v>
      </c>
      <c r="F220" s="242">
        <v>499.0</v>
      </c>
      <c r="G220" s="242" t="s">
        <v>1331</v>
      </c>
      <c r="H220" s="243">
        <v>1.0</v>
      </c>
      <c r="I220" s="243">
        <v>1.0</v>
      </c>
      <c r="J220" s="243">
        <v>12.0</v>
      </c>
      <c r="K220" s="243">
        <v>4.0</v>
      </c>
      <c r="L220" s="243">
        <v>1.0</v>
      </c>
      <c r="M220" s="242"/>
      <c r="N220" s="242"/>
      <c r="O220" s="242" t="s">
        <v>1661</v>
      </c>
      <c r="P220" s="242">
        <f>917506043199</f>
        <v>917506043199</v>
      </c>
      <c r="Q220" s="244">
        <v>45565.75225694444</v>
      </c>
      <c r="R220" s="244">
        <v>45899.0</v>
      </c>
      <c r="S220" s="244">
        <v>45565.75256944444</v>
      </c>
      <c r="T220" s="244">
        <v>45565.752546296295</v>
      </c>
      <c r="U220" s="242"/>
      <c r="V220" s="244">
        <v>45565.75145833333</v>
      </c>
      <c r="W220" s="245" t="s">
        <v>1332</v>
      </c>
    </row>
    <row r="221" ht="15.75" customHeight="1">
      <c r="A221" s="246" t="s">
        <v>1662</v>
      </c>
      <c r="B221" s="247" t="s">
        <v>1369</v>
      </c>
      <c r="C221" s="247" t="s">
        <v>1663</v>
      </c>
      <c r="D221" s="247" t="s">
        <v>1664</v>
      </c>
      <c r="E221" s="247" t="s">
        <v>1665</v>
      </c>
      <c r="F221" s="247">
        <v>15000.0</v>
      </c>
      <c r="G221" s="247" t="s">
        <v>1331</v>
      </c>
      <c r="H221" s="248">
        <v>1.0</v>
      </c>
      <c r="I221" s="248">
        <v>1.0</v>
      </c>
      <c r="J221" s="248">
        <v>12.0</v>
      </c>
      <c r="K221" s="248">
        <v>1.0</v>
      </c>
      <c r="L221" s="248">
        <v>1.0</v>
      </c>
      <c r="M221" s="247"/>
      <c r="N221" s="247"/>
      <c r="O221" s="247" t="s">
        <v>1658</v>
      </c>
      <c r="P221" s="247">
        <f>919790787854</f>
        <v>919790787854</v>
      </c>
      <c r="Q221" s="252">
        <v>45595.66612268519</v>
      </c>
      <c r="R221" s="249">
        <v>45930.0</v>
      </c>
      <c r="S221" s="252">
        <v>45595.66648148148</v>
      </c>
      <c r="T221" s="252">
        <v>45595.66646990741</v>
      </c>
      <c r="U221" s="252">
        <v>45626.813043981485</v>
      </c>
      <c r="V221" s="252">
        <v>45595.59196759259</v>
      </c>
      <c r="W221" s="250" t="s">
        <v>1332</v>
      </c>
    </row>
    <row r="222" ht="15.75" customHeight="1">
      <c r="A222" s="241" t="s">
        <v>1666</v>
      </c>
      <c r="B222" s="242" t="s">
        <v>1369</v>
      </c>
      <c r="C222" s="242" t="s">
        <v>1166</v>
      </c>
      <c r="D222" s="242" t="s">
        <v>1330</v>
      </c>
      <c r="E222" s="242" t="s">
        <v>1341</v>
      </c>
      <c r="F222" s="242">
        <v>499.0</v>
      </c>
      <c r="G222" s="242" t="s">
        <v>1331</v>
      </c>
      <c r="H222" s="243">
        <v>1.0</v>
      </c>
      <c r="I222" s="243">
        <v>1.0</v>
      </c>
      <c r="J222" s="243">
        <v>12.0</v>
      </c>
      <c r="K222" s="243">
        <v>2.0</v>
      </c>
      <c r="L222" s="243">
        <v>1.0</v>
      </c>
      <c r="M222" s="242"/>
      <c r="N222" s="242"/>
      <c r="O222" s="242" t="s">
        <v>1667</v>
      </c>
      <c r="P222" s="242">
        <f>919632908706</f>
        <v>919632908706</v>
      </c>
      <c r="Q222" s="251">
        <v>45626.56701388889</v>
      </c>
      <c r="R222" s="251">
        <v>45960.0</v>
      </c>
      <c r="S222" s="251">
        <v>45626.56732638889</v>
      </c>
      <c r="T222" s="251">
        <v>45626.56730324074</v>
      </c>
      <c r="U222" s="251">
        <v>45656.466412037036</v>
      </c>
      <c r="V222" s="251">
        <v>45626.566875</v>
      </c>
      <c r="W222" s="245" t="s">
        <v>1332</v>
      </c>
    </row>
    <row r="223" ht="15.75" customHeight="1">
      <c r="A223" s="246" t="s">
        <v>1668</v>
      </c>
      <c r="B223" s="247" t="s">
        <v>1328</v>
      </c>
      <c r="C223" s="247" t="s">
        <v>1166</v>
      </c>
      <c r="D223" s="247" t="s">
        <v>1330</v>
      </c>
      <c r="E223" s="247" t="s">
        <v>1341</v>
      </c>
      <c r="F223" s="247">
        <v>499.0</v>
      </c>
      <c r="G223" s="247" t="s">
        <v>1331</v>
      </c>
      <c r="H223" s="247">
        <v>1.0</v>
      </c>
      <c r="I223" s="247">
        <v>1.0</v>
      </c>
      <c r="J223" s="247">
        <v>12.0</v>
      </c>
      <c r="K223" s="247">
        <v>0.0</v>
      </c>
      <c r="L223" s="247">
        <v>1.0</v>
      </c>
      <c r="M223" s="247"/>
      <c r="N223" s="247"/>
      <c r="O223" s="247"/>
      <c r="P223" s="247"/>
      <c r="Q223" s="247"/>
      <c r="R223" s="247"/>
      <c r="S223" s="247"/>
      <c r="T223" s="247"/>
      <c r="U223" s="247"/>
      <c r="V223" s="249">
        <v>45628.024976851855</v>
      </c>
      <c r="W223" s="250" t="s">
        <v>1669</v>
      </c>
    </row>
    <row r="224" ht="15.75" customHeight="1">
      <c r="A224" s="241" t="s">
        <v>1670</v>
      </c>
      <c r="B224" s="242" t="s">
        <v>1328</v>
      </c>
      <c r="C224" s="242" t="s">
        <v>1166</v>
      </c>
      <c r="D224" s="242" t="s">
        <v>1330</v>
      </c>
      <c r="E224" s="242" t="s">
        <v>1341</v>
      </c>
      <c r="F224" s="242">
        <v>499.0</v>
      </c>
      <c r="G224" s="242" t="s">
        <v>1331</v>
      </c>
      <c r="H224" s="242">
        <v>1.0</v>
      </c>
      <c r="I224" s="242">
        <v>1.0</v>
      </c>
      <c r="J224" s="242">
        <v>12.0</v>
      </c>
      <c r="K224" s="242">
        <v>0.0</v>
      </c>
      <c r="L224" s="242">
        <v>1.0</v>
      </c>
      <c r="M224" s="242"/>
      <c r="N224" s="242"/>
      <c r="O224" s="242"/>
      <c r="P224" s="242"/>
      <c r="Q224" s="242"/>
      <c r="R224" s="242"/>
      <c r="S224" s="242"/>
      <c r="T224" s="242"/>
      <c r="U224" s="242"/>
      <c r="V224" s="244">
        <v>45628.03417824074</v>
      </c>
      <c r="W224" s="245" t="s">
        <v>1669</v>
      </c>
    </row>
    <row r="225" ht="15.75" customHeight="1">
      <c r="A225" s="246" t="s">
        <v>1236</v>
      </c>
      <c r="B225" s="247" t="s">
        <v>1340</v>
      </c>
      <c r="C225" s="247" t="s">
        <v>1166</v>
      </c>
      <c r="D225" s="247" t="s">
        <v>1330</v>
      </c>
      <c r="E225" s="247" t="s">
        <v>1341</v>
      </c>
      <c r="F225" s="247">
        <v>499.0</v>
      </c>
      <c r="G225" s="247" t="s">
        <v>1331</v>
      </c>
      <c r="H225" s="247">
        <v>1.0</v>
      </c>
      <c r="I225" s="247">
        <v>1.0</v>
      </c>
      <c r="J225" s="247">
        <v>12.0</v>
      </c>
      <c r="K225" s="247">
        <v>4.0</v>
      </c>
      <c r="L225" s="247">
        <v>1.0</v>
      </c>
      <c r="M225" s="247"/>
      <c r="N225" s="247"/>
      <c r="O225" s="247" t="s">
        <v>1671</v>
      </c>
      <c r="P225" s="247">
        <f>918707308698</f>
        <v>918707308698</v>
      </c>
      <c r="Q225" s="249">
        <v>45628.03462962963</v>
      </c>
      <c r="R225" s="249">
        <v>45963.0</v>
      </c>
      <c r="S225" s="249">
        <v>45628.035104166665</v>
      </c>
      <c r="T225" s="249">
        <v>45628.035092592596</v>
      </c>
      <c r="U225" s="249"/>
      <c r="V225" s="249">
        <v>45628.034317129626</v>
      </c>
      <c r="W225" s="250" t="s">
        <v>1669</v>
      </c>
    </row>
    <row r="226" ht="15.75" customHeight="1">
      <c r="A226" s="241" t="s">
        <v>1672</v>
      </c>
      <c r="B226" s="242" t="s">
        <v>1369</v>
      </c>
      <c r="C226" s="242" t="s">
        <v>1166</v>
      </c>
      <c r="D226" s="242" t="s">
        <v>1330</v>
      </c>
      <c r="E226" s="242" t="s">
        <v>1341</v>
      </c>
      <c r="F226" s="242">
        <v>499.0</v>
      </c>
      <c r="G226" s="242" t="s">
        <v>1331</v>
      </c>
      <c r="H226" s="242">
        <v>1.0</v>
      </c>
      <c r="I226" s="242">
        <v>1.0</v>
      </c>
      <c r="J226" s="242">
        <v>12.0</v>
      </c>
      <c r="K226" s="242">
        <v>0.0</v>
      </c>
      <c r="L226" s="242">
        <v>1.0</v>
      </c>
      <c r="M226" s="242"/>
      <c r="N226" s="242"/>
      <c r="O226" s="242"/>
      <c r="P226" s="242"/>
      <c r="Q226" s="242"/>
      <c r="R226" s="242"/>
      <c r="S226" s="242"/>
      <c r="T226" s="242"/>
      <c r="U226" s="244">
        <v>45628.2475462963</v>
      </c>
      <c r="V226" s="244">
        <v>45628.24527777778</v>
      </c>
      <c r="W226" s="245" t="s">
        <v>1669</v>
      </c>
    </row>
    <row r="227" ht="15.75" customHeight="1">
      <c r="A227" s="246" t="s">
        <v>1673</v>
      </c>
      <c r="B227" s="247" t="s">
        <v>1328</v>
      </c>
      <c r="C227" s="247" t="s">
        <v>1166</v>
      </c>
      <c r="D227" s="247" t="s">
        <v>1330</v>
      </c>
      <c r="E227" s="247" t="s">
        <v>1341</v>
      </c>
      <c r="F227" s="247">
        <v>499.0</v>
      </c>
      <c r="G227" s="247" t="s">
        <v>1331</v>
      </c>
      <c r="H227" s="247">
        <v>1.0</v>
      </c>
      <c r="I227" s="247">
        <v>1.0</v>
      </c>
      <c r="J227" s="247">
        <v>12.0</v>
      </c>
      <c r="K227" s="247">
        <v>0.0</v>
      </c>
      <c r="L227" s="247">
        <v>1.0</v>
      </c>
      <c r="M227" s="247"/>
      <c r="N227" s="247"/>
      <c r="O227" s="247"/>
      <c r="P227" s="247"/>
      <c r="Q227" s="247"/>
      <c r="R227" s="247"/>
      <c r="S227" s="247"/>
      <c r="T227" s="247"/>
      <c r="U227" s="247"/>
      <c r="V227" s="249">
        <v>45628.247615740744</v>
      </c>
      <c r="W227" s="250" t="s">
        <v>1669</v>
      </c>
    </row>
    <row r="228" ht="15.75" customHeight="1">
      <c r="A228" s="241" t="s">
        <v>1674</v>
      </c>
      <c r="B228" s="242" t="s">
        <v>1328</v>
      </c>
      <c r="C228" s="242" t="s">
        <v>1166</v>
      </c>
      <c r="D228" s="242" t="s">
        <v>1330</v>
      </c>
      <c r="E228" s="242" t="s">
        <v>1341</v>
      </c>
      <c r="F228" s="242">
        <v>499.0</v>
      </c>
      <c r="G228" s="242" t="s">
        <v>1331</v>
      </c>
      <c r="H228" s="242">
        <v>1.0</v>
      </c>
      <c r="I228" s="242">
        <v>1.0</v>
      </c>
      <c r="J228" s="242">
        <v>12.0</v>
      </c>
      <c r="K228" s="242">
        <v>0.0</v>
      </c>
      <c r="L228" s="242">
        <v>1.0</v>
      </c>
      <c r="M228" s="242"/>
      <c r="N228" s="242"/>
      <c r="O228" s="242"/>
      <c r="P228" s="242"/>
      <c r="Q228" s="242"/>
      <c r="R228" s="242"/>
      <c r="S228" s="242"/>
      <c r="T228" s="242"/>
      <c r="U228" s="242"/>
      <c r="V228" s="244">
        <v>45629.622881944444</v>
      </c>
      <c r="W228" s="245" t="s">
        <v>1669</v>
      </c>
    </row>
    <row r="229" ht="15.75" customHeight="1">
      <c r="A229" s="246" t="s">
        <v>1675</v>
      </c>
      <c r="B229" s="247" t="s">
        <v>1328</v>
      </c>
      <c r="C229" s="247" t="s">
        <v>1166</v>
      </c>
      <c r="D229" s="247" t="s">
        <v>1330</v>
      </c>
      <c r="E229" s="247" t="s">
        <v>1341</v>
      </c>
      <c r="F229" s="247">
        <v>499.0</v>
      </c>
      <c r="G229" s="247" t="s">
        <v>1331</v>
      </c>
      <c r="H229" s="247">
        <v>1.0</v>
      </c>
      <c r="I229" s="247">
        <v>1.0</v>
      </c>
      <c r="J229" s="247">
        <v>12.0</v>
      </c>
      <c r="K229" s="247">
        <v>0.0</v>
      </c>
      <c r="L229" s="247">
        <v>1.0</v>
      </c>
      <c r="M229" s="247"/>
      <c r="N229" s="247"/>
      <c r="O229" s="247"/>
      <c r="P229" s="247"/>
      <c r="Q229" s="247"/>
      <c r="R229" s="247"/>
      <c r="S229" s="247"/>
      <c r="T229" s="247"/>
      <c r="U229" s="247"/>
      <c r="V229" s="249">
        <v>45629.64233796296</v>
      </c>
      <c r="W229" s="250" t="s">
        <v>1669</v>
      </c>
    </row>
    <row r="230" ht="15.75" customHeight="1">
      <c r="A230" s="241" t="s">
        <v>1676</v>
      </c>
      <c r="B230" s="242" t="s">
        <v>1328</v>
      </c>
      <c r="C230" s="242" t="s">
        <v>1166</v>
      </c>
      <c r="D230" s="242" t="s">
        <v>1330</v>
      </c>
      <c r="E230" s="242" t="s">
        <v>1341</v>
      </c>
      <c r="F230" s="242">
        <v>499.0</v>
      </c>
      <c r="G230" s="242" t="s">
        <v>1331</v>
      </c>
      <c r="H230" s="242">
        <v>1.0</v>
      </c>
      <c r="I230" s="242">
        <v>1.0</v>
      </c>
      <c r="J230" s="242">
        <v>12.0</v>
      </c>
      <c r="K230" s="242">
        <v>0.0</v>
      </c>
      <c r="L230" s="242">
        <v>1.0</v>
      </c>
      <c r="M230" s="242"/>
      <c r="N230" s="242"/>
      <c r="O230" s="242"/>
      <c r="P230" s="242"/>
      <c r="Q230" s="242"/>
      <c r="R230" s="242"/>
      <c r="S230" s="242"/>
      <c r="T230" s="242"/>
      <c r="U230" s="242"/>
      <c r="V230" s="244">
        <v>45630.48292824074</v>
      </c>
      <c r="W230" s="245" t="s">
        <v>1669</v>
      </c>
    </row>
    <row r="231" ht="15.75" customHeight="1">
      <c r="A231" s="246" t="s">
        <v>1677</v>
      </c>
      <c r="B231" s="247" t="s">
        <v>1328</v>
      </c>
      <c r="C231" s="247" t="s">
        <v>1166</v>
      </c>
      <c r="D231" s="247" t="s">
        <v>1330</v>
      </c>
      <c r="E231" s="247" t="s">
        <v>1341</v>
      </c>
      <c r="F231" s="247">
        <v>499.0</v>
      </c>
      <c r="G231" s="247" t="s">
        <v>1331</v>
      </c>
      <c r="H231" s="247">
        <v>1.0</v>
      </c>
      <c r="I231" s="247">
        <v>1.0</v>
      </c>
      <c r="J231" s="247">
        <v>12.0</v>
      </c>
      <c r="K231" s="247">
        <v>0.0</v>
      </c>
      <c r="L231" s="247">
        <v>1.0</v>
      </c>
      <c r="M231" s="247"/>
      <c r="N231" s="247"/>
      <c r="O231" s="247"/>
      <c r="P231" s="247"/>
      <c r="Q231" s="247"/>
      <c r="R231" s="247"/>
      <c r="S231" s="247"/>
      <c r="T231" s="247"/>
      <c r="U231" s="247"/>
      <c r="V231" s="249">
        <v>45630.548483796294</v>
      </c>
      <c r="W231" s="250" t="s">
        <v>1669</v>
      </c>
    </row>
    <row r="232" ht="15.75" customHeight="1">
      <c r="A232" s="241" t="s">
        <v>1678</v>
      </c>
      <c r="B232" s="242" t="s">
        <v>1328</v>
      </c>
      <c r="C232" s="242" t="s">
        <v>1166</v>
      </c>
      <c r="D232" s="242" t="s">
        <v>1330</v>
      </c>
      <c r="E232" s="242" t="s">
        <v>1341</v>
      </c>
      <c r="F232" s="242">
        <v>499.0</v>
      </c>
      <c r="G232" s="242" t="s">
        <v>1331</v>
      </c>
      <c r="H232" s="242">
        <v>1.0</v>
      </c>
      <c r="I232" s="242">
        <v>1.0</v>
      </c>
      <c r="J232" s="242">
        <v>12.0</v>
      </c>
      <c r="K232" s="242">
        <v>0.0</v>
      </c>
      <c r="L232" s="242">
        <v>1.0</v>
      </c>
      <c r="M232" s="242"/>
      <c r="N232" s="242"/>
      <c r="O232" s="242"/>
      <c r="P232" s="242"/>
      <c r="Q232" s="242"/>
      <c r="R232" s="242"/>
      <c r="S232" s="242"/>
      <c r="T232" s="242"/>
      <c r="U232" s="242"/>
      <c r="V232" s="244">
        <v>45630.614953703705</v>
      </c>
      <c r="W232" s="245" t="s">
        <v>1669</v>
      </c>
    </row>
    <row r="233" ht="15.75" customHeight="1">
      <c r="A233" s="246" t="s">
        <v>1679</v>
      </c>
      <c r="B233" s="247" t="s">
        <v>1369</v>
      </c>
      <c r="C233" s="247" t="s">
        <v>1166</v>
      </c>
      <c r="D233" s="247" t="s">
        <v>1330</v>
      </c>
      <c r="E233" s="247" t="s">
        <v>1341</v>
      </c>
      <c r="F233" s="247">
        <v>499.0</v>
      </c>
      <c r="G233" s="247" t="s">
        <v>1331</v>
      </c>
      <c r="H233" s="247">
        <v>1.0</v>
      </c>
      <c r="I233" s="247">
        <v>1.0</v>
      </c>
      <c r="J233" s="247">
        <v>12.0</v>
      </c>
      <c r="K233" s="247">
        <v>2.0</v>
      </c>
      <c r="L233" s="247">
        <v>1.0</v>
      </c>
      <c r="M233" s="247"/>
      <c r="N233" s="247"/>
      <c r="O233" s="247" t="s">
        <v>1680</v>
      </c>
      <c r="P233" s="247">
        <f>918585934009</f>
        <v>918585934009</v>
      </c>
      <c r="Q233" s="249">
        <v>45630.65831018519</v>
      </c>
      <c r="R233" s="249">
        <v>45965.0</v>
      </c>
      <c r="S233" s="249">
        <v>45630.65892361111</v>
      </c>
      <c r="T233" s="249">
        <v>45630.658900462964</v>
      </c>
      <c r="U233" s="249">
        <v>45661.42068287037</v>
      </c>
      <c r="V233" s="249">
        <v>45630.658125</v>
      </c>
      <c r="W233" s="250" t="s">
        <v>1669</v>
      </c>
    </row>
    <row r="234" ht="15.75" customHeight="1">
      <c r="A234" s="241" t="s">
        <v>1681</v>
      </c>
      <c r="B234" s="242" t="s">
        <v>1369</v>
      </c>
      <c r="C234" s="242" t="s">
        <v>1166</v>
      </c>
      <c r="D234" s="242" t="s">
        <v>1330</v>
      </c>
      <c r="E234" s="242" t="s">
        <v>1341</v>
      </c>
      <c r="F234" s="242">
        <v>499.0</v>
      </c>
      <c r="G234" s="242" t="s">
        <v>1331</v>
      </c>
      <c r="H234" s="242">
        <v>1.0</v>
      </c>
      <c r="I234" s="242">
        <v>1.0</v>
      </c>
      <c r="J234" s="242">
        <v>12.0</v>
      </c>
      <c r="K234" s="242">
        <v>1.0</v>
      </c>
      <c r="L234" s="242">
        <v>1.0</v>
      </c>
      <c r="M234" s="242"/>
      <c r="N234" s="242"/>
      <c r="O234" s="242" t="s">
        <v>1682</v>
      </c>
      <c r="P234" s="242">
        <f>919059440743</f>
        <v>919059440743</v>
      </c>
      <c r="Q234" s="244">
        <v>45630.79006944445</v>
      </c>
      <c r="R234" s="244">
        <v>45965.0</v>
      </c>
      <c r="S234" s="244">
        <v>45630.79033564815</v>
      </c>
      <c r="T234" s="244">
        <v>45630.79032407407</v>
      </c>
      <c r="U234" s="244">
        <v>45630.851377314815</v>
      </c>
      <c r="V234" s="244">
        <v>45630.78974537037</v>
      </c>
      <c r="W234" s="245" t="s">
        <v>1669</v>
      </c>
    </row>
    <row r="235" ht="15.75" customHeight="1">
      <c r="A235" s="246" t="s">
        <v>1683</v>
      </c>
      <c r="B235" s="247" t="s">
        <v>1328</v>
      </c>
      <c r="C235" s="247" t="s">
        <v>1684</v>
      </c>
      <c r="D235" s="247" t="s">
        <v>1685</v>
      </c>
      <c r="E235" s="247"/>
      <c r="F235" s="247">
        <v>4999.0</v>
      </c>
      <c r="G235" s="247" t="s">
        <v>1331</v>
      </c>
      <c r="H235" s="247">
        <v>1.0</v>
      </c>
      <c r="I235" s="247">
        <v>1.0</v>
      </c>
      <c r="J235" s="247">
        <v>12.0</v>
      </c>
      <c r="K235" s="247">
        <v>0.0</v>
      </c>
      <c r="L235" s="247">
        <v>1.0</v>
      </c>
      <c r="M235" s="247"/>
      <c r="N235" s="247"/>
      <c r="O235" s="247"/>
      <c r="P235" s="247"/>
      <c r="Q235" s="247"/>
      <c r="R235" s="247"/>
      <c r="S235" s="247"/>
      <c r="T235" s="247"/>
      <c r="U235" s="247"/>
      <c r="V235" s="249">
        <v>45631.457650462966</v>
      </c>
      <c r="W235" s="250" t="s">
        <v>1669</v>
      </c>
    </row>
    <row r="236" ht="15.75" customHeight="1">
      <c r="A236" s="241" t="s">
        <v>1686</v>
      </c>
      <c r="B236" s="242" t="s">
        <v>1369</v>
      </c>
      <c r="C236" s="242" t="s">
        <v>1166</v>
      </c>
      <c r="D236" s="242" t="s">
        <v>1330</v>
      </c>
      <c r="E236" s="242" t="s">
        <v>1341</v>
      </c>
      <c r="F236" s="242">
        <v>499.0</v>
      </c>
      <c r="G236" s="242" t="s">
        <v>1331</v>
      </c>
      <c r="H236" s="242">
        <v>1.0</v>
      </c>
      <c r="I236" s="242">
        <v>1.0</v>
      </c>
      <c r="J236" s="242">
        <v>12.0</v>
      </c>
      <c r="K236" s="242">
        <v>1.0</v>
      </c>
      <c r="L236" s="242">
        <v>1.0</v>
      </c>
      <c r="M236" s="242"/>
      <c r="N236" s="242"/>
      <c r="O236" s="242" t="s">
        <v>1687</v>
      </c>
      <c r="P236" s="242">
        <f>919756409919</f>
        <v>919756409919</v>
      </c>
      <c r="Q236" s="244">
        <v>45631.6391087963</v>
      </c>
      <c r="R236" s="244">
        <v>45966.0</v>
      </c>
      <c r="S236" s="244">
        <v>45631.63978009259</v>
      </c>
      <c r="T236" s="244">
        <v>45631.639756944445</v>
      </c>
      <c r="U236" s="244">
        <v>45661.64571759259</v>
      </c>
      <c r="V236" s="244">
        <v>45631.63895833334</v>
      </c>
      <c r="W236" s="245" t="s">
        <v>1669</v>
      </c>
    </row>
    <row r="237" ht="15.75" customHeight="1">
      <c r="A237" s="246" t="s">
        <v>1688</v>
      </c>
      <c r="B237" s="247" t="s">
        <v>1328</v>
      </c>
      <c r="C237" s="247" t="s">
        <v>1166</v>
      </c>
      <c r="D237" s="247" t="s">
        <v>1330</v>
      </c>
      <c r="E237" s="247" t="s">
        <v>1341</v>
      </c>
      <c r="F237" s="247">
        <v>499.0</v>
      </c>
      <c r="G237" s="247" t="s">
        <v>1331</v>
      </c>
      <c r="H237" s="247">
        <v>1.0</v>
      </c>
      <c r="I237" s="247">
        <v>1.0</v>
      </c>
      <c r="J237" s="247">
        <v>12.0</v>
      </c>
      <c r="K237" s="247">
        <v>0.0</v>
      </c>
      <c r="L237" s="247">
        <v>1.0</v>
      </c>
      <c r="M237" s="247"/>
      <c r="N237" s="247"/>
      <c r="O237" s="247"/>
      <c r="P237" s="247"/>
      <c r="Q237" s="247"/>
      <c r="R237" s="247"/>
      <c r="S237" s="247"/>
      <c r="T237" s="247"/>
      <c r="U237" s="247"/>
      <c r="V237" s="249">
        <v>45632.43048611111</v>
      </c>
      <c r="W237" s="250" t="s">
        <v>1669</v>
      </c>
    </row>
    <row r="238" ht="15.75" customHeight="1">
      <c r="A238" s="241" t="s">
        <v>1689</v>
      </c>
      <c r="B238" s="242" t="s">
        <v>1328</v>
      </c>
      <c r="C238" s="242" t="s">
        <v>1166</v>
      </c>
      <c r="D238" s="242" t="s">
        <v>1330</v>
      </c>
      <c r="E238" s="242" t="s">
        <v>1341</v>
      </c>
      <c r="F238" s="242">
        <v>499.0</v>
      </c>
      <c r="G238" s="242" t="s">
        <v>1331</v>
      </c>
      <c r="H238" s="242">
        <v>1.0</v>
      </c>
      <c r="I238" s="242">
        <v>1.0</v>
      </c>
      <c r="J238" s="242">
        <v>12.0</v>
      </c>
      <c r="K238" s="242">
        <v>0.0</v>
      </c>
      <c r="L238" s="242">
        <v>1.0</v>
      </c>
      <c r="M238" s="242"/>
      <c r="N238" s="242"/>
      <c r="O238" s="242"/>
      <c r="P238" s="242"/>
      <c r="Q238" s="242"/>
      <c r="R238" s="242"/>
      <c r="S238" s="242"/>
      <c r="T238" s="242"/>
      <c r="U238" s="242"/>
      <c r="V238" s="244">
        <v>45632.43439814815</v>
      </c>
      <c r="W238" s="245" t="s">
        <v>1669</v>
      </c>
    </row>
    <row r="239" ht="15.75" customHeight="1">
      <c r="A239" s="246" t="s">
        <v>1690</v>
      </c>
      <c r="B239" s="247" t="s">
        <v>1328</v>
      </c>
      <c r="C239" s="247" t="s">
        <v>1166</v>
      </c>
      <c r="D239" s="247" t="s">
        <v>1330</v>
      </c>
      <c r="E239" s="247" t="s">
        <v>1341</v>
      </c>
      <c r="F239" s="247">
        <v>499.0</v>
      </c>
      <c r="G239" s="247" t="s">
        <v>1331</v>
      </c>
      <c r="H239" s="247">
        <v>1.0</v>
      </c>
      <c r="I239" s="247">
        <v>1.0</v>
      </c>
      <c r="J239" s="247">
        <v>12.0</v>
      </c>
      <c r="K239" s="247">
        <v>0.0</v>
      </c>
      <c r="L239" s="247">
        <v>1.0</v>
      </c>
      <c r="M239" s="247"/>
      <c r="N239" s="247"/>
      <c r="O239" s="247"/>
      <c r="P239" s="247"/>
      <c r="Q239" s="247"/>
      <c r="R239" s="247"/>
      <c r="S239" s="247"/>
      <c r="T239" s="247"/>
      <c r="U239" s="247"/>
      <c r="V239" s="249">
        <v>45632.596296296295</v>
      </c>
      <c r="W239" s="250" t="s">
        <v>1669</v>
      </c>
    </row>
    <row r="240" ht="15.75" customHeight="1">
      <c r="A240" s="241" t="s">
        <v>1691</v>
      </c>
      <c r="B240" s="242" t="s">
        <v>1350</v>
      </c>
      <c r="C240" s="242" t="s">
        <v>1166</v>
      </c>
      <c r="D240" s="242" t="s">
        <v>1330</v>
      </c>
      <c r="E240" s="242" t="s">
        <v>1341</v>
      </c>
      <c r="F240" s="242">
        <v>499.0</v>
      </c>
      <c r="G240" s="242" t="s">
        <v>1331</v>
      </c>
      <c r="H240" s="242">
        <v>1.0</v>
      </c>
      <c r="I240" s="242">
        <v>1.0</v>
      </c>
      <c r="J240" s="242">
        <v>12.0</v>
      </c>
      <c r="K240" s="242">
        <v>1.0</v>
      </c>
      <c r="L240" s="242">
        <v>1.0</v>
      </c>
      <c r="M240" s="242"/>
      <c r="N240" s="242"/>
      <c r="O240" s="242" t="s">
        <v>1692</v>
      </c>
      <c r="P240" s="242">
        <f>918850713841</f>
        <v>918850713841</v>
      </c>
      <c r="Q240" s="244">
        <v>45632.59875</v>
      </c>
      <c r="R240" s="244">
        <v>45967.0</v>
      </c>
      <c r="S240" s="244">
        <v>45632.599282407406</v>
      </c>
      <c r="T240" s="244">
        <v>45632.59925925926</v>
      </c>
      <c r="U240" s="244"/>
      <c r="V240" s="244">
        <v>45632.598599537036</v>
      </c>
      <c r="W240" s="245" t="s">
        <v>1669</v>
      </c>
    </row>
    <row r="241" ht="15.75" customHeight="1">
      <c r="A241" s="246" t="s">
        <v>1693</v>
      </c>
      <c r="B241" s="247" t="s">
        <v>1328</v>
      </c>
      <c r="C241" s="247" t="s">
        <v>1166</v>
      </c>
      <c r="D241" s="247" t="s">
        <v>1330</v>
      </c>
      <c r="E241" s="247" t="s">
        <v>1341</v>
      </c>
      <c r="F241" s="247">
        <v>499.0</v>
      </c>
      <c r="G241" s="247" t="s">
        <v>1331</v>
      </c>
      <c r="H241" s="247">
        <v>1.0</v>
      </c>
      <c r="I241" s="247">
        <v>1.0</v>
      </c>
      <c r="J241" s="247">
        <v>12.0</v>
      </c>
      <c r="K241" s="247">
        <v>0.0</v>
      </c>
      <c r="L241" s="247">
        <v>1.0</v>
      </c>
      <c r="M241" s="247"/>
      <c r="N241" s="247"/>
      <c r="O241" s="247"/>
      <c r="P241" s="247"/>
      <c r="Q241" s="247"/>
      <c r="R241" s="247"/>
      <c r="S241" s="247"/>
      <c r="T241" s="247"/>
      <c r="U241" s="247"/>
      <c r="V241" s="249">
        <v>45633.43628472222</v>
      </c>
      <c r="W241" s="250" t="s">
        <v>1669</v>
      </c>
    </row>
    <row r="242" ht="15.75" customHeight="1">
      <c r="A242" s="241" t="s">
        <v>1694</v>
      </c>
      <c r="B242" s="242" t="s">
        <v>1350</v>
      </c>
      <c r="C242" s="242" t="s">
        <v>1166</v>
      </c>
      <c r="D242" s="242" t="s">
        <v>1330</v>
      </c>
      <c r="E242" s="242" t="s">
        <v>1341</v>
      </c>
      <c r="F242" s="242">
        <v>499.0</v>
      </c>
      <c r="G242" s="242" t="s">
        <v>1331</v>
      </c>
      <c r="H242" s="242">
        <v>1.0</v>
      </c>
      <c r="I242" s="242">
        <v>1.0</v>
      </c>
      <c r="J242" s="242">
        <v>12.0</v>
      </c>
      <c r="K242" s="242">
        <v>1.0</v>
      </c>
      <c r="L242" s="242">
        <v>1.0</v>
      </c>
      <c r="M242" s="242" t="s">
        <v>1695</v>
      </c>
      <c r="N242" s="242"/>
      <c r="O242" s="242" t="s">
        <v>1696</v>
      </c>
      <c r="P242" s="242">
        <f>919833419491</f>
        <v>919833419491</v>
      </c>
      <c r="Q242" s="244">
        <v>45634.549895833334</v>
      </c>
      <c r="R242" s="244">
        <v>45969.0</v>
      </c>
      <c r="S242" s="244">
        <v>45634.55018518519</v>
      </c>
      <c r="T242" s="244">
        <v>45634.550150462965</v>
      </c>
      <c r="U242" s="244"/>
      <c r="V242" s="244">
        <v>45634.54898148148</v>
      </c>
      <c r="W242" s="245" t="s">
        <v>1669</v>
      </c>
    </row>
    <row r="243" ht="15.75" customHeight="1">
      <c r="A243" s="246" t="s">
        <v>1697</v>
      </c>
      <c r="B243" s="247" t="s">
        <v>1350</v>
      </c>
      <c r="C243" s="247" t="s">
        <v>1166</v>
      </c>
      <c r="D243" s="247" t="s">
        <v>1330</v>
      </c>
      <c r="E243" s="247" t="s">
        <v>1341</v>
      </c>
      <c r="F243" s="247">
        <v>499.0</v>
      </c>
      <c r="G243" s="247" t="s">
        <v>1331</v>
      </c>
      <c r="H243" s="247">
        <v>1.0</v>
      </c>
      <c r="I243" s="247">
        <v>1.0</v>
      </c>
      <c r="J243" s="247">
        <v>12.0</v>
      </c>
      <c r="K243" s="247">
        <v>1.0</v>
      </c>
      <c r="L243" s="247">
        <v>1.0</v>
      </c>
      <c r="M243" s="247"/>
      <c r="N243" s="247"/>
      <c r="O243" s="247" t="s">
        <v>1698</v>
      </c>
      <c r="P243" s="247">
        <f>917735856188</f>
        <v>917735856188</v>
      </c>
      <c r="Q243" s="249">
        <v>45634.95861111111</v>
      </c>
      <c r="R243" s="249">
        <v>45969.0</v>
      </c>
      <c r="S243" s="249">
        <v>45634.95885416667</v>
      </c>
      <c r="T243" s="249">
        <v>45634.95883101852</v>
      </c>
      <c r="U243" s="249"/>
      <c r="V243" s="249">
        <v>45634.95836805556</v>
      </c>
      <c r="W243" s="250" t="s">
        <v>1669</v>
      </c>
    </row>
    <row r="244" ht="15.75" customHeight="1">
      <c r="A244" s="241" t="s">
        <v>1699</v>
      </c>
      <c r="B244" s="242" t="s">
        <v>1369</v>
      </c>
      <c r="C244" s="242" t="s">
        <v>1166</v>
      </c>
      <c r="D244" s="242" t="s">
        <v>1330</v>
      </c>
      <c r="E244" s="242" t="s">
        <v>1341</v>
      </c>
      <c r="F244" s="242">
        <v>499.0</v>
      </c>
      <c r="G244" s="242" t="s">
        <v>1331</v>
      </c>
      <c r="H244" s="242">
        <v>1.0</v>
      </c>
      <c r="I244" s="242">
        <v>1.0</v>
      </c>
      <c r="J244" s="242">
        <v>12.0</v>
      </c>
      <c r="K244" s="242">
        <v>1.0</v>
      </c>
      <c r="L244" s="242">
        <v>1.0</v>
      </c>
      <c r="M244" s="242"/>
      <c r="N244" s="242"/>
      <c r="O244" s="242" t="s">
        <v>1700</v>
      </c>
      <c r="P244" s="242">
        <f>919986946133</f>
        <v>919986946133</v>
      </c>
      <c r="Q244" s="244">
        <v>45635.494155092594</v>
      </c>
      <c r="R244" s="244">
        <v>45970.0</v>
      </c>
      <c r="S244" s="244">
        <v>45635.49462962963</v>
      </c>
      <c r="T244" s="244">
        <v>45635.49460648148</v>
      </c>
      <c r="U244" s="244">
        <v>45665.29356481481</v>
      </c>
      <c r="V244" s="244">
        <v>45635.49396990741</v>
      </c>
      <c r="W244" s="245" t="s">
        <v>1669</v>
      </c>
    </row>
    <row r="245" ht="15.75" customHeight="1">
      <c r="A245" s="246" t="s">
        <v>1231</v>
      </c>
      <c r="B245" s="247" t="s">
        <v>1340</v>
      </c>
      <c r="C245" s="247" t="s">
        <v>1232</v>
      </c>
      <c r="D245" s="247" t="s">
        <v>1701</v>
      </c>
      <c r="E245" s="247" t="s">
        <v>1702</v>
      </c>
      <c r="F245" s="247">
        <v>146994.0</v>
      </c>
      <c r="G245" s="247" t="s">
        <v>1331</v>
      </c>
      <c r="H245" s="247">
        <v>6.0</v>
      </c>
      <c r="I245" s="247">
        <v>1.0</v>
      </c>
      <c r="J245" s="247">
        <v>2.0</v>
      </c>
      <c r="K245" s="247">
        <v>1.0</v>
      </c>
      <c r="L245" s="247">
        <v>1.0</v>
      </c>
      <c r="M245" s="247" t="s">
        <v>1234</v>
      </c>
      <c r="N245" s="247"/>
      <c r="O245" s="247" t="s">
        <v>1703</v>
      </c>
      <c r="P245" s="247">
        <f>919819122331</f>
        <v>919819122331</v>
      </c>
      <c r="Q245" s="252">
        <v>45644.58861111111</v>
      </c>
      <c r="R245" s="249">
        <v>45826.0</v>
      </c>
      <c r="S245" s="252">
        <v>45644.58880787037</v>
      </c>
      <c r="T245" s="252">
        <v>45644.588784722226</v>
      </c>
      <c r="U245" s="252"/>
      <c r="V245" s="249">
        <v>45635.65733796296</v>
      </c>
      <c r="W245" s="250" t="s">
        <v>1669</v>
      </c>
    </row>
    <row r="246" ht="15.75" customHeight="1">
      <c r="A246" s="241" t="s">
        <v>1704</v>
      </c>
      <c r="B246" s="242" t="s">
        <v>1350</v>
      </c>
      <c r="C246" s="242" t="s">
        <v>1166</v>
      </c>
      <c r="D246" s="242" t="s">
        <v>1330</v>
      </c>
      <c r="E246" s="242" t="s">
        <v>1341</v>
      </c>
      <c r="F246" s="242">
        <v>499.0</v>
      </c>
      <c r="G246" s="242" t="s">
        <v>1331</v>
      </c>
      <c r="H246" s="242">
        <v>1.0</v>
      </c>
      <c r="I246" s="242">
        <v>1.0</v>
      </c>
      <c r="J246" s="242">
        <v>12.0</v>
      </c>
      <c r="K246" s="242">
        <v>1.0</v>
      </c>
      <c r="L246" s="242">
        <v>1.0</v>
      </c>
      <c r="M246" s="242"/>
      <c r="N246" s="242"/>
      <c r="O246" s="242" t="s">
        <v>1705</v>
      </c>
      <c r="P246" s="242">
        <f>919167832424</f>
        <v>919167832424</v>
      </c>
      <c r="Q246" s="244">
        <v>45635.82556712963</v>
      </c>
      <c r="R246" s="244">
        <v>45970.0</v>
      </c>
      <c r="S246" s="244">
        <v>45635.825787037036</v>
      </c>
      <c r="T246" s="244">
        <v>45635.82577546296</v>
      </c>
      <c r="U246" s="244"/>
      <c r="V246" s="244">
        <v>45635.82540509259</v>
      </c>
      <c r="W246" s="245" t="s">
        <v>1669</v>
      </c>
    </row>
    <row r="247" ht="15.75" customHeight="1">
      <c r="A247" s="246" t="s">
        <v>1706</v>
      </c>
      <c r="B247" s="247" t="s">
        <v>1369</v>
      </c>
      <c r="C247" s="247" t="s">
        <v>1166</v>
      </c>
      <c r="D247" s="247" t="s">
        <v>1330</v>
      </c>
      <c r="E247" s="247" t="s">
        <v>1341</v>
      </c>
      <c r="F247" s="247">
        <v>499.0</v>
      </c>
      <c r="G247" s="247" t="s">
        <v>1331</v>
      </c>
      <c r="H247" s="247">
        <v>1.0</v>
      </c>
      <c r="I247" s="247">
        <v>1.0</v>
      </c>
      <c r="J247" s="247">
        <v>12.0</v>
      </c>
      <c r="K247" s="247">
        <v>1.0</v>
      </c>
      <c r="L247" s="247">
        <v>1.0</v>
      </c>
      <c r="M247" s="247"/>
      <c r="N247" s="247"/>
      <c r="O247" s="247" t="s">
        <v>1707</v>
      </c>
      <c r="P247" s="247">
        <f>919074423093</f>
        <v>919074423093</v>
      </c>
      <c r="Q247" s="252">
        <v>45637.33684027778</v>
      </c>
      <c r="R247" s="252">
        <v>45972.0</v>
      </c>
      <c r="S247" s="252">
        <v>45637.33709490741</v>
      </c>
      <c r="T247" s="252">
        <v>45637.33707175926</v>
      </c>
      <c r="U247" s="252">
        <v>45637.33766203704</v>
      </c>
      <c r="V247" s="252">
        <v>45637.33325231481</v>
      </c>
      <c r="W247" s="250" t="s">
        <v>1669</v>
      </c>
    </row>
    <row r="248" ht="15.75" customHeight="1">
      <c r="A248" s="241" t="s">
        <v>1227</v>
      </c>
      <c r="B248" s="242" t="s">
        <v>1340</v>
      </c>
      <c r="C248" s="242" t="s">
        <v>1228</v>
      </c>
      <c r="D248" s="242" t="s">
        <v>1708</v>
      </c>
      <c r="E248" s="242" t="s">
        <v>1709</v>
      </c>
      <c r="F248" s="242">
        <v>5000.0</v>
      </c>
      <c r="G248" s="242" t="s">
        <v>1331</v>
      </c>
      <c r="H248" s="242">
        <v>1.0</v>
      </c>
      <c r="I248" s="242">
        <v>1.0</v>
      </c>
      <c r="J248" s="242">
        <v>12.0</v>
      </c>
      <c r="K248" s="242">
        <v>3.0</v>
      </c>
      <c r="L248" s="242">
        <v>1.0</v>
      </c>
      <c r="M248" s="242"/>
      <c r="N248" s="242"/>
      <c r="O248" s="242" t="s">
        <v>1710</v>
      </c>
      <c r="P248" s="242">
        <f>919820231327</f>
        <v>919820231327</v>
      </c>
      <c r="Q248" s="251">
        <v>45637.6450462963</v>
      </c>
      <c r="R248" s="251">
        <v>45972.0</v>
      </c>
      <c r="S248" s="251">
        <v>45638.607094907406</v>
      </c>
      <c r="T248" s="251">
        <v>45638.60707175926</v>
      </c>
      <c r="U248" s="251"/>
      <c r="V248" s="251">
        <v>45637.54415509259</v>
      </c>
      <c r="W248" s="245" t="s">
        <v>1669</v>
      </c>
    </row>
    <row r="249" ht="15.75" customHeight="1">
      <c r="A249" s="246" t="s">
        <v>1711</v>
      </c>
      <c r="B249" s="247" t="s">
        <v>1369</v>
      </c>
      <c r="C249" s="247" t="s">
        <v>1166</v>
      </c>
      <c r="D249" s="247" t="s">
        <v>1330</v>
      </c>
      <c r="E249" s="247" t="s">
        <v>1341</v>
      </c>
      <c r="F249" s="247">
        <v>499.0</v>
      </c>
      <c r="G249" s="247" t="s">
        <v>1331</v>
      </c>
      <c r="H249" s="247">
        <v>1.0</v>
      </c>
      <c r="I249" s="247">
        <v>1.0</v>
      </c>
      <c r="J249" s="247">
        <v>12.0</v>
      </c>
      <c r="K249" s="247">
        <v>1.0</v>
      </c>
      <c r="L249" s="247">
        <v>1.0</v>
      </c>
      <c r="M249" s="247"/>
      <c r="N249" s="247"/>
      <c r="O249" s="247" t="s">
        <v>1712</v>
      </c>
      <c r="P249" s="247">
        <f>918369939042</f>
        <v>918369939042</v>
      </c>
      <c r="Q249" s="252">
        <v>45637.72861111111</v>
      </c>
      <c r="R249" s="252">
        <v>45972.0</v>
      </c>
      <c r="S249" s="252">
        <v>45637.72902777778</v>
      </c>
      <c r="T249" s="252">
        <v>45637.7290162037</v>
      </c>
      <c r="U249" s="249">
        <v>45668.46465277778</v>
      </c>
      <c r="V249" s="252">
        <v>45637.72715277778</v>
      </c>
      <c r="W249" s="250" t="s">
        <v>1669</v>
      </c>
    </row>
    <row r="250" ht="15.75" customHeight="1">
      <c r="A250" s="241" t="s">
        <v>1713</v>
      </c>
      <c r="B250" s="242" t="s">
        <v>1328</v>
      </c>
      <c r="C250" s="242" t="s">
        <v>1166</v>
      </c>
      <c r="D250" s="242" t="s">
        <v>1330</v>
      </c>
      <c r="E250" s="242" t="s">
        <v>1341</v>
      </c>
      <c r="F250" s="242">
        <v>499.0</v>
      </c>
      <c r="G250" s="242" t="s">
        <v>1331</v>
      </c>
      <c r="H250" s="242">
        <v>1.0</v>
      </c>
      <c r="I250" s="242">
        <v>1.0</v>
      </c>
      <c r="J250" s="242">
        <v>12.0</v>
      </c>
      <c r="K250" s="242">
        <v>0.0</v>
      </c>
      <c r="L250" s="242">
        <v>1.0</v>
      </c>
      <c r="M250" s="242"/>
      <c r="N250" s="242"/>
      <c r="O250" s="242"/>
      <c r="P250" s="242"/>
      <c r="Q250" s="242"/>
      <c r="R250" s="242"/>
      <c r="S250" s="242"/>
      <c r="T250" s="242"/>
      <c r="U250" s="242"/>
      <c r="V250" s="251">
        <v>45638.773564814815</v>
      </c>
      <c r="W250" s="245" t="s">
        <v>1669</v>
      </c>
    </row>
    <row r="251" ht="15.75" customHeight="1">
      <c r="A251" s="246" t="s">
        <v>1714</v>
      </c>
      <c r="B251" s="247" t="s">
        <v>1328</v>
      </c>
      <c r="C251" s="247" t="s">
        <v>1166</v>
      </c>
      <c r="D251" s="247" t="s">
        <v>1330</v>
      </c>
      <c r="E251" s="247" t="s">
        <v>1341</v>
      </c>
      <c r="F251" s="247">
        <v>499.0</v>
      </c>
      <c r="G251" s="247" t="s">
        <v>1331</v>
      </c>
      <c r="H251" s="247">
        <v>1.0</v>
      </c>
      <c r="I251" s="247">
        <v>1.0</v>
      </c>
      <c r="J251" s="247">
        <v>12.0</v>
      </c>
      <c r="K251" s="247">
        <v>0.0</v>
      </c>
      <c r="L251" s="247">
        <v>1.0</v>
      </c>
      <c r="M251" s="247"/>
      <c r="N251" s="247"/>
      <c r="O251" s="247"/>
      <c r="P251" s="247"/>
      <c r="Q251" s="247"/>
      <c r="R251" s="247"/>
      <c r="S251" s="247"/>
      <c r="T251" s="247"/>
      <c r="U251" s="247"/>
      <c r="V251" s="252">
        <v>45639.563425925924</v>
      </c>
      <c r="W251" s="250" t="s">
        <v>1669</v>
      </c>
    </row>
    <row r="252" ht="15.75" customHeight="1">
      <c r="A252" s="241" t="s">
        <v>1715</v>
      </c>
      <c r="B252" s="242" t="s">
        <v>1328</v>
      </c>
      <c r="C252" s="242" t="s">
        <v>1166</v>
      </c>
      <c r="D252" s="242" t="s">
        <v>1330</v>
      </c>
      <c r="E252" s="242" t="s">
        <v>1341</v>
      </c>
      <c r="F252" s="242">
        <v>499.0</v>
      </c>
      <c r="G252" s="242" t="s">
        <v>1331</v>
      </c>
      <c r="H252" s="242">
        <v>1.0</v>
      </c>
      <c r="I252" s="242">
        <v>1.0</v>
      </c>
      <c r="J252" s="242">
        <v>12.0</v>
      </c>
      <c r="K252" s="242">
        <v>0.0</v>
      </c>
      <c r="L252" s="242">
        <v>1.0</v>
      </c>
      <c r="M252" s="242"/>
      <c r="N252" s="242"/>
      <c r="O252" s="242"/>
      <c r="P252" s="242"/>
      <c r="Q252" s="242"/>
      <c r="R252" s="242"/>
      <c r="S252" s="242"/>
      <c r="T252" s="242"/>
      <c r="U252" s="242"/>
      <c r="V252" s="251">
        <v>45641.28701388889</v>
      </c>
      <c r="W252" s="245" t="s">
        <v>1669</v>
      </c>
    </row>
    <row r="253" ht="15.75" customHeight="1">
      <c r="A253" s="246" t="s">
        <v>1223</v>
      </c>
      <c r="B253" s="247" t="s">
        <v>1340</v>
      </c>
      <c r="C253" s="247" t="s">
        <v>1224</v>
      </c>
      <c r="D253" s="247" t="s">
        <v>1716</v>
      </c>
      <c r="E253" s="247" t="s">
        <v>1717</v>
      </c>
      <c r="F253" s="247">
        <v>60000.0</v>
      </c>
      <c r="G253" s="247" t="s">
        <v>1331</v>
      </c>
      <c r="H253" s="247">
        <v>6.0</v>
      </c>
      <c r="I253" s="247">
        <v>1.0</v>
      </c>
      <c r="J253" s="247">
        <v>2.0</v>
      </c>
      <c r="K253" s="247">
        <v>1.0</v>
      </c>
      <c r="L253" s="247">
        <v>1.0</v>
      </c>
      <c r="M253" s="247"/>
      <c r="N253" s="247"/>
      <c r="O253" s="247" t="s">
        <v>1718</v>
      </c>
      <c r="P253" s="247">
        <f>919999394697</f>
        <v>919999394697</v>
      </c>
      <c r="Q253" s="252">
        <v>45646.75803240741</v>
      </c>
      <c r="R253" s="249">
        <v>45828.0</v>
      </c>
      <c r="S253" s="252">
        <v>45647.62388888889</v>
      </c>
      <c r="T253" s="252">
        <v>45647.62386574074</v>
      </c>
      <c r="U253" s="252"/>
      <c r="V253" s="252">
        <v>45643.72466435185</v>
      </c>
      <c r="W253" s="250" t="s">
        <v>1669</v>
      </c>
    </row>
    <row r="254" ht="15.75" customHeight="1">
      <c r="A254" s="241" t="s">
        <v>1220</v>
      </c>
      <c r="B254" s="242" t="s">
        <v>1340</v>
      </c>
      <c r="C254" s="242" t="s">
        <v>1166</v>
      </c>
      <c r="D254" s="242" t="s">
        <v>1330</v>
      </c>
      <c r="E254" s="242" t="s">
        <v>1341</v>
      </c>
      <c r="F254" s="242">
        <v>499.0</v>
      </c>
      <c r="G254" s="242" t="s">
        <v>1331</v>
      </c>
      <c r="H254" s="242">
        <v>1.0</v>
      </c>
      <c r="I254" s="242">
        <v>1.0</v>
      </c>
      <c r="J254" s="242">
        <v>12.0</v>
      </c>
      <c r="K254" s="242">
        <v>3.0</v>
      </c>
      <c r="L254" s="242">
        <v>1.0</v>
      </c>
      <c r="M254" s="242"/>
      <c r="N254" s="242"/>
      <c r="O254" s="242" t="s">
        <v>1719</v>
      </c>
      <c r="P254" s="242">
        <f>919899443316</f>
        <v>919899443316</v>
      </c>
      <c r="Q254" s="251">
        <v>45643.83128472222</v>
      </c>
      <c r="R254" s="251">
        <v>45978.0</v>
      </c>
      <c r="S254" s="251">
        <v>45643.83150462963</v>
      </c>
      <c r="T254" s="251">
        <v>45643.83149305556</v>
      </c>
      <c r="U254" s="251"/>
      <c r="V254" s="251">
        <v>45643.83101851852</v>
      </c>
      <c r="W254" s="245" t="s">
        <v>1669</v>
      </c>
    </row>
    <row r="255" ht="15.75" customHeight="1">
      <c r="A255" s="246" t="s">
        <v>1720</v>
      </c>
      <c r="B255" s="247" t="s">
        <v>1350</v>
      </c>
      <c r="C255" s="247" t="s">
        <v>1166</v>
      </c>
      <c r="D255" s="247" t="s">
        <v>1330</v>
      </c>
      <c r="E255" s="247" t="s">
        <v>1341</v>
      </c>
      <c r="F255" s="247">
        <v>499.0</v>
      </c>
      <c r="G255" s="247" t="s">
        <v>1331</v>
      </c>
      <c r="H255" s="247">
        <v>1.0</v>
      </c>
      <c r="I255" s="247">
        <v>1.0</v>
      </c>
      <c r="J255" s="247">
        <v>12.0</v>
      </c>
      <c r="K255" s="247">
        <v>2.0</v>
      </c>
      <c r="L255" s="247">
        <v>1.0</v>
      </c>
      <c r="M255" s="247"/>
      <c r="N255" s="247"/>
      <c r="O255" s="247" t="s">
        <v>1721</v>
      </c>
      <c r="P255" s="247">
        <f>919535107553</f>
        <v>919535107553</v>
      </c>
      <c r="Q255" s="252">
        <v>45644.59195601852</v>
      </c>
      <c r="R255" s="252">
        <v>45979.0</v>
      </c>
      <c r="S255" s="252">
        <v>45644.593090277776</v>
      </c>
      <c r="T255" s="252">
        <v>45644.59307870371</v>
      </c>
      <c r="U255" s="252"/>
      <c r="V255" s="252">
        <v>45644.59123842593</v>
      </c>
      <c r="W255" s="250" t="s">
        <v>1669</v>
      </c>
    </row>
    <row r="256" ht="15.75" customHeight="1">
      <c r="A256" s="241" t="s">
        <v>1722</v>
      </c>
      <c r="B256" s="242" t="s">
        <v>1328</v>
      </c>
      <c r="C256" s="242" t="s">
        <v>1166</v>
      </c>
      <c r="D256" s="242" t="s">
        <v>1330</v>
      </c>
      <c r="E256" s="242" t="s">
        <v>1341</v>
      </c>
      <c r="F256" s="242">
        <v>499.0</v>
      </c>
      <c r="G256" s="242" t="s">
        <v>1331</v>
      </c>
      <c r="H256" s="242">
        <v>1.0</v>
      </c>
      <c r="I256" s="242">
        <v>1.0</v>
      </c>
      <c r="J256" s="242">
        <v>12.0</v>
      </c>
      <c r="K256" s="242">
        <v>0.0</v>
      </c>
      <c r="L256" s="242">
        <v>1.0</v>
      </c>
      <c r="M256" s="242"/>
      <c r="N256" s="242"/>
      <c r="O256" s="242"/>
      <c r="P256" s="242"/>
      <c r="Q256" s="242"/>
      <c r="R256" s="242"/>
      <c r="S256" s="242"/>
      <c r="T256" s="242"/>
      <c r="U256" s="242"/>
      <c r="V256" s="251">
        <v>45645.73741898148</v>
      </c>
      <c r="W256" s="245" t="s">
        <v>1669</v>
      </c>
    </row>
    <row r="257" ht="15.75" customHeight="1">
      <c r="A257" s="246" t="s">
        <v>1723</v>
      </c>
      <c r="B257" s="247" t="s">
        <v>1328</v>
      </c>
      <c r="C257" s="247" t="s">
        <v>1166</v>
      </c>
      <c r="D257" s="247" t="s">
        <v>1330</v>
      </c>
      <c r="E257" s="247" t="s">
        <v>1341</v>
      </c>
      <c r="F257" s="247">
        <v>499.0</v>
      </c>
      <c r="G257" s="247" t="s">
        <v>1331</v>
      </c>
      <c r="H257" s="247">
        <v>1.0</v>
      </c>
      <c r="I257" s="247">
        <v>1.0</v>
      </c>
      <c r="J257" s="247">
        <v>12.0</v>
      </c>
      <c r="K257" s="247">
        <v>0.0</v>
      </c>
      <c r="L257" s="247">
        <v>1.0</v>
      </c>
      <c r="M257" s="247"/>
      <c r="N257" s="247"/>
      <c r="O257" s="247"/>
      <c r="P257" s="247"/>
      <c r="Q257" s="247"/>
      <c r="R257" s="247"/>
      <c r="S257" s="247"/>
      <c r="T257" s="247"/>
      <c r="U257" s="247"/>
      <c r="V257" s="252">
        <v>45645.91758101852</v>
      </c>
      <c r="W257" s="250" t="s">
        <v>1669</v>
      </c>
    </row>
    <row r="258" ht="15.75" customHeight="1">
      <c r="A258" s="241" t="s">
        <v>1724</v>
      </c>
      <c r="B258" s="242" t="s">
        <v>1369</v>
      </c>
      <c r="C258" s="242" t="s">
        <v>1166</v>
      </c>
      <c r="D258" s="242" t="s">
        <v>1330</v>
      </c>
      <c r="E258" s="242" t="s">
        <v>1341</v>
      </c>
      <c r="F258" s="242">
        <v>499.0</v>
      </c>
      <c r="G258" s="242" t="s">
        <v>1331</v>
      </c>
      <c r="H258" s="242">
        <v>1.0</v>
      </c>
      <c r="I258" s="242">
        <v>1.0</v>
      </c>
      <c r="J258" s="242">
        <v>12.0</v>
      </c>
      <c r="K258" s="242">
        <v>1.0</v>
      </c>
      <c r="L258" s="242">
        <v>1.0</v>
      </c>
      <c r="M258" s="242"/>
      <c r="N258" s="242"/>
      <c r="O258" s="242" t="s">
        <v>1725</v>
      </c>
      <c r="P258" s="242">
        <f>918848954969</f>
        <v>918848954969</v>
      </c>
      <c r="Q258" s="251">
        <v>45646.454189814816</v>
      </c>
      <c r="R258" s="251">
        <v>45981.0</v>
      </c>
      <c r="S258" s="251">
        <v>45646.45462962963</v>
      </c>
      <c r="T258" s="251">
        <v>45646.45460648148</v>
      </c>
      <c r="U258" s="244">
        <v>45690.71976851852</v>
      </c>
      <c r="V258" s="251">
        <v>45646.45385416667</v>
      </c>
      <c r="W258" s="245" t="s">
        <v>1669</v>
      </c>
    </row>
    <row r="259" ht="15.75" customHeight="1">
      <c r="A259" s="246" t="s">
        <v>1217</v>
      </c>
      <c r="B259" s="247" t="s">
        <v>1340</v>
      </c>
      <c r="C259" s="247" t="s">
        <v>1166</v>
      </c>
      <c r="D259" s="247" t="s">
        <v>1330</v>
      </c>
      <c r="E259" s="247" t="s">
        <v>1341</v>
      </c>
      <c r="F259" s="247">
        <v>499.0</v>
      </c>
      <c r="G259" s="247" t="s">
        <v>1331</v>
      </c>
      <c r="H259" s="247">
        <v>1.0</v>
      </c>
      <c r="I259" s="247">
        <v>1.0</v>
      </c>
      <c r="J259" s="247">
        <v>12.0</v>
      </c>
      <c r="K259" s="247">
        <v>3.0</v>
      </c>
      <c r="L259" s="247">
        <v>1.0</v>
      </c>
      <c r="M259" s="247"/>
      <c r="N259" s="247"/>
      <c r="O259" s="247" t="s">
        <v>1726</v>
      </c>
      <c r="P259" s="247">
        <f>919999049712</f>
        <v>919999049712</v>
      </c>
      <c r="Q259" s="252">
        <v>45646.70638888889</v>
      </c>
      <c r="R259" s="252">
        <v>45981.0</v>
      </c>
      <c r="S259" s="252">
        <v>45646.706967592596</v>
      </c>
      <c r="T259" s="252">
        <v>45646.70694444444</v>
      </c>
      <c r="U259" s="252"/>
      <c r="V259" s="252">
        <v>45646.70626157407</v>
      </c>
      <c r="W259" s="250" t="s">
        <v>1669</v>
      </c>
    </row>
    <row r="260" ht="15.75" customHeight="1">
      <c r="A260" s="241" t="s">
        <v>1727</v>
      </c>
      <c r="B260" s="242" t="s">
        <v>1498</v>
      </c>
      <c r="C260" s="242" t="s">
        <v>1728</v>
      </c>
      <c r="D260" s="242" t="s">
        <v>1729</v>
      </c>
      <c r="E260" s="242"/>
      <c r="F260" s="242">
        <v>81000.0</v>
      </c>
      <c r="G260" s="242" t="s">
        <v>1331</v>
      </c>
      <c r="H260" s="242">
        <v>3.0</v>
      </c>
      <c r="I260" s="242">
        <v>1.0</v>
      </c>
      <c r="J260" s="242">
        <v>4.0</v>
      </c>
      <c r="K260" s="242">
        <v>0.0</v>
      </c>
      <c r="L260" s="242">
        <v>1.0</v>
      </c>
      <c r="M260" s="242"/>
      <c r="N260" s="242"/>
      <c r="O260" s="242"/>
      <c r="P260" s="242"/>
      <c r="Q260" s="244">
        <v>45658.0</v>
      </c>
      <c r="R260" s="244">
        <v>45931.0</v>
      </c>
      <c r="S260" s="244"/>
      <c r="T260" s="242"/>
      <c r="U260" s="242"/>
      <c r="V260" s="251">
        <v>45646.90237268519</v>
      </c>
      <c r="W260" s="245" t="s">
        <v>1669</v>
      </c>
    </row>
    <row r="261" ht="15.75" customHeight="1">
      <c r="A261" s="246" t="s">
        <v>1730</v>
      </c>
      <c r="B261" s="247" t="s">
        <v>1498</v>
      </c>
      <c r="C261" s="247" t="s">
        <v>1728</v>
      </c>
      <c r="D261" s="247" t="s">
        <v>1729</v>
      </c>
      <c r="E261" s="247"/>
      <c r="F261" s="247">
        <v>81000.0</v>
      </c>
      <c r="G261" s="247" t="s">
        <v>1331</v>
      </c>
      <c r="H261" s="247">
        <v>3.0</v>
      </c>
      <c r="I261" s="247">
        <v>1.0</v>
      </c>
      <c r="J261" s="247">
        <v>4.0</v>
      </c>
      <c r="K261" s="247">
        <v>0.0</v>
      </c>
      <c r="L261" s="247">
        <v>1.0</v>
      </c>
      <c r="M261" s="247"/>
      <c r="N261" s="247"/>
      <c r="O261" s="247"/>
      <c r="P261" s="247"/>
      <c r="Q261" s="249">
        <v>45658.0</v>
      </c>
      <c r="R261" s="249">
        <v>45931.0</v>
      </c>
      <c r="S261" s="249"/>
      <c r="T261" s="247"/>
      <c r="U261" s="247"/>
      <c r="V261" s="252">
        <v>45646.90451388889</v>
      </c>
      <c r="W261" s="250" t="s">
        <v>1669</v>
      </c>
    </row>
    <row r="262" ht="15.75" customHeight="1">
      <c r="A262" s="241" t="s">
        <v>1212</v>
      </c>
      <c r="B262" s="242" t="s">
        <v>1340</v>
      </c>
      <c r="C262" s="242" t="s">
        <v>1213</v>
      </c>
      <c r="D262" s="242" t="s">
        <v>1729</v>
      </c>
      <c r="E262" s="242"/>
      <c r="F262" s="242">
        <v>80000.0</v>
      </c>
      <c r="G262" s="242" t="s">
        <v>1331</v>
      </c>
      <c r="H262" s="242">
        <v>3.0</v>
      </c>
      <c r="I262" s="242">
        <v>1.0</v>
      </c>
      <c r="J262" s="242">
        <v>4.0</v>
      </c>
      <c r="K262" s="242">
        <v>0.0</v>
      </c>
      <c r="L262" s="242">
        <v>1.0</v>
      </c>
      <c r="M262" s="242" t="s">
        <v>1215</v>
      </c>
      <c r="N262" s="242"/>
      <c r="O262" s="242" t="s">
        <v>1731</v>
      </c>
      <c r="P262" s="242">
        <f>919833382455</f>
        <v>919833382455</v>
      </c>
      <c r="Q262" s="244">
        <v>45658.0</v>
      </c>
      <c r="R262" s="244">
        <v>45931.0</v>
      </c>
      <c r="S262" s="251">
        <v>45654.50951388889</v>
      </c>
      <c r="T262" s="251"/>
      <c r="U262" s="242"/>
      <c r="V262" s="251">
        <v>45646.9305787037</v>
      </c>
      <c r="W262" s="245" t="s">
        <v>1669</v>
      </c>
    </row>
    <row r="263" ht="15.75" customHeight="1">
      <c r="A263" s="246" t="s">
        <v>1732</v>
      </c>
      <c r="B263" s="247" t="s">
        <v>1369</v>
      </c>
      <c r="C263" s="247" t="s">
        <v>1166</v>
      </c>
      <c r="D263" s="247" t="s">
        <v>1330</v>
      </c>
      <c r="E263" s="247" t="s">
        <v>1341</v>
      </c>
      <c r="F263" s="247">
        <v>499.0</v>
      </c>
      <c r="G263" s="247" t="s">
        <v>1331</v>
      </c>
      <c r="H263" s="247">
        <v>1.0</v>
      </c>
      <c r="I263" s="247">
        <v>1.0</v>
      </c>
      <c r="J263" s="247">
        <v>12.0</v>
      </c>
      <c r="K263" s="247">
        <v>2.0</v>
      </c>
      <c r="L263" s="247">
        <v>1.0</v>
      </c>
      <c r="M263" s="247"/>
      <c r="N263" s="247"/>
      <c r="O263" s="247" t="s">
        <v>1733</v>
      </c>
      <c r="P263" s="247">
        <f>917999737918</f>
        <v>917999737918</v>
      </c>
      <c r="Q263" s="252">
        <v>45649.775405092594</v>
      </c>
      <c r="R263" s="252">
        <v>45984.0</v>
      </c>
      <c r="S263" s="252">
        <v>45649.77591435185</v>
      </c>
      <c r="T263" s="252">
        <v>45649.77590277778</v>
      </c>
      <c r="U263" s="249">
        <v>45688.096504629626</v>
      </c>
      <c r="V263" s="252">
        <v>45649.77449074074</v>
      </c>
      <c r="W263" s="250" t="s">
        <v>1669</v>
      </c>
    </row>
    <row r="264" ht="15.75" customHeight="1">
      <c r="A264" s="241" t="s">
        <v>1734</v>
      </c>
      <c r="B264" s="242" t="s">
        <v>1350</v>
      </c>
      <c r="C264" s="242" t="s">
        <v>1166</v>
      </c>
      <c r="D264" s="242" t="s">
        <v>1330</v>
      </c>
      <c r="E264" s="242" t="s">
        <v>1341</v>
      </c>
      <c r="F264" s="242">
        <v>499.0</v>
      </c>
      <c r="G264" s="242" t="s">
        <v>1331</v>
      </c>
      <c r="H264" s="242">
        <v>1.0</v>
      </c>
      <c r="I264" s="242">
        <v>1.0</v>
      </c>
      <c r="J264" s="242">
        <v>12.0</v>
      </c>
      <c r="K264" s="242">
        <v>2.0</v>
      </c>
      <c r="L264" s="242">
        <v>1.0</v>
      </c>
      <c r="M264" s="242" t="s">
        <v>1735</v>
      </c>
      <c r="N264" s="242"/>
      <c r="O264" s="242"/>
      <c r="P264" s="242">
        <f>918779191963</f>
        <v>918779191963</v>
      </c>
      <c r="Q264" s="251">
        <v>45650.40012731482</v>
      </c>
      <c r="R264" s="251">
        <v>45985.0</v>
      </c>
      <c r="S264" s="251">
        <v>45650.400405092594</v>
      </c>
      <c r="T264" s="251">
        <v>45650.40038194445</v>
      </c>
      <c r="U264" s="251"/>
      <c r="V264" s="251">
        <v>45650.39978009259</v>
      </c>
      <c r="W264" s="245" t="s">
        <v>1669</v>
      </c>
    </row>
    <row r="265" ht="15.75" customHeight="1">
      <c r="A265" s="246" t="s">
        <v>1207</v>
      </c>
      <c r="B265" s="247" t="s">
        <v>1340</v>
      </c>
      <c r="C265" s="247" t="s">
        <v>1208</v>
      </c>
      <c r="D265" s="247" t="s">
        <v>1736</v>
      </c>
      <c r="E265" s="247" t="s">
        <v>1737</v>
      </c>
      <c r="F265" s="247">
        <v>36900.0</v>
      </c>
      <c r="G265" s="247" t="s">
        <v>1331</v>
      </c>
      <c r="H265" s="247">
        <v>3.0</v>
      </c>
      <c r="I265" s="247">
        <v>1.0</v>
      </c>
      <c r="J265" s="247">
        <v>4.0</v>
      </c>
      <c r="K265" s="247">
        <v>1.0</v>
      </c>
      <c r="L265" s="247">
        <v>1.0</v>
      </c>
      <c r="M265" s="247" t="s">
        <v>1210</v>
      </c>
      <c r="N265" s="247"/>
      <c r="O265" s="247" t="s">
        <v>1738</v>
      </c>
      <c r="P265" s="247">
        <f>919811092113</f>
        <v>919811092113</v>
      </c>
      <c r="Q265" s="252">
        <v>45652.78805555555</v>
      </c>
      <c r="R265" s="249">
        <v>45926.0</v>
      </c>
      <c r="S265" s="252">
        <v>45652.78842592592</v>
      </c>
      <c r="T265" s="252">
        <v>45652.788402777776</v>
      </c>
      <c r="U265" s="252"/>
      <c r="V265" s="252">
        <v>45651.6428125</v>
      </c>
      <c r="W265" s="250" t="s">
        <v>1669</v>
      </c>
    </row>
    <row r="266" ht="15.75" customHeight="1">
      <c r="A266" s="241" t="s">
        <v>1739</v>
      </c>
      <c r="B266" s="242" t="s">
        <v>1369</v>
      </c>
      <c r="C266" s="242" t="s">
        <v>1166</v>
      </c>
      <c r="D266" s="242" t="s">
        <v>1330</v>
      </c>
      <c r="E266" s="242" t="s">
        <v>1341</v>
      </c>
      <c r="F266" s="242">
        <v>499.0</v>
      </c>
      <c r="G266" s="242" t="s">
        <v>1331</v>
      </c>
      <c r="H266" s="242">
        <v>1.0</v>
      </c>
      <c r="I266" s="242">
        <v>1.0</v>
      </c>
      <c r="J266" s="242">
        <v>12.0</v>
      </c>
      <c r="K266" s="242">
        <v>0.0</v>
      </c>
      <c r="L266" s="242">
        <v>1.0</v>
      </c>
      <c r="M266" s="242"/>
      <c r="N266" s="242"/>
      <c r="O266" s="242"/>
      <c r="P266" s="242"/>
      <c r="Q266" s="242"/>
      <c r="R266" s="242"/>
      <c r="S266" s="242"/>
      <c r="T266" s="242"/>
      <c r="U266" s="251">
        <v>45652.494467592594</v>
      </c>
      <c r="V266" s="251">
        <v>45652.4924537037</v>
      </c>
      <c r="W266" s="245" t="s">
        <v>1669</v>
      </c>
    </row>
    <row r="267" ht="15.75" customHeight="1">
      <c r="A267" s="246" t="s">
        <v>1740</v>
      </c>
      <c r="B267" s="247" t="s">
        <v>1328</v>
      </c>
      <c r="C267" s="247" t="s">
        <v>1166</v>
      </c>
      <c r="D267" s="247" t="s">
        <v>1330</v>
      </c>
      <c r="E267" s="247" t="s">
        <v>1341</v>
      </c>
      <c r="F267" s="247">
        <v>499.0</v>
      </c>
      <c r="G267" s="247" t="s">
        <v>1331</v>
      </c>
      <c r="H267" s="247">
        <v>1.0</v>
      </c>
      <c r="I267" s="247">
        <v>1.0</v>
      </c>
      <c r="J267" s="247">
        <v>12.0</v>
      </c>
      <c r="K267" s="247">
        <v>0.0</v>
      </c>
      <c r="L267" s="247">
        <v>1.0</v>
      </c>
      <c r="M267" s="247"/>
      <c r="N267" s="247"/>
      <c r="O267" s="247"/>
      <c r="P267" s="247"/>
      <c r="Q267" s="247"/>
      <c r="R267" s="247"/>
      <c r="S267" s="247"/>
      <c r="T267" s="247"/>
      <c r="U267" s="247"/>
      <c r="V267" s="252">
        <v>45652.49458333333</v>
      </c>
      <c r="W267" s="250" t="s">
        <v>1669</v>
      </c>
    </row>
    <row r="268" ht="15.75" customHeight="1">
      <c r="A268" s="241" t="s">
        <v>1741</v>
      </c>
      <c r="B268" s="242" t="s">
        <v>1328</v>
      </c>
      <c r="C268" s="242" t="s">
        <v>1166</v>
      </c>
      <c r="D268" s="242" t="s">
        <v>1330</v>
      </c>
      <c r="E268" s="242" t="s">
        <v>1341</v>
      </c>
      <c r="F268" s="242">
        <v>499.0</v>
      </c>
      <c r="G268" s="242" t="s">
        <v>1331</v>
      </c>
      <c r="H268" s="242">
        <v>1.0</v>
      </c>
      <c r="I268" s="242">
        <v>1.0</v>
      </c>
      <c r="J268" s="242">
        <v>12.0</v>
      </c>
      <c r="K268" s="242">
        <v>0.0</v>
      </c>
      <c r="L268" s="242">
        <v>1.0</v>
      </c>
      <c r="M268" s="242"/>
      <c r="N268" s="242"/>
      <c r="O268" s="242"/>
      <c r="P268" s="242"/>
      <c r="Q268" s="242"/>
      <c r="R268" s="242"/>
      <c r="S268" s="242"/>
      <c r="T268" s="242"/>
      <c r="U268" s="242"/>
      <c r="V268" s="251">
        <v>45652.62869212963</v>
      </c>
      <c r="W268" s="245" t="s">
        <v>1669</v>
      </c>
    </row>
    <row r="269" ht="15.75" customHeight="1">
      <c r="A269" s="246" t="s">
        <v>1742</v>
      </c>
      <c r="B269" s="247" t="s">
        <v>1328</v>
      </c>
      <c r="C269" s="247" t="s">
        <v>1166</v>
      </c>
      <c r="D269" s="247" t="s">
        <v>1330</v>
      </c>
      <c r="E269" s="247" t="s">
        <v>1341</v>
      </c>
      <c r="F269" s="247">
        <v>499.0</v>
      </c>
      <c r="G269" s="247" t="s">
        <v>1331</v>
      </c>
      <c r="H269" s="247">
        <v>1.0</v>
      </c>
      <c r="I269" s="247">
        <v>1.0</v>
      </c>
      <c r="J269" s="247">
        <v>12.0</v>
      </c>
      <c r="K269" s="247">
        <v>0.0</v>
      </c>
      <c r="L269" s="247">
        <v>1.0</v>
      </c>
      <c r="M269" s="247"/>
      <c r="N269" s="247"/>
      <c r="O269" s="247"/>
      <c r="P269" s="247"/>
      <c r="Q269" s="247"/>
      <c r="R269" s="247"/>
      <c r="S269" s="247"/>
      <c r="T269" s="247"/>
      <c r="U269" s="247"/>
      <c r="V269" s="252">
        <v>45652.78344907407</v>
      </c>
      <c r="W269" s="250" t="s">
        <v>1669</v>
      </c>
    </row>
    <row r="270" ht="15.75" customHeight="1">
      <c r="A270" s="241" t="s">
        <v>1743</v>
      </c>
      <c r="B270" s="242" t="s">
        <v>1369</v>
      </c>
      <c r="C270" s="242" t="s">
        <v>1166</v>
      </c>
      <c r="D270" s="242" t="s">
        <v>1330</v>
      </c>
      <c r="E270" s="242" t="s">
        <v>1341</v>
      </c>
      <c r="F270" s="242">
        <v>499.0</v>
      </c>
      <c r="G270" s="242" t="s">
        <v>1331</v>
      </c>
      <c r="H270" s="242">
        <v>1.0</v>
      </c>
      <c r="I270" s="242">
        <v>1.0</v>
      </c>
      <c r="J270" s="242">
        <v>12.0</v>
      </c>
      <c r="K270" s="242">
        <v>1.0</v>
      </c>
      <c r="L270" s="242">
        <v>1.0</v>
      </c>
      <c r="M270" s="242"/>
      <c r="N270" s="242"/>
      <c r="O270" s="242" t="s">
        <v>1744</v>
      </c>
      <c r="P270" s="242">
        <f>918240917538</f>
        <v>918240917538</v>
      </c>
      <c r="Q270" s="251">
        <v>45653.59074074074</v>
      </c>
      <c r="R270" s="251">
        <v>45988.0</v>
      </c>
      <c r="S270" s="251">
        <v>45653.5916087963</v>
      </c>
      <c r="T270" s="251">
        <v>45653.59159722222</v>
      </c>
      <c r="U270" s="251">
        <v>45657.05440972222</v>
      </c>
      <c r="V270" s="251">
        <v>45653.590578703705</v>
      </c>
      <c r="W270" s="245" t="s">
        <v>1669</v>
      </c>
    </row>
    <row r="271" ht="15.75" customHeight="1">
      <c r="A271" s="246" t="s">
        <v>1745</v>
      </c>
      <c r="B271" s="247" t="s">
        <v>1328</v>
      </c>
      <c r="C271" s="247" t="s">
        <v>1166</v>
      </c>
      <c r="D271" s="247" t="s">
        <v>1330</v>
      </c>
      <c r="E271" s="247" t="s">
        <v>1341</v>
      </c>
      <c r="F271" s="247">
        <v>499.0</v>
      </c>
      <c r="G271" s="247" t="s">
        <v>1331</v>
      </c>
      <c r="H271" s="247">
        <v>1.0</v>
      </c>
      <c r="I271" s="247">
        <v>1.0</v>
      </c>
      <c r="J271" s="247">
        <v>12.0</v>
      </c>
      <c r="K271" s="247">
        <v>0.0</v>
      </c>
      <c r="L271" s="247">
        <v>1.0</v>
      </c>
      <c r="M271" s="247"/>
      <c r="N271" s="247"/>
      <c r="O271" s="247"/>
      <c r="P271" s="247"/>
      <c r="Q271" s="247"/>
      <c r="R271" s="247"/>
      <c r="S271" s="247"/>
      <c r="T271" s="247"/>
      <c r="U271" s="247"/>
      <c r="V271" s="252">
        <v>45653.59918981481</v>
      </c>
      <c r="W271" s="250" t="s">
        <v>1669</v>
      </c>
    </row>
    <row r="272" ht="15.75" customHeight="1">
      <c r="A272" s="241" t="s">
        <v>1746</v>
      </c>
      <c r="B272" s="242" t="s">
        <v>1328</v>
      </c>
      <c r="C272" s="242" t="s">
        <v>1166</v>
      </c>
      <c r="D272" s="242" t="s">
        <v>1330</v>
      </c>
      <c r="E272" s="242" t="s">
        <v>1341</v>
      </c>
      <c r="F272" s="242">
        <v>499.0</v>
      </c>
      <c r="G272" s="242" t="s">
        <v>1331</v>
      </c>
      <c r="H272" s="242">
        <v>1.0</v>
      </c>
      <c r="I272" s="242">
        <v>1.0</v>
      </c>
      <c r="J272" s="242">
        <v>12.0</v>
      </c>
      <c r="K272" s="242">
        <v>0.0</v>
      </c>
      <c r="L272" s="242">
        <v>1.0</v>
      </c>
      <c r="M272" s="242"/>
      <c r="N272" s="242"/>
      <c r="O272" s="242"/>
      <c r="P272" s="242"/>
      <c r="Q272" s="242"/>
      <c r="R272" s="242"/>
      <c r="S272" s="242"/>
      <c r="T272" s="242"/>
      <c r="U272" s="242"/>
      <c r="V272" s="251">
        <v>45654.56725694444</v>
      </c>
      <c r="W272" s="245" t="s">
        <v>1669</v>
      </c>
    </row>
    <row r="273" ht="15.75" customHeight="1">
      <c r="A273" s="246" t="s">
        <v>1747</v>
      </c>
      <c r="B273" s="247" t="s">
        <v>1369</v>
      </c>
      <c r="C273" s="247" t="s">
        <v>1166</v>
      </c>
      <c r="D273" s="247" t="s">
        <v>1330</v>
      </c>
      <c r="E273" s="247" t="s">
        <v>1341</v>
      </c>
      <c r="F273" s="247">
        <v>499.0</v>
      </c>
      <c r="G273" s="247" t="s">
        <v>1331</v>
      </c>
      <c r="H273" s="247">
        <v>1.0</v>
      </c>
      <c r="I273" s="247">
        <v>1.0</v>
      </c>
      <c r="J273" s="247">
        <v>12.0</v>
      </c>
      <c r="K273" s="247">
        <v>1.0</v>
      </c>
      <c r="L273" s="247">
        <v>1.0</v>
      </c>
      <c r="M273" s="247"/>
      <c r="N273" s="247"/>
      <c r="O273" s="247" t="s">
        <v>1748</v>
      </c>
      <c r="P273" s="247">
        <f>918805865543</f>
        <v>918805865543</v>
      </c>
      <c r="Q273" s="252">
        <v>45655.60537037037</v>
      </c>
      <c r="R273" s="252">
        <v>45990.0</v>
      </c>
      <c r="S273" s="252">
        <v>45655.60605324074</v>
      </c>
      <c r="T273" s="252">
        <v>45655.60603009259</v>
      </c>
      <c r="U273" s="252">
        <v>45655.60643518518</v>
      </c>
      <c r="V273" s="252">
        <v>45655.605266203704</v>
      </c>
      <c r="W273" s="250" t="s">
        <v>1669</v>
      </c>
    </row>
    <row r="274" ht="15.75" customHeight="1">
      <c r="A274" s="241" t="s">
        <v>1749</v>
      </c>
      <c r="B274" s="242" t="s">
        <v>1328</v>
      </c>
      <c r="C274" s="242" t="s">
        <v>1166</v>
      </c>
      <c r="D274" s="242" t="s">
        <v>1330</v>
      </c>
      <c r="E274" s="242" t="s">
        <v>1341</v>
      </c>
      <c r="F274" s="242">
        <v>499.0</v>
      </c>
      <c r="G274" s="242" t="s">
        <v>1331</v>
      </c>
      <c r="H274" s="242">
        <v>1.0</v>
      </c>
      <c r="I274" s="242">
        <v>1.0</v>
      </c>
      <c r="J274" s="242">
        <v>12.0</v>
      </c>
      <c r="K274" s="242">
        <v>0.0</v>
      </c>
      <c r="L274" s="242">
        <v>1.0</v>
      </c>
      <c r="M274" s="242"/>
      <c r="N274" s="242"/>
      <c r="O274" s="242"/>
      <c r="P274" s="242"/>
      <c r="Q274" s="242"/>
      <c r="R274" s="242"/>
      <c r="S274" s="242"/>
      <c r="T274" s="242"/>
      <c r="U274" s="242"/>
      <c r="V274" s="251">
        <v>45656.87905092593</v>
      </c>
      <c r="W274" s="245" t="s">
        <v>1669</v>
      </c>
    </row>
    <row r="275" ht="15.75" customHeight="1">
      <c r="A275" s="246" t="s">
        <v>1204</v>
      </c>
      <c r="B275" s="247" t="s">
        <v>1340</v>
      </c>
      <c r="C275" s="247" t="s">
        <v>1166</v>
      </c>
      <c r="D275" s="247" t="s">
        <v>1330</v>
      </c>
      <c r="E275" s="247" t="s">
        <v>1341</v>
      </c>
      <c r="F275" s="247">
        <v>499.0</v>
      </c>
      <c r="G275" s="247" t="s">
        <v>1331</v>
      </c>
      <c r="H275" s="247">
        <v>1.0</v>
      </c>
      <c r="I275" s="247">
        <v>1.0</v>
      </c>
      <c r="J275" s="247">
        <v>12.0</v>
      </c>
      <c r="K275" s="247">
        <v>3.0</v>
      </c>
      <c r="L275" s="247">
        <v>1.0</v>
      </c>
      <c r="M275" s="247"/>
      <c r="N275" s="247"/>
      <c r="O275" s="247" t="s">
        <v>1750</v>
      </c>
      <c r="P275" s="247">
        <f>918848196087</f>
        <v>918848196087</v>
      </c>
      <c r="Q275" s="252">
        <v>45656.88181712963</v>
      </c>
      <c r="R275" s="252">
        <v>45991.0</v>
      </c>
      <c r="S275" s="252">
        <v>45656.88197916667</v>
      </c>
      <c r="T275" s="252">
        <v>45656.88195601852</v>
      </c>
      <c r="U275" s="252"/>
      <c r="V275" s="252">
        <v>45656.88167824074</v>
      </c>
      <c r="W275" s="250" t="s">
        <v>1669</v>
      </c>
    </row>
    <row r="276" ht="15.75" customHeight="1">
      <c r="A276" s="241" t="s">
        <v>1751</v>
      </c>
      <c r="B276" s="242" t="s">
        <v>1369</v>
      </c>
      <c r="C276" s="242" t="s">
        <v>1166</v>
      </c>
      <c r="D276" s="242" t="s">
        <v>1330</v>
      </c>
      <c r="E276" s="242" t="s">
        <v>1341</v>
      </c>
      <c r="F276" s="242">
        <v>499.0</v>
      </c>
      <c r="G276" s="242" t="s">
        <v>1331</v>
      </c>
      <c r="H276" s="242">
        <v>1.0</v>
      </c>
      <c r="I276" s="242">
        <v>1.0</v>
      </c>
      <c r="J276" s="242">
        <v>12.0</v>
      </c>
      <c r="K276" s="242">
        <v>1.0</v>
      </c>
      <c r="L276" s="242">
        <v>1.0</v>
      </c>
      <c r="M276" s="242"/>
      <c r="N276" s="242"/>
      <c r="O276" s="242" t="s">
        <v>1752</v>
      </c>
      <c r="P276" s="242">
        <f>919625008827</f>
        <v>919625008827</v>
      </c>
      <c r="Q276" s="251">
        <v>45657.65425925926</v>
      </c>
      <c r="R276" s="251">
        <v>45991.0</v>
      </c>
      <c r="S276" s="251">
        <v>45657.65456018518</v>
      </c>
      <c r="T276" s="251">
        <v>45657.65453703704</v>
      </c>
      <c r="U276" s="244">
        <v>45680.71784722222</v>
      </c>
      <c r="V276" s="251">
        <v>45657.65380787037</v>
      </c>
      <c r="W276" s="245" t="s">
        <v>1669</v>
      </c>
    </row>
    <row r="277" ht="15.75" customHeight="1">
      <c r="A277" s="246" t="s">
        <v>1753</v>
      </c>
      <c r="B277" s="247" t="s">
        <v>1328</v>
      </c>
      <c r="C277" s="247" t="s">
        <v>1166</v>
      </c>
      <c r="D277" s="247" t="s">
        <v>1330</v>
      </c>
      <c r="E277" s="247" t="s">
        <v>1341</v>
      </c>
      <c r="F277" s="247">
        <v>499.0</v>
      </c>
      <c r="G277" s="247" t="s">
        <v>1331</v>
      </c>
      <c r="H277" s="247">
        <v>1.0</v>
      </c>
      <c r="I277" s="247">
        <v>1.0</v>
      </c>
      <c r="J277" s="247">
        <v>12.0</v>
      </c>
      <c r="K277" s="247">
        <v>0.0</v>
      </c>
      <c r="L277" s="247">
        <v>1.0</v>
      </c>
      <c r="M277" s="247"/>
      <c r="N277" s="247"/>
      <c r="O277" s="247"/>
      <c r="P277" s="247"/>
      <c r="Q277" s="247"/>
      <c r="R277" s="247"/>
      <c r="S277" s="247"/>
      <c r="T277" s="247"/>
      <c r="U277" s="247"/>
      <c r="V277" s="249">
        <v>45658.61681712963</v>
      </c>
      <c r="W277" s="250" t="s">
        <v>1669</v>
      </c>
    </row>
    <row r="278" ht="15.75" customHeight="1">
      <c r="A278" s="241" t="s">
        <v>1201</v>
      </c>
      <c r="B278" s="242" t="s">
        <v>1340</v>
      </c>
      <c r="C278" s="242" t="s">
        <v>1166</v>
      </c>
      <c r="D278" s="242" t="s">
        <v>1330</v>
      </c>
      <c r="E278" s="242" t="s">
        <v>1341</v>
      </c>
      <c r="F278" s="242">
        <v>499.0</v>
      </c>
      <c r="G278" s="242" t="s">
        <v>1331</v>
      </c>
      <c r="H278" s="242">
        <v>1.0</v>
      </c>
      <c r="I278" s="242">
        <v>1.0</v>
      </c>
      <c r="J278" s="242">
        <v>12.0</v>
      </c>
      <c r="K278" s="242">
        <v>3.0</v>
      </c>
      <c r="L278" s="242">
        <v>1.0</v>
      </c>
      <c r="M278" s="242"/>
      <c r="N278" s="242"/>
      <c r="O278" s="242" t="s">
        <v>1634</v>
      </c>
      <c r="P278" s="242">
        <f>917506497916</f>
        <v>917506497916</v>
      </c>
      <c r="Q278" s="244">
        <v>45659.577893518515</v>
      </c>
      <c r="R278" s="244">
        <v>45993.0</v>
      </c>
      <c r="S278" s="244">
        <v>45659.578101851854</v>
      </c>
      <c r="T278" s="244">
        <v>45659.5780787037</v>
      </c>
      <c r="U278" s="244"/>
      <c r="V278" s="244">
        <v>45659.57769675926</v>
      </c>
      <c r="W278" s="245" t="s">
        <v>1669</v>
      </c>
    </row>
    <row r="279" ht="15.75" customHeight="1">
      <c r="A279" s="246" t="s">
        <v>1754</v>
      </c>
      <c r="B279" s="247" t="s">
        <v>1328</v>
      </c>
      <c r="C279" s="247" t="s">
        <v>1166</v>
      </c>
      <c r="D279" s="247" t="s">
        <v>1330</v>
      </c>
      <c r="E279" s="247" t="s">
        <v>1341</v>
      </c>
      <c r="F279" s="247">
        <v>499.0</v>
      </c>
      <c r="G279" s="247" t="s">
        <v>1331</v>
      </c>
      <c r="H279" s="247">
        <v>1.0</v>
      </c>
      <c r="I279" s="247">
        <v>1.0</v>
      </c>
      <c r="J279" s="247">
        <v>12.0</v>
      </c>
      <c r="K279" s="247">
        <v>0.0</v>
      </c>
      <c r="L279" s="247">
        <v>1.0</v>
      </c>
      <c r="M279" s="247"/>
      <c r="N279" s="247"/>
      <c r="O279" s="247"/>
      <c r="P279" s="247"/>
      <c r="Q279" s="247"/>
      <c r="R279" s="247"/>
      <c r="S279" s="247"/>
      <c r="T279" s="247"/>
      <c r="U279" s="247"/>
      <c r="V279" s="249">
        <v>45659.75891203704</v>
      </c>
      <c r="W279" s="250" t="s">
        <v>1669</v>
      </c>
    </row>
    <row r="280" ht="15.75" customHeight="1">
      <c r="A280" s="241" t="s">
        <v>1755</v>
      </c>
      <c r="B280" s="242" t="s">
        <v>1350</v>
      </c>
      <c r="C280" s="242" t="s">
        <v>1166</v>
      </c>
      <c r="D280" s="242" t="s">
        <v>1330</v>
      </c>
      <c r="E280" s="242" t="s">
        <v>1341</v>
      </c>
      <c r="F280" s="242">
        <v>499.0</v>
      </c>
      <c r="G280" s="242" t="s">
        <v>1331</v>
      </c>
      <c r="H280" s="242">
        <v>1.0</v>
      </c>
      <c r="I280" s="242">
        <v>1.0</v>
      </c>
      <c r="J280" s="242">
        <v>12.0</v>
      </c>
      <c r="K280" s="242">
        <v>1.0</v>
      </c>
      <c r="L280" s="242">
        <v>1.0</v>
      </c>
      <c r="M280" s="242"/>
      <c r="N280" s="242"/>
      <c r="O280" s="242" t="s">
        <v>1449</v>
      </c>
      <c r="P280" s="242">
        <f>919874455121</f>
        <v>919874455121</v>
      </c>
      <c r="Q280" s="244">
        <v>45659.81288194445</v>
      </c>
      <c r="R280" s="244">
        <v>45993.0</v>
      </c>
      <c r="S280" s="244">
        <v>45659.81474537037</v>
      </c>
      <c r="T280" s="244">
        <v>45659.814722222225</v>
      </c>
      <c r="U280" s="244"/>
      <c r="V280" s="244">
        <v>45659.81269675926</v>
      </c>
      <c r="W280" s="245" t="s">
        <v>1669</v>
      </c>
    </row>
    <row r="281" ht="15.75" customHeight="1">
      <c r="A281" s="246" t="s">
        <v>1198</v>
      </c>
      <c r="B281" s="247" t="s">
        <v>1340</v>
      </c>
      <c r="C281" s="247" t="s">
        <v>1166</v>
      </c>
      <c r="D281" s="247" t="s">
        <v>1330</v>
      </c>
      <c r="E281" s="247" t="s">
        <v>1341</v>
      </c>
      <c r="F281" s="247">
        <v>499.0</v>
      </c>
      <c r="G281" s="247" t="s">
        <v>1331</v>
      </c>
      <c r="H281" s="247">
        <v>1.0</v>
      </c>
      <c r="I281" s="247">
        <v>1.0</v>
      </c>
      <c r="J281" s="247">
        <v>12.0</v>
      </c>
      <c r="K281" s="247">
        <v>3.0</v>
      </c>
      <c r="L281" s="247">
        <v>1.0</v>
      </c>
      <c r="M281" s="247"/>
      <c r="N281" s="247"/>
      <c r="O281" s="247" t="s">
        <v>1756</v>
      </c>
      <c r="P281" s="247">
        <f>919819479139</f>
        <v>919819479139</v>
      </c>
      <c r="Q281" s="249">
        <v>45659.949421296296</v>
      </c>
      <c r="R281" s="249">
        <v>45993.0</v>
      </c>
      <c r="S281" s="249">
        <v>45659.94978009259</v>
      </c>
      <c r="T281" s="249">
        <v>45659.94976851852</v>
      </c>
      <c r="U281" s="249"/>
      <c r="V281" s="249">
        <v>45659.94930555556</v>
      </c>
      <c r="W281" s="250" t="s">
        <v>1669</v>
      </c>
    </row>
    <row r="282" ht="15.75" customHeight="1">
      <c r="A282" s="241" t="s">
        <v>1757</v>
      </c>
      <c r="B282" s="242" t="s">
        <v>1328</v>
      </c>
      <c r="C282" s="242" t="s">
        <v>1166</v>
      </c>
      <c r="D282" s="242" t="s">
        <v>1330</v>
      </c>
      <c r="E282" s="242" t="s">
        <v>1341</v>
      </c>
      <c r="F282" s="242">
        <v>499.0</v>
      </c>
      <c r="G282" s="242" t="s">
        <v>1331</v>
      </c>
      <c r="H282" s="242">
        <v>1.0</v>
      </c>
      <c r="I282" s="242">
        <v>1.0</v>
      </c>
      <c r="J282" s="242">
        <v>12.0</v>
      </c>
      <c r="K282" s="242">
        <v>0.0</v>
      </c>
      <c r="L282" s="242">
        <v>1.0</v>
      </c>
      <c r="M282" s="242"/>
      <c r="N282" s="242"/>
      <c r="O282" s="242"/>
      <c r="P282" s="242"/>
      <c r="Q282" s="242"/>
      <c r="R282" s="242"/>
      <c r="S282" s="242"/>
      <c r="T282" s="242"/>
      <c r="U282" s="242"/>
      <c r="V282" s="244">
        <v>45660.42314814815</v>
      </c>
      <c r="W282" s="245" t="s">
        <v>1669</v>
      </c>
    </row>
    <row r="283" ht="15.75" customHeight="1">
      <c r="A283" s="246" t="s">
        <v>1758</v>
      </c>
      <c r="B283" s="247" t="s">
        <v>1350</v>
      </c>
      <c r="C283" s="247" t="s">
        <v>1166</v>
      </c>
      <c r="D283" s="247" t="s">
        <v>1330</v>
      </c>
      <c r="E283" s="247" t="s">
        <v>1341</v>
      </c>
      <c r="F283" s="247">
        <v>499.0</v>
      </c>
      <c r="G283" s="247" t="s">
        <v>1331</v>
      </c>
      <c r="H283" s="247">
        <v>1.0</v>
      </c>
      <c r="I283" s="247">
        <v>1.0</v>
      </c>
      <c r="J283" s="247">
        <v>12.0</v>
      </c>
      <c r="K283" s="247">
        <v>2.0</v>
      </c>
      <c r="L283" s="247">
        <v>1.0</v>
      </c>
      <c r="M283" s="247"/>
      <c r="N283" s="247"/>
      <c r="O283" s="247" t="s">
        <v>1759</v>
      </c>
      <c r="P283" s="247">
        <f>919713098973</f>
        <v>919713098973</v>
      </c>
      <c r="Q283" s="249">
        <v>45660.59778935185</v>
      </c>
      <c r="R283" s="249">
        <v>45994.0</v>
      </c>
      <c r="S283" s="249">
        <v>45660.59821759259</v>
      </c>
      <c r="T283" s="249">
        <v>45660.59819444444</v>
      </c>
      <c r="U283" s="249"/>
      <c r="V283" s="249">
        <v>45660.5853125</v>
      </c>
      <c r="W283" s="250" t="s">
        <v>1669</v>
      </c>
    </row>
    <row r="284" ht="15.75" customHeight="1">
      <c r="A284" s="241" t="s">
        <v>1760</v>
      </c>
      <c r="B284" s="242" t="s">
        <v>1328</v>
      </c>
      <c r="C284" s="242" t="s">
        <v>1166</v>
      </c>
      <c r="D284" s="242" t="s">
        <v>1330</v>
      </c>
      <c r="E284" s="242" t="s">
        <v>1341</v>
      </c>
      <c r="F284" s="242">
        <v>499.0</v>
      </c>
      <c r="G284" s="242" t="s">
        <v>1331</v>
      </c>
      <c r="H284" s="242">
        <v>1.0</v>
      </c>
      <c r="I284" s="242">
        <v>1.0</v>
      </c>
      <c r="J284" s="242">
        <v>12.0</v>
      </c>
      <c r="K284" s="242">
        <v>0.0</v>
      </c>
      <c r="L284" s="242">
        <v>1.0</v>
      </c>
      <c r="M284" s="242"/>
      <c r="N284" s="242"/>
      <c r="O284" s="242"/>
      <c r="P284" s="242"/>
      <c r="Q284" s="242"/>
      <c r="R284" s="242"/>
      <c r="S284" s="242"/>
      <c r="T284" s="242"/>
      <c r="U284" s="242"/>
      <c r="V284" s="244">
        <v>45660.68728009259</v>
      </c>
      <c r="W284" s="245" t="s">
        <v>1669</v>
      </c>
    </row>
    <row r="285" ht="15.75" customHeight="1">
      <c r="A285" s="246" t="s">
        <v>1761</v>
      </c>
      <c r="B285" s="247" t="s">
        <v>1328</v>
      </c>
      <c r="C285" s="247" t="s">
        <v>1166</v>
      </c>
      <c r="D285" s="247" t="s">
        <v>1330</v>
      </c>
      <c r="E285" s="247" t="s">
        <v>1341</v>
      </c>
      <c r="F285" s="247">
        <v>499.0</v>
      </c>
      <c r="G285" s="247" t="s">
        <v>1331</v>
      </c>
      <c r="H285" s="247">
        <v>1.0</v>
      </c>
      <c r="I285" s="247">
        <v>1.0</v>
      </c>
      <c r="J285" s="247">
        <v>12.0</v>
      </c>
      <c r="K285" s="247">
        <v>0.0</v>
      </c>
      <c r="L285" s="247">
        <v>1.0</v>
      </c>
      <c r="M285" s="247"/>
      <c r="N285" s="247"/>
      <c r="O285" s="247"/>
      <c r="P285" s="247"/>
      <c r="Q285" s="247"/>
      <c r="R285" s="247"/>
      <c r="S285" s="247"/>
      <c r="T285" s="247"/>
      <c r="U285" s="247"/>
      <c r="V285" s="249">
        <v>45660.7494212963</v>
      </c>
      <c r="W285" s="250" t="s">
        <v>1669</v>
      </c>
    </row>
    <row r="286" ht="15.75" customHeight="1">
      <c r="A286" s="241" t="s">
        <v>1762</v>
      </c>
      <c r="B286" s="242" t="s">
        <v>1328</v>
      </c>
      <c r="C286" s="242" t="s">
        <v>1166</v>
      </c>
      <c r="D286" s="242" t="s">
        <v>1330</v>
      </c>
      <c r="E286" s="242" t="s">
        <v>1341</v>
      </c>
      <c r="F286" s="242">
        <v>499.0</v>
      </c>
      <c r="G286" s="242" t="s">
        <v>1331</v>
      </c>
      <c r="H286" s="242">
        <v>1.0</v>
      </c>
      <c r="I286" s="242">
        <v>1.0</v>
      </c>
      <c r="J286" s="242">
        <v>12.0</v>
      </c>
      <c r="K286" s="242">
        <v>0.0</v>
      </c>
      <c r="L286" s="242">
        <v>1.0</v>
      </c>
      <c r="M286" s="242"/>
      <c r="N286" s="242"/>
      <c r="O286" s="242"/>
      <c r="P286" s="242"/>
      <c r="Q286" s="242"/>
      <c r="R286" s="242"/>
      <c r="S286" s="242"/>
      <c r="T286" s="242"/>
      <c r="U286" s="242"/>
      <c r="V286" s="244">
        <v>45661.53109953704</v>
      </c>
      <c r="W286" s="245" t="s">
        <v>1669</v>
      </c>
    </row>
    <row r="287" ht="15.75" customHeight="1">
      <c r="A287" s="246" t="s">
        <v>1763</v>
      </c>
      <c r="B287" s="247" t="s">
        <v>1369</v>
      </c>
      <c r="C287" s="247" t="s">
        <v>1166</v>
      </c>
      <c r="D287" s="247" t="s">
        <v>1330</v>
      </c>
      <c r="E287" s="247" t="s">
        <v>1341</v>
      </c>
      <c r="F287" s="247">
        <v>499.0</v>
      </c>
      <c r="G287" s="247" t="s">
        <v>1331</v>
      </c>
      <c r="H287" s="247">
        <v>1.0</v>
      </c>
      <c r="I287" s="247">
        <v>1.0</v>
      </c>
      <c r="J287" s="247">
        <v>12.0</v>
      </c>
      <c r="K287" s="247">
        <v>1.0</v>
      </c>
      <c r="L287" s="247">
        <v>1.0</v>
      </c>
      <c r="M287" s="247"/>
      <c r="N287" s="247"/>
      <c r="O287" s="247" t="s">
        <v>1764</v>
      </c>
      <c r="P287" s="247">
        <f>919351951602</f>
        <v>919351951602</v>
      </c>
      <c r="Q287" s="249">
        <v>45661.54275462963</v>
      </c>
      <c r="R287" s="249">
        <v>45995.0</v>
      </c>
      <c r="S287" s="249">
        <v>45661.543217592596</v>
      </c>
      <c r="T287" s="249">
        <v>45661.54320601852</v>
      </c>
      <c r="U287" s="249">
        <v>45661.54516203704</v>
      </c>
      <c r="V287" s="249">
        <v>45661.54241898148</v>
      </c>
      <c r="W287" s="250" t="s">
        <v>1669</v>
      </c>
    </row>
    <row r="288" ht="15.75" customHeight="1">
      <c r="A288" s="241" t="s">
        <v>1765</v>
      </c>
      <c r="B288" s="242" t="s">
        <v>1328</v>
      </c>
      <c r="C288" s="242" t="s">
        <v>1166</v>
      </c>
      <c r="D288" s="242" t="s">
        <v>1330</v>
      </c>
      <c r="E288" s="242" t="s">
        <v>1341</v>
      </c>
      <c r="F288" s="242">
        <v>499.0</v>
      </c>
      <c r="G288" s="242" t="s">
        <v>1331</v>
      </c>
      <c r="H288" s="242">
        <v>1.0</v>
      </c>
      <c r="I288" s="242">
        <v>1.0</v>
      </c>
      <c r="J288" s="242">
        <v>12.0</v>
      </c>
      <c r="K288" s="242">
        <v>0.0</v>
      </c>
      <c r="L288" s="242">
        <v>1.0</v>
      </c>
      <c r="M288" s="242"/>
      <c r="N288" s="242"/>
      <c r="O288" s="242"/>
      <c r="P288" s="242"/>
      <c r="Q288" s="242"/>
      <c r="R288" s="242"/>
      <c r="S288" s="242"/>
      <c r="T288" s="242"/>
      <c r="U288" s="242"/>
      <c r="V288" s="244">
        <v>45661.657476851855</v>
      </c>
      <c r="W288" s="245" t="s">
        <v>1669</v>
      </c>
    </row>
    <row r="289" ht="15.75" customHeight="1">
      <c r="A289" s="246" t="s">
        <v>1766</v>
      </c>
      <c r="B289" s="247" t="s">
        <v>1369</v>
      </c>
      <c r="C289" s="247" t="s">
        <v>1166</v>
      </c>
      <c r="D289" s="247" t="s">
        <v>1330</v>
      </c>
      <c r="E289" s="247" t="s">
        <v>1341</v>
      </c>
      <c r="F289" s="247">
        <v>499.0</v>
      </c>
      <c r="G289" s="247" t="s">
        <v>1331</v>
      </c>
      <c r="H289" s="247">
        <v>1.0</v>
      </c>
      <c r="I289" s="247">
        <v>1.0</v>
      </c>
      <c r="J289" s="247">
        <v>12.0</v>
      </c>
      <c r="K289" s="247">
        <v>0.0</v>
      </c>
      <c r="L289" s="247">
        <v>1.0</v>
      </c>
      <c r="M289" s="247"/>
      <c r="N289" s="247"/>
      <c r="O289" s="247"/>
      <c r="P289" s="247"/>
      <c r="Q289" s="247"/>
      <c r="R289" s="247"/>
      <c r="S289" s="247"/>
      <c r="T289" s="247"/>
      <c r="U289" s="249">
        <v>45661.66064814815</v>
      </c>
      <c r="V289" s="249">
        <v>45661.65756944445</v>
      </c>
      <c r="W289" s="250" t="s">
        <v>1669</v>
      </c>
    </row>
    <row r="290" ht="15.75" customHeight="1">
      <c r="A290" s="241" t="s">
        <v>1767</v>
      </c>
      <c r="B290" s="242" t="s">
        <v>1328</v>
      </c>
      <c r="C290" s="242" t="s">
        <v>1166</v>
      </c>
      <c r="D290" s="242" t="s">
        <v>1330</v>
      </c>
      <c r="E290" s="242" t="s">
        <v>1341</v>
      </c>
      <c r="F290" s="242">
        <v>499.0</v>
      </c>
      <c r="G290" s="242" t="s">
        <v>1331</v>
      </c>
      <c r="H290" s="242">
        <v>1.0</v>
      </c>
      <c r="I290" s="242">
        <v>1.0</v>
      </c>
      <c r="J290" s="242">
        <v>12.0</v>
      </c>
      <c r="K290" s="242">
        <v>0.0</v>
      </c>
      <c r="L290" s="242">
        <v>1.0</v>
      </c>
      <c r="M290" s="242"/>
      <c r="N290" s="242"/>
      <c r="O290" s="242"/>
      <c r="P290" s="242"/>
      <c r="Q290" s="242"/>
      <c r="R290" s="242"/>
      <c r="S290" s="242"/>
      <c r="T290" s="242"/>
      <c r="U290" s="242"/>
      <c r="V290" s="244">
        <v>45661.662453703706</v>
      </c>
      <c r="W290" s="245" t="s">
        <v>1669</v>
      </c>
    </row>
    <row r="291" ht="15.75" customHeight="1">
      <c r="A291" s="246" t="s">
        <v>1768</v>
      </c>
      <c r="B291" s="247" t="s">
        <v>1328</v>
      </c>
      <c r="C291" s="247" t="s">
        <v>1166</v>
      </c>
      <c r="D291" s="247" t="s">
        <v>1330</v>
      </c>
      <c r="E291" s="247" t="s">
        <v>1341</v>
      </c>
      <c r="F291" s="247">
        <v>499.0</v>
      </c>
      <c r="G291" s="247" t="s">
        <v>1331</v>
      </c>
      <c r="H291" s="247">
        <v>1.0</v>
      </c>
      <c r="I291" s="247">
        <v>1.0</v>
      </c>
      <c r="J291" s="247">
        <v>12.0</v>
      </c>
      <c r="K291" s="247">
        <v>0.0</v>
      </c>
      <c r="L291" s="247">
        <v>1.0</v>
      </c>
      <c r="M291" s="247"/>
      <c r="N291" s="247"/>
      <c r="O291" s="247"/>
      <c r="P291" s="247"/>
      <c r="Q291" s="247"/>
      <c r="R291" s="247"/>
      <c r="S291" s="247"/>
      <c r="T291" s="247"/>
      <c r="U291" s="247"/>
      <c r="V291" s="249">
        <v>45663.64778935185</v>
      </c>
      <c r="W291" s="250" t="s">
        <v>1669</v>
      </c>
    </row>
    <row r="292" ht="15.75" customHeight="1">
      <c r="A292" s="241" t="s">
        <v>1769</v>
      </c>
      <c r="B292" s="242" t="s">
        <v>1328</v>
      </c>
      <c r="C292" s="242" t="s">
        <v>1166</v>
      </c>
      <c r="D292" s="242" t="s">
        <v>1330</v>
      </c>
      <c r="E292" s="242" t="s">
        <v>1341</v>
      </c>
      <c r="F292" s="242">
        <v>499.0</v>
      </c>
      <c r="G292" s="242" t="s">
        <v>1331</v>
      </c>
      <c r="H292" s="242">
        <v>1.0</v>
      </c>
      <c r="I292" s="242">
        <v>1.0</v>
      </c>
      <c r="J292" s="242">
        <v>12.0</v>
      </c>
      <c r="K292" s="242">
        <v>0.0</v>
      </c>
      <c r="L292" s="242">
        <v>1.0</v>
      </c>
      <c r="M292" s="242"/>
      <c r="N292" s="242"/>
      <c r="O292" s="242"/>
      <c r="P292" s="242"/>
      <c r="Q292" s="242"/>
      <c r="R292" s="242"/>
      <c r="S292" s="242"/>
      <c r="T292" s="242"/>
      <c r="U292" s="242"/>
      <c r="V292" s="244">
        <v>45664.013333333336</v>
      </c>
      <c r="W292" s="245" t="s">
        <v>1669</v>
      </c>
    </row>
    <row r="293" ht="15.75" customHeight="1">
      <c r="A293" s="246" t="s">
        <v>1770</v>
      </c>
      <c r="B293" s="247" t="s">
        <v>1369</v>
      </c>
      <c r="C293" s="247" t="s">
        <v>1166</v>
      </c>
      <c r="D293" s="247" t="s">
        <v>1330</v>
      </c>
      <c r="E293" s="247" t="s">
        <v>1341</v>
      </c>
      <c r="F293" s="247">
        <v>499.0</v>
      </c>
      <c r="G293" s="247" t="s">
        <v>1331</v>
      </c>
      <c r="H293" s="247">
        <v>1.0</v>
      </c>
      <c r="I293" s="247">
        <v>1.0</v>
      </c>
      <c r="J293" s="247">
        <v>12.0</v>
      </c>
      <c r="K293" s="247">
        <v>1.0</v>
      </c>
      <c r="L293" s="247">
        <v>1.0</v>
      </c>
      <c r="M293" s="247"/>
      <c r="N293" s="247"/>
      <c r="O293" s="247" t="s">
        <v>1771</v>
      </c>
      <c r="P293" s="247">
        <f>919560456800</f>
        <v>919560456800</v>
      </c>
      <c r="Q293" s="249">
        <v>45665.078101851854</v>
      </c>
      <c r="R293" s="249">
        <v>45999.0</v>
      </c>
      <c r="S293" s="249">
        <v>45665.07990740741</v>
      </c>
      <c r="T293" s="249">
        <v>45665.079884259256</v>
      </c>
      <c r="U293" s="249">
        <v>45695.05962962963</v>
      </c>
      <c r="V293" s="249">
        <v>45665.077835648146</v>
      </c>
      <c r="W293" s="250" t="s">
        <v>1669</v>
      </c>
    </row>
    <row r="294" ht="15.75" customHeight="1">
      <c r="A294" s="241" t="s">
        <v>1772</v>
      </c>
      <c r="B294" s="242" t="s">
        <v>1328</v>
      </c>
      <c r="C294" s="242" t="s">
        <v>1166</v>
      </c>
      <c r="D294" s="242" t="s">
        <v>1330</v>
      </c>
      <c r="E294" s="242" t="s">
        <v>1341</v>
      </c>
      <c r="F294" s="242">
        <v>499.0</v>
      </c>
      <c r="G294" s="242" t="s">
        <v>1331</v>
      </c>
      <c r="H294" s="242">
        <v>1.0</v>
      </c>
      <c r="I294" s="242">
        <v>1.0</v>
      </c>
      <c r="J294" s="242">
        <v>12.0</v>
      </c>
      <c r="K294" s="242">
        <v>0.0</v>
      </c>
      <c r="L294" s="242">
        <v>1.0</v>
      </c>
      <c r="M294" s="242"/>
      <c r="N294" s="242"/>
      <c r="O294" s="242"/>
      <c r="P294" s="242"/>
      <c r="Q294" s="242"/>
      <c r="R294" s="242"/>
      <c r="S294" s="242"/>
      <c r="T294" s="242"/>
      <c r="U294" s="242"/>
      <c r="V294" s="244">
        <v>45665.080243055556</v>
      </c>
      <c r="W294" s="245" t="s">
        <v>1669</v>
      </c>
    </row>
    <row r="295" ht="15.75" customHeight="1">
      <c r="A295" s="246" t="s">
        <v>1773</v>
      </c>
      <c r="B295" s="247" t="s">
        <v>1328</v>
      </c>
      <c r="C295" s="247" t="s">
        <v>1166</v>
      </c>
      <c r="D295" s="247" t="s">
        <v>1330</v>
      </c>
      <c r="E295" s="247" t="s">
        <v>1341</v>
      </c>
      <c r="F295" s="247">
        <v>499.0</v>
      </c>
      <c r="G295" s="247" t="s">
        <v>1331</v>
      </c>
      <c r="H295" s="247">
        <v>1.0</v>
      </c>
      <c r="I295" s="247">
        <v>1.0</v>
      </c>
      <c r="J295" s="247">
        <v>12.0</v>
      </c>
      <c r="K295" s="247">
        <v>0.0</v>
      </c>
      <c r="L295" s="247">
        <v>1.0</v>
      </c>
      <c r="M295" s="247"/>
      <c r="N295" s="247"/>
      <c r="O295" s="247"/>
      <c r="P295" s="247"/>
      <c r="Q295" s="247"/>
      <c r="R295" s="247"/>
      <c r="S295" s="247"/>
      <c r="T295" s="247"/>
      <c r="U295" s="247"/>
      <c r="V295" s="249">
        <v>45665.083032407405</v>
      </c>
      <c r="W295" s="250" t="s">
        <v>1669</v>
      </c>
    </row>
    <row r="296" ht="15.75" customHeight="1">
      <c r="A296" s="241" t="s">
        <v>1195</v>
      </c>
      <c r="B296" s="242" t="s">
        <v>1340</v>
      </c>
      <c r="C296" s="242" t="s">
        <v>1166</v>
      </c>
      <c r="D296" s="242" t="s">
        <v>1330</v>
      </c>
      <c r="E296" s="242" t="s">
        <v>1341</v>
      </c>
      <c r="F296" s="242">
        <v>499.0</v>
      </c>
      <c r="G296" s="242" t="s">
        <v>1331</v>
      </c>
      <c r="H296" s="242">
        <v>1.0</v>
      </c>
      <c r="I296" s="242">
        <v>1.0</v>
      </c>
      <c r="J296" s="242">
        <v>12.0</v>
      </c>
      <c r="K296" s="242">
        <v>2.0</v>
      </c>
      <c r="L296" s="242">
        <v>1.0</v>
      </c>
      <c r="M296" s="242"/>
      <c r="N296" s="242"/>
      <c r="O296" s="242" t="s">
        <v>1774</v>
      </c>
      <c r="P296" s="242">
        <f>919422707153</f>
        <v>919422707153</v>
      </c>
      <c r="Q296" s="244">
        <v>45665.25032407408</v>
      </c>
      <c r="R296" s="244">
        <v>45999.0</v>
      </c>
      <c r="S296" s="244">
        <v>45665.25231481482</v>
      </c>
      <c r="T296" s="244">
        <v>45665.252291666664</v>
      </c>
      <c r="U296" s="244"/>
      <c r="V296" s="244">
        <v>45665.25017361111</v>
      </c>
      <c r="W296" s="245" t="s">
        <v>1669</v>
      </c>
    </row>
    <row r="297" ht="15.75" customHeight="1">
      <c r="A297" s="246" t="s">
        <v>1775</v>
      </c>
      <c r="B297" s="247" t="s">
        <v>1328</v>
      </c>
      <c r="C297" s="247" t="s">
        <v>1166</v>
      </c>
      <c r="D297" s="247" t="s">
        <v>1330</v>
      </c>
      <c r="E297" s="247" t="s">
        <v>1341</v>
      </c>
      <c r="F297" s="247">
        <v>499.0</v>
      </c>
      <c r="G297" s="247" t="s">
        <v>1331</v>
      </c>
      <c r="H297" s="247">
        <v>1.0</v>
      </c>
      <c r="I297" s="247">
        <v>1.0</v>
      </c>
      <c r="J297" s="247">
        <v>12.0</v>
      </c>
      <c r="K297" s="247">
        <v>0.0</v>
      </c>
      <c r="L297" s="247">
        <v>1.0</v>
      </c>
      <c r="M297" s="247"/>
      <c r="N297" s="247"/>
      <c r="O297" s="247"/>
      <c r="P297" s="247"/>
      <c r="Q297" s="247"/>
      <c r="R297" s="247"/>
      <c r="S297" s="247"/>
      <c r="T297" s="247"/>
      <c r="U297" s="247"/>
      <c r="V297" s="249">
        <v>45665.581712962965</v>
      </c>
      <c r="W297" s="250" t="s">
        <v>1669</v>
      </c>
    </row>
    <row r="298" ht="15.75" customHeight="1">
      <c r="A298" s="241" t="s">
        <v>1776</v>
      </c>
      <c r="B298" s="242" t="s">
        <v>1369</v>
      </c>
      <c r="C298" s="242" t="s">
        <v>1166</v>
      </c>
      <c r="D298" s="242" t="s">
        <v>1330</v>
      </c>
      <c r="E298" s="242" t="s">
        <v>1341</v>
      </c>
      <c r="F298" s="242">
        <v>499.0</v>
      </c>
      <c r="G298" s="242" t="s">
        <v>1331</v>
      </c>
      <c r="H298" s="242">
        <v>1.0</v>
      </c>
      <c r="I298" s="242">
        <v>1.0</v>
      </c>
      <c r="J298" s="242">
        <v>12.0</v>
      </c>
      <c r="K298" s="242">
        <v>1.0</v>
      </c>
      <c r="L298" s="242">
        <v>1.0</v>
      </c>
      <c r="M298" s="242"/>
      <c r="N298" s="242"/>
      <c r="O298" s="242" t="s">
        <v>1777</v>
      </c>
      <c r="P298" s="242">
        <f>918080409555</f>
        <v>918080409555</v>
      </c>
      <c r="Q298" s="244">
        <v>45666.44123842593</v>
      </c>
      <c r="R298" s="244">
        <v>46000.0</v>
      </c>
      <c r="S298" s="244">
        <v>45666.44149305556</v>
      </c>
      <c r="T298" s="244">
        <v>45666.441469907404</v>
      </c>
      <c r="U298" s="244">
        <v>45696.15231481481</v>
      </c>
      <c r="V298" s="244">
        <v>45666.44101851852</v>
      </c>
      <c r="W298" s="245" t="s">
        <v>1669</v>
      </c>
    </row>
    <row r="299" ht="15.75" customHeight="1">
      <c r="A299" s="246" t="s">
        <v>1778</v>
      </c>
      <c r="B299" s="247" t="s">
        <v>1369</v>
      </c>
      <c r="C299" s="247" t="s">
        <v>1166</v>
      </c>
      <c r="D299" s="247" t="s">
        <v>1330</v>
      </c>
      <c r="E299" s="247" t="s">
        <v>1341</v>
      </c>
      <c r="F299" s="247">
        <v>499.0</v>
      </c>
      <c r="G299" s="247" t="s">
        <v>1331</v>
      </c>
      <c r="H299" s="247">
        <v>1.0</v>
      </c>
      <c r="I299" s="247">
        <v>1.0</v>
      </c>
      <c r="J299" s="247">
        <v>12.0</v>
      </c>
      <c r="K299" s="247">
        <v>1.0</v>
      </c>
      <c r="L299" s="247">
        <v>1.0</v>
      </c>
      <c r="M299" s="247"/>
      <c r="N299" s="247"/>
      <c r="O299" s="247" t="s">
        <v>1779</v>
      </c>
      <c r="P299" s="247">
        <f>917260887799</f>
        <v>917260887799</v>
      </c>
      <c r="Q299" s="249">
        <v>45666.593194444446</v>
      </c>
      <c r="R299" s="249">
        <v>46000.0</v>
      </c>
      <c r="S299" s="249">
        <v>45666.59353009259</v>
      </c>
      <c r="T299" s="249">
        <v>45666.593506944446</v>
      </c>
      <c r="U299" s="249">
        <v>45708.798368055555</v>
      </c>
      <c r="V299" s="249">
        <v>45666.59303240741</v>
      </c>
      <c r="W299" s="250" t="s">
        <v>1669</v>
      </c>
    </row>
    <row r="300" ht="15.75" customHeight="1">
      <c r="A300" s="241" t="s">
        <v>1780</v>
      </c>
      <c r="B300" s="242" t="s">
        <v>1350</v>
      </c>
      <c r="C300" s="242" t="s">
        <v>1166</v>
      </c>
      <c r="D300" s="242" t="s">
        <v>1330</v>
      </c>
      <c r="E300" s="242" t="s">
        <v>1341</v>
      </c>
      <c r="F300" s="242">
        <v>499.0</v>
      </c>
      <c r="G300" s="242" t="s">
        <v>1331</v>
      </c>
      <c r="H300" s="242">
        <v>1.0</v>
      </c>
      <c r="I300" s="242">
        <v>1.0</v>
      </c>
      <c r="J300" s="242">
        <v>12.0</v>
      </c>
      <c r="K300" s="242">
        <v>1.0</v>
      </c>
      <c r="L300" s="242">
        <v>1.0</v>
      </c>
      <c r="M300" s="242" t="s">
        <v>1781</v>
      </c>
      <c r="N300" s="242"/>
      <c r="O300" s="242" t="s">
        <v>1782</v>
      </c>
      <c r="P300" s="242">
        <f>919833614293</f>
        <v>919833614293</v>
      </c>
      <c r="Q300" s="244">
        <v>45666.79111111111</v>
      </c>
      <c r="R300" s="244">
        <v>46000.0</v>
      </c>
      <c r="S300" s="244">
        <v>45666.791342592594</v>
      </c>
      <c r="T300" s="244">
        <v>45666.79131944444</v>
      </c>
      <c r="U300" s="244"/>
      <c r="V300" s="244">
        <v>45666.79085648148</v>
      </c>
      <c r="W300" s="245" t="s">
        <v>1669</v>
      </c>
    </row>
    <row r="301" ht="15.75" customHeight="1">
      <c r="A301" s="246" t="s">
        <v>1783</v>
      </c>
      <c r="B301" s="247" t="s">
        <v>1369</v>
      </c>
      <c r="C301" s="247" t="s">
        <v>1166</v>
      </c>
      <c r="D301" s="247" t="s">
        <v>1330</v>
      </c>
      <c r="E301" s="247" t="s">
        <v>1341</v>
      </c>
      <c r="F301" s="247">
        <v>499.0</v>
      </c>
      <c r="G301" s="247" t="s">
        <v>1331</v>
      </c>
      <c r="H301" s="247">
        <v>1.0</v>
      </c>
      <c r="I301" s="247">
        <v>1.0</v>
      </c>
      <c r="J301" s="247">
        <v>12.0</v>
      </c>
      <c r="K301" s="247">
        <v>1.0</v>
      </c>
      <c r="L301" s="247">
        <v>1.0</v>
      </c>
      <c r="M301" s="247"/>
      <c r="N301" s="247"/>
      <c r="O301" s="247" t="s">
        <v>1784</v>
      </c>
      <c r="P301" s="247">
        <f>919811556229</f>
        <v>919811556229</v>
      </c>
      <c r="Q301" s="249">
        <v>45667.58697916667</v>
      </c>
      <c r="R301" s="252">
        <v>46001.0</v>
      </c>
      <c r="S301" s="249">
        <v>45667.587534722225</v>
      </c>
      <c r="T301" s="249">
        <v>45667.58751157407</v>
      </c>
      <c r="U301" s="249">
        <v>45667.58806712963</v>
      </c>
      <c r="V301" s="249">
        <v>45667.586701388886</v>
      </c>
      <c r="W301" s="250" t="s">
        <v>1669</v>
      </c>
    </row>
    <row r="302" ht="15.75" customHeight="1">
      <c r="A302" s="241" t="s">
        <v>1192</v>
      </c>
      <c r="B302" s="242" t="s">
        <v>1340</v>
      </c>
      <c r="C302" s="242" t="s">
        <v>1166</v>
      </c>
      <c r="D302" s="242" t="s">
        <v>1330</v>
      </c>
      <c r="E302" s="242" t="s">
        <v>1341</v>
      </c>
      <c r="F302" s="242">
        <v>499.0</v>
      </c>
      <c r="G302" s="242" t="s">
        <v>1331</v>
      </c>
      <c r="H302" s="242">
        <v>1.0</v>
      </c>
      <c r="I302" s="242">
        <v>1.0</v>
      </c>
      <c r="J302" s="242">
        <v>12.0</v>
      </c>
      <c r="K302" s="242">
        <v>2.0</v>
      </c>
      <c r="L302" s="242">
        <v>1.0</v>
      </c>
      <c r="M302" s="242"/>
      <c r="N302" s="242"/>
      <c r="O302" s="242" t="s">
        <v>1785</v>
      </c>
      <c r="P302" s="242">
        <f>917295007772</f>
        <v>917295007772</v>
      </c>
      <c r="Q302" s="244">
        <v>45667.72792824074</v>
      </c>
      <c r="R302" s="251">
        <v>46001.0</v>
      </c>
      <c r="S302" s="244">
        <v>45667.72840277778</v>
      </c>
      <c r="T302" s="244">
        <v>45667.72837962963</v>
      </c>
      <c r="U302" s="244"/>
      <c r="V302" s="244">
        <v>45667.72758101852</v>
      </c>
      <c r="W302" s="245" t="s">
        <v>1669</v>
      </c>
    </row>
    <row r="303" ht="15.75" customHeight="1">
      <c r="A303" s="246" t="s">
        <v>1786</v>
      </c>
      <c r="B303" s="247" t="s">
        <v>1328</v>
      </c>
      <c r="C303" s="247" t="s">
        <v>1166</v>
      </c>
      <c r="D303" s="247" t="s">
        <v>1330</v>
      </c>
      <c r="E303" s="247" t="s">
        <v>1341</v>
      </c>
      <c r="F303" s="247">
        <v>499.0</v>
      </c>
      <c r="G303" s="247" t="s">
        <v>1331</v>
      </c>
      <c r="H303" s="247">
        <v>1.0</v>
      </c>
      <c r="I303" s="247">
        <v>1.0</v>
      </c>
      <c r="J303" s="247">
        <v>12.0</v>
      </c>
      <c r="K303" s="247">
        <v>0.0</v>
      </c>
      <c r="L303" s="247">
        <v>1.0</v>
      </c>
      <c r="M303" s="247"/>
      <c r="N303" s="247"/>
      <c r="O303" s="247"/>
      <c r="P303" s="247"/>
      <c r="Q303" s="247"/>
      <c r="R303" s="247"/>
      <c r="S303" s="247"/>
      <c r="T303" s="247"/>
      <c r="U303" s="247"/>
      <c r="V303" s="249">
        <v>45669.11163194444</v>
      </c>
      <c r="W303" s="250" t="s">
        <v>1669</v>
      </c>
    </row>
    <row r="304" ht="15.75" customHeight="1">
      <c r="A304" s="241" t="s">
        <v>1787</v>
      </c>
      <c r="B304" s="242" t="s">
        <v>1328</v>
      </c>
      <c r="C304" s="242" t="s">
        <v>1166</v>
      </c>
      <c r="D304" s="242" t="s">
        <v>1330</v>
      </c>
      <c r="E304" s="242" t="s">
        <v>1341</v>
      </c>
      <c r="F304" s="242">
        <v>499.0</v>
      </c>
      <c r="G304" s="242" t="s">
        <v>1331</v>
      </c>
      <c r="H304" s="242">
        <v>1.0</v>
      </c>
      <c r="I304" s="242">
        <v>1.0</v>
      </c>
      <c r="J304" s="242">
        <v>12.0</v>
      </c>
      <c r="K304" s="242">
        <v>0.0</v>
      </c>
      <c r="L304" s="242">
        <v>1.0</v>
      </c>
      <c r="M304" s="242"/>
      <c r="N304" s="242"/>
      <c r="O304" s="242"/>
      <c r="P304" s="242"/>
      <c r="Q304" s="242"/>
      <c r="R304" s="242"/>
      <c r="S304" s="242"/>
      <c r="T304" s="242"/>
      <c r="U304" s="242"/>
      <c r="V304" s="244">
        <v>45670.51609953704</v>
      </c>
      <c r="W304" s="245" t="s">
        <v>1669</v>
      </c>
    </row>
    <row r="305" ht="15.75" customHeight="1">
      <c r="A305" s="246" t="s">
        <v>1189</v>
      </c>
      <c r="B305" s="247" t="s">
        <v>1340</v>
      </c>
      <c r="C305" s="247" t="s">
        <v>1166</v>
      </c>
      <c r="D305" s="247" t="s">
        <v>1330</v>
      </c>
      <c r="E305" s="247" t="s">
        <v>1341</v>
      </c>
      <c r="F305" s="247">
        <v>499.0</v>
      </c>
      <c r="G305" s="247" t="s">
        <v>1331</v>
      </c>
      <c r="H305" s="247">
        <v>1.0</v>
      </c>
      <c r="I305" s="247">
        <v>1.0</v>
      </c>
      <c r="J305" s="247">
        <v>12.0</v>
      </c>
      <c r="K305" s="247">
        <v>2.0</v>
      </c>
      <c r="L305" s="247">
        <v>1.0</v>
      </c>
      <c r="M305" s="247"/>
      <c r="N305" s="247"/>
      <c r="O305" s="247" t="s">
        <v>1788</v>
      </c>
      <c r="P305" s="247">
        <f>918700345560</f>
        <v>918700345560</v>
      </c>
      <c r="Q305" s="249">
        <v>45670.69099537037</v>
      </c>
      <c r="R305" s="252">
        <v>46004.0</v>
      </c>
      <c r="S305" s="249">
        <v>45670.69143518519</v>
      </c>
      <c r="T305" s="249">
        <v>45670.691412037035</v>
      </c>
      <c r="U305" s="249"/>
      <c r="V305" s="249">
        <v>45670.6908912037</v>
      </c>
      <c r="W305" s="250" t="s">
        <v>1669</v>
      </c>
    </row>
    <row r="306" ht="15.75" customHeight="1">
      <c r="A306" s="241" t="s">
        <v>1789</v>
      </c>
      <c r="B306" s="242" t="s">
        <v>1328</v>
      </c>
      <c r="C306" s="242" t="s">
        <v>1166</v>
      </c>
      <c r="D306" s="242" t="s">
        <v>1330</v>
      </c>
      <c r="E306" s="242" t="s">
        <v>1341</v>
      </c>
      <c r="F306" s="242">
        <v>499.0</v>
      </c>
      <c r="G306" s="242" t="s">
        <v>1331</v>
      </c>
      <c r="H306" s="242">
        <v>1.0</v>
      </c>
      <c r="I306" s="242">
        <v>1.0</v>
      </c>
      <c r="J306" s="242">
        <v>12.0</v>
      </c>
      <c r="K306" s="242">
        <v>0.0</v>
      </c>
      <c r="L306" s="242">
        <v>1.0</v>
      </c>
      <c r="M306" s="242"/>
      <c r="N306" s="242"/>
      <c r="O306" s="242"/>
      <c r="P306" s="242"/>
      <c r="Q306" s="242"/>
      <c r="R306" s="242"/>
      <c r="S306" s="242"/>
      <c r="T306" s="242"/>
      <c r="U306" s="242"/>
      <c r="V306" s="244">
        <v>45671.83526620371</v>
      </c>
      <c r="W306" s="245" t="s">
        <v>1669</v>
      </c>
    </row>
    <row r="307" ht="15.75" customHeight="1">
      <c r="A307" s="246" t="s">
        <v>1790</v>
      </c>
      <c r="B307" s="247" t="s">
        <v>1328</v>
      </c>
      <c r="C307" s="247" t="s">
        <v>1166</v>
      </c>
      <c r="D307" s="247" t="s">
        <v>1330</v>
      </c>
      <c r="E307" s="247" t="s">
        <v>1341</v>
      </c>
      <c r="F307" s="247">
        <v>499.0</v>
      </c>
      <c r="G307" s="247" t="s">
        <v>1331</v>
      </c>
      <c r="H307" s="247">
        <v>1.0</v>
      </c>
      <c r="I307" s="247">
        <v>1.0</v>
      </c>
      <c r="J307" s="247">
        <v>12.0</v>
      </c>
      <c r="K307" s="247">
        <v>0.0</v>
      </c>
      <c r="L307" s="247">
        <v>1.0</v>
      </c>
      <c r="M307" s="247"/>
      <c r="N307" s="247"/>
      <c r="O307" s="247"/>
      <c r="P307" s="247"/>
      <c r="Q307" s="247"/>
      <c r="R307" s="247"/>
      <c r="S307" s="247"/>
      <c r="T307" s="247"/>
      <c r="U307" s="247"/>
      <c r="V307" s="249">
        <v>45672.37875</v>
      </c>
      <c r="W307" s="250" t="s">
        <v>1669</v>
      </c>
    </row>
    <row r="308" ht="15.75" customHeight="1">
      <c r="A308" s="241" t="s">
        <v>1791</v>
      </c>
      <c r="B308" s="242" t="s">
        <v>1328</v>
      </c>
      <c r="C308" s="242" t="s">
        <v>1166</v>
      </c>
      <c r="D308" s="242" t="s">
        <v>1330</v>
      </c>
      <c r="E308" s="242" t="s">
        <v>1341</v>
      </c>
      <c r="F308" s="242">
        <v>499.0</v>
      </c>
      <c r="G308" s="242" t="s">
        <v>1331</v>
      </c>
      <c r="H308" s="242">
        <v>1.0</v>
      </c>
      <c r="I308" s="242">
        <v>1.0</v>
      </c>
      <c r="J308" s="242">
        <v>12.0</v>
      </c>
      <c r="K308" s="242">
        <v>0.0</v>
      </c>
      <c r="L308" s="242">
        <v>1.0</v>
      </c>
      <c r="M308" s="242"/>
      <c r="N308" s="242"/>
      <c r="O308" s="242"/>
      <c r="P308" s="242"/>
      <c r="Q308" s="242"/>
      <c r="R308" s="242"/>
      <c r="S308" s="242"/>
      <c r="T308" s="242"/>
      <c r="U308" s="242"/>
      <c r="V308" s="244">
        <v>45672.53114583333</v>
      </c>
      <c r="W308" s="245" t="s">
        <v>1669</v>
      </c>
    </row>
    <row r="309" ht="15.75" customHeight="1">
      <c r="A309" s="246" t="s">
        <v>1792</v>
      </c>
      <c r="B309" s="247" t="s">
        <v>1328</v>
      </c>
      <c r="C309" s="247" t="s">
        <v>1166</v>
      </c>
      <c r="D309" s="247" t="s">
        <v>1330</v>
      </c>
      <c r="E309" s="247" t="s">
        <v>1341</v>
      </c>
      <c r="F309" s="247">
        <v>499.0</v>
      </c>
      <c r="G309" s="247" t="s">
        <v>1331</v>
      </c>
      <c r="H309" s="247">
        <v>1.0</v>
      </c>
      <c r="I309" s="247">
        <v>1.0</v>
      </c>
      <c r="J309" s="247">
        <v>12.0</v>
      </c>
      <c r="K309" s="247">
        <v>0.0</v>
      </c>
      <c r="L309" s="247">
        <v>1.0</v>
      </c>
      <c r="M309" s="247"/>
      <c r="N309" s="247"/>
      <c r="O309" s="247"/>
      <c r="P309" s="247"/>
      <c r="Q309" s="247"/>
      <c r="R309" s="247"/>
      <c r="S309" s="247"/>
      <c r="T309" s="247"/>
      <c r="U309" s="247"/>
      <c r="V309" s="249">
        <v>45672.53256944445</v>
      </c>
      <c r="W309" s="250" t="s">
        <v>1669</v>
      </c>
    </row>
    <row r="310" ht="15.75" customHeight="1">
      <c r="A310" s="241" t="s">
        <v>1793</v>
      </c>
      <c r="B310" s="242" t="s">
        <v>1369</v>
      </c>
      <c r="C310" s="242" t="s">
        <v>1166</v>
      </c>
      <c r="D310" s="242" t="s">
        <v>1330</v>
      </c>
      <c r="E310" s="242" t="s">
        <v>1341</v>
      </c>
      <c r="F310" s="242">
        <v>499.0</v>
      </c>
      <c r="G310" s="242" t="s">
        <v>1331</v>
      </c>
      <c r="H310" s="242">
        <v>1.0</v>
      </c>
      <c r="I310" s="242">
        <v>1.0</v>
      </c>
      <c r="J310" s="242">
        <v>12.0</v>
      </c>
      <c r="K310" s="242">
        <v>2.0</v>
      </c>
      <c r="L310" s="242">
        <v>1.0</v>
      </c>
      <c r="M310" s="242"/>
      <c r="N310" s="242"/>
      <c r="O310" s="242" t="s">
        <v>1794</v>
      </c>
      <c r="P310" s="242">
        <f>919769016316</f>
        <v>919769016316</v>
      </c>
      <c r="Q310" s="244">
        <v>45672.53314814815</v>
      </c>
      <c r="R310" s="251">
        <v>46006.0</v>
      </c>
      <c r="S310" s="244">
        <v>45672.53486111111</v>
      </c>
      <c r="T310" s="244">
        <v>45672.534849537034</v>
      </c>
      <c r="U310" s="244">
        <v>45703.28570601852</v>
      </c>
      <c r="V310" s="244">
        <v>45672.53267361111</v>
      </c>
      <c r="W310" s="245" t="s">
        <v>1669</v>
      </c>
    </row>
    <row r="311" ht="15.75" customHeight="1">
      <c r="A311" s="246" t="s">
        <v>1795</v>
      </c>
      <c r="B311" s="247" t="s">
        <v>1328</v>
      </c>
      <c r="C311" s="247" t="s">
        <v>1166</v>
      </c>
      <c r="D311" s="247" t="s">
        <v>1330</v>
      </c>
      <c r="E311" s="247" t="s">
        <v>1341</v>
      </c>
      <c r="F311" s="247">
        <v>499.0</v>
      </c>
      <c r="G311" s="247" t="s">
        <v>1331</v>
      </c>
      <c r="H311" s="247">
        <v>1.0</v>
      </c>
      <c r="I311" s="247">
        <v>1.0</v>
      </c>
      <c r="J311" s="247">
        <v>12.0</v>
      </c>
      <c r="K311" s="247">
        <v>0.0</v>
      </c>
      <c r="L311" s="247">
        <v>1.0</v>
      </c>
      <c r="M311" s="247"/>
      <c r="N311" s="247"/>
      <c r="O311" s="247"/>
      <c r="P311" s="247"/>
      <c r="Q311" s="247"/>
      <c r="R311" s="247"/>
      <c r="S311" s="247"/>
      <c r="T311" s="247"/>
      <c r="U311" s="247"/>
      <c r="V311" s="249">
        <v>45672.56420138889</v>
      </c>
      <c r="W311" s="250" t="s">
        <v>1669</v>
      </c>
    </row>
    <row r="312" ht="15.75" customHeight="1">
      <c r="A312" s="241" t="s">
        <v>1796</v>
      </c>
      <c r="B312" s="242" t="s">
        <v>1369</v>
      </c>
      <c r="C312" s="242" t="s">
        <v>1166</v>
      </c>
      <c r="D312" s="242" t="s">
        <v>1330</v>
      </c>
      <c r="E312" s="242" t="s">
        <v>1341</v>
      </c>
      <c r="F312" s="242">
        <v>499.0</v>
      </c>
      <c r="G312" s="242" t="s">
        <v>1331</v>
      </c>
      <c r="H312" s="242">
        <v>1.0</v>
      </c>
      <c r="I312" s="242">
        <v>1.0</v>
      </c>
      <c r="J312" s="242">
        <v>12.0</v>
      </c>
      <c r="K312" s="242">
        <v>1.0</v>
      </c>
      <c r="L312" s="242">
        <v>1.0</v>
      </c>
      <c r="M312" s="242"/>
      <c r="N312" s="242"/>
      <c r="O312" s="242" t="s">
        <v>1797</v>
      </c>
      <c r="P312" s="242">
        <f>919599148201</f>
        <v>919599148201</v>
      </c>
      <c r="Q312" s="244">
        <v>45672.65021990741</v>
      </c>
      <c r="R312" s="251">
        <v>46006.0</v>
      </c>
      <c r="S312" s="244">
        <v>45672.65064814815</v>
      </c>
      <c r="T312" s="244">
        <v>45672.65063657407</v>
      </c>
      <c r="U312" s="244">
        <v>45696.61744212963</v>
      </c>
      <c r="V312" s="244">
        <v>45672.64953703704</v>
      </c>
      <c r="W312" s="245" t="s">
        <v>1669</v>
      </c>
    </row>
    <row r="313" ht="15.75" customHeight="1">
      <c r="A313" s="246" t="s">
        <v>1186</v>
      </c>
      <c r="B313" s="247" t="s">
        <v>1340</v>
      </c>
      <c r="C313" s="247" t="s">
        <v>1166</v>
      </c>
      <c r="D313" s="247" t="s">
        <v>1330</v>
      </c>
      <c r="E313" s="247" t="s">
        <v>1341</v>
      </c>
      <c r="F313" s="247">
        <v>499.0</v>
      </c>
      <c r="G313" s="247" t="s">
        <v>1331</v>
      </c>
      <c r="H313" s="247">
        <v>1.0</v>
      </c>
      <c r="I313" s="247">
        <v>1.0</v>
      </c>
      <c r="J313" s="247">
        <v>12.0</v>
      </c>
      <c r="K313" s="247">
        <v>2.0</v>
      </c>
      <c r="L313" s="247">
        <v>1.0</v>
      </c>
      <c r="M313" s="247"/>
      <c r="N313" s="247"/>
      <c r="O313" s="247" t="s">
        <v>1798</v>
      </c>
      <c r="P313" s="247">
        <f>919968955368</f>
        <v>919968955368</v>
      </c>
      <c r="Q313" s="249">
        <v>45672.652094907404</v>
      </c>
      <c r="R313" s="252">
        <v>46006.0</v>
      </c>
      <c r="S313" s="249">
        <v>45672.65293981481</v>
      </c>
      <c r="T313" s="249">
        <v>45672.652916666666</v>
      </c>
      <c r="U313" s="249"/>
      <c r="V313" s="249">
        <v>45672.65195601852</v>
      </c>
      <c r="W313" s="250" t="s">
        <v>1669</v>
      </c>
    </row>
    <row r="314" ht="15.75" customHeight="1">
      <c r="A314" s="241" t="s">
        <v>1799</v>
      </c>
      <c r="B314" s="242" t="s">
        <v>1328</v>
      </c>
      <c r="C314" s="242" t="s">
        <v>1166</v>
      </c>
      <c r="D314" s="242" t="s">
        <v>1330</v>
      </c>
      <c r="E314" s="242" t="s">
        <v>1341</v>
      </c>
      <c r="F314" s="242">
        <v>499.0</v>
      </c>
      <c r="G314" s="242" t="s">
        <v>1331</v>
      </c>
      <c r="H314" s="242">
        <v>1.0</v>
      </c>
      <c r="I314" s="242">
        <v>1.0</v>
      </c>
      <c r="J314" s="242">
        <v>12.0</v>
      </c>
      <c r="K314" s="242">
        <v>0.0</v>
      </c>
      <c r="L314" s="242">
        <v>1.0</v>
      </c>
      <c r="M314" s="242"/>
      <c r="N314" s="242"/>
      <c r="O314" s="242"/>
      <c r="P314" s="242"/>
      <c r="Q314" s="242"/>
      <c r="R314" s="242"/>
      <c r="S314" s="242"/>
      <c r="T314" s="242"/>
      <c r="U314" s="242"/>
      <c r="V314" s="244">
        <v>45673.8190625</v>
      </c>
      <c r="W314" s="245" t="s">
        <v>1669</v>
      </c>
    </row>
    <row r="315" ht="15.75" customHeight="1">
      <c r="A315" s="246" t="s">
        <v>1183</v>
      </c>
      <c r="B315" s="247" t="s">
        <v>1340</v>
      </c>
      <c r="C315" s="247" t="s">
        <v>1166</v>
      </c>
      <c r="D315" s="247" t="s">
        <v>1330</v>
      </c>
      <c r="E315" s="247" t="s">
        <v>1341</v>
      </c>
      <c r="F315" s="247">
        <v>499.0</v>
      </c>
      <c r="G315" s="247" t="s">
        <v>1331</v>
      </c>
      <c r="H315" s="247">
        <v>1.0</v>
      </c>
      <c r="I315" s="247">
        <v>1.0</v>
      </c>
      <c r="J315" s="247">
        <v>12.0</v>
      </c>
      <c r="K315" s="247">
        <v>2.0</v>
      </c>
      <c r="L315" s="247">
        <v>1.0</v>
      </c>
      <c r="M315" s="247"/>
      <c r="N315" s="247"/>
      <c r="O315" s="247" t="s">
        <v>1800</v>
      </c>
      <c r="P315" s="247">
        <f>919833320391</f>
        <v>919833320391</v>
      </c>
      <c r="Q315" s="249">
        <v>45674.495844907404</v>
      </c>
      <c r="R315" s="252">
        <v>46008.0</v>
      </c>
      <c r="S315" s="249">
        <v>45674.496342592596</v>
      </c>
      <c r="T315" s="249">
        <v>45674.49633101852</v>
      </c>
      <c r="U315" s="249"/>
      <c r="V315" s="249">
        <v>45674.494305555556</v>
      </c>
      <c r="W315" s="250" t="s">
        <v>1669</v>
      </c>
    </row>
    <row r="316" ht="15.75" customHeight="1">
      <c r="A316" s="241" t="s">
        <v>1180</v>
      </c>
      <c r="B316" s="242" t="s">
        <v>1340</v>
      </c>
      <c r="C316" s="242" t="s">
        <v>1166</v>
      </c>
      <c r="D316" s="242" t="s">
        <v>1330</v>
      </c>
      <c r="E316" s="242" t="s">
        <v>1341</v>
      </c>
      <c r="F316" s="242">
        <v>499.0</v>
      </c>
      <c r="G316" s="242" t="s">
        <v>1331</v>
      </c>
      <c r="H316" s="242">
        <v>1.0</v>
      </c>
      <c r="I316" s="242">
        <v>1.0</v>
      </c>
      <c r="J316" s="242">
        <v>12.0</v>
      </c>
      <c r="K316" s="242">
        <v>2.0</v>
      </c>
      <c r="L316" s="242">
        <v>1.0</v>
      </c>
      <c r="M316" s="242"/>
      <c r="N316" s="242"/>
      <c r="O316" s="242" t="s">
        <v>1801</v>
      </c>
      <c r="P316" s="242">
        <f>917838575956</f>
        <v>917838575956</v>
      </c>
      <c r="Q316" s="244">
        <v>45674.59082175926</v>
      </c>
      <c r="R316" s="251">
        <v>46008.0</v>
      </c>
      <c r="S316" s="244">
        <v>45674.59105324074</v>
      </c>
      <c r="T316" s="244">
        <v>45674.59103009259</v>
      </c>
      <c r="U316" s="244"/>
      <c r="V316" s="244">
        <v>45674.5903125</v>
      </c>
      <c r="W316" s="245" t="s">
        <v>1669</v>
      </c>
    </row>
    <row r="317" ht="15.75" customHeight="1">
      <c r="A317" s="246" t="s">
        <v>1802</v>
      </c>
      <c r="B317" s="247" t="s">
        <v>1328</v>
      </c>
      <c r="C317" s="247" t="s">
        <v>1166</v>
      </c>
      <c r="D317" s="247" t="s">
        <v>1330</v>
      </c>
      <c r="E317" s="247" t="s">
        <v>1341</v>
      </c>
      <c r="F317" s="247">
        <v>499.0</v>
      </c>
      <c r="G317" s="247" t="s">
        <v>1331</v>
      </c>
      <c r="H317" s="247">
        <v>1.0</v>
      </c>
      <c r="I317" s="247">
        <v>1.0</v>
      </c>
      <c r="J317" s="247">
        <v>12.0</v>
      </c>
      <c r="K317" s="247">
        <v>0.0</v>
      </c>
      <c r="L317" s="247">
        <v>1.0</v>
      </c>
      <c r="M317" s="247"/>
      <c r="N317" s="247"/>
      <c r="O317" s="247"/>
      <c r="P317" s="247"/>
      <c r="Q317" s="247"/>
      <c r="R317" s="247"/>
      <c r="S317" s="247"/>
      <c r="T317" s="247"/>
      <c r="U317" s="247"/>
      <c r="V317" s="249">
        <v>45674.918020833335</v>
      </c>
      <c r="W317" s="250" t="s">
        <v>1669</v>
      </c>
    </row>
    <row r="318" ht="15.75" customHeight="1">
      <c r="A318" s="241" t="s">
        <v>1803</v>
      </c>
      <c r="B318" s="242" t="s">
        <v>1328</v>
      </c>
      <c r="C318" s="242" t="s">
        <v>1166</v>
      </c>
      <c r="D318" s="242" t="s">
        <v>1330</v>
      </c>
      <c r="E318" s="242" t="s">
        <v>1341</v>
      </c>
      <c r="F318" s="242">
        <v>499.0</v>
      </c>
      <c r="G318" s="242" t="s">
        <v>1331</v>
      </c>
      <c r="H318" s="242">
        <v>1.0</v>
      </c>
      <c r="I318" s="242">
        <v>1.0</v>
      </c>
      <c r="J318" s="242">
        <v>12.0</v>
      </c>
      <c r="K318" s="242">
        <v>0.0</v>
      </c>
      <c r="L318" s="242">
        <v>1.0</v>
      </c>
      <c r="M318" s="242"/>
      <c r="N318" s="242"/>
      <c r="O318" s="242"/>
      <c r="P318" s="242"/>
      <c r="Q318" s="242"/>
      <c r="R318" s="242"/>
      <c r="S318" s="242"/>
      <c r="T318" s="242"/>
      <c r="U318" s="242"/>
      <c r="V318" s="244">
        <v>45674.91952546296</v>
      </c>
      <c r="W318" s="245" t="s">
        <v>1669</v>
      </c>
    </row>
    <row r="319" ht="15.75" customHeight="1">
      <c r="A319" s="246" t="s">
        <v>1804</v>
      </c>
      <c r="B319" s="247" t="s">
        <v>1328</v>
      </c>
      <c r="C319" s="247" t="s">
        <v>1166</v>
      </c>
      <c r="D319" s="247" t="s">
        <v>1330</v>
      </c>
      <c r="E319" s="247" t="s">
        <v>1341</v>
      </c>
      <c r="F319" s="247">
        <v>499.0</v>
      </c>
      <c r="G319" s="247" t="s">
        <v>1331</v>
      </c>
      <c r="H319" s="247">
        <v>1.0</v>
      </c>
      <c r="I319" s="247">
        <v>1.0</v>
      </c>
      <c r="J319" s="247">
        <v>12.0</v>
      </c>
      <c r="K319" s="247">
        <v>0.0</v>
      </c>
      <c r="L319" s="247">
        <v>1.0</v>
      </c>
      <c r="M319" s="247"/>
      <c r="N319" s="247"/>
      <c r="O319" s="247"/>
      <c r="P319" s="247"/>
      <c r="Q319" s="247"/>
      <c r="R319" s="247"/>
      <c r="S319" s="247"/>
      <c r="T319" s="247"/>
      <c r="U319" s="247"/>
      <c r="V319" s="249">
        <v>45677.74266203704</v>
      </c>
      <c r="W319" s="250" t="s">
        <v>1669</v>
      </c>
    </row>
    <row r="320" ht="15.75" customHeight="1">
      <c r="A320" s="241" t="s">
        <v>1805</v>
      </c>
      <c r="B320" s="242" t="s">
        <v>1350</v>
      </c>
      <c r="C320" s="242" t="s">
        <v>1166</v>
      </c>
      <c r="D320" s="242" t="s">
        <v>1330</v>
      </c>
      <c r="E320" s="242" t="s">
        <v>1341</v>
      </c>
      <c r="F320" s="242">
        <v>499.0</v>
      </c>
      <c r="G320" s="242" t="s">
        <v>1331</v>
      </c>
      <c r="H320" s="242">
        <v>1.0</v>
      </c>
      <c r="I320" s="242">
        <v>1.0</v>
      </c>
      <c r="J320" s="242">
        <v>12.0</v>
      </c>
      <c r="K320" s="242">
        <v>1.0</v>
      </c>
      <c r="L320" s="242">
        <v>1.0</v>
      </c>
      <c r="M320" s="242" t="s">
        <v>1806</v>
      </c>
      <c r="N320" s="242"/>
      <c r="O320" s="242" t="s">
        <v>1807</v>
      </c>
      <c r="P320" s="242">
        <f>919819714051</f>
        <v>919819714051</v>
      </c>
      <c r="Q320" s="244">
        <v>45677.74412037037</v>
      </c>
      <c r="R320" s="251">
        <v>46011.0</v>
      </c>
      <c r="S320" s="244">
        <v>45677.744618055556</v>
      </c>
      <c r="T320" s="244">
        <v>45677.74460648148</v>
      </c>
      <c r="U320" s="244"/>
      <c r="V320" s="244">
        <v>45677.74304398148</v>
      </c>
      <c r="W320" s="245" t="s">
        <v>1669</v>
      </c>
    </row>
    <row r="321" ht="15.75" customHeight="1">
      <c r="A321" s="246" t="s">
        <v>1808</v>
      </c>
      <c r="B321" s="247" t="s">
        <v>1328</v>
      </c>
      <c r="C321" s="247" t="s">
        <v>1166</v>
      </c>
      <c r="D321" s="247" t="s">
        <v>1330</v>
      </c>
      <c r="E321" s="247" t="s">
        <v>1341</v>
      </c>
      <c r="F321" s="247">
        <v>499.0</v>
      </c>
      <c r="G321" s="247" t="s">
        <v>1331</v>
      </c>
      <c r="H321" s="247">
        <v>1.0</v>
      </c>
      <c r="I321" s="247">
        <v>1.0</v>
      </c>
      <c r="J321" s="247">
        <v>12.0</v>
      </c>
      <c r="K321" s="247">
        <v>0.0</v>
      </c>
      <c r="L321" s="247">
        <v>1.0</v>
      </c>
      <c r="M321" s="247"/>
      <c r="N321" s="247"/>
      <c r="O321" s="247"/>
      <c r="P321" s="247"/>
      <c r="Q321" s="247"/>
      <c r="R321" s="247"/>
      <c r="S321" s="247"/>
      <c r="T321" s="247"/>
      <c r="U321" s="247"/>
      <c r="V321" s="249">
        <v>45677.82487268518</v>
      </c>
      <c r="W321" s="250" t="s">
        <v>1669</v>
      </c>
    </row>
    <row r="322" ht="15.75" customHeight="1">
      <c r="A322" s="241" t="s">
        <v>1809</v>
      </c>
      <c r="B322" s="242" t="s">
        <v>1360</v>
      </c>
      <c r="C322" s="242" t="s">
        <v>1166</v>
      </c>
      <c r="D322" s="242" t="s">
        <v>1330</v>
      </c>
      <c r="E322" s="242" t="s">
        <v>1341</v>
      </c>
      <c r="F322" s="242">
        <v>499.0</v>
      </c>
      <c r="G322" s="242" t="s">
        <v>1331</v>
      </c>
      <c r="H322" s="242">
        <v>1.0</v>
      </c>
      <c r="I322" s="242">
        <v>1.0</v>
      </c>
      <c r="J322" s="242">
        <v>12.0</v>
      </c>
      <c r="K322" s="242">
        <v>1.0</v>
      </c>
      <c r="L322" s="242">
        <v>1.0</v>
      </c>
      <c r="M322" s="242"/>
      <c r="N322" s="242"/>
      <c r="O322" s="242" t="s">
        <v>1810</v>
      </c>
      <c r="P322" s="242">
        <f>919305722329</f>
        <v>919305722329</v>
      </c>
      <c r="Q322" s="244">
        <v>45678.54585648148</v>
      </c>
      <c r="R322" s="251">
        <v>46012.0</v>
      </c>
      <c r="S322" s="244">
        <v>45678.546793981484</v>
      </c>
      <c r="T322" s="244">
        <v>45678.54677083333</v>
      </c>
      <c r="U322" s="244"/>
      <c r="V322" s="244">
        <v>45678.54347222222</v>
      </c>
      <c r="W322" s="245" t="s">
        <v>1669</v>
      </c>
    </row>
    <row r="323" ht="15.75" customHeight="1">
      <c r="A323" s="246" t="s">
        <v>1811</v>
      </c>
      <c r="B323" s="247" t="s">
        <v>1369</v>
      </c>
      <c r="C323" s="247" t="s">
        <v>1166</v>
      </c>
      <c r="D323" s="247" t="s">
        <v>1330</v>
      </c>
      <c r="E323" s="247" t="s">
        <v>1341</v>
      </c>
      <c r="F323" s="247">
        <v>499.0</v>
      </c>
      <c r="G323" s="247" t="s">
        <v>1331</v>
      </c>
      <c r="H323" s="247">
        <v>1.0</v>
      </c>
      <c r="I323" s="247">
        <v>1.0</v>
      </c>
      <c r="J323" s="247">
        <v>12.0</v>
      </c>
      <c r="K323" s="247">
        <v>1.0</v>
      </c>
      <c r="L323" s="247">
        <v>1.0</v>
      </c>
      <c r="M323" s="247"/>
      <c r="N323" s="247"/>
      <c r="O323" s="247" t="s">
        <v>1812</v>
      </c>
      <c r="P323" s="247">
        <f>917665049607</f>
        <v>917665049607</v>
      </c>
      <c r="Q323" s="249">
        <v>45679.4062037037</v>
      </c>
      <c r="R323" s="252">
        <v>46013.0</v>
      </c>
      <c r="S323" s="249">
        <v>45679.406747685185</v>
      </c>
      <c r="T323" s="249">
        <v>45679.40673611111</v>
      </c>
      <c r="U323" s="249">
        <v>45709.29408564815</v>
      </c>
      <c r="V323" s="249">
        <v>45679.40553240741</v>
      </c>
      <c r="W323" s="250" t="s">
        <v>1669</v>
      </c>
    </row>
    <row r="324" ht="15.75" customHeight="1">
      <c r="A324" s="241" t="s">
        <v>1813</v>
      </c>
      <c r="B324" s="242" t="s">
        <v>1328</v>
      </c>
      <c r="C324" s="242" t="s">
        <v>1814</v>
      </c>
      <c r="D324" s="242" t="s">
        <v>1815</v>
      </c>
      <c r="E324" s="242"/>
      <c r="F324" s="242">
        <v>18000.0</v>
      </c>
      <c r="G324" s="242" t="s">
        <v>1331</v>
      </c>
      <c r="H324" s="242">
        <v>1.0</v>
      </c>
      <c r="I324" s="242">
        <v>1.0</v>
      </c>
      <c r="J324" s="242">
        <v>12.0</v>
      </c>
      <c r="K324" s="242">
        <v>0.0</v>
      </c>
      <c r="L324" s="242">
        <v>1.0</v>
      </c>
      <c r="M324" s="242"/>
      <c r="N324" s="242"/>
      <c r="O324" s="242"/>
      <c r="P324" s="242"/>
      <c r="Q324" s="242"/>
      <c r="R324" s="242"/>
      <c r="S324" s="242"/>
      <c r="T324" s="242"/>
      <c r="U324" s="242"/>
      <c r="V324" s="244">
        <v>45679.684849537036</v>
      </c>
      <c r="W324" s="245" t="s">
        <v>1669</v>
      </c>
    </row>
    <row r="325" ht="15.75" customHeight="1">
      <c r="A325" s="246" t="s">
        <v>1175</v>
      </c>
      <c r="B325" s="247" t="s">
        <v>1340</v>
      </c>
      <c r="C325" s="247" t="s">
        <v>1176</v>
      </c>
      <c r="D325" s="247" t="s">
        <v>1729</v>
      </c>
      <c r="E325" s="247"/>
      <c r="F325" s="247">
        <v>54000.0</v>
      </c>
      <c r="G325" s="247" t="s">
        <v>1331</v>
      </c>
      <c r="H325" s="247">
        <v>3.0</v>
      </c>
      <c r="I325" s="247">
        <v>1.0</v>
      </c>
      <c r="J325" s="247">
        <v>4.0</v>
      </c>
      <c r="K325" s="247">
        <v>1.0</v>
      </c>
      <c r="L325" s="247">
        <v>1.0</v>
      </c>
      <c r="M325" s="247" t="s">
        <v>1178</v>
      </c>
      <c r="N325" s="247"/>
      <c r="O325" s="247" t="s">
        <v>1816</v>
      </c>
      <c r="P325" s="247">
        <f>919821097308</f>
        <v>919821097308</v>
      </c>
      <c r="Q325" s="249">
        <v>45679.85055555555</v>
      </c>
      <c r="R325" s="252">
        <v>45952.0</v>
      </c>
      <c r="S325" s="249">
        <v>45679.850798611114</v>
      </c>
      <c r="T325" s="249">
        <v>45679.85077546296</v>
      </c>
      <c r="U325" s="249"/>
      <c r="V325" s="249">
        <v>45679.688125</v>
      </c>
      <c r="W325" s="250" t="s">
        <v>1669</v>
      </c>
    </row>
    <row r="326" ht="15.75" customHeight="1">
      <c r="A326" s="241" t="s">
        <v>1817</v>
      </c>
      <c r="B326" s="242" t="s">
        <v>1328</v>
      </c>
      <c r="C326" s="242" t="s">
        <v>1818</v>
      </c>
      <c r="D326" s="242" t="s">
        <v>1819</v>
      </c>
      <c r="E326" s="242"/>
      <c r="F326" s="242">
        <v>15000.0</v>
      </c>
      <c r="G326" s="242" t="s">
        <v>1331</v>
      </c>
      <c r="H326" s="242">
        <v>1.0</v>
      </c>
      <c r="I326" s="242">
        <v>1.0</v>
      </c>
      <c r="J326" s="242">
        <v>12.0</v>
      </c>
      <c r="K326" s="242">
        <v>0.0</v>
      </c>
      <c r="L326" s="242">
        <v>1.0</v>
      </c>
      <c r="M326" s="242"/>
      <c r="N326" s="242"/>
      <c r="O326" s="242"/>
      <c r="P326" s="242"/>
      <c r="Q326" s="242"/>
      <c r="R326" s="242"/>
      <c r="S326" s="242"/>
      <c r="T326" s="242"/>
      <c r="U326" s="242"/>
      <c r="V326" s="244">
        <v>45680.724027777775</v>
      </c>
      <c r="W326" s="245" t="s">
        <v>1669</v>
      </c>
    </row>
    <row r="327" ht="15.75" customHeight="1">
      <c r="A327" s="246" t="s">
        <v>1172</v>
      </c>
      <c r="B327" s="247" t="s">
        <v>1340</v>
      </c>
      <c r="C327" s="247" t="s">
        <v>1166</v>
      </c>
      <c r="D327" s="247" t="s">
        <v>1330</v>
      </c>
      <c r="E327" s="247" t="s">
        <v>1341</v>
      </c>
      <c r="F327" s="247">
        <v>499.0</v>
      </c>
      <c r="G327" s="247" t="s">
        <v>1331</v>
      </c>
      <c r="H327" s="247">
        <v>1.0</v>
      </c>
      <c r="I327" s="247">
        <v>1.0</v>
      </c>
      <c r="J327" s="247">
        <v>12.0</v>
      </c>
      <c r="K327" s="247">
        <v>2.0</v>
      </c>
      <c r="L327" s="247">
        <v>1.0</v>
      </c>
      <c r="M327" s="247"/>
      <c r="N327" s="247"/>
      <c r="O327" s="247" t="s">
        <v>1609</v>
      </c>
      <c r="P327" s="247">
        <f>918733080967</f>
        <v>918733080967</v>
      </c>
      <c r="Q327" s="249">
        <v>45680.77332175926</v>
      </c>
      <c r="R327" s="252">
        <v>46014.0</v>
      </c>
      <c r="S327" s="249">
        <v>45680.77357638889</v>
      </c>
      <c r="T327" s="249">
        <v>45680.773564814815</v>
      </c>
      <c r="U327" s="249"/>
      <c r="V327" s="249">
        <v>45680.772511574076</v>
      </c>
      <c r="W327" s="250" t="s">
        <v>1669</v>
      </c>
    </row>
    <row r="328" ht="15.75" customHeight="1">
      <c r="A328" s="241" t="s">
        <v>1169</v>
      </c>
      <c r="B328" s="242" t="s">
        <v>1340</v>
      </c>
      <c r="C328" s="242" t="s">
        <v>1166</v>
      </c>
      <c r="D328" s="242" t="s">
        <v>1330</v>
      </c>
      <c r="E328" s="242" t="s">
        <v>1341</v>
      </c>
      <c r="F328" s="242">
        <v>499.0</v>
      </c>
      <c r="G328" s="242" t="s">
        <v>1331</v>
      </c>
      <c r="H328" s="242">
        <v>1.0</v>
      </c>
      <c r="I328" s="242">
        <v>1.0</v>
      </c>
      <c r="J328" s="242">
        <v>12.0</v>
      </c>
      <c r="K328" s="242">
        <v>2.0</v>
      </c>
      <c r="L328" s="242">
        <v>1.0</v>
      </c>
      <c r="M328" s="242"/>
      <c r="N328" s="242"/>
      <c r="O328" s="242" t="s">
        <v>1820</v>
      </c>
      <c r="P328" s="242">
        <f>919717914118</f>
        <v>919717914118</v>
      </c>
      <c r="Q328" s="244">
        <v>45680.78706018518</v>
      </c>
      <c r="R328" s="251">
        <v>46014.0</v>
      </c>
      <c r="S328" s="244">
        <v>45680.78744212963</v>
      </c>
      <c r="T328" s="244">
        <v>45680.78743055555</v>
      </c>
      <c r="U328" s="244"/>
      <c r="V328" s="244">
        <v>45680.786574074074</v>
      </c>
      <c r="W328" s="245" t="s">
        <v>1669</v>
      </c>
    </row>
    <row r="329" ht="15.75" customHeight="1">
      <c r="A329" s="246" t="s">
        <v>1821</v>
      </c>
      <c r="B329" s="247" t="s">
        <v>1350</v>
      </c>
      <c r="C329" s="247" t="s">
        <v>1166</v>
      </c>
      <c r="D329" s="247" t="s">
        <v>1330</v>
      </c>
      <c r="E329" s="247" t="s">
        <v>1341</v>
      </c>
      <c r="F329" s="247">
        <v>499.0</v>
      </c>
      <c r="G329" s="247" t="s">
        <v>1331</v>
      </c>
      <c r="H329" s="247">
        <v>1.0</v>
      </c>
      <c r="I329" s="247">
        <v>1.0</v>
      </c>
      <c r="J329" s="247">
        <v>12.0</v>
      </c>
      <c r="K329" s="247">
        <v>1.0</v>
      </c>
      <c r="L329" s="247">
        <v>1.0</v>
      </c>
      <c r="M329" s="247"/>
      <c r="N329" s="247"/>
      <c r="O329" s="247" t="s">
        <v>1822</v>
      </c>
      <c r="P329" s="247">
        <f>917702919997</f>
        <v>917702919997</v>
      </c>
      <c r="Q329" s="249">
        <v>45680.845625</v>
      </c>
      <c r="R329" s="252">
        <v>46014.0</v>
      </c>
      <c r="S329" s="249">
        <v>45680.84606481482</v>
      </c>
      <c r="T329" s="249">
        <v>45680.84605324074</v>
      </c>
      <c r="U329" s="249"/>
      <c r="V329" s="249">
        <v>45680.84457175926</v>
      </c>
      <c r="W329" s="250" t="s">
        <v>1669</v>
      </c>
    </row>
    <row r="330" ht="15.75" customHeight="1">
      <c r="A330" s="241" t="s">
        <v>1823</v>
      </c>
      <c r="B330" s="242" t="s">
        <v>1350</v>
      </c>
      <c r="C330" s="242" t="s">
        <v>1166</v>
      </c>
      <c r="D330" s="242" t="s">
        <v>1330</v>
      </c>
      <c r="E330" s="242" t="s">
        <v>1341</v>
      </c>
      <c r="F330" s="242">
        <v>499.0</v>
      </c>
      <c r="G330" s="242" t="s">
        <v>1331</v>
      </c>
      <c r="H330" s="242">
        <v>1.0</v>
      </c>
      <c r="I330" s="242">
        <v>1.0</v>
      </c>
      <c r="J330" s="242">
        <v>12.0</v>
      </c>
      <c r="K330" s="242">
        <v>1.0</v>
      </c>
      <c r="L330" s="242">
        <v>1.0</v>
      </c>
      <c r="M330" s="242" t="s">
        <v>1824</v>
      </c>
      <c r="N330" s="242"/>
      <c r="O330" s="242" t="s">
        <v>1825</v>
      </c>
      <c r="P330" s="242">
        <f>919665445227</f>
        <v>919665445227</v>
      </c>
      <c r="Q330" s="244">
        <v>45682.5700462963</v>
      </c>
      <c r="R330" s="251">
        <v>46016.0</v>
      </c>
      <c r="S330" s="244">
        <v>45682.57037037037</v>
      </c>
      <c r="T330" s="244">
        <v>45682.5703125</v>
      </c>
      <c r="U330" s="244"/>
      <c r="V330" s="244">
        <v>45682.56927083333</v>
      </c>
      <c r="W330" s="245" t="s">
        <v>1669</v>
      </c>
    </row>
    <row r="331" ht="15.75" customHeight="1">
      <c r="A331" s="246" t="s">
        <v>1826</v>
      </c>
      <c r="B331" s="247" t="s">
        <v>1328</v>
      </c>
      <c r="C331" s="247" t="s">
        <v>1166</v>
      </c>
      <c r="D331" s="247" t="s">
        <v>1330</v>
      </c>
      <c r="E331" s="247" t="s">
        <v>1341</v>
      </c>
      <c r="F331" s="247">
        <v>499.0</v>
      </c>
      <c r="G331" s="247" t="s">
        <v>1331</v>
      </c>
      <c r="H331" s="247">
        <v>1.0</v>
      </c>
      <c r="I331" s="247">
        <v>1.0</v>
      </c>
      <c r="J331" s="247">
        <v>12.0</v>
      </c>
      <c r="K331" s="247">
        <v>0.0</v>
      </c>
      <c r="L331" s="247">
        <v>1.0</v>
      </c>
      <c r="M331" s="247"/>
      <c r="N331" s="247"/>
      <c r="O331" s="247"/>
      <c r="P331" s="247"/>
      <c r="Q331" s="247"/>
      <c r="R331" s="247"/>
      <c r="S331" s="247"/>
      <c r="T331" s="247"/>
      <c r="U331" s="247"/>
      <c r="V331" s="249">
        <v>45684.65825231482</v>
      </c>
      <c r="W331" s="250" t="s">
        <v>1669</v>
      </c>
    </row>
    <row r="332" ht="15.75" customHeight="1">
      <c r="A332" s="241" t="s">
        <v>1827</v>
      </c>
      <c r="B332" s="242" t="s">
        <v>1328</v>
      </c>
      <c r="C332" s="242" t="s">
        <v>1166</v>
      </c>
      <c r="D332" s="242" t="s">
        <v>1330</v>
      </c>
      <c r="E332" s="242" t="s">
        <v>1341</v>
      </c>
      <c r="F332" s="242">
        <v>499.0</v>
      </c>
      <c r="G332" s="242" t="s">
        <v>1331</v>
      </c>
      <c r="H332" s="242">
        <v>1.0</v>
      </c>
      <c r="I332" s="242">
        <v>1.0</v>
      </c>
      <c r="J332" s="242">
        <v>12.0</v>
      </c>
      <c r="K332" s="242">
        <v>0.0</v>
      </c>
      <c r="L332" s="242">
        <v>1.0</v>
      </c>
      <c r="M332" s="242"/>
      <c r="N332" s="242"/>
      <c r="O332" s="242"/>
      <c r="P332" s="242"/>
      <c r="Q332" s="242"/>
      <c r="R332" s="242"/>
      <c r="S332" s="242"/>
      <c r="T332" s="242"/>
      <c r="U332" s="242"/>
      <c r="V332" s="244">
        <v>45684.67285879629</v>
      </c>
      <c r="W332" s="245" t="s">
        <v>1669</v>
      </c>
    </row>
    <row r="333" ht="15.75" customHeight="1">
      <c r="A333" s="246" t="s">
        <v>1828</v>
      </c>
      <c r="B333" s="247" t="s">
        <v>1328</v>
      </c>
      <c r="C333" s="247" t="s">
        <v>1166</v>
      </c>
      <c r="D333" s="247" t="s">
        <v>1330</v>
      </c>
      <c r="E333" s="247" t="s">
        <v>1341</v>
      </c>
      <c r="F333" s="247">
        <v>499.0</v>
      </c>
      <c r="G333" s="247" t="s">
        <v>1331</v>
      </c>
      <c r="H333" s="247">
        <v>1.0</v>
      </c>
      <c r="I333" s="247">
        <v>1.0</v>
      </c>
      <c r="J333" s="247">
        <v>12.0</v>
      </c>
      <c r="K333" s="247">
        <v>0.0</v>
      </c>
      <c r="L333" s="247">
        <v>1.0</v>
      </c>
      <c r="M333" s="247"/>
      <c r="N333" s="247"/>
      <c r="O333" s="247"/>
      <c r="P333" s="247"/>
      <c r="Q333" s="247"/>
      <c r="R333" s="247"/>
      <c r="S333" s="247"/>
      <c r="T333" s="247"/>
      <c r="U333" s="247"/>
      <c r="V333" s="249">
        <v>45684.677407407406</v>
      </c>
      <c r="W333" s="250" t="s">
        <v>1669</v>
      </c>
    </row>
    <row r="334" ht="15.75" customHeight="1">
      <c r="A334" s="241" t="s">
        <v>1829</v>
      </c>
      <c r="B334" s="242" t="s">
        <v>1350</v>
      </c>
      <c r="C334" s="242" t="s">
        <v>1166</v>
      </c>
      <c r="D334" s="242" t="s">
        <v>1330</v>
      </c>
      <c r="E334" s="242" t="s">
        <v>1341</v>
      </c>
      <c r="F334" s="242">
        <v>499.0</v>
      </c>
      <c r="G334" s="242" t="s">
        <v>1331</v>
      </c>
      <c r="H334" s="242">
        <v>1.0</v>
      </c>
      <c r="I334" s="242">
        <v>1.0</v>
      </c>
      <c r="J334" s="242">
        <v>12.0</v>
      </c>
      <c r="K334" s="242">
        <v>1.0</v>
      </c>
      <c r="L334" s="242">
        <v>1.0</v>
      </c>
      <c r="M334" s="242"/>
      <c r="N334" s="242"/>
      <c r="O334" s="242" t="s">
        <v>1830</v>
      </c>
      <c r="P334" s="242">
        <f>918733080967</f>
        <v>918733080967</v>
      </c>
      <c r="Q334" s="244">
        <v>45685.968831018516</v>
      </c>
      <c r="R334" s="251">
        <v>46019.0</v>
      </c>
      <c r="S334" s="244">
        <v>45685.96908564815</v>
      </c>
      <c r="T334" s="244">
        <v>45685.9690625</v>
      </c>
      <c r="U334" s="244"/>
      <c r="V334" s="244">
        <v>45685.96841435185</v>
      </c>
      <c r="W334" s="245" t="s">
        <v>1669</v>
      </c>
    </row>
    <row r="335" ht="15.75" customHeight="1">
      <c r="A335" s="246" t="s">
        <v>1165</v>
      </c>
      <c r="B335" s="247" t="s">
        <v>1340</v>
      </c>
      <c r="C335" s="247" t="s">
        <v>1166</v>
      </c>
      <c r="D335" s="247" t="s">
        <v>1330</v>
      </c>
      <c r="E335" s="247" t="s">
        <v>1341</v>
      </c>
      <c r="F335" s="247">
        <v>499.0</v>
      </c>
      <c r="G335" s="247" t="s">
        <v>1331</v>
      </c>
      <c r="H335" s="247">
        <v>1.0</v>
      </c>
      <c r="I335" s="247">
        <v>1.0</v>
      </c>
      <c r="J335" s="247">
        <v>12.0</v>
      </c>
      <c r="K335" s="247">
        <v>2.0</v>
      </c>
      <c r="L335" s="247">
        <v>1.0</v>
      </c>
      <c r="M335" s="247"/>
      <c r="N335" s="247"/>
      <c r="O335" s="247" t="s">
        <v>1831</v>
      </c>
      <c r="P335" s="247">
        <f>919502712502</f>
        <v>919502712502</v>
      </c>
      <c r="Q335" s="249">
        <v>45686.67269675926</v>
      </c>
      <c r="R335" s="252">
        <v>46020.0</v>
      </c>
      <c r="S335" s="249">
        <v>45686.673055555555</v>
      </c>
      <c r="T335" s="249">
        <v>45686.67303240741</v>
      </c>
      <c r="U335" s="249"/>
      <c r="V335" s="249">
        <v>45686.672581018516</v>
      </c>
      <c r="W335" s="250" t="s">
        <v>1669</v>
      </c>
    </row>
    <row r="336" ht="15.75" customHeight="1">
      <c r="A336" s="241" t="s">
        <v>1162</v>
      </c>
      <c r="B336" s="242" t="s">
        <v>1340</v>
      </c>
      <c r="C336" s="242" t="s">
        <v>1152</v>
      </c>
      <c r="D336" s="242" t="s">
        <v>1330</v>
      </c>
      <c r="E336" s="242" t="s">
        <v>1341</v>
      </c>
      <c r="F336" s="242">
        <v>2499.0</v>
      </c>
      <c r="G336" s="242" t="s">
        <v>1331</v>
      </c>
      <c r="H336" s="242">
        <v>1.0</v>
      </c>
      <c r="I336" s="242">
        <v>1.0</v>
      </c>
      <c r="J336" s="242">
        <v>12.0</v>
      </c>
      <c r="K336" s="242">
        <v>2.0</v>
      </c>
      <c r="L336" s="242">
        <v>1.0</v>
      </c>
      <c r="M336" s="242"/>
      <c r="N336" s="242"/>
      <c r="O336" s="242" t="s">
        <v>1832</v>
      </c>
      <c r="P336" s="242">
        <f>919822585833</f>
        <v>919822585833</v>
      </c>
      <c r="Q336" s="244">
        <v>45688.408738425926</v>
      </c>
      <c r="R336" s="251">
        <v>46022.0</v>
      </c>
      <c r="S336" s="244">
        <v>45688.40950231482</v>
      </c>
      <c r="T336" s="244">
        <v>45688.409479166665</v>
      </c>
      <c r="U336" s="244"/>
      <c r="V336" s="244">
        <v>45688.4084375</v>
      </c>
      <c r="W336" s="245" t="s">
        <v>1669</v>
      </c>
    </row>
    <row r="337" ht="15.75" customHeight="1">
      <c r="A337" s="246" t="s">
        <v>1833</v>
      </c>
      <c r="B337" s="247" t="s">
        <v>1328</v>
      </c>
      <c r="C337" s="247" t="s">
        <v>1152</v>
      </c>
      <c r="D337" s="247" t="s">
        <v>1330</v>
      </c>
      <c r="E337" s="247" t="s">
        <v>1341</v>
      </c>
      <c r="F337" s="247">
        <v>2499.0</v>
      </c>
      <c r="G337" s="247" t="s">
        <v>1331</v>
      </c>
      <c r="H337" s="247">
        <v>1.0</v>
      </c>
      <c r="I337" s="247">
        <v>1.0</v>
      </c>
      <c r="J337" s="247">
        <v>12.0</v>
      </c>
      <c r="K337" s="247">
        <v>0.0</v>
      </c>
      <c r="L337" s="247">
        <v>1.0</v>
      </c>
      <c r="M337" s="247"/>
      <c r="N337" s="247"/>
      <c r="O337" s="247"/>
      <c r="P337" s="247"/>
      <c r="Q337" s="247"/>
      <c r="R337" s="247"/>
      <c r="S337" s="247"/>
      <c r="T337" s="247"/>
      <c r="U337" s="247"/>
      <c r="V337" s="249">
        <v>45689.02017361111</v>
      </c>
      <c r="W337" s="250" t="s">
        <v>1669</v>
      </c>
    </row>
    <row r="338" ht="15.75" customHeight="1">
      <c r="A338" s="241" t="s">
        <v>1834</v>
      </c>
      <c r="B338" s="242" t="s">
        <v>1350</v>
      </c>
      <c r="C338" s="242" t="s">
        <v>1152</v>
      </c>
      <c r="D338" s="242" t="s">
        <v>1330</v>
      </c>
      <c r="E338" s="242" t="s">
        <v>1341</v>
      </c>
      <c r="F338" s="242">
        <v>2499.0</v>
      </c>
      <c r="G338" s="242" t="s">
        <v>1331</v>
      </c>
      <c r="H338" s="242">
        <v>1.0</v>
      </c>
      <c r="I338" s="242">
        <v>1.0</v>
      </c>
      <c r="J338" s="242">
        <v>12.0</v>
      </c>
      <c r="K338" s="242">
        <v>1.0</v>
      </c>
      <c r="L338" s="242">
        <v>1.0</v>
      </c>
      <c r="M338" s="242" t="s">
        <v>1835</v>
      </c>
      <c r="N338" s="242"/>
      <c r="O338" s="242" t="s">
        <v>1836</v>
      </c>
      <c r="P338" s="242">
        <f>919167771962</f>
        <v>919167771962</v>
      </c>
      <c r="Q338" s="244">
        <v>45691.36277777778</v>
      </c>
      <c r="R338" s="244">
        <v>46025.0</v>
      </c>
      <c r="S338" s="244">
        <v>45691.36314814815</v>
      </c>
      <c r="T338" s="244">
        <v>45691.363125</v>
      </c>
      <c r="U338" s="244"/>
      <c r="V338" s="244">
        <v>45691.36211805556</v>
      </c>
      <c r="W338" s="245" t="s">
        <v>1669</v>
      </c>
    </row>
    <row r="339" ht="15.75" customHeight="1">
      <c r="A339" s="246" t="s">
        <v>1837</v>
      </c>
      <c r="B339" s="247" t="s">
        <v>1328</v>
      </c>
      <c r="C339" s="247" t="s">
        <v>1152</v>
      </c>
      <c r="D339" s="247" t="s">
        <v>1330</v>
      </c>
      <c r="E339" s="247" t="s">
        <v>1341</v>
      </c>
      <c r="F339" s="247">
        <v>2499.0</v>
      </c>
      <c r="G339" s="247" t="s">
        <v>1331</v>
      </c>
      <c r="H339" s="247">
        <v>1.0</v>
      </c>
      <c r="I339" s="247">
        <v>1.0</v>
      </c>
      <c r="J339" s="247">
        <v>12.0</v>
      </c>
      <c r="K339" s="247">
        <v>0.0</v>
      </c>
      <c r="L339" s="247">
        <v>1.0</v>
      </c>
      <c r="M339" s="247"/>
      <c r="N339" s="247"/>
      <c r="O339" s="247"/>
      <c r="P339" s="247"/>
      <c r="Q339" s="247"/>
      <c r="R339" s="247"/>
      <c r="S339" s="247"/>
      <c r="T339" s="247"/>
      <c r="U339" s="247"/>
      <c r="V339" s="249">
        <v>45691.460752314815</v>
      </c>
      <c r="W339" s="250" t="s">
        <v>1669</v>
      </c>
    </row>
    <row r="340" ht="15.75" customHeight="1">
      <c r="A340" s="241" t="s">
        <v>1838</v>
      </c>
      <c r="B340" s="242" t="s">
        <v>1328</v>
      </c>
      <c r="C340" s="242" t="s">
        <v>1152</v>
      </c>
      <c r="D340" s="242" t="s">
        <v>1330</v>
      </c>
      <c r="E340" s="242" t="s">
        <v>1341</v>
      </c>
      <c r="F340" s="242">
        <v>2499.0</v>
      </c>
      <c r="G340" s="242" t="s">
        <v>1331</v>
      </c>
      <c r="H340" s="242">
        <v>1.0</v>
      </c>
      <c r="I340" s="242">
        <v>1.0</v>
      </c>
      <c r="J340" s="242">
        <v>12.0</v>
      </c>
      <c r="K340" s="242">
        <v>0.0</v>
      </c>
      <c r="L340" s="242">
        <v>1.0</v>
      </c>
      <c r="M340" s="242"/>
      <c r="N340" s="242"/>
      <c r="O340" s="242"/>
      <c r="P340" s="242"/>
      <c r="Q340" s="242"/>
      <c r="R340" s="242"/>
      <c r="S340" s="242"/>
      <c r="T340" s="242"/>
      <c r="U340" s="242"/>
      <c r="V340" s="244">
        <v>45691.547106481485</v>
      </c>
      <c r="W340" s="245" t="s">
        <v>1669</v>
      </c>
    </row>
    <row r="341" ht="15.75" customHeight="1">
      <c r="A341" s="246" t="s">
        <v>1839</v>
      </c>
      <c r="B341" s="247" t="s">
        <v>1328</v>
      </c>
      <c r="C341" s="247" t="s">
        <v>1840</v>
      </c>
      <c r="D341" s="247" t="s">
        <v>1841</v>
      </c>
      <c r="E341" s="247"/>
      <c r="F341" s="247">
        <v>32000.0</v>
      </c>
      <c r="G341" s="247" t="s">
        <v>1331</v>
      </c>
      <c r="H341" s="247">
        <v>3.0</v>
      </c>
      <c r="I341" s="247">
        <v>1.0</v>
      </c>
      <c r="J341" s="247">
        <v>4.0</v>
      </c>
      <c r="K341" s="247">
        <v>0.0</v>
      </c>
      <c r="L341" s="247">
        <v>1.0</v>
      </c>
      <c r="M341" s="247"/>
      <c r="N341" s="247"/>
      <c r="O341" s="247"/>
      <c r="P341" s="247"/>
      <c r="Q341" s="247"/>
      <c r="R341" s="247"/>
      <c r="S341" s="247"/>
      <c r="T341" s="247"/>
      <c r="U341" s="247"/>
      <c r="V341" s="249">
        <v>45691.78460648148</v>
      </c>
      <c r="W341" s="250" t="s">
        <v>1669</v>
      </c>
    </row>
    <row r="342" ht="15.75" customHeight="1">
      <c r="A342" s="241" t="s">
        <v>1842</v>
      </c>
      <c r="B342" s="242" t="s">
        <v>1328</v>
      </c>
      <c r="C342" s="242" t="s">
        <v>1143</v>
      </c>
      <c r="D342" s="242" t="s">
        <v>1843</v>
      </c>
      <c r="E342" s="242"/>
      <c r="F342" s="242">
        <v>22500.0</v>
      </c>
      <c r="G342" s="242" t="s">
        <v>1331</v>
      </c>
      <c r="H342" s="242">
        <v>1.0</v>
      </c>
      <c r="I342" s="242">
        <v>1.0</v>
      </c>
      <c r="J342" s="242">
        <v>12.0</v>
      </c>
      <c r="K342" s="242">
        <v>0.0</v>
      </c>
      <c r="L342" s="242">
        <v>1.0</v>
      </c>
      <c r="M342" s="242"/>
      <c r="N342" s="242"/>
      <c r="O342" s="242" t="s">
        <v>1844</v>
      </c>
      <c r="P342" s="242">
        <f>918826590325</f>
        <v>918826590325</v>
      </c>
      <c r="Q342" s="242"/>
      <c r="R342" s="242"/>
      <c r="S342" s="242"/>
      <c r="T342" s="242"/>
      <c r="U342" s="242"/>
      <c r="V342" s="244">
        <v>45692.52402777778</v>
      </c>
      <c r="W342" s="245" t="s">
        <v>1669</v>
      </c>
    </row>
    <row r="343" ht="15.75" customHeight="1">
      <c r="A343" s="246" t="s">
        <v>1845</v>
      </c>
      <c r="B343" s="247" t="s">
        <v>1328</v>
      </c>
      <c r="C343" s="247" t="s">
        <v>1152</v>
      </c>
      <c r="D343" s="247" t="s">
        <v>1330</v>
      </c>
      <c r="E343" s="247" t="s">
        <v>1341</v>
      </c>
      <c r="F343" s="247">
        <v>2499.0</v>
      </c>
      <c r="G343" s="247" t="s">
        <v>1331</v>
      </c>
      <c r="H343" s="247">
        <v>1.0</v>
      </c>
      <c r="I343" s="247">
        <v>1.0</v>
      </c>
      <c r="J343" s="247">
        <v>12.0</v>
      </c>
      <c r="K343" s="247">
        <v>0.0</v>
      </c>
      <c r="L343" s="247">
        <v>1.0</v>
      </c>
      <c r="M343" s="247"/>
      <c r="N343" s="247"/>
      <c r="O343" s="247"/>
      <c r="P343" s="247"/>
      <c r="Q343" s="247"/>
      <c r="R343" s="247"/>
      <c r="S343" s="247"/>
      <c r="T343" s="247"/>
      <c r="U343" s="247"/>
      <c r="V343" s="249">
        <v>45692.66011574074</v>
      </c>
      <c r="W343" s="250" t="s">
        <v>1669</v>
      </c>
    </row>
    <row r="344" ht="15.75" customHeight="1">
      <c r="A344" s="241" t="s">
        <v>1846</v>
      </c>
      <c r="B344" s="242" t="s">
        <v>1328</v>
      </c>
      <c r="C344" s="242" t="s">
        <v>1152</v>
      </c>
      <c r="D344" s="242" t="s">
        <v>1330</v>
      </c>
      <c r="E344" s="242" t="s">
        <v>1341</v>
      </c>
      <c r="F344" s="242">
        <v>2499.0</v>
      </c>
      <c r="G344" s="242" t="s">
        <v>1331</v>
      </c>
      <c r="H344" s="242">
        <v>1.0</v>
      </c>
      <c r="I344" s="242">
        <v>1.0</v>
      </c>
      <c r="J344" s="242">
        <v>12.0</v>
      </c>
      <c r="K344" s="242">
        <v>0.0</v>
      </c>
      <c r="L344" s="242">
        <v>1.0</v>
      </c>
      <c r="M344" s="242"/>
      <c r="N344" s="242"/>
      <c r="O344" s="242"/>
      <c r="P344" s="242"/>
      <c r="Q344" s="242"/>
      <c r="R344" s="242"/>
      <c r="S344" s="242"/>
      <c r="T344" s="242"/>
      <c r="U344" s="242"/>
      <c r="V344" s="244">
        <v>45692.92298611111</v>
      </c>
      <c r="W344" s="245" t="s">
        <v>1669</v>
      </c>
    </row>
    <row r="345" ht="15.75" customHeight="1">
      <c r="A345" s="246" t="s">
        <v>1847</v>
      </c>
      <c r="B345" s="247" t="s">
        <v>1328</v>
      </c>
      <c r="C345" s="247" t="s">
        <v>1152</v>
      </c>
      <c r="D345" s="247" t="s">
        <v>1330</v>
      </c>
      <c r="E345" s="247" t="s">
        <v>1341</v>
      </c>
      <c r="F345" s="247">
        <v>2499.0</v>
      </c>
      <c r="G345" s="247" t="s">
        <v>1331</v>
      </c>
      <c r="H345" s="247">
        <v>1.0</v>
      </c>
      <c r="I345" s="247">
        <v>1.0</v>
      </c>
      <c r="J345" s="247">
        <v>12.0</v>
      </c>
      <c r="K345" s="247">
        <v>0.0</v>
      </c>
      <c r="L345" s="247">
        <v>1.0</v>
      </c>
      <c r="M345" s="247"/>
      <c r="N345" s="247"/>
      <c r="O345" s="247"/>
      <c r="P345" s="247"/>
      <c r="Q345" s="247"/>
      <c r="R345" s="247"/>
      <c r="S345" s="247"/>
      <c r="T345" s="247"/>
      <c r="U345" s="247"/>
      <c r="V345" s="249">
        <v>45692.923414351855</v>
      </c>
      <c r="W345" s="250" t="s">
        <v>1669</v>
      </c>
    </row>
    <row r="346" ht="15.75" customHeight="1">
      <c r="A346" s="241" t="s">
        <v>1848</v>
      </c>
      <c r="B346" s="242" t="s">
        <v>1328</v>
      </c>
      <c r="C346" s="242" t="s">
        <v>1152</v>
      </c>
      <c r="D346" s="242" t="s">
        <v>1330</v>
      </c>
      <c r="E346" s="242" t="s">
        <v>1341</v>
      </c>
      <c r="F346" s="242">
        <v>2499.0</v>
      </c>
      <c r="G346" s="242" t="s">
        <v>1331</v>
      </c>
      <c r="H346" s="242">
        <v>1.0</v>
      </c>
      <c r="I346" s="242">
        <v>1.0</v>
      </c>
      <c r="J346" s="242">
        <v>12.0</v>
      </c>
      <c r="K346" s="242">
        <v>0.0</v>
      </c>
      <c r="L346" s="242">
        <v>1.0</v>
      </c>
      <c r="M346" s="242"/>
      <c r="N346" s="242"/>
      <c r="O346" s="242"/>
      <c r="P346" s="242"/>
      <c r="Q346" s="242"/>
      <c r="R346" s="242"/>
      <c r="S346" s="242"/>
      <c r="T346" s="242"/>
      <c r="U346" s="242"/>
      <c r="V346" s="244">
        <v>45693.00739583333</v>
      </c>
      <c r="W346" s="245" t="s">
        <v>1669</v>
      </c>
    </row>
    <row r="347" ht="15.75" customHeight="1">
      <c r="A347" s="246" t="s">
        <v>1849</v>
      </c>
      <c r="B347" s="247" t="s">
        <v>1328</v>
      </c>
      <c r="C347" s="247" t="s">
        <v>1152</v>
      </c>
      <c r="D347" s="247" t="s">
        <v>1330</v>
      </c>
      <c r="E347" s="247" t="s">
        <v>1341</v>
      </c>
      <c r="F347" s="247">
        <v>2499.0</v>
      </c>
      <c r="G347" s="247" t="s">
        <v>1331</v>
      </c>
      <c r="H347" s="247">
        <v>1.0</v>
      </c>
      <c r="I347" s="247">
        <v>1.0</v>
      </c>
      <c r="J347" s="247">
        <v>12.0</v>
      </c>
      <c r="K347" s="247">
        <v>0.0</v>
      </c>
      <c r="L347" s="247">
        <v>1.0</v>
      </c>
      <c r="M347" s="247"/>
      <c r="N347" s="247"/>
      <c r="O347" s="247"/>
      <c r="P347" s="247"/>
      <c r="Q347" s="247"/>
      <c r="R347" s="247"/>
      <c r="S347" s="247"/>
      <c r="T347" s="247"/>
      <c r="U347" s="247"/>
      <c r="V347" s="249">
        <v>45693.00753472222</v>
      </c>
      <c r="W347" s="250" t="s">
        <v>1669</v>
      </c>
    </row>
    <row r="348" ht="15.75" customHeight="1">
      <c r="A348" s="241" t="s">
        <v>1850</v>
      </c>
      <c r="B348" s="242" t="s">
        <v>1328</v>
      </c>
      <c r="C348" s="242" t="s">
        <v>1851</v>
      </c>
      <c r="D348" s="242" t="s">
        <v>1852</v>
      </c>
      <c r="E348" s="242"/>
      <c r="F348" s="242">
        <v>20000.0</v>
      </c>
      <c r="G348" s="242" t="s">
        <v>1331</v>
      </c>
      <c r="H348" s="242">
        <v>1.0</v>
      </c>
      <c r="I348" s="242">
        <v>1.0</v>
      </c>
      <c r="J348" s="242">
        <v>12.0</v>
      </c>
      <c r="K348" s="242">
        <v>0.0</v>
      </c>
      <c r="L348" s="242">
        <v>1.0</v>
      </c>
      <c r="M348" s="242"/>
      <c r="N348" s="242"/>
      <c r="O348" s="242"/>
      <c r="P348" s="242"/>
      <c r="Q348" s="242"/>
      <c r="R348" s="242"/>
      <c r="S348" s="242"/>
      <c r="T348" s="242"/>
      <c r="U348" s="242"/>
      <c r="V348" s="244">
        <v>45693.787210648145</v>
      </c>
      <c r="W348" s="245" t="s">
        <v>1669</v>
      </c>
    </row>
    <row r="349" ht="15.75" customHeight="1">
      <c r="A349" s="246" t="s">
        <v>1159</v>
      </c>
      <c r="B349" s="247" t="s">
        <v>1340</v>
      </c>
      <c r="C349" s="247" t="s">
        <v>1152</v>
      </c>
      <c r="D349" s="247" t="s">
        <v>1330</v>
      </c>
      <c r="E349" s="247" t="s">
        <v>1341</v>
      </c>
      <c r="F349" s="247">
        <v>2499.0</v>
      </c>
      <c r="G349" s="247" t="s">
        <v>1331</v>
      </c>
      <c r="H349" s="247">
        <v>1.0</v>
      </c>
      <c r="I349" s="247">
        <v>1.0</v>
      </c>
      <c r="J349" s="247">
        <v>12.0</v>
      </c>
      <c r="K349" s="247">
        <v>1.0</v>
      </c>
      <c r="L349" s="247">
        <v>1.0</v>
      </c>
      <c r="M349" s="247"/>
      <c r="N349" s="247"/>
      <c r="O349" s="247" t="s">
        <v>1853</v>
      </c>
      <c r="P349" s="247">
        <f>919646365695</f>
        <v>919646365695</v>
      </c>
      <c r="Q349" s="249">
        <v>45695.03365740741</v>
      </c>
      <c r="R349" s="249">
        <v>46029.0</v>
      </c>
      <c r="S349" s="249">
        <v>45695.977800925924</v>
      </c>
      <c r="T349" s="249"/>
      <c r="U349" s="247"/>
      <c r="V349" s="249">
        <v>45695.03351851852</v>
      </c>
      <c r="W349" s="250" t="s">
        <v>1669</v>
      </c>
    </row>
    <row r="350" ht="15.75" customHeight="1">
      <c r="A350" s="241" t="s">
        <v>1854</v>
      </c>
      <c r="B350" s="242" t="s">
        <v>1328</v>
      </c>
      <c r="C350" s="242" t="s">
        <v>1152</v>
      </c>
      <c r="D350" s="242" t="s">
        <v>1330</v>
      </c>
      <c r="E350" s="242" t="s">
        <v>1341</v>
      </c>
      <c r="F350" s="242">
        <v>2499.0</v>
      </c>
      <c r="G350" s="242" t="s">
        <v>1331</v>
      </c>
      <c r="H350" s="242">
        <v>1.0</v>
      </c>
      <c r="I350" s="242">
        <v>1.0</v>
      </c>
      <c r="J350" s="242">
        <v>12.0</v>
      </c>
      <c r="K350" s="242">
        <v>0.0</v>
      </c>
      <c r="L350" s="242">
        <v>1.0</v>
      </c>
      <c r="M350" s="242"/>
      <c r="N350" s="242"/>
      <c r="O350" s="242"/>
      <c r="P350" s="242"/>
      <c r="Q350" s="242"/>
      <c r="R350" s="242"/>
      <c r="S350" s="242"/>
      <c r="T350" s="242"/>
      <c r="U350" s="242"/>
      <c r="V350" s="244">
        <v>45695.97708333333</v>
      </c>
      <c r="W350" s="245" t="s">
        <v>1669</v>
      </c>
    </row>
    <row r="351" ht="15.75" customHeight="1">
      <c r="A351" s="246" t="s">
        <v>1155</v>
      </c>
      <c r="B351" s="247" t="s">
        <v>1340</v>
      </c>
      <c r="C351" s="247" t="s">
        <v>1152</v>
      </c>
      <c r="D351" s="247" t="s">
        <v>1330</v>
      </c>
      <c r="E351" s="247" t="s">
        <v>1341</v>
      </c>
      <c r="F351" s="247">
        <v>2499.0</v>
      </c>
      <c r="G351" s="247" t="s">
        <v>1331</v>
      </c>
      <c r="H351" s="247">
        <v>1.0</v>
      </c>
      <c r="I351" s="247">
        <v>1.0</v>
      </c>
      <c r="J351" s="247">
        <v>12.0</v>
      </c>
      <c r="K351" s="247">
        <v>1.0</v>
      </c>
      <c r="L351" s="247">
        <v>1.0</v>
      </c>
      <c r="M351" s="247" t="s">
        <v>1157</v>
      </c>
      <c r="N351" s="247"/>
      <c r="O351" s="247" t="s">
        <v>1855</v>
      </c>
      <c r="P351" s="247">
        <f>919999235004</f>
        <v>919999235004</v>
      </c>
      <c r="Q351" s="249">
        <v>45696.85386574074</v>
      </c>
      <c r="R351" s="249">
        <v>46030.0</v>
      </c>
      <c r="S351" s="249">
        <v>45696.855104166665</v>
      </c>
      <c r="T351" s="249">
        <v>45696.85508101852</v>
      </c>
      <c r="U351" s="249"/>
      <c r="V351" s="249">
        <v>45696.8528125</v>
      </c>
      <c r="W351" s="250" t="s">
        <v>1669</v>
      </c>
    </row>
    <row r="352" ht="15.75" customHeight="1">
      <c r="A352" s="241" t="s">
        <v>1151</v>
      </c>
      <c r="B352" s="242" t="s">
        <v>1340</v>
      </c>
      <c r="C352" s="242" t="s">
        <v>1152</v>
      </c>
      <c r="D352" s="242" t="s">
        <v>1330</v>
      </c>
      <c r="E352" s="242" t="s">
        <v>1341</v>
      </c>
      <c r="F352" s="242">
        <v>2499.0</v>
      </c>
      <c r="G352" s="242" t="s">
        <v>1331</v>
      </c>
      <c r="H352" s="242">
        <v>1.0</v>
      </c>
      <c r="I352" s="242">
        <v>1.0</v>
      </c>
      <c r="J352" s="242">
        <v>12.0</v>
      </c>
      <c r="K352" s="242">
        <v>1.0</v>
      </c>
      <c r="L352" s="242">
        <v>1.0</v>
      </c>
      <c r="M352" s="242"/>
      <c r="N352" s="242"/>
      <c r="O352" s="242" t="s">
        <v>1856</v>
      </c>
      <c r="P352" s="242">
        <f>919460478123</f>
        <v>919460478123</v>
      </c>
      <c r="Q352" s="244">
        <v>45698.66034722222</v>
      </c>
      <c r="R352" s="244">
        <v>46032.0</v>
      </c>
      <c r="S352" s="244">
        <v>45698.661261574074</v>
      </c>
      <c r="T352" s="244">
        <v>45698.66123842593</v>
      </c>
      <c r="U352" s="244"/>
      <c r="V352" s="244">
        <v>45698.66024305556</v>
      </c>
      <c r="W352" s="245" t="s">
        <v>1669</v>
      </c>
    </row>
    <row r="353" ht="15.75" customHeight="1">
      <c r="A353" s="246" t="s">
        <v>1857</v>
      </c>
      <c r="B353" s="247" t="s">
        <v>1498</v>
      </c>
      <c r="C353" s="247" t="s">
        <v>1243</v>
      </c>
      <c r="D353" s="247" t="s">
        <v>1604</v>
      </c>
      <c r="E353" s="247"/>
      <c r="F353" s="247">
        <v>2499.0</v>
      </c>
      <c r="G353" s="247" t="s">
        <v>1331</v>
      </c>
      <c r="H353" s="247">
        <v>1.0</v>
      </c>
      <c r="I353" s="247">
        <v>1.0</v>
      </c>
      <c r="J353" s="247">
        <v>8.0</v>
      </c>
      <c r="K353" s="247">
        <v>0.0</v>
      </c>
      <c r="L353" s="247">
        <v>1.0</v>
      </c>
      <c r="M353" s="247"/>
      <c r="N353" s="247"/>
      <c r="O353" s="247"/>
      <c r="P353" s="247"/>
      <c r="Q353" s="249">
        <v>45716.0</v>
      </c>
      <c r="R353" s="249">
        <v>45928.0</v>
      </c>
      <c r="S353" s="249"/>
      <c r="T353" s="247"/>
      <c r="U353" s="247"/>
      <c r="V353" s="249">
        <v>45701.59138888889</v>
      </c>
      <c r="W353" s="250" t="s">
        <v>1669</v>
      </c>
    </row>
    <row r="354" ht="15.75" customHeight="1">
      <c r="A354" s="241" t="s">
        <v>1858</v>
      </c>
      <c r="B354" s="242" t="s">
        <v>1328</v>
      </c>
      <c r="C354" s="242" t="s">
        <v>1859</v>
      </c>
      <c r="D354" s="242" t="s">
        <v>1860</v>
      </c>
      <c r="E354" s="242"/>
      <c r="F354" s="242">
        <v>9999.0</v>
      </c>
      <c r="G354" s="242" t="s">
        <v>1331</v>
      </c>
      <c r="H354" s="242">
        <v>1.0</v>
      </c>
      <c r="I354" s="242">
        <v>1.0</v>
      </c>
      <c r="J354" s="242">
        <v>12.0</v>
      </c>
      <c r="K354" s="242">
        <v>0.0</v>
      </c>
      <c r="L354" s="242">
        <v>1.0</v>
      </c>
      <c r="M354" s="242"/>
      <c r="N354" s="242"/>
      <c r="O354" s="242"/>
      <c r="P354" s="242"/>
      <c r="Q354" s="242"/>
      <c r="R354" s="242"/>
      <c r="S354" s="242"/>
      <c r="T354" s="242"/>
      <c r="U354" s="242"/>
      <c r="V354" s="244">
        <v>45709.840046296296</v>
      </c>
      <c r="W354" s="245" t="s">
        <v>1669</v>
      </c>
    </row>
    <row r="355" ht="15.75" customHeight="1">
      <c r="A355" s="246" t="s">
        <v>1147</v>
      </c>
      <c r="B355" s="247" t="s">
        <v>1340</v>
      </c>
      <c r="C355" s="247" t="s">
        <v>1148</v>
      </c>
      <c r="D355" s="247" t="s">
        <v>1861</v>
      </c>
      <c r="E355" s="247"/>
      <c r="F355" s="247">
        <v>11798.82</v>
      </c>
      <c r="G355" s="247" t="s">
        <v>1331</v>
      </c>
      <c r="H355" s="247">
        <v>1.0</v>
      </c>
      <c r="I355" s="247">
        <v>1.0</v>
      </c>
      <c r="J355" s="247">
        <v>12.0</v>
      </c>
      <c r="K355" s="247">
        <v>1.0</v>
      </c>
      <c r="L355" s="247">
        <v>1.0</v>
      </c>
      <c r="M355" s="247"/>
      <c r="N355" s="247"/>
      <c r="O355" s="247" t="s">
        <v>1862</v>
      </c>
      <c r="P355" s="247">
        <f>919820328336</f>
        <v>919820328336</v>
      </c>
      <c r="Q355" s="249">
        <v>45713.29981481482</v>
      </c>
      <c r="R355" s="249">
        <v>46047.0</v>
      </c>
      <c r="S355" s="249">
        <v>45713.300474537034</v>
      </c>
      <c r="T355" s="249">
        <v>45713.30045138889</v>
      </c>
      <c r="U355" s="249"/>
      <c r="V355" s="249">
        <v>45709.85070601852</v>
      </c>
      <c r="W355" s="250" t="s">
        <v>1669</v>
      </c>
    </row>
    <row r="356" ht="15.75" customHeight="1">
      <c r="A356" s="241" t="s">
        <v>1142</v>
      </c>
      <c r="B356" s="242" t="s">
        <v>1340</v>
      </c>
      <c r="C356" s="242" t="s">
        <v>1143</v>
      </c>
      <c r="D356" s="242" t="s">
        <v>1843</v>
      </c>
      <c r="E356" s="242"/>
      <c r="F356" s="242">
        <v>22500.0</v>
      </c>
      <c r="G356" s="242" t="s">
        <v>1331</v>
      </c>
      <c r="H356" s="242">
        <v>1.0</v>
      </c>
      <c r="I356" s="242">
        <v>1.0</v>
      </c>
      <c r="J356" s="242">
        <v>12.0</v>
      </c>
      <c r="K356" s="242">
        <v>1.0</v>
      </c>
      <c r="L356" s="242">
        <v>1.0</v>
      </c>
      <c r="M356" s="242"/>
      <c r="N356" s="242"/>
      <c r="O356" s="242" t="s">
        <v>1844</v>
      </c>
      <c r="P356" s="242">
        <f>918826590325</f>
        <v>918826590325</v>
      </c>
      <c r="Q356" s="244">
        <v>45711.867210648146</v>
      </c>
      <c r="R356" s="244">
        <v>46045.0</v>
      </c>
      <c r="S356" s="244">
        <v>45711.86756944445</v>
      </c>
      <c r="T356" s="244">
        <v>45711.86754629629</v>
      </c>
      <c r="U356" s="244"/>
      <c r="V356" s="244">
        <v>45711.86201388889</v>
      </c>
      <c r="W356" s="245" t="s">
        <v>1669</v>
      </c>
    </row>
    <row r="357" ht="15.75" customHeight="1">
      <c r="A357" s="246" t="s">
        <v>1863</v>
      </c>
      <c r="B357" s="247" t="s">
        <v>1369</v>
      </c>
      <c r="C357" s="247" t="s">
        <v>1864</v>
      </c>
      <c r="D357" s="247" t="s">
        <v>1865</v>
      </c>
      <c r="E357" s="247"/>
      <c r="F357" s="247">
        <v>17700.0</v>
      </c>
      <c r="G357" s="247" t="s">
        <v>1331</v>
      </c>
      <c r="H357" s="247">
        <v>1.0</v>
      </c>
      <c r="I357" s="247">
        <v>1.0</v>
      </c>
      <c r="J357" s="247">
        <v>12.0</v>
      </c>
      <c r="K357" s="247">
        <v>0.0</v>
      </c>
      <c r="L357" s="247">
        <v>1.0</v>
      </c>
      <c r="M357" s="247"/>
      <c r="N357" s="247"/>
      <c r="O357" s="247"/>
      <c r="P357" s="247"/>
      <c r="Q357" s="247"/>
      <c r="R357" s="247"/>
      <c r="S357" s="247"/>
      <c r="T357" s="247"/>
      <c r="U357" s="249">
        <v>45713.49077546296</v>
      </c>
      <c r="V357" s="249">
        <v>45713.45512731482</v>
      </c>
      <c r="W357" s="250" t="s">
        <v>1669</v>
      </c>
    </row>
    <row r="358" ht="15.75" customHeight="1">
      <c r="A358" s="253" t="s">
        <v>1866</v>
      </c>
      <c r="B358" s="254" t="s">
        <v>1328</v>
      </c>
      <c r="C358" s="254" t="s">
        <v>1867</v>
      </c>
      <c r="D358" s="254" t="s">
        <v>1868</v>
      </c>
      <c r="E358" s="254"/>
      <c r="F358" s="254">
        <v>17700.0</v>
      </c>
      <c r="G358" s="254" t="s">
        <v>1331</v>
      </c>
      <c r="H358" s="254">
        <v>1.0</v>
      </c>
      <c r="I358" s="254">
        <v>1.0</v>
      </c>
      <c r="J358" s="254">
        <v>12.0</v>
      </c>
      <c r="K358" s="254">
        <v>0.0</v>
      </c>
      <c r="L358" s="254">
        <v>1.0</v>
      </c>
      <c r="M358" s="254"/>
      <c r="N358" s="254"/>
      <c r="O358" s="254"/>
      <c r="P358" s="254"/>
      <c r="Q358" s="254"/>
      <c r="R358" s="254"/>
      <c r="S358" s="254"/>
      <c r="T358" s="254"/>
      <c r="U358" s="254"/>
      <c r="V358" s="255">
        <v>45715.86142361111</v>
      </c>
      <c r="W358" s="256" t="s">
        <v>1669</v>
      </c>
    </row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0"/>
    <col customWidth="1" min="2" max="2" width="46.38"/>
    <col customWidth="1" min="3" max="3" width="29.38"/>
    <col customWidth="1" min="4" max="4" width="12.63"/>
    <col customWidth="1" min="5" max="5" width="28.0"/>
    <col customWidth="1" min="6" max="6" width="12.63"/>
  </cols>
  <sheetData>
    <row r="1" ht="15.75" customHeight="1">
      <c r="A1" s="257" t="s">
        <v>1135</v>
      </c>
      <c r="B1" s="257" t="s">
        <v>1869</v>
      </c>
      <c r="C1" s="257" t="s">
        <v>1870</v>
      </c>
      <c r="D1" s="257" t="s">
        <v>1871</v>
      </c>
      <c r="E1" s="257" t="s">
        <v>1139</v>
      </c>
    </row>
    <row r="2" ht="15.75" customHeight="1">
      <c r="A2" s="258" t="s">
        <v>1872</v>
      </c>
      <c r="B2" s="259" t="s">
        <v>1868</v>
      </c>
      <c r="C2" s="259" t="s">
        <v>1873</v>
      </c>
      <c r="D2" s="259" t="s">
        <v>1874</v>
      </c>
      <c r="E2" s="260">
        <v>45715.860810185186</v>
      </c>
    </row>
    <row r="3" ht="15.75" customHeight="1">
      <c r="A3" s="258" t="s">
        <v>1875</v>
      </c>
      <c r="B3" s="259" t="s">
        <v>1868</v>
      </c>
      <c r="C3" s="259" t="s">
        <v>1873</v>
      </c>
      <c r="D3" s="259" t="s">
        <v>1874</v>
      </c>
      <c r="E3" s="260">
        <v>45715.86072916666</v>
      </c>
    </row>
    <row r="4" ht="15.75" customHeight="1">
      <c r="A4" s="258" t="s">
        <v>1876</v>
      </c>
      <c r="B4" s="259" t="s">
        <v>1868</v>
      </c>
      <c r="C4" s="259" t="s">
        <v>1877</v>
      </c>
      <c r="D4" s="259" t="s">
        <v>1874</v>
      </c>
      <c r="E4" s="260">
        <v>45715.85736111111</v>
      </c>
    </row>
    <row r="5" ht="15.75" customHeight="1">
      <c r="A5" s="258" t="s">
        <v>1878</v>
      </c>
      <c r="B5" s="259" t="s">
        <v>1865</v>
      </c>
      <c r="C5" s="259" t="s">
        <v>1873</v>
      </c>
      <c r="D5" s="259" t="s">
        <v>1874</v>
      </c>
      <c r="E5" s="260">
        <v>45713.45483796296</v>
      </c>
    </row>
    <row r="6" ht="15.75" customHeight="1">
      <c r="A6" s="258" t="s">
        <v>1879</v>
      </c>
      <c r="B6" s="259" t="s">
        <v>1865</v>
      </c>
      <c r="C6" s="259" t="s">
        <v>1873</v>
      </c>
      <c r="D6" s="259" t="s">
        <v>1874</v>
      </c>
      <c r="E6" s="260">
        <v>45713.45482638889</v>
      </c>
    </row>
    <row r="7" ht="15.75" customHeight="1">
      <c r="A7" s="258" t="s">
        <v>1880</v>
      </c>
      <c r="B7" s="259" t="s">
        <v>1865</v>
      </c>
      <c r="C7" s="259" t="s">
        <v>1873</v>
      </c>
      <c r="D7" s="259" t="s">
        <v>1874</v>
      </c>
      <c r="E7" s="260">
        <v>45713.45475694445</v>
      </c>
    </row>
    <row r="8" ht="15.75" customHeight="1">
      <c r="A8" s="258" t="s">
        <v>1881</v>
      </c>
      <c r="B8" s="259" t="s">
        <v>1861</v>
      </c>
      <c r="C8" s="259" t="s">
        <v>1882</v>
      </c>
      <c r="D8" s="259" t="s">
        <v>1874</v>
      </c>
      <c r="E8" s="260">
        <v>45709.8503587963</v>
      </c>
    </row>
    <row r="9" ht="15.75" customHeight="1">
      <c r="A9" s="258" t="s">
        <v>1883</v>
      </c>
      <c r="B9" s="259" t="s">
        <v>1860</v>
      </c>
      <c r="C9" s="259" t="s">
        <v>1884</v>
      </c>
      <c r="D9" s="259" t="s">
        <v>1874</v>
      </c>
      <c r="E9" s="260">
        <v>45709.83956018519</v>
      </c>
    </row>
    <row r="10" ht="15.75" customHeight="1">
      <c r="A10" s="258" t="s">
        <v>1885</v>
      </c>
      <c r="B10" s="259" t="s">
        <v>1860</v>
      </c>
      <c r="C10" s="259" t="s">
        <v>1884</v>
      </c>
      <c r="D10" s="259" t="s">
        <v>1874</v>
      </c>
      <c r="E10" s="260">
        <v>45709.83954861111</v>
      </c>
    </row>
    <row r="11" ht="15.75" customHeight="1">
      <c r="A11" s="258" t="s">
        <v>1886</v>
      </c>
      <c r="B11" s="259" t="s">
        <v>1860</v>
      </c>
      <c r="C11" s="259" t="s">
        <v>1884</v>
      </c>
      <c r="D11" s="259" t="s">
        <v>1874</v>
      </c>
      <c r="E11" s="260">
        <v>45709.839479166665</v>
      </c>
    </row>
    <row r="12" ht="15.75" customHeight="1">
      <c r="A12" s="258" t="s">
        <v>1887</v>
      </c>
      <c r="B12" s="259" t="s">
        <v>1852</v>
      </c>
      <c r="C12" s="259" t="s">
        <v>1888</v>
      </c>
      <c r="D12" s="259" t="s">
        <v>1874</v>
      </c>
      <c r="E12" s="261">
        <v>45693.78607638889</v>
      </c>
    </row>
    <row r="13" ht="15.75" customHeight="1">
      <c r="A13" s="258" t="s">
        <v>1889</v>
      </c>
      <c r="B13" s="259" t="s">
        <v>1843</v>
      </c>
      <c r="C13" s="259" t="s">
        <v>1890</v>
      </c>
      <c r="D13" s="259" t="s">
        <v>1874</v>
      </c>
      <c r="E13" s="261">
        <v>45692.523680555554</v>
      </c>
    </row>
    <row r="14" ht="15.75" customHeight="1">
      <c r="A14" s="258" t="s">
        <v>1891</v>
      </c>
      <c r="B14" s="259" t="s">
        <v>1892</v>
      </c>
      <c r="C14" s="259" t="s">
        <v>1890</v>
      </c>
      <c r="D14" s="259" t="s">
        <v>1874</v>
      </c>
      <c r="E14" s="261">
        <v>45692.52302083333</v>
      </c>
    </row>
    <row r="15" ht="15.75" customHeight="1">
      <c r="A15" s="258" t="s">
        <v>1893</v>
      </c>
      <c r="B15" s="259" t="s">
        <v>1841</v>
      </c>
      <c r="C15" s="259" t="s">
        <v>1894</v>
      </c>
      <c r="D15" s="259" t="s">
        <v>1895</v>
      </c>
      <c r="E15" s="261">
        <v>45691.783738425926</v>
      </c>
    </row>
    <row r="16" ht="15.75" customHeight="1">
      <c r="A16" s="258" t="s">
        <v>1896</v>
      </c>
      <c r="B16" s="259" t="s">
        <v>1330</v>
      </c>
      <c r="C16" s="259" t="s">
        <v>1897</v>
      </c>
      <c r="D16" s="259" t="s">
        <v>1874</v>
      </c>
      <c r="E16" s="260">
        <v>45684.868125</v>
      </c>
    </row>
    <row r="17" ht="15.75" customHeight="1">
      <c r="A17" s="258" t="s">
        <v>1898</v>
      </c>
      <c r="B17" s="259" t="s">
        <v>1819</v>
      </c>
      <c r="C17" s="259" t="s">
        <v>1877</v>
      </c>
      <c r="D17" s="259" t="s">
        <v>1874</v>
      </c>
      <c r="E17" s="260">
        <v>45680.72356481481</v>
      </c>
    </row>
    <row r="18" ht="15.75" customHeight="1">
      <c r="A18" s="258" t="s">
        <v>1899</v>
      </c>
      <c r="B18" s="259" t="s">
        <v>1729</v>
      </c>
      <c r="C18" s="259" t="s">
        <v>1900</v>
      </c>
      <c r="D18" s="259" t="s">
        <v>1895</v>
      </c>
      <c r="E18" s="260">
        <v>45679.68775462963</v>
      </c>
    </row>
    <row r="19" ht="15.75" customHeight="1">
      <c r="A19" s="258" t="s">
        <v>1901</v>
      </c>
      <c r="B19" s="259" t="s">
        <v>1815</v>
      </c>
      <c r="C19" s="259" t="s">
        <v>1902</v>
      </c>
      <c r="D19" s="259" t="s">
        <v>1874</v>
      </c>
      <c r="E19" s="260">
        <v>45679.684537037036</v>
      </c>
    </row>
    <row r="20" ht="15.75" customHeight="1">
      <c r="A20" s="258" t="s">
        <v>1903</v>
      </c>
      <c r="B20" s="259" t="s">
        <v>1736</v>
      </c>
      <c r="C20" s="259" t="s">
        <v>1904</v>
      </c>
      <c r="D20" s="259" t="s">
        <v>1895</v>
      </c>
      <c r="E20" s="260">
        <v>45651.64152777778</v>
      </c>
    </row>
    <row r="21" ht="15.75" customHeight="1">
      <c r="A21" s="258" t="s">
        <v>1905</v>
      </c>
      <c r="B21" s="259" t="s">
        <v>1729</v>
      </c>
      <c r="C21" s="259" t="s">
        <v>1906</v>
      </c>
      <c r="D21" s="259" t="s">
        <v>1895</v>
      </c>
      <c r="E21" s="260">
        <v>45646.93015046296</v>
      </c>
    </row>
    <row r="22" ht="15.75" customHeight="1">
      <c r="A22" s="258" t="s">
        <v>1907</v>
      </c>
      <c r="B22" s="259" t="s">
        <v>1729</v>
      </c>
      <c r="C22" s="259" t="s">
        <v>1908</v>
      </c>
      <c r="D22" s="259" t="s">
        <v>1895</v>
      </c>
      <c r="E22" s="260">
        <v>45646.901724537034</v>
      </c>
    </row>
    <row r="23" ht="15.75" customHeight="1">
      <c r="A23" s="258" t="s">
        <v>1909</v>
      </c>
      <c r="B23" s="259" t="s">
        <v>1729</v>
      </c>
      <c r="C23" s="259" t="s">
        <v>1910</v>
      </c>
      <c r="D23" s="259" t="s">
        <v>1911</v>
      </c>
      <c r="E23" s="260">
        <v>45646.90032407407</v>
      </c>
    </row>
    <row r="24" ht="15.75" customHeight="1">
      <c r="A24" s="258" t="s">
        <v>1912</v>
      </c>
      <c r="B24" s="259" t="s">
        <v>1716</v>
      </c>
      <c r="C24" s="259" t="s">
        <v>1913</v>
      </c>
      <c r="D24" s="259" t="s">
        <v>1914</v>
      </c>
      <c r="E24" s="260">
        <v>45643.72408564815</v>
      </c>
    </row>
    <row r="25" ht="15.75" customHeight="1">
      <c r="A25" s="258" t="s">
        <v>1915</v>
      </c>
      <c r="B25" s="259" t="s">
        <v>1708</v>
      </c>
      <c r="C25" s="259" t="s">
        <v>1916</v>
      </c>
      <c r="D25" s="259" t="s">
        <v>1874</v>
      </c>
      <c r="E25" s="260">
        <v>45637.543391203704</v>
      </c>
    </row>
    <row r="26" ht="15.75" customHeight="1">
      <c r="A26" s="258" t="s">
        <v>1917</v>
      </c>
      <c r="B26" s="259" t="s">
        <v>1701</v>
      </c>
      <c r="C26" s="259" t="s">
        <v>1918</v>
      </c>
      <c r="D26" s="259" t="s">
        <v>1914</v>
      </c>
      <c r="E26" s="261">
        <v>45635.65694444445</v>
      </c>
    </row>
    <row r="27" ht="15.75" customHeight="1">
      <c r="A27" s="258" t="s">
        <v>1919</v>
      </c>
      <c r="B27" s="259" t="s">
        <v>1685</v>
      </c>
      <c r="C27" s="259" t="s">
        <v>1920</v>
      </c>
      <c r="D27" s="259" t="s">
        <v>1874</v>
      </c>
      <c r="E27" s="261">
        <v>45631.45694444444</v>
      </c>
    </row>
    <row r="28" ht="15.75" customHeight="1">
      <c r="A28" s="258" t="s">
        <v>1921</v>
      </c>
      <c r="B28" s="259" t="s">
        <v>1643</v>
      </c>
      <c r="C28" s="259" t="s">
        <v>1897</v>
      </c>
      <c r="D28" s="259" t="s">
        <v>1874</v>
      </c>
      <c r="E28" s="260">
        <v>45624.47966435185</v>
      </c>
    </row>
    <row r="29" ht="15.75" customHeight="1">
      <c r="A29" s="258" t="s">
        <v>1922</v>
      </c>
      <c r="B29" s="259" t="s">
        <v>1639</v>
      </c>
      <c r="C29" s="259" t="s">
        <v>1897</v>
      </c>
      <c r="D29" s="259" t="s">
        <v>1874</v>
      </c>
      <c r="E29" s="260">
        <v>45624.478055555555</v>
      </c>
    </row>
    <row r="30" ht="15.75" customHeight="1">
      <c r="A30" s="258" t="s">
        <v>1923</v>
      </c>
      <c r="B30" s="259" t="s">
        <v>1604</v>
      </c>
      <c r="C30" s="259" t="s">
        <v>1897</v>
      </c>
      <c r="D30" s="259" t="s">
        <v>1874</v>
      </c>
      <c r="E30" s="260">
        <v>45620.82885416667</v>
      </c>
    </row>
    <row r="31" ht="15.75" customHeight="1">
      <c r="A31" s="258" t="s">
        <v>1924</v>
      </c>
      <c r="B31" s="259" t="s">
        <v>1604</v>
      </c>
      <c r="C31" s="259" t="s">
        <v>1897</v>
      </c>
      <c r="D31" s="259" t="s">
        <v>1925</v>
      </c>
      <c r="E31" s="260">
        <v>45620.82790509259</v>
      </c>
    </row>
    <row r="32" ht="15.75" customHeight="1">
      <c r="A32" s="258" t="s">
        <v>1926</v>
      </c>
      <c r="B32" s="259" t="s">
        <v>1538</v>
      </c>
      <c r="C32" s="259" t="s">
        <v>1927</v>
      </c>
      <c r="D32" s="259" t="s">
        <v>1914</v>
      </c>
      <c r="E32" s="260">
        <v>45614.72329861111</v>
      </c>
    </row>
    <row r="33" ht="15.75" customHeight="1">
      <c r="A33" s="258" t="s">
        <v>1928</v>
      </c>
      <c r="B33" s="259" t="s">
        <v>1533</v>
      </c>
      <c r="C33" s="259" t="s">
        <v>1920</v>
      </c>
      <c r="D33" s="259" t="s">
        <v>1874</v>
      </c>
      <c r="E33" s="260">
        <v>45614.51369212963</v>
      </c>
    </row>
    <row r="34" ht="15.75" customHeight="1">
      <c r="A34" s="258" t="s">
        <v>1929</v>
      </c>
      <c r="B34" s="259" t="s">
        <v>1422</v>
      </c>
      <c r="C34" s="259" t="s">
        <v>1930</v>
      </c>
      <c r="D34" s="259" t="s">
        <v>1874</v>
      </c>
      <c r="E34" s="261">
        <v>45605.620104166665</v>
      </c>
    </row>
    <row r="35" ht="15.75" customHeight="1">
      <c r="A35" s="258" t="s">
        <v>1931</v>
      </c>
      <c r="B35" s="259" t="s">
        <v>1664</v>
      </c>
      <c r="C35" s="259" t="s">
        <v>1877</v>
      </c>
      <c r="D35" s="259" t="s">
        <v>1874</v>
      </c>
      <c r="E35" s="260">
        <v>45595.591412037036</v>
      </c>
    </row>
    <row r="36" ht="15.75" customHeight="1">
      <c r="A36" s="258" t="s">
        <v>1932</v>
      </c>
      <c r="B36" s="259" t="s">
        <v>1649</v>
      </c>
      <c r="C36" s="259" t="s">
        <v>1933</v>
      </c>
      <c r="D36" s="259" t="s">
        <v>1874</v>
      </c>
      <c r="E36" s="260">
        <v>45594.754016203704</v>
      </c>
    </row>
    <row r="37" ht="15.75" customHeight="1">
      <c r="A37" s="258" t="s">
        <v>1934</v>
      </c>
      <c r="B37" s="259" t="s">
        <v>1647</v>
      </c>
      <c r="C37" s="259" t="s">
        <v>1933</v>
      </c>
      <c r="D37" s="259" t="s">
        <v>1874</v>
      </c>
      <c r="E37" s="260">
        <v>45594.75136574074</v>
      </c>
    </row>
    <row r="38" ht="15.75" customHeight="1">
      <c r="A38" s="258" t="s">
        <v>1935</v>
      </c>
      <c r="B38" s="259" t="s">
        <v>1936</v>
      </c>
      <c r="C38" s="259" t="s">
        <v>1933</v>
      </c>
      <c r="D38" s="259" t="s">
        <v>1874</v>
      </c>
      <c r="E38" s="260">
        <v>45594.74988425926</v>
      </c>
    </row>
    <row r="39" ht="15.75" customHeight="1">
      <c r="A39" s="258" t="s">
        <v>1937</v>
      </c>
      <c r="B39" s="259" t="s">
        <v>1570</v>
      </c>
      <c r="C39" s="259" t="s">
        <v>1877</v>
      </c>
      <c r="D39" s="259" t="s">
        <v>1874</v>
      </c>
      <c r="E39" s="260">
        <v>45586.60072916667</v>
      </c>
    </row>
    <row r="40" ht="15.75" customHeight="1">
      <c r="A40" s="258" t="s">
        <v>1938</v>
      </c>
      <c r="B40" s="259" t="s">
        <v>1939</v>
      </c>
      <c r="C40" s="259" t="s">
        <v>1877</v>
      </c>
      <c r="D40" s="259" t="s">
        <v>1940</v>
      </c>
      <c r="E40" s="260">
        <v>45586.59866898148</v>
      </c>
    </row>
    <row r="41" ht="15.75" customHeight="1">
      <c r="A41" s="258" t="s">
        <v>1941</v>
      </c>
      <c r="B41" s="259" t="s">
        <v>1550</v>
      </c>
      <c r="C41" s="259" t="s">
        <v>1897</v>
      </c>
      <c r="D41" s="259" t="s">
        <v>1874</v>
      </c>
      <c r="E41" s="260">
        <v>45585.65425925926</v>
      </c>
    </row>
    <row r="42" ht="15.75" customHeight="1">
      <c r="A42" s="258" t="s">
        <v>1942</v>
      </c>
      <c r="B42" s="259" t="s">
        <v>1630</v>
      </c>
      <c r="C42" s="259" t="s">
        <v>1897</v>
      </c>
      <c r="D42" s="259" t="s">
        <v>1940</v>
      </c>
      <c r="E42" s="260">
        <v>45584.82319444444</v>
      </c>
    </row>
    <row r="43" ht="15.75" customHeight="1">
      <c r="A43" s="258" t="s">
        <v>1943</v>
      </c>
      <c r="B43" s="259" t="s">
        <v>1944</v>
      </c>
      <c r="C43" s="259" t="s">
        <v>1945</v>
      </c>
      <c r="D43" s="259" t="s">
        <v>1874</v>
      </c>
      <c r="E43" s="260">
        <v>45583.03990740741</v>
      </c>
    </row>
    <row r="44" ht="15.75" customHeight="1">
      <c r="A44" s="258" t="s">
        <v>1946</v>
      </c>
      <c r="B44" s="259" t="s">
        <v>1528</v>
      </c>
      <c r="C44" s="259" t="s">
        <v>1897</v>
      </c>
      <c r="D44" s="259" t="s">
        <v>1874</v>
      </c>
      <c r="E44" s="260">
        <v>45583.0300462963</v>
      </c>
    </row>
    <row r="45" ht="15.75" customHeight="1">
      <c r="A45" s="258" t="s">
        <v>1947</v>
      </c>
      <c r="B45" s="259" t="s">
        <v>1521</v>
      </c>
      <c r="C45" s="259" t="s">
        <v>1930</v>
      </c>
      <c r="D45" s="259" t="s">
        <v>1874</v>
      </c>
      <c r="E45" s="260">
        <v>45583.02445601852</v>
      </c>
    </row>
    <row r="46" ht="15.75" customHeight="1">
      <c r="A46" s="258" t="s">
        <v>1948</v>
      </c>
      <c r="B46" s="259" t="s">
        <v>1521</v>
      </c>
      <c r="C46" s="259" t="s">
        <v>1930</v>
      </c>
      <c r="D46" s="259" t="s">
        <v>1940</v>
      </c>
      <c r="E46" s="260">
        <v>45583.02072916667</v>
      </c>
    </row>
    <row r="47" ht="15.75" customHeight="1">
      <c r="A47" s="258" t="s">
        <v>1949</v>
      </c>
      <c r="B47" s="259" t="s">
        <v>1950</v>
      </c>
      <c r="C47" s="259" t="s">
        <v>1951</v>
      </c>
      <c r="D47" s="259" t="s">
        <v>1874</v>
      </c>
      <c r="E47" s="260">
        <v>45578.639016203706</v>
      </c>
    </row>
    <row r="48" ht="15.75" customHeight="1">
      <c r="A48" s="258" t="s">
        <v>1952</v>
      </c>
      <c r="B48" s="259" t="s">
        <v>1517</v>
      </c>
      <c r="C48" s="259" t="s">
        <v>1930</v>
      </c>
      <c r="D48" s="259" t="s">
        <v>1874</v>
      </c>
      <c r="E48" s="260">
        <v>45554.77446759259</v>
      </c>
    </row>
    <row r="49" ht="15.75" customHeight="1">
      <c r="A49" s="258" t="s">
        <v>1953</v>
      </c>
      <c r="B49" s="259" t="s">
        <v>1507</v>
      </c>
      <c r="C49" s="259" t="s">
        <v>1954</v>
      </c>
      <c r="D49" s="259" t="s">
        <v>1874</v>
      </c>
      <c r="E49" s="260">
        <v>45553.91086805556</v>
      </c>
    </row>
    <row r="50" ht="15.75" customHeight="1">
      <c r="A50" s="258" t="s">
        <v>1955</v>
      </c>
      <c r="B50" s="259" t="s">
        <v>1500</v>
      </c>
      <c r="C50" s="259" t="s">
        <v>1930</v>
      </c>
      <c r="D50" s="259" t="s">
        <v>1874</v>
      </c>
      <c r="E50" s="260">
        <v>45553.480671296296</v>
      </c>
    </row>
    <row r="51" ht="15.75" customHeight="1">
      <c r="A51" s="258" t="s">
        <v>1956</v>
      </c>
      <c r="B51" s="259" t="s">
        <v>1330</v>
      </c>
      <c r="C51" s="259" t="s">
        <v>1957</v>
      </c>
      <c r="D51" s="259" t="s">
        <v>1874</v>
      </c>
      <c r="E51" s="260">
        <v>45552.79684027778</v>
      </c>
    </row>
    <row r="52" ht="15.75" customHeight="1">
      <c r="A52" s="258" t="s">
        <v>1958</v>
      </c>
      <c r="B52" s="259" t="s">
        <v>1330</v>
      </c>
      <c r="C52" s="259" t="s">
        <v>1959</v>
      </c>
      <c r="D52" s="259" t="s">
        <v>1874</v>
      </c>
      <c r="E52" s="260">
        <v>45529.590046296296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</hyperlinks>
  <printOptions/>
  <pageMargins bottom="0.75" footer="0.0" header="0.0" left="0.7" right="0.7" top="0.75"/>
  <pageSetup orientation="landscape"/>
  <drawing r:id="rId5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2.38"/>
    <col customWidth="1" hidden="1" min="2" max="2" width="15.13"/>
    <col customWidth="1" min="3" max="6" width="12.63"/>
    <col customWidth="1" min="8" max="8" width="25.25"/>
  </cols>
  <sheetData>
    <row r="1" ht="63.0" customHeight="1">
      <c r="A1" s="262" t="s">
        <v>1960</v>
      </c>
      <c r="B1" s="263" t="s">
        <v>1961</v>
      </c>
      <c r="C1" s="262" t="s">
        <v>1962</v>
      </c>
      <c r="E1" s="262"/>
      <c r="F1" s="263"/>
      <c r="G1" s="263" t="s">
        <v>1963</v>
      </c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</row>
    <row r="2" ht="15.75" customHeight="1">
      <c r="A2" s="259" t="s">
        <v>1964</v>
      </c>
      <c r="B2" s="264" t="s">
        <v>1965</v>
      </c>
      <c r="C2" s="259" t="str">
        <f t="shared" ref="C2:C62" si="1">IF(SUMPRODUCT(--ISNUMBER(SEARCH(A2, B:B))) &gt; 0, "Present", "Missing")</f>
        <v>Present</v>
      </c>
      <c r="E2" s="259"/>
      <c r="G2" s="259" t="s">
        <v>459</v>
      </c>
    </row>
    <row r="3" ht="15.75" customHeight="1">
      <c r="A3" s="265" t="s">
        <v>459</v>
      </c>
      <c r="B3" s="266"/>
      <c r="C3" s="259" t="str">
        <f t="shared" si="1"/>
        <v>Missing</v>
      </c>
      <c r="E3" s="262" t="s">
        <v>1966</v>
      </c>
      <c r="G3" s="259" t="s">
        <v>1967</v>
      </c>
    </row>
    <row r="4" ht="15.75" customHeight="1">
      <c r="A4" s="259" t="s">
        <v>1967</v>
      </c>
      <c r="B4" s="266" t="s">
        <v>635</v>
      </c>
      <c r="C4" s="259" t="str">
        <f t="shared" si="1"/>
        <v>Missing</v>
      </c>
      <c r="E4" s="259" t="s">
        <v>1968</v>
      </c>
      <c r="G4" s="259" t="s">
        <v>1969</v>
      </c>
    </row>
    <row r="5" ht="15.75" customHeight="1">
      <c r="A5" s="259" t="s">
        <v>1969</v>
      </c>
      <c r="B5" s="266"/>
      <c r="C5" s="259" t="str">
        <f t="shared" si="1"/>
        <v>Missing</v>
      </c>
      <c r="E5" s="259" t="s">
        <v>1970</v>
      </c>
      <c r="G5" s="259" t="s">
        <v>1971</v>
      </c>
    </row>
    <row r="6" ht="15.75" customHeight="1">
      <c r="A6" s="259" t="s">
        <v>1972</v>
      </c>
      <c r="B6" s="266" t="s">
        <v>1973</v>
      </c>
      <c r="C6" s="259" t="str">
        <f t="shared" si="1"/>
        <v>Present</v>
      </c>
      <c r="E6" s="259" t="s">
        <v>1974</v>
      </c>
      <c r="G6" s="259" t="s">
        <v>1975</v>
      </c>
    </row>
    <row r="7" ht="15.75" customHeight="1">
      <c r="A7" s="259" t="s">
        <v>1971</v>
      </c>
      <c r="B7" s="266"/>
      <c r="C7" s="259" t="str">
        <f t="shared" si="1"/>
        <v>Missing</v>
      </c>
      <c r="E7" s="259"/>
      <c r="G7" s="259" t="s">
        <v>1976</v>
      </c>
    </row>
    <row r="8" ht="15.75" customHeight="1">
      <c r="A8" s="259" t="s">
        <v>1977</v>
      </c>
      <c r="B8" s="266" t="s">
        <v>1978</v>
      </c>
      <c r="C8" s="259" t="str">
        <f t="shared" si="1"/>
        <v>Present</v>
      </c>
      <c r="E8" s="262" t="s">
        <v>1979</v>
      </c>
      <c r="G8" s="259" t="s">
        <v>597</v>
      </c>
    </row>
    <row r="9" ht="15.75" customHeight="1">
      <c r="A9" s="259" t="s">
        <v>1975</v>
      </c>
      <c r="B9" s="264" t="s">
        <v>1980</v>
      </c>
      <c r="C9" s="259" t="str">
        <f t="shared" si="1"/>
        <v>Missing</v>
      </c>
      <c r="E9" s="259" t="s">
        <v>1981</v>
      </c>
      <c r="G9" s="259" t="s">
        <v>1982</v>
      </c>
      <c r="H9" s="259" t="s">
        <v>1983</v>
      </c>
    </row>
    <row r="10" ht="15.75" customHeight="1">
      <c r="A10" s="259" t="s">
        <v>1976</v>
      </c>
      <c r="B10" s="266"/>
      <c r="C10" s="259" t="str">
        <f t="shared" si="1"/>
        <v>Missing</v>
      </c>
      <c r="E10" s="259" t="s">
        <v>1984</v>
      </c>
      <c r="G10" s="259" t="s">
        <v>1985</v>
      </c>
    </row>
    <row r="11" ht="15.75" customHeight="1">
      <c r="A11" s="259" t="s">
        <v>1986</v>
      </c>
      <c r="B11" s="266" t="s">
        <v>1981</v>
      </c>
      <c r="C11" s="259" t="str">
        <f t="shared" si="1"/>
        <v>Missing</v>
      </c>
      <c r="E11" s="259" t="s">
        <v>1987</v>
      </c>
      <c r="G11" s="259" t="s">
        <v>1988</v>
      </c>
      <c r="H11" s="259" t="s">
        <v>1989</v>
      </c>
    </row>
    <row r="12" ht="15.75" customHeight="1">
      <c r="A12" s="259" t="s">
        <v>597</v>
      </c>
      <c r="B12" s="266"/>
      <c r="C12" s="259" t="str">
        <f t="shared" si="1"/>
        <v>Missing</v>
      </c>
      <c r="E12" s="259" t="s">
        <v>1990</v>
      </c>
      <c r="G12" s="259" t="s">
        <v>1991</v>
      </c>
    </row>
    <row r="13" ht="15.75" customHeight="1">
      <c r="A13" s="259" t="s">
        <v>1982</v>
      </c>
      <c r="B13" s="266" t="s">
        <v>1984</v>
      </c>
      <c r="C13" s="259" t="str">
        <f t="shared" si="1"/>
        <v>Missing</v>
      </c>
      <c r="E13" s="259" t="s">
        <v>1992</v>
      </c>
      <c r="G13" s="259" t="s">
        <v>173</v>
      </c>
    </row>
    <row r="14" ht="15.75" customHeight="1">
      <c r="A14" s="259" t="s">
        <v>1993</v>
      </c>
      <c r="B14" s="266"/>
      <c r="C14" s="259" t="str">
        <f t="shared" si="1"/>
        <v>Missing</v>
      </c>
      <c r="E14" s="259" t="s">
        <v>1994</v>
      </c>
      <c r="G14" s="259" t="s">
        <v>1995</v>
      </c>
      <c r="H14" s="259" t="s">
        <v>1996</v>
      </c>
    </row>
    <row r="15" ht="15.75" customHeight="1">
      <c r="A15" s="259" t="s">
        <v>1985</v>
      </c>
      <c r="B15" s="266" t="s">
        <v>1987</v>
      </c>
      <c r="C15" s="259" t="str">
        <f t="shared" si="1"/>
        <v>Missing</v>
      </c>
      <c r="E15" s="259" t="s">
        <v>1997</v>
      </c>
      <c r="G15" s="259" t="s">
        <v>1998</v>
      </c>
      <c r="H15" s="259" t="s">
        <v>36</v>
      </c>
    </row>
    <row r="16" ht="15.75" customHeight="1">
      <c r="A16" s="259" t="s">
        <v>1999</v>
      </c>
      <c r="B16" s="266"/>
      <c r="C16" s="259" t="str">
        <f t="shared" si="1"/>
        <v>Present</v>
      </c>
      <c r="E16" s="259" t="s">
        <v>2000</v>
      </c>
      <c r="G16" s="259" t="s">
        <v>2001</v>
      </c>
    </row>
    <row r="17" ht="15.75" customHeight="1">
      <c r="A17" s="259" t="s">
        <v>2002</v>
      </c>
      <c r="B17" s="266" t="s">
        <v>2003</v>
      </c>
      <c r="C17" s="259" t="str">
        <f t="shared" si="1"/>
        <v>Missing</v>
      </c>
      <c r="E17" s="259" t="s">
        <v>2004</v>
      </c>
      <c r="G17" s="259" t="s">
        <v>2005</v>
      </c>
    </row>
    <row r="18" ht="15.75" customHeight="1">
      <c r="A18" s="259" t="s">
        <v>1988</v>
      </c>
      <c r="B18" s="266"/>
      <c r="C18" s="259" t="str">
        <f t="shared" si="1"/>
        <v>Missing</v>
      </c>
      <c r="E18" s="259"/>
      <c r="G18" s="259" t="s">
        <v>2006</v>
      </c>
    </row>
    <row r="19" ht="15.75" customHeight="1">
      <c r="A19" s="259" t="s">
        <v>2007</v>
      </c>
      <c r="B19" s="266" t="s">
        <v>2008</v>
      </c>
      <c r="C19" s="259" t="str">
        <f t="shared" si="1"/>
        <v>Present</v>
      </c>
      <c r="E19" s="262" t="s">
        <v>2009</v>
      </c>
      <c r="G19" s="259" t="s">
        <v>2010</v>
      </c>
    </row>
    <row r="20" ht="15.75" customHeight="1">
      <c r="A20" s="259" t="s">
        <v>1991</v>
      </c>
      <c r="B20" s="266"/>
      <c r="C20" s="259" t="str">
        <f t="shared" si="1"/>
        <v>Missing</v>
      </c>
      <c r="E20" s="259" t="s">
        <v>2011</v>
      </c>
      <c r="G20" s="259" t="s">
        <v>2012</v>
      </c>
    </row>
    <row r="21" ht="15.75" customHeight="1">
      <c r="A21" s="259" t="s">
        <v>173</v>
      </c>
      <c r="B21" s="266" t="s">
        <v>2013</v>
      </c>
      <c r="C21" s="259" t="str">
        <f t="shared" si="1"/>
        <v>Missing</v>
      </c>
      <c r="E21" s="259" t="s">
        <v>2014</v>
      </c>
      <c r="G21" s="259" t="s">
        <v>138</v>
      </c>
    </row>
    <row r="22" ht="15.75" customHeight="1">
      <c r="A22" s="259" t="s">
        <v>1995</v>
      </c>
      <c r="B22" s="266"/>
      <c r="C22" s="259" t="str">
        <f t="shared" si="1"/>
        <v>Missing</v>
      </c>
      <c r="E22" s="259" t="s">
        <v>2015</v>
      </c>
    </row>
    <row r="23" ht="15.75" customHeight="1">
      <c r="A23" s="259" t="s">
        <v>2016</v>
      </c>
      <c r="B23" s="266" t="s">
        <v>2017</v>
      </c>
      <c r="C23" s="259" t="str">
        <f t="shared" si="1"/>
        <v>Missing</v>
      </c>
      <c r="E23" s="259" t="s">
        <v>2018</v>
      </c>
    </row>
    <row r="24" ht="15.75" customHeight="1">
      <c r="A24" s="259" t="s">
        <v>2019</v>
      </c>
      <c r="B24" s="266"/>
      <c r="C24" s="259" t="str">
        <f t="shared" si="1"/>
        <v>Present</v>
      </c>
      <c r="E24" s="259" t="s">
        <v>2020</v>
      </c>
    </row>
    <row r="25" ht="15.75" customHeight="1">
      <c r="A25" s="259" t="s">
        <v>2021</v>
      </c>
      <c r="B25" s="266" t="s">
        <v>2000</v>
      </c>
      <c r="C25" s="259" t="str">
        <f t="shared" si="1"/>
        <v>Present</v>
      </c>
      <c r="E25" s="259" t="s">
        <v>2022</v>
      </c>
    </row>
    <row r="26" ht="15.75" customHeight="1">
      <c r="A26" s="259" t="s">
        <v>2023</v>
      </c>
      <c r="B26" s="266"/>
      <c r="C26" s="259" t="str">
        <f t="shared" si="1"/>
        <v>Missing</v>
      </c>
      <c r="E26" s="259" t="s">
        <v>2024</v>
      </c>
    </row>
    <row r="27" ht="15.75" customHeight="1">
      <c r="A27" s="259" t="s">
        <v>1998</v>
      </c>
      <c r="B27" s="266" t="s">
        <v>2004</v>
      </c>
      <c r="C27" s="259" t="str">
        <f t="shared" si="1"/>
        <v>Missing</v>
      </c>
      <c r="E27" s="259" t="s">
        <v>2025</v>
      </c>
    </row>
    <row r="28" ht="15.75" customHeight="1">
      <c r="A28" s="259" t="s">
        <v>2026</v>
      </c>
      <c r="B28" s="264" t="s">
        <v>2027</v>
      </c>
      <c r="C28" s="259" t="str">
        <f t="shared" si="1"/>
        <v>Present</v>
      </c>
      <c r="E28" s="259" t="s">
        <v>2028</v>
      </c>
    </row>
    <row r="29" ht="15.75" customHeight="1">
      <c r="A29" s="259" t="s">
        <v>368</v>
      </c>
      <c r="B29" s="266"/>
      <c r="C29" s="259" t="str">
        <f t="shared" si="1"/>
        <v>Present</v>
      </c>
      <c r="E29" s="259" t="s">
        <v>2029</v>
      </c>
    </row>
    <row r="30" ht="15.75" customHeight="1">
      <c r="A30" s="259" t="s">
        <v>2030</v>
      </c>
      <c r="B30" s="266" t="s">
        <v>2031</v>
      </c>
      <c r="C30" s="259" t="str">
        <f t="shared" si="1"/>
        <v>Missing</v>
      </c>
      <c r="E30" s="259" t="s">
        <v>2032</v>
      </c>
    </row>
    <row r="31" ht="15.75" customHeight="1">
      <c r="A31" s="259" t="s">
        <v>2001</v>
      </c>
      <c r="B31" s="266"/>
      <c r="C31" s="259" t="str">
        <f t="shared" si="1"/>
        <v>Missing</v>
      </c>
      <c r="E31" s="259" t="s">
        <v>2033</v>
      </c>
    </row>
    <row r="32" ht="15.75" customHeight="1">
      <c r="A32" s="259" t="s">
        <v>2005</v>
      </c>
      <c r="B32" s="266" t="s">
        <v>2034</v>
      </c>
      <c r="C32" s="259" t="str">
        <f t="shared" si="1"/>
        <v>Missing</v>
      </c>
      <c r="E32" s="259" t="s">
        <v>2035</v>
      </c>
    </row>
    <row r="33" ht="15.75" customHeight="1">
      <c r="A33" s="259" t="s">
        <v>2036</v>
      </c>
      <c r="B33" s="266"/>
      <c r="C33" s="259" t="str">
        <f t="shared" si="1"/>
        <v>Missing</v>
      </c>
      <c r="E33" s="259" t="s">
        <v>2037</v>
      </c>
    </row>
    <row r="34" ht="15.75" customHeight="1">
      <c r="A34" s="259" t="s">
        <v>2006</v>
      </c>
      <c r="B34" s="266" t="s">
        <v>2038</v>
      </c>
      <c r="C34" s="259" t="str">
        <f t="shared" si="1"/>
        <v>Missing</v>
      </c>
      <c r="E34" s="259"/>
    </row>
    <row r="35" ht="15.75" customHeight="1">
      <c r="A35" s="259" t="s">
        <v>298</v>
      </c>
      <c r="B35" s="266"/>
      <c r="C35" s="259" t="str">
        <f t="shared" si="1"/>
        <v>Present</v>
      </c>
      <c r="E35" s="262" t="s">
        <v>2039</v>
      </c>
    </row>
    <row r="36" ht="15.75" customHeight="1">
      <c r="A36" s="259" t="s">
        <v>2040</v>
      </c>
      <c r="B36" s="266" t="s">
        <v>52</v>
      </c>
      <c r="C36" s="259" t="str">
        <f t="shared" si="1"/>
        <v>Missing</v>
      </c>
      <c r="E36" s="259" t="s">
        <v>2041</v>
      </c>
    </row>
    <row r="37" ht="15.75" customHeight="1">
      <c r="A37" s="259" t="s">
        <v>301</v>
      </c>
      <c r="B37" s="266"/>
      <c r="C37" s="259" t="str">
        <f t="shared" si="1"/>
        <v>Missing</v>
      </c>
      <c r="E37" s="259" t="s">
        <v>2042</v>
      </c>
    </row>
    <row r="38" ht="15.75" customHeight="1">
      <c r="A38" s="259" t="s">
        <v>43</v>
      </c>
      <c r="B38" s="266" t="s">
        <v>2043</v>
      </c>
      <c r="C38" s="259" t="str">
        <f t="shared" si="1"/>
        <v>Present</v>
      </c>
      <c r="E38" s="259" t="s">
        <v>2044</v>
      </c>
    </row>
    <row r="39" ht="15.75" customHeight="1">
      <c r="A39" s="259" t="s">
        <v>2045</v>
      </c>
      <c r="B39" s="266"/>
      <c r="C39" s="259" t="str">
        <f t="shared" si="1"/>
        <v>Missing</v>
      </c>
      <c r="E39" s="259" t="s">
        <v>2046</v>
      </c>
    </row>
    <row r="40" ht="15.75" customHeight="1">
      <c r="A40" s="259" t="s">
        <v>2047</v>
      </c>
      <c r="B40" s="266" t="s">
        <v>2048</v>
      </c>
      <c r="C40" s="259" t="str">
        <f t="shared" si="1"/>
        <v>Present</v>
      </c>
      <c r="E40" s="259" t="s">
        <v>2049</v>
      </c>
    </row>
    <row r="41" ht="15.75" customHeight="1">
      <c r="A41" s="259" t="s">
        <v>2050</v>
      </c>
      <c r="B41" s="266"/>
      <c r="C41" s="259" t="str">
        <f t="shared" si="1"/>
        <v>Missing</v>
      </c>
      <c r="E41" s="259" t="s">
        <v>2051</v>
      </c>
    </row>
    <row r="42" ht="15.75" customHeight="1">
      <c r="A42" s="259" t="s">
        <v>400</v>
      </c>
      <c r="B42" s="266" t="s">
        <v>2052</v>
      </c>
      <c r="C42" s="259" t="str">
        <f t="shared" si="1"/>
        <v>Missing</v>
      </c>
      <c r="E42" s="259" t="s">
        <v>2053</v>
      </c>
    </row>
    <row r="43" ht="15.75" customHeight="1">
      <c r="A43" s="259" t="s">
        <v>2054</v>
      </c>
      <c r="B43" s="266"/>
      <c r="C43" s="259" t="str">
        <f t="shared" si="1"/>
        <v>Present</v>
      </c>
      <c r="E43" s="259" t="s">
        <v>2055</v>
      </c>
    </row>
    <row r="44" ht="15.75" customHeight="1">
      <c r="A44" s="259" t="s">
        <v>2056</v>
      </c>
      <c r="B44" s="266" t="s">
        <v>2057</v>
      </c>
      <c r="C44" s="259" t="str">
        <f t="shared" si="1"/>
        <v>Missing</v>
      </c>
      <c r="E44" s="259" t="s">
        <v>2058</v>
      </c>
    </row>
    <row r="45" ht="15.75" customHeight="1">
      <c r="A45" s="259" t="s">
        <v>131</v>
      </c>
      <c r="B45" s="266"/>
      <c r="C45" s="259" t="str">
        <f t="shared" si="1"/>
        <v>Missing</v>
      </c>
      <c r="E45" s="259" t="s">
        <v>2059</v>
      </c>
    </row>
    <row r="46" ht="15.75" customHeight="1">
      <c r="A46" s="259" t="s">
        <v>2060</v>
      </c>
      <c r="B46" s="266" t="s">
        <v>2061</v>
      </c>
      <c r="C46" s="259" t="str">
        <f t="shared" si="1"/>
        <v>Missing</v>
      </c>
      <c r="E46" s="259" t="s">
        <v>2062</v>
      </c>
    </row>
    <row r="47" ht="15.75" customHeight="1">
      <c r="A47" s="259" t="s">
        <v>635</v>
      </c>
      <c r="B47" s="266"/>
      <c r="C47" s="259" t="str">
        <f t="shared" si="1"/>
        <v>Present</v>
      </c>
      <c r="E47" s="259" t="s">
        <v>2063</v>
      </c>
    </row>
    <row r="48" ht="15.75" customHeight="1">
      <c r="A48" s="259" t="s">
        <v>2064</v>
      </c>
      <c r="B48" s="266" t="s">
        <v>2065</v>
      </c>
      <c r="C48" s="259" t="str">
        <f t="shared" si="1"/>
        <v>Present</v>
      </c>
      <c r="E48" s="259" t="s">
        <v>2066</v>
      </c>
    </row>
    <row r="49" ht="15.75" customHeight="1">
      <c r="A49" s="259" t="s">
        <v>2067</v>
      </c>
      <c r="B49" s="266"/>
      <c r="C49" s="259" t="str">
        <f t="shared" si="1"/>
        <v>Missing</v>
      </c>
      <c r="E49" s="259" t="s">
        <v>2068</v>
      </c>
    </row>
    <row r="50" ht="15.75" customHeight="1">
      <c r="A50" s="259" t="s">
        <v>2069</v>
      </c>
      <c r="B50" s="266" t="s">
        <v>2021</v>
      </c>
      <c r="C50" s="259" t="str">
        <f t="shared" si="1"/>
        <v>Missing</v>
      </c>
      <c r="E50" s="259" t="s">
        <v>2070</v>
      </c>
    </row>
    <row r="51" ht="15.75" customHeight="1">
      <c r="A51" s="259" t="s">
        <v>1973</v>
      </c>
      <c r="B51" s="266"/>
      <c r="C51" s="259" t="str">
        <f t="shared" si="1"/>
        <v>Present</v>
      </c>
      <c r="E51" s="259"/>
    </row>
    <row r="52" ht="15.75" customHeight="1">
      <c r="A52" s="259" t="s">
        <v>2071</v>
      </c>
      <c r="B52" s="266" t="s">
        <v>2072</v>
      </c>
      <c r="C52" s="259" t="str">
        <f t="shared" si="1"/>
        <v>Present</v>
      </c>
      <c r="E52" s="259"/>
    </row>
    <row r="53" ht="15.75" customHeight="1">
      <c r="A53" s="259" t="s">
        <v>2073</v>
      </c>
      <c r="B53" s="266"/>
      <c r="C53" s="259" t="str">
        <f t="shared" si="1"/>
        <v>Missing</v>
      </c>
      <c r="E53" s="259"/>
    </row>
    <row r="54" ht="15.75" customHeight="1">
      <c r="A54" s="259" t="s">
        <v>2074</v>
      </c>
      <c r="B54" s="266" t="s">
        <v>2075</v>
      </c>
      <c r="C54" s="259" t="str">
        <f t="shared" si="1"/>
        <v>Missing</v>
      </c>
      <c r="E54" s="259"/>
    </row>
    <row r="55" ht="15.75" customHeight="1">
      <c r="A55" s="259" t="s">
        <v>2076</v>
      </c>
      <c r="B55" s="266"/>
      <c r="C55" s="259" t="str">
        <f t="shared" si="1"/>
        <v>Present</v>
      </c>
      <c r="E55" s="259"/>
    </row>
    <row r="56" ht="15.75" customHeight="1">
      <c r="A56" s="259" t="s">
        <v>2077</v>
      </c>
      <c r="B56" s="266" t="s">
        <v>298</v>
      </c>
      <c r="C56" s="259" t="str">
        <f t="shared" si="1"/>
        <v>Present</v>
      </c>
      <c r="E56" s="259"/>
    </row>
    <row r="57" ht="15.75" customHeight="1">
      <c r="A57" s="259" t="s">
        <v>2078</v>
      </c>
      <c r="B57" s="264" t="s">
        <v>2079</v>
      </c>
      <c r="C57" s="259" t="str">
        <f t="shared" si="1"/>
        <v>Present</v>
      </c>
      <c r="E57" s="259"/>
    </row>
    <row r="58" ht="15.75" customHeight="1">
      <c r="A58" s="259" t="s">
        <v>2080</v>
      </c>
      <c r="B58" s="266"/>
      <c r="C58" s="259" t="str">
        <f t="shared" si="1"/>
        <v>Present</v>
      </c>
      <c r="E58" s="259"/>
    </row>
    <row r="59" ht="15.75" customHeight="1">
      <c r="A59" s="259" t="s">
        <v>2065</v>
      </c>
      <c r="B59" s="266" t="s">
        <v>2081</v>
      </c>
      <c r="C59" s="259" t="str">
        <f t="shared" si="1"/>
        <v>Present</v>
      </c>
      <c r="E59" s="259"/>
    </row>
    <row r="60" ht="15.75" customHeight="1">
      <c r="A60" s="259" t="s">
        <v>2082</v>
      </c>
      <c r="B60" s="266"/>
      <c r="C60" s="259" t="str">
        <f t="shared" si="1"/>
        <v>Missing</v>
      </c>
      <c r="E60" s="259"/>
    </row>
    <row r="61" ht="15.75" customHeight="1">
      <c r="A61" s="259" t="s">
        <v>2030</v>
      </c>
      <c r="B61" s="266" t="s">
        <v>2083</v>
      </c>
      <c r="C61" s="259" t="str">
        <f t="shared" si="1"/>
        <v>Missing</v>
      </c>
      <c r="E61" s="259"/>
    </row>
    <row r="62" ht="15.75" customHeight="1">
      <c r="A62" s="259" t="s">
        <v>2084</v>
      </c>
      <c r="B62" s="266"/>
      <c r="C62" s="259" t="str">
        <f t="shared" si="1"/>
        <v>Missing</v>
      </c>
      <c r="E62" s="259"/>
    </row>
    <row r="63" ht="15.75" customHeight="1">
      <c r="B63" s="266" t="s">
        <v>2085</v>
      </c>
      <c r="E63" s="259"/>
    </row>
    <row r="64" ht="15.75" customHeight="1">
      <c r="B64" s="266"/>
      <c r="E64" s="259"/>
    </row>
    <row r="65" ht="15.75" customHeight="1">
      <c r="B65" s="266" t="s">
        <v>2086</v>
      </c>
      <c r="E65" s="259"/>
    </row>
    <row r="66" ht="15.75" customHeight="1">
      <c r="B66" s="266"/>
      <c r="E66" s="259"/>
    </row>
    <row r="67" ht="15.75" customHeight="1">
      <c r="B67" s="266" t="s">
        <v>2087</v>
      </c>
      <c r="E67" s="259"/>
    </row>
    <row r="68" ht="15.75" customHeight="1">
      <c r="B68" s="266"/>
      <c r="E68" s="259"/>
    </row>
    <row r="69" ht="15.75" customHeight="1">
      <c r="B69" s="266" t="s">
        <v>2088</v>
      </c>
      <c r="E69" s="259"/>
    </row>
    <row r="70" ht="15.75" customHeight="1">
      <c r="B70" s="266"/>
      <c r="E70" s="259"/>
    </row>
    <row r="71" ht="15.75" customHeight="1">
      <c r="B71" s="266" t="s">
        <v>2089</v>
      </c>
      <c r="E71" s="259"/>
    </row>
    <row r="72" ht="15.75" customHeight="1">
      <c r="B72" s="266"/>
      <c r="E72" s="259"/>
    </row>
    <row r="73" ht="15.75" customHeight="1">
      <c r="B73" s="266" t="s">
        <v>2090</v>
      </c>
      <c r="E73" s="259"/>
    </row>
    <row r="74" ht="15.75" customHeight="1">
      <c r="B74" s="266"/>
      <c r="E74" s="259"/>
    </row>
    <row r="75" ht="15.75" customHeight="1">
      <c r="B75" s="266" t="s">
        <v>2091</v>
      </c>
      <c r="E75" s="259"/>
    </row>
    <row r="76" ht="15.75" customHeight="1">
      <c r="B76" s="266"/>
      <c r="E76" s="259"/>
    </row>
    <row r="77" ht="15.75" customHeight="1">
      <c r="B77" s="266" t="s">
        <v>2092</v>
      </c>
      <c r="E77" s="259"/>
    </row>
    <row r="78" ht="15.75" customHeight="1">
      <c r="B78" s="266"/>
      <c r="E78" s="259"/>
    </row>
    <row r="79" ht="15.75" customHeight="1">
      <c r="B79" s="266" t="s">
        <v>1973</v>
      </c>
      <c r="E79" s="259"/>
    </row>
    <row r="80" ht="15.75" customHeight="1">
      <c r="B80" s="266"/>
      <c r="E80" s="259"/>
    </row>
    <row r="81" ht="15.75" customHeight="1">
      <c r="B81" s="266" t="s">
        <v>2093</v>
      </c>
      <c r="E81" s="259"/>
    </row>
    <row r="82" ht="15.75" customHeight="1">
      <c r="B82" s="266"/>
      <c r="E82" s="259"/>
    </row>
    <row r="83" ht="15.75" customHeight="1">
      <c r="B83" s="266" t="s">
        <v>2094</v>
      </c>
      <c r="E83" s="259"/>
    </row>
    <row r="84" ht="15.75" customHeight="1">
      <c r="E84" s="259"/>
    </row>
    <row r="85" ht="15.75" customHeight="1">
      <c r="E85" s="259"/>
    </row>
    <row r="86" ht="15.75" customHeight="1">
      <c r="E86" s="259"/>
    </row>
    <row r="87" ht="15.75" customHeight="1">
      <c r="E87" s="259"/>
    </row>
    <row r="88" ht="15.75" customHeight="1">
      <c r="E88" s="259"/>
    </row>
    <row r="89" ht="15.75" customHeight="1">
      <c r="E89" s="259"/>
    </row>
    <row r="90" ht="15.75" customHeight="1">
      <c r="E90" s="259"/>
    </row>
    <row r="91" ht="15.75" customHeight="1">
      <c r="E91" s="259"/>
    </row>
    <row r="92" ht="15.75" customHeight="1">
      <c r="E92" s="259"/>
    </row>
    <row r="93" ht="15.75" customHeight="1">
      <c r="E93" s="259"/>
    </row>
    <row r="94" ht="15.75" customHeight="1">
      <c r="E94" s="259"/>
    </row>
    <row r="95" ht="15.75" customHeight="1">
      <c r="E95" s="259"/>
    </row>
    <row r="96" ht="15.75" customHeight="1">
      <c r="E96" s="259"/>
    </row>
    <row r="97" ht="15.75" customHeight="1">
      <c r="E97" s="259"/>
    </row>
    <row r="98" ht="15.75" customHeight="1">
      <c r="E98" s="259"/>
    </row>
    <row r="99" ht="15.75" customHeight="1">
      <c r="E99" s="259"/>
    </row>
    <row r="100" ht="15.75" customHeight="1">
      <c r="E100" s="259"/>
    </row>
    <row r="101" ht="15.75" customHeight="1">
      <c r="E101" s="259"/>
    </row>
    <row r="102" ht="15.75" customHeight="1">
      <c r="E102" s="259"/>
    </row>
    <row r="103" ht="15.75" customHeight="1">
      <c r="E103" s="259"/>
    </row>
    <row r="104" ht="15.75" customHeight="1">
      <c r="E104" s="259"/>
    </row>
    <row r="105" ht="15.75" customHeight="1">
      <c r="E105" s="259"/>
    </row>
    <row r="106" ht="15.75" customHeight="1">
      <c r="E106" s="259"/>
    </row>
    <row r="107" ht="15.75" customHeight="1">
      <c r="E107" s="259"/>
    </row>
    <row r="108" ht="15.75" customHeight="1">
      <c r="E108" s="259"/>
    </row>
    <row r="109" ht="15.75" customHeight="1">
      <c r="E109" s="259"/>
    </row>
    <row r="110" ht="15.75" customHeight="1">
      <c r="E110" s="259"/>
    </row>
    <row r="111" ht="15.75" customHeight="1">
      <c r="E111" s="259"/>
    </row>
    <row r="112" ht="15.75" customHeight="1">
      <c r="E112" s="259"/>
    </row>
    <row r="113" ht="15.75" customHeight="1">
      <c r="E113" s="259"/>
    </row>
    <row r="114" ht="15.75" customHeight="1">
      <c r="E114" s="259"/>
    </row>
    <row r="115" ht="15.75" customHeight="1">
      <c r="E115" s="259"/>
    </row>
    <row r="116" ht="15.75" customHeight="1">
      <c r="E116" s="259"/>
    </row>
    <row r="117" ht="15.75" customHeight="1">
      <c r="E117" s="259"/>
    </row>
    <row r="118" ht="15.75" customHeight="1">
      <c r="E118" s="259"/>
    </row>
    <row r="119" ht="15.75" customHeight="1">
      <c r="E119" s="259"/>
    </row>
    <row r="120" ht="15.75" customHeight="1">
      <c r="E120" s="259"/>
    </row>
    <row r="121" ht="15.75" customHeight="1">
      <c r="E121" s="259"/>
    </row>
    <row r="122" ht="15.75" customHeight="1">
      <c r="E122" s="259"/>
    </row>
    <row r="123" ht="15.75" customHeight="1">
      <c r="E123" s="259"/>
    </row>
    <row r="124" ht="15.75" customHeight="1">
      <c r="E124" s="259"/>
    </row>
    <row r="125" ht="15.75" customHeight="1">
      <c r="E125" s="259"/>
    </row>
    <row r="126" ht="15.75" customHeight="1">
      <c r="E126" s="259"/>
    </row>
    <row r="127" ht="15.75" customHeight="1">
      <c r="E127" s="259"/>
    </row>
    <row r="128" ht="15.75" customHeight="1">
      <c r="E128" s="259"/>
    </row>
    <row r="129" ht="15.75" customHeight="1">
      <c r="E129" s="259"/>
    </row>
    <row r="130" ht="15.75" customHeight="1">
      <c r="E130" s="259"/>
    </row>
    <row r="131" ht="15.75" customHeight="1">
      <c r="E131" s="259"/>
    </row>
    <row r="132" ht="15.75" customHeight="1">
      <c r="E132" s="259"/>
    </row>
    <row r="133" ht="15.75" customHeight="1">
      <c r="E133" s="259"/>
    </row>
    <row r="134" ht="15.75" customHeight="1">
      <c r="E134" s="259"/>
    </row>
    <row r="135" ht="15.75" customHeight="1">
      <c r="E135" s="259"/>
    </row>
    <row r="136" ht="15.75" customHeight="1">
      <c r="E136" s="259"/>
    </row>
    <row r="137" ht="15.75" customHeight="1">
      <c r="E137" s="259"/>
    </row>
    <row r="138" ht="15.75" customHeight="1">
      <c r="E138" s="259"/>
    </row>
    <row r="139" ht="15.75" customHeight="1">
      <c r="E139" s="259"/>
    </row>
    <row r="140" ht="15.75" customHeight="1">
      <c r="E140" s="259"/>
    </row>
    <row r="141" ht="15.75" customHeight="1">
      <c r="E141" s="259"/>
    </row>
    <row r="142" ht="15.75" customHeight="1">
      <c r="E142" s="259"/>
    </row>
    <row r="143" ht="15.75" customHeight="1">
      <c r="E143" s="259"/>
    </row>
    <row r="144" ht="15.75" customHeight="1">
      <c r="E144" s="259"/>
    </row>
    <row r="145" ht="15.75" customHeight="1">
      <c r="E145" s="259"/>
    </row>
    <row r="146" ht="15.75" customHeight="1">
      <c r="E146" s="259"/>
    </row>
    <row r="147" ht="15.75" customHeight="1">
      <c r="E147" s="259"/>
    </row>
    <row r="148" ht="15.75" customHeight="1">
      <c r="E148" s="259"/>
    </row>
    <row r="149" ht="15.75" customHeight="1">
      <c r="E149" s="259"/>
    </row>
    <row r="150" ht="15.75" customHeight="1">
      <c r="E150" s="259"/>
    </row>
    <row r="151" ht="15.75" customHeight="1">
      <c r="E151" s="259"/>
    </row>
    <row r="152" ht="15.75" customHeight="1">
      <c r="E152" s="259"/>
    </row>
    <row r="153" ht="15.75" customHeight="1">
      <c r="E153" s="259"/>
    </row>
    <row r="154" ht="15.75" customHeight="1">
      <c r="E154" s="259"/>
    </row>
    <row r="155" ht="15.75" customHeight="1">
      <c r="E155" s="259"/>
    </row>
    <row r="156" ht="15.75" customHeight="1">
      <c r="E156" s="259"/>
    </row>
    <row r="157" ht="15.75" customHeight="1">
      <c r="E157" s="259"/>
    </row>
    <row r="158" ht="15.75" customHeight="1">
      <c r="E158" s="259"/>
    </row>
    <row r="159" ht="15.75" customHeight="1">
      <c r="E159" s="259"/>
    </row>
    <row r="160" ht="15.75" customHeight="1">
      <c r="E160" s="259"/>
    </row>
    <row r="161" ht="15.75" customHeight="1">
      <c r="E161" s="259"/>
    </row>
    <row r="162" ht="15.75" customHeight="1">
      <c r="E162" s="259"/>
    </row>
    <row r="163" ht="15.75" customHeight="1">
      <c r="E163" s="259"/>
    </row>
    <row r="164" ht="15.75" customHeight="1">
      <c r="E164" s="259"/>
    </row>
    <row r="165" ht="15.75" customHeight="1">
      <c r="E165" s="259"/>
    </row>
    <row r="166" ht="15.75" customHeight="1">
      <c r="E166" s="259"/>
    </row>
    <row r="167" ht="15.75" customHeight="1">
      <c r="E167" s="259"/>
    </row>
    <row r="168" ht="15.75" customHeight="1">
      <c r="E168" s="259"/>
    </row>
    <row r="169" ht="15.75" customHeight="1">
      <c r="E169" s="259"/>
    </row>
    <row r="170" ht="15.75" customHeight="1">
      <c r="E170" s="259"/>
    </row>
    <row r="171" ht="15.75" customHeight="1">
      <c r="E171" s="259"/>
    </row>
    <row r="172" ht="15.75" customHeight="1">
      <c r="E172" s="259"/>
    </row>
    <row r="173" ht="15.75" customHeight="1">
      <c r="E173" s="259"/>
    </row>
    <row r="174" ht="15.75" customHeight="1">
      <c r="E174" s="259"/>
    </row>
    <row r="175" ht="15.75" customHeight="1">
      <c r="E175" s="259"/>
    </row>
    <row r="176" ht="15.75" customHeight="1">
      <c r="E176" s="259"/>
    </row>
    <row r="177" ht="15.75" customHeight="1">
      <c r="E177" s="259"/>
    </row>
    <row r="178" ht="15.75" customHeight="1">
      <c r="E178" s="259"/>
    </row>
    <row r="179" ht="15.75" customHeight="1">
      <c r="E179" s="259"/>
    </row>
    <row r="180" ht="15.75" customHeight="1">
      <c r="E180" s="259"/>
    </row>
    <row r="181" ht="15.75" customHeight="1">
      <c r="E181" s="259"/>
    </row>
    <row r="182" ht="15.75" customHeight="1">
      <c r="E182" s="259"/>
    </row>
    <row r="183" ht="15.75" customHeight="1">
      <c r="E183" s="259"/>
    </row>
    <row r="184" ht="15.75" customHeight="1">
      <c r="E184" s="259"/>
    </row>
    <row r="185" ht="15.75" customHeight="1">
      <c r="E185" s="259"/>
    </row>
    <row r="186" ht="15.75" customHeight="1">
      <c r="E186" s="259"/>
    </row>
    <row r="187" ht="15.75" customHeight="1">
      <c r="E187" s="259"/>
    </row>
    <row r="188" ht="15.75" customHeight="1">
      <c r="E188" s="259"/>
    </row>
    <row r="189" ht="15.75" customHeight="1">
      <c r="E189" s="259"/>
    </row>
    <row r="190" ht="15.75" customHeight="1">
      <c r="E190" s="259"/>
    </row>
    <row r="191" ht="15.75" customHeight="1">
      <c r="E191" s="259"/>
    </row>
    <row r="192" ht="15.75" customHeight="1">
      <c r="E192" s="259"/>
    </row>
    <row r="193" ht="15.75" customHeight="1">
      <c r="E193" s="259"/>
    </row>
    <row r="194" ht="15.75" customHeight="1">
      <c r="E194" s="259"/>
    </row>
    <row r="195" ht="15.75" customHeight="1">
      <c r="E195" s="259"/>
    </row>
    <row r="196" ht="15.75" customHeight="1">
      <c r="E196" s="259"/>
    </row>
    <row r="197" ht="15.75" customHeight="1">
      <c r="E197" s="259"/>
    </row>
    <row r="198" ht="15.75" customHeight="1">
      <c r="E198" s="259"/>
    </row>
    <row r="199" ht="15.75" customHeight="1">
      <c r="E199" s="259"/>
    </row>
    <row r="200" ht="15.75" customHeight="1">
      <c r="E200" s="259"/>
    </row>
    <row r="201" ht="15.75" customHeight="1">
      <c r="E201" s="259"/>
    </row>
    <row r="202" ht="15.75" customHeight="1">
      <c r="E202" s="259"/>
    </row>
    <row r="203" ht="15.75" customHeight="1">
      <c r="E203" s="259"/>
    </row>
    <row r="204" ht="15.75" customHeight="1">
      <c r="E204" s="259"/>
    </row>
    <row r="205" ht="15.75" customHeight="1">
      <c r="E205" s="259"/>
    </row>
    <row r="206" ht="15.75" customHeight="1">
      <c r="E206" s="259"/>
    </row>
    <row r="207" ht="15.75" customHeight="1">
      <c r="E207" s="259"/>
    </row>
    <row r="208" ht="15.75" customHeight="1">
      <c r="E208" s="259"/>
    </row>
    <row r="209" ht="15.75" customHeight="1">
      <c r="E209" s="259"/>
    </row>
    <row r="210" ht="15.75" customHeight="1">
      <c r="E210" s="259"/>
    </row>
    <row r="211" ht="15.75" customHeight="1">
      <c r="E211" s="259"/>
    </row>
    <row r="212" ht="15.75" customHeight="1">
      <c r="E212" s="259"/>
    </row>
    <row r="213" ht="15.75" customHeight="1">
      <c r="E213" s="259"/>
    </row>
    <row r="214" ht="15.75" customHeight="1">
      <c r="E214" s="259"/>
    </row>
    <row r="215" ht="15.75" customHeight="1">
      <c r="E215" s="259"/>
    </row>
    <row r="216" ht="15.75" customHeight="1">
      <c r="E216" s="259"/>
    </row>
    <row r="217" ht="15.75" customHeight="1">
      <c r="E217" s="259"/>
    </row>
    <row r="218" ht="15.75" customHeight="1">
      <c r="E218" s="259"/>
    </row>
    <row r="219" ht="15.75" customHeight="1">
      <c r="E219" s="259"/>
    </row>
    <row r="220" ht="15.75" customHeight="1">
      <c r="E220" s="259"/>
    </row>
    <row r="221" ht="15.75" customHeight="1">
      <c r="E221" s="259"/>
    </row>
    <row r="222" ht="15.75" customHeight="1">
      <c r="E222" s="259"/>
    </row>
    <row r="223" ht="15.75" customHeight="1">
      <c r="E223" s="259"/>
    </row>
    <row r="224" ht="15.75" customHeight="1">
      <c r="E224" s="259"/>
    </row>
    <row r="225" ht="15.75" customHeight="1">
      <c r="E225" s="259"/>
    </row>
    <row r="226" ht="15.75" customHeight="1">
      <c r="E226" s="259"/>
    </row>
    <row r="227" ht="15.75" customHeight="1">
      <c r="E227" s="259"/>
    </row>
    <row r="228" ht="15.75" customHeight="1">
      <c r="E228" s="259"/>
    </row>
    <row r="229" ht="15.75" customHeight="1">
      <c r="E229" s="259"/>
    </row>
    <row r="230" ht="15.75" customHeight="1">
      <c r="E230" s="259"/>
    </row>
    <row r="231" ht="15.75" customHeight="1">
      <c r="E231" s="259"/>
    </row>
    <row r="232" ht="15.75" customHeight="1">
      <c r="E232" s="259"/>
    </row>
    <row r="233" ht="15.75" customHeight="1">
      <c r="E233" s="259"/>
    </row>
    <row r="234" ht="15.75" customHeight="1">
      <c r="E234" s="259"/>
    </row>
    <row r="235" ht="15.75" customHeight="1">
      <c r="E235" s="259"/>
    </row>
    <row r="236" ht="15.75" customHeight="1">
      <c r="E236" s="259"/>
    </row>
    <row r="237" ht="15.75" customHeight="1">
      <c r="E237" s="259"/>
    </row>
    <row r="238" ht="15.75" customHeight="1">
      <c r="E238" s="259"/>
    </row>
    <row r="239" ht="15.75" customHeight="1">
      <c r="E239" s="259"/>
    </row>
    <row r="240" ht="15.75" customHeight="1">
      <c r="E240" s="259"/>
    </row>
    <row r="241" ht="15.75" customHeight="1">
      <c r="E241" s="259"/>
    </row>
    <row r="242" ht="15.75" customHeight="1">
      <c r="E242" s="259"/>
    </row>
    <row r="243" ht="15.75" customHeight="1">
      <c r="E243" s="259"/>
    </row>
    <row r="244" ht="15.75" customHeight="1">
      <c r="E244" s="259"/>
    </row>
    <row r="245" ht="15.75" customHeight="1">
      <c r="E245" s="259"/>
    </row>
    <row r="246" ht="15.75" customHeight="1">
      <c r="E246" s="259"/>
    </row>
    <row r="247" ht="15.75" customHeight="1">
      <c r="E247" s="259"/>
    </row>
    <row r="248" ht="15.75" customHeight="1">
      <c r="E248" s="259"/>
    </row>
    <row r="249" ht="15.75" customHeight="1">
      <c r="E249" s="259"/>
    </row>
    <row r="250" ht="15.75" customHeight="1">
      <c r="E250" s="259"/>
    </row>
    <row r="251" ht="15.75" customHeight="1">
      <c r="E251" s="259"/>
    </row>
    <row r="252" ht="15.75" customHeight="1">
      <c r="E252" s="259"/>
    </row>
    <row r="253" ht="15.75" customHeight="1">
      <c r="E253" s="259"/>
    </row>
    <row r="254" ht="15.75" customHeight="1">
      <c r="E254" s="259"/>
    </row>
    <row r="255" ht="15.75" customHeight="1">
      <c r="E255" s="259"/>
    </row>
    <row r="256" ht="15.75" customHeight="1">
      <c r="E256" s="259"/>
    </row>
    <row r="257" ht="15.75" customHeight="1">
      <c r="E257" s="259"/>
    </row>
    <row r="258" ht="15.75" customHeight="1">
      <c r="E258" s="259"/>
    </row>
    <row r="259" ht="15.75" customHeight="1">
      <c r="E259" s="259"/>
    </row>
    <row r="260" ht="15.75" customHeight="1">
      <c r="E260" s="259"/>
    </row>
    <row r="261" ht="15.75" customHeight="1">
      <c r="E261" s="259"/>
    </row>
    <row r="262" ht="15.75" customHeight="1">
      <c r="E262" s="259"/>
    </row>
    <row r="263" ht="15.75" customHeight="1">
      <c r="E263" s="259"/>
    </row>
    <row r="264" ht="15.75" customHeight="1">
      <c r="E264" s="259"/>
    </row>
    <row r="265" ht="15.75" customHeight="1">
      <c r="E265" s="259"/>
    </row>
    <row r="266" ht="15.75" customHeight="1">
      <c r="E266" s="259"/>
    </row>
    <row r="267" ht="15.75" customHeight="1">
      <c r="E267" s="259"/>
    </row>
    <row r="268" ht="15.75" customHeight="1">
      <c r="E268" s="259"/>
    </row>
    <row r="269" ht="15.75" customHeight="1">
      <c r="E269" s="259"/>
    </row>
    <row r="270" ht="15.75" customHeight="1">
      <c r="E270" s="259"/>
    </row>
    <row r="271" ht="15.75" customHeight="1">
      <c r="E271" s="259"/>
    </row>
    <row r="272" ht="15.75" customHeight="1">
      <c r="E272" s="259"/>
    </row>
    <row r="273" ht="15.75" customHeight="1">
      <c r="E273" s="259"/>
    </row>
    <row r="274" ht="15.75" customHeight="1">
      <c r="E274" s="259"/>
    </row>
    <row r="275" ht="15.75" customHeight="1">
      <c r="E275" s="259"/>
    </row>
    <row r="276" ht="15.75" customHeight="1">
      <c r="E276" s="259"/>
    </row>
    <row r="277" ht="15.75" customHeight="1">
      <c r="E277" s="259"/>
    </row>
    <row r="278" ht="15.75" customHeight="1">
      <c r="E278" s="259"/>
    </row>
    <row r="279" ht="15.75" customHeight="1">
      <c r="E279" s="259"/>
    </row>
    <row r="280" ht="15.75" customHeight="1">
      <c r="E280" s="259"/>
    </row>
    <row r="281" ht="15.75" customHeight="1">
      <c r="E281" s="259"/>
    </row>
    <row r="282" ht="15.75" customHeight="1">
      <c r="E282" s="259"/>
    </row>
    <row r="283" ht="15.75" customHeight="1">
      <c r="E283" s="259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A1000">
    <cfRule type="expression" dxfId="1" priority="1">
      <formula>IF(SUMPRODUCT(--ISNUMBER(SEARCH(E3, A:A))) &gt; 0, "Present", "Missing")</formula>
    </cfRule>
  </conditionalFormatting>
  <conditionalFormatting sqref="C1:C1000">
    <cfRule type="containsText" dxfId="1" priority="2" operator="containsText" text="present">
      <formula>NOT(ISERROR(SEARCH(("present"),(C1))))</formula>
    </cfRule>
  </conditionalFormatting>
  <printOptions/>
  <pageMargins bottom="0.75" footer="0.0" header="0.0" left="0.7" right="0.7" top="0.75"/>
  <pageSetup orientation="landscape"/>
  <drawing r:id="rId1"/>
</worksheet>
</file>