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MR Accrual" sheetId="1" state="visible" r:id="rId1"/>
    <sheet name="FY 25-26-Accrual" sheetId="2" state="visible" r:id="rId2"/>
    <sheet name="Invoices" sheetId="3" state="visible" r:id="rId3"/>
    <sheet name="Invoice" sheetId="4" state="hidden" r:id="rId4"/>
    <sheet name="Apr Bill" sheetId="5" state="hidden" r:id="rId5"/>
    <sheet name="May Sales invoice" sheetId="6" state="hidden" r:id="rId6"/>
    <sheet name="DPCache_Bill (1)" sheetId="7" state="hidden" r:id="rId7"/>
    <sheet name="MR-AR" sheetId="8" state="visible" r:id="rId8"/>
    <sheet name="Active Subscriber" sheetId="9" state="visible" r:id="rId9"/>
    <sheet name="Pivot Days" sheetId="10" state="visible" r:id="rId10"/>
    <sheet name="Pivot Month" sheetId="11" state="visible" r:id="rId11"/>
    <sheet name="Addition" sheetId="12" state="visible" r:id="rId12"/>
    <sheet name="Deletions" sheetId="13" state="visible" r:id="rId13"/>
    <sheet name="Customer churnout" sheetId="14" state="visible" r:id="rId14"/>
  </sheets>
  <externalReferences>
    <externalReference r:id="rId16"/>
  </externalReferences>
  <definedNames>
    <definedName name="a" hidden="0" function="0" vbProcedure="0">#REF!</definedName>
    <definedName name="A.AP.010" hidden="0" function="0" vbProcedure="0">#REF!</definedName>
    <definedName name="A.AP.020" hidden="0" function="0" vbProcedure="0">#REF!</definedName>
    <definedName name="A.AP.030" hidden="0" function="0" vbProcedure="0">#REF!</definedName>
    <definedName name="A.AP.040" hidden="0" function="0" vbProcedure="0">#REF!</definedName>
    <definedName name="A.AP.050" hidden="0" function="0" vbProcedure="0">#REF!</definedName>
    <definedName name="A.AP.060" hidden="0" function="0" vbProcedure="0">#REF!</definedName>
    <definedName name="A.AP.070" hidden="0" function="0" vbProcedure="0">#REF!</definedName>
    <definedName name="A.AP.070.core.hrs" hidden="0" function="0" vbProcedure="0">#REF!</definedName>
    <definedName name="A.AP.070.opt.hrs" hidden="0" function="0" vbProcedure="0">#REF!</definedName>
    <definedName name="A.AP.080" hidden="0" function="0" vbProcedure="0">#REF!</definedName>
    <definedName name="A.BP.010" hidden="0" function="0" vbProcedure="0">#REF!</definedName>
    <definedName name="A.BP.020" hidden="0" function="0" vbProcedure="0">#REF!</definedName>
    <definedName name="A.BP.030" hidden="0" function="0" vbProcedure="0">#REF!</definedName>
    <definedName name="A.BP.040" hidden="0" function="0" vbProcedure="0">#REF!</definedName>
    <definedName name="A.BP.050" hidden="0" function="0" vbProcedure="0">#REF!</definedName>
    <definedName name="A.BP.060" hidden="0" function="0" vbProcedure="0">#REF!</definedName>
    <definedName name="A.BP.070" hidden="0" function="0" vbProcedure="0">#REF!</definedName>
    <definedName name="A.CV.010" hidden="0" function="0" vbProcedure="0">#REF!</definedName>
    <definedName name="A.DO.010" hidden="0" function="0" vbProcedure="0">#REF!</definedName>
    <definedName name="A.DO.020" hidden="0" function="0" vbProcedure="0">#REF!</definedName>
    <definedName name="A.DO.030" hidden="0" function="0" vbProcedure="0">#REF!</definedName>
    <definedName name="A.MD.010" hidden="0" function="0" vbProcedure="0">#REF!</definedName>
    <definedName name="A.PT.010" hidden="0" function="0" vbProcedure="0">#REF!</definedName>
    <definedName name="A.RD.010" hidden="0" function="0" vbProcedure="0">#REF!</definedName>
    <definedName name="A.RD.020" hidden="0" function="0" vbProcedure="0">#REF!</definedName>
    <definedName name="A.RD.020.hrs" hidden="0" function="0" vbProcedure="0">#REF!</definedName>
    <definedName name="A.TA.010" hidden="0" function="0" vbProcedure="0">#REF!</definedName>
    <definedName name="A.TA.020" hidden="0" function="0" vbProcedure="0">#REF!</definedName>
    <definedName name="A.TA.030" hidden="0" function="0" vbProcedure="0">#REF!</definedName>
    <definedName name="A.TE.010" hidden="0" function="0" vbProcedure="0">#REF!</definedName>
    <definedName name="A65536_4" hidden="0" function="0" vbProcedure="0">#REF!</definedName>
    <definedName name="A65537_4" hidden="0" function="0" vbProcedure="0">#REF!</definedName>
    <definedName name="a665536_4" hidden="0" function="0" vbProcedure="0">#REF!</definedName>
    <definedName name="aaa" hidden="0" function="0" vbProcedure="0">#REF!</definedName>
    <definedName name="aaasd" hidden="0" function="0" vbProcedure="0">#REF!</definedName>
    <definedName name="aartot" hidden="0" function="0" vbProcedure="0">#REF!</definedName>
    <definedName name="abc" hidden="0" function="0" vbProcedure="0">#REF!</definedName>
    <definedName name="abcd" hidden="0" function="0" vbProcedure="0">#REF!</definedName>
    <definedName name="acc" hidden="0" function="0" vbProcedure="0">#REF!</definedName>
    <definedName name="ACCOUNT" hidden="0" function="0" vbProcedure="0">#REF!</definedName>
    <definedName name="Accumulated_Dep___Building_improvement" hidden="0" function="0" vbProcedure="0">#REF!</definedName>
    <definedName name="acc_bal" hidden="0" function="0" vbProcedure="0">#REF!</definedName>
    <definedName name="ACK" hidden="0" function="0" vbProcedure="0">#REF!</definedName>
    <definedName name="ActiveBldgIDNumbers" hidden="0" function="0" vbProcedure="0">#REF!</definedName>
    <definedName name="Actual_Rate" hidden="0" function="0" vbProcedure="0">#REF!</definedName>
    <definedName name="adc" hidden="0" function="0" vbProcedure="0">#REF!</definedName>
    <definedName name="additions_companies_act" hidden="0" function="0" vbProcedure="0">#REF!</definedName>
    <definedName name="adf" hidden="0" function="0" vbProcedure="0">#REF!</definedName>
    <definedName name="admn_off" hidden="0" function="0" vbProcedure="0">#REF!</definedName>
    <definedName name="admn_site" hidden="0" function="0" vbProcedure="0">#REF!</definedName>
    <definedName name="adssdfad" hidden="0" function="0" vbProcedure="0">#REF!</definedName>
    <definedName name="adv" hidden="0" function="0" vbProcedure="0">#REF!</definedName>
    <definedName name="advancetax" hidden="0" function="0" vbProcedure="0">#REF!</definedName>
    <definedName name="aefdays" hidden="0" function="0" vbProcedure="0">#REF!</definedName>
    <definedName name="agskjdjpa" hidden="0" function="0" vbProcedure="0">#REF!</definedName>
    <definedName name="AHC" hidden="0" function="0" vbProcedure="0">#REF!</definedName>
    <definedName name="ahdfl" hidden="0" function="0" vbProcedure="0">#REF!</definedName>
    <definedName name="aja" hidden="0" function="0" vbProcedure="0">#REF!</definedName>
    <definedName name="ajaa" hidden="0" function="0" vbProcedure="0">#REF!</definedName>
    <definedName name="ajj" hidden="0" function="0" vbProcedure="0">#REF!</definedName>
    <definedName name="ajj_13" hidden="0" function="0" vbProcedure="0">#REF!</definedName>
    <definedName name="ALL" hidden="0" function="0" vbProcedure="0">#REF!</definedName>
    <definedName name="Alpha_Holdings___Infrastructures_Pvt_Ltd" hidden="0" function="0" vbProcedure="0">#REF!</definedName>
    <definedName name="alsrtot" hidden="0" function="0" vbProcedure="0">#REF!</definedName>
    <definedName name="amgperc" hidden="0" function="0" vbProcedure="0">#REF!</definedName>
    <definedName name="Amount__USD" hidden="0" function="0" vbProcedure="0">#REF!</definedName>
    <definedName name="Amtek" hidden="0" function="0" vbProcedure="0">#REF!</definedName>
    <definedName name="AMWC" hidden="0" function="0" vbProcedure="0">#REF!</definedName>
    <definedName name="anabp" hidden="0" function="0" vbProcedure="0">#REF!</definedName>
    <definedName name="anabr" hidden="0" function="0" vbProcedure="0">#REF!</definedName>
    <definedName name="anacv" hidden="0" function="0" vbProcedure="0">#REF!</definedName>
    <definedName name="anado" hidden="0" function="0" vbProcedure="0">#REF!</definedName>
    <definedName name="anamd" hidden="0" function="0" vbProcedure="0">#REF!</definedName>
    <definedName name="anapm" hidden="0" function="0" vbProcedure="0">#REF!</definedName>
    <definedName name="anapt" hidden="0" function="0" vbProcedure="0">#REF!</definedName>
    <definedName name="anard" hidden="0" function="0" vbProcedure="0">#REF!</definedName>
    <definedName name="anata" hidden="0" function="0" vbProcedure="0">#REF!</definedName>
    <definedName name="anate" hidden="0" function="0" vbProcedure="0">#REF!</definedName>
    <definedName name="anatr" hidden="0" function="0" vbProcedure="0">#REF!</definedName>
    <definedName name="ANJU_SHENOY" hidden="0" function="0" vbProcedure="0">#REF!</definedName>
    <definedName name="anna" hidden="0" function="0" vbProcedure="0">#REF!</definedName>
    <definedName name="AnnAvail" hidden="0" function="0" vbProcedure="0">#REF!</definedName>
    <definedName name="AnnCapacity" hidden="0" function="0" vbProcedure="0">#REF!</definedName>
    <definedName name="ANNEX" hidden="0" function="0" vbProcedure="0">#REF!</definedName>
    <definedName name="ANNEXA" hidden="0" function="0" vbProcedure="0">#REF!</definedName>
    <definedName name="Annexure" hidden="0" function="0" vbProcedure="0">#REF!</definedName>
    <definedName name="ANNEXURE1" hidden="0" function="0" vbProcedure="0">#REF!</definedName>
    <definedName name="Annexure2" hidden="0" function="0" vbProcedure="0">#REF!</definedName>
    <definedName name="AnnexurePART1" hidden="0" function="0" vbProcedure="0">#REF!</definedName>
    <definedName name="annexure_1" hidden="0" function="0" vbProcedure="0">#REF!</definedName>
    <definedName name="AnnII" hidden="0" function="0" vbProcedure="0">#REF!</definedName>
    <definedName name="AnnIIIa" hidden="0" function="0" vbProcedure="0">#REF!</definedName>
    <definedName name="AnnIIIb" hidden="0" function="0" vbProcedure="0">#REF!</definedName>
    <definedName name="AnnIIIc" hidden="0" function="0" vbProcedure="0">#REF!</definedName>
    <definedName name="AnnVIIa" hidden="0" function="0" vbProcedure="0">#REF!</definedName>
    <definedName name="AnnVIII" hidden="0" function="0" vbProcedure="0">#REF!</definedName>
    <definedName name="AnnX" hidden="0" function="0" vbProcedure="0">#REF!</definedName>
    <definedName name="AnnXI" hidden="0" function="0" vbProcedure="0">#REF!</definedName>
    <definedName name="AnnXIc" hidden="0" function="0" vbProcedure="0">#REF!</definedName>
    <definedName name="AnnXIIb" hidden="0" function="0" vbProcedure="0">#REF!</definedName>
    <definedName name="AnnXIIc" hidden="0" function="0" vbProcedure="0">#REF!</definedName>
    <definedName name="AnnXIV" hidden="0" function="0" vbProcedure="0">#REF!</definedName>
    <definedName name="AnnXV" hidden="0" function="0" vbProcedure="0">#REF!</definedName>
    <definedName name="anscount" hidden="1" function="0" vbProcedure="0">6</definedName>
    <definedName name="Appendix" hidden="0" function="0" vbProcedure="0">#REF!</definedName>
    <definedName name="apperc" hidden="0" function="0" vbProcedure="0">#REF!</definedName>
    <definedName name="APRDATA?" hidden="0" function="0" vbProcedure="0">#REF!</definedName>
    <definedName name="APRIL" hidden="0" function="0" vbProcedure="0">#REF!</definedName>
    <definedName name="apsperc" hidden="0" function="0" vbProcedure="0">#REF!</definedName>
    <definedName name="APSUMMARY" hidden="0" function="0" vbProcedure="0">#REF!</definedName>
    <definedName name="ARA_Threshold" hidden="0" function="0" vbProcedure="0">#REF!</definedName>
    <definedName name="Area" hidden="0" function="0" vbProcedure="0">#REF!</definedName>
    <definedName name="ARP" hidden="0" function="0" vbProcedure="0">#REF!</definedName>
    <definedName name="arperc" hidden="0" function="0" vbProcedure="0">#REF!</definedName>
    <definedName name="ARP_Threshold" hidden="0" function="0" vbProcedure="0">#REF!</definedName>
    <definedName name="array" hidden="0" function="0" vbProcedure="0">#REF!</definedName>
    <definedName name="arvindmills" hidden="0" function="0" vbProcedure="0">#REF!</definedName>
    <definedName name="ar_thre" hidden="0" function="0" vbProcedure="0">#REF!</definedName>
    <definedName name="as" hidden="0" function="0" vbProcedure="0">#REF!</definedName>
    <definedName name="AS2StaticLS" hidden="0" function="0" vbProcedure="0">#REF!</definedName>
    <definedName name="AS2TickmarkLS" hidden="0" function="0" vbProcedure="0">#REF!</definedName>
    <definedName name="asaaaa" hidden="0" function="0" vbProcedure="0">#REF!</definedName>
    <definedName name="asaaaaaa" hidden="0" function="0" vbProcedure="0">#REF!</definedName>
    <definedName name="asas" hidden="0" function="0" vbProcedure="0">#REF!</definedName>
    <definedName name="ASD" hidden="0" function="0" vbProcedure="0">#REF!</definedName>
    <definedName name="ASDAS" hidden="1" function="0" vbProcedure="0">#REF!</definedName>
    <definedName name="asdfds" hidden="0" function="0" vbProcedure="0">#REF!</definedName>
    <definedName name="asdfdssa" hidden="0" function="0" vbProcedure="0">#REF!</definedName>
    <definedName name="ASIA_PLASTIC_in_KUSD" hidden="0" function="0" vbProcedure="0">#REF!</definedName>
    <definedName name="ASIA_PLASTIC_in_KUSD_4" hidden="0" function="0" vbProcedure="0">#REF!</definedName>
    <definedName name="ASKRJCOSTS" hidden="0" function="0" vbProcedure="0">#REF!</definedName>
    <definedName name="asrtot" hidden="0" function="0" vbProcedure="0">#REF!</definedName>
    <definedName name="assd" hidden="0" function="0" vbProcedure="0">#REF!</definedName>
    <definedName name="assprtot" hidden="0" function="0" vbProcedure="0">#REF!</definedName>
    <definedName name="asssdsd" hidden="0" function="0" vbProcedure="0">#REF!</definedName>
    <definedName name="AsstYr_13" hidden="0" function="0" vbProcedure="0">#REF!</definedName>
    <definedName name="AsstYr_4" hidden="0" function="0" vbProcedure="0">#REF!</definedName>
    <definedName name="AUGDATA?" hidden="0" function="0" vbProcedure="0">#REF!</definedName>
    <definedName name="Augopex" hidden="0" function="0" vbProcedure="0">#REF!</definedName>
    <definedName name="AUGUST" hidden="0" function="0" vbProcedure="0">#REF!</definedName>
    <definedName name="AUST" hidden="0" function="0" vbProcedure="0">#REF!</definedName>
    <definedName name="AUSTRALIA" hidden="0" function="0" vbProcedure="0">#REF!</definedName>
    <definedName name="AUSTRIA" hidden="0" function="0" vbProcedure="0">#REF!</definedName>
    <definedName name="AUTOPRINT_1" hidden="0" function="0" vbProcedure="0">#REF!</definedName>
    <definedName name="AUTOPRINT_2" hidden="0" function="0" vbProcedure="0">#REF!</definedName>
    <definedName name="AVGRATE1" hidden="0" function="0" vbProcedure="0">#REF!</definedName>
    <definedName name="axedoc" hidden="0" function="0" vbProcedure="0">#REF!</definedName>
    <definedName name="axedoc_4" hidden="0" function="0" vbProcedure="0">#REF!</definedName>
    <definedName name="A_Rodricks" hidden="0" function="0" vbProcedure="0">#REF!</definedName>
    <definedName name="B" hidden="0" function="0" vbProcedure="0">#REF!</definedName>
    <definedName name="B.AP.090" hidden="0" function="0" vbProcedure="0">#REF!</definedName>
    <definedName name="B.AP.090.hrs" hidden="0" function="0" vbProcedure="0">#REF!</definedName>
    <definedName name="B.BP.080" hidden="0" function="0" vbProcedure="0">#REF!</definedName>
    <definedName name="B.BP.080.hrs" hidden="0" function="0" vbProcedure="0">#REF!</definedName>
    <definedName name="B.BR.010" hidden="0" function="0" vbProcedure="0">#REF!</definedName>
    <definedName name="B.BR.020" hidden="0" function="0" vbProcedure="0">#REF!</definedName>
    <definedName name="B.BR.030" hidden="0" function="0" vbProcedure="0">#REF!</definedName>
    <definedName name="B.BR.030.hrs" hidden="0" function="0" vbProcedure="0">#REF!</definedName>
    <definedName name="B.BR.040" hidden="0" function="0" vbProcedure="0">#REF!</definedName>
    <definedName name="B.BR.050" hidden="0" function="0" vbProcedure="0">#REF!</definedName>
    <definedName name="B.BR.060" hidden="0" function="0" vbProcedure="0">#REF!</definedName>
    <definedName name="B.BR.070" hidden="0" function="0" vbProcedure="0">#REF!</definedName>
    <definedName name="B.BR.080" hidden="0" function="0" vbProcedure="0">#REF!</definedName>
    <definedName name="B.BR.090" hidden="0" function="0" vbProcedure="0">#REF!</definedName>
    <definedName name="B.DO.040" hidden="0" function="0" vbProcedure="0">#REF!</definedName>
    <definedName name="B.DO.050" hidden="0" function="0" vbProcedure="0">#REF!</definedName>
    <definedName name="B.MD.020" hidden="0" function="0" vbProcedure="0">#REF!</definedName>
    <definedName name="B.PM.010" hidden="0" function="0" vbProcedure="0">#REF!</definedName>
    <definedName name="B.PT.020" hidden="0" function="0" vbProcedure="0">#REF!</definedName>
    <definedName name="B.PT.030" hidden="0" function="0" vbProcedure="0">#REF!</definedName>
    <definedName name="B.RD.030" hidden="0" function="0" vbProcedure="0">#REF!</definedName>
    <definedName name="B.RD.040" hidden="0" function="0" vbProcedure="0">#REF!</definedName>
    <definedName name="B.RD.050" hidden="0" function="0" vbProcedure="0">#REF!</definedName>
    <definedName name="B.RD.050.hrs" hidden="0" function="0" vbProcedure="0">#REF!</definedName>
    <definedName name="B.RD.060" hidden="0" function="0" vbProcedure="0">#REF!</definedName>
    <definedName name="B.RD.070" hidden="0" function="0" vbProcedure="0">#REF!</definedName>
    <definedName name="B.RD.080" hidden="0" function="0" vbProcedure="0">#REF!</definedName>
    <definedName name="B.TA.040" hidden="0" function="0" vbProcedure="0">#REF!</definedName>
    <definedName name="B.TA.050" hidden="0" function="0" vbProcedure="0">#REF!</definedName>
    <definedName name="B.TA.060" hidden="0" function="0" vbProcedure="0">#REF!</definedName>
    <definedName name="B.TA.070" hidden="0" function="0" vbProcedure="0">#REF!</definedName>
    <definedName name="BABL" hidden="0" function="0" vbProcedure="0">#REF!</definedName>
    <definedName name="BALANCEP" hidden="0" function="0" vbProcedure="0">#REF!</definedName>
    <definedName name="balancesheet" hidden="0" function="0" vbProcedure="0">#REF!</definedName>
    <definedName name="ballapurindus" hidden="0" function="0" vbProcedure="0">#REF!</definedName>
    <definedName name="bal_sheet" hidden="0" function="0" vbProcedure="0">#REF!</definedName>
    <definedName name="bankofbaroda" hidden="0" function="0" vbProcedure="0">#REF!</definedName>
    <definedName name="bankofindia" hidden="0" function="0" vbProcedure="0">#REF!</definedName>
    <definedName name="bankofrajas" hidden="0" function="0" vbProcedure="0">#REF!</definedName>
    <definedName name="Banks" hidden="0" function="0" vbProcedure="0">#REF!</definedName>
    <definedName name="bartot" hidden="0" function="0" vbProcedure="0">#REF!</definedName>
    <definedName name="BASE_YEAR" hidden="0" function="0" vbProcedure="0">#REF!</definedName>
    <definedName name="BASIC" hidden="0" function="0" vbProcedure="0">#REF!</definedName>
    <definedName name="BASIS_YEAR" hidden="0" function="0" vbProcedure="0">#REF!</definedName>
    <definedName name="bayerabs" hidden="0" function="0" vbProcedure="0">#REF!</definedName>
    <definedName name="bb" hidden="0" function="0" vbProcedure="0">#REF!</definedName>
    <definedName name="BCCODE" hidden="0" function="0" vbProcedure="0">#REF!</definedName>
    <definedName name="BCCODE1" hidden="0" function="0" vbProcedure="0">#REF!</definedName>
    <definedName name="BCCODE2005" hidden="0" function="0" vbProcedure="0">#REF!</definedName>
    <definedName name="BCCODE2006" hidden="0" function="0" vbProcedure="0">#REF!</definedName>
    <definedName name="BCCODE2010" hidden="0" function="0" vbProcedure="0">#REF!</definedName>
    <definedName name="BCCREDIT" hidden="0" function="0" vbProcedure="0">#REF!</definedName>
    <definedName name="BCCREDIT1" hidden="0" function="0" vbProcedure="0">#REF!</definedName>
    <definedName name="BCCREDIT2005" hidden="0" function="0" vbProcedure="0">#REF!</definedName>
    <definedName name="BCCREDIT2006" hidden="0" function="0" vbProcedure="0">#REF!</definedName>
    <definedName name="BCDEBIT" hidden="0" function="0" vbProcedure="0">#REF!</definedName>
    <definedName name="BCDEBIT1" hidden="0" function="0" vbProcedure="0">#REF!</definedName>
    <definedName name="BCDEBIT2005" hidden="0" function="0" vbProcedure="0">#REF!</definedName>
    <definedName name="BCDEBIT2006" hidden="0" function="0" vbProcedure="0">#REF!</definedName>
    <definedName name="bdays" hidden="0" function="0" vbProcedure="0">#REF!</definedName>
    <definedName name="befdays" hidden="0" function="0" vbProcedure="0">#REF!</definedName>
    <definedName name="BEGIN" hidden="0" function="0" vbProcedure="0">#REF!</definedName>
    <definedName name="Beurteilung" hidden="0" function="0" vbProcedure="0">#REF!</definedName>
    <definedName name="BGXCBCVBCVB" hidden="0" function="0" vbProcedure="0">#REF!</definedName>
    <definedName name="bhartiship" hidden="0" function="0" vbProcedure="0">#REF!</definedName>
    <definedName name="bhel" hidden="0" function="0" vbProcedure="0">#REF!</definedName>
    <definedName name="bill" hidden="0" function="0" vbProcedure="0">#REF!</definedName>
    <definedName name="BILLING_RATE" hidden="0" function="0" vbProcedure="0">#REF!</definedName>
    <definedName name="BillMkt1" hidden="0" function="0" vbProcedure="0">#REF!</definedName>
    <definedName name="BillMkt10" hidden="0" function="0" vbProcedure="0">#REF!</definedName>
    <definedName name="BillMkt10_13" hidden="0" function="0" vbProcedure="0">#REF!</definedName>
    <definedName name="BillMkt10_4" hidden="0" function="0" vbProcedure="0">#REF!</definedName>
    <definedName name="BillMkt10_7" hidden="0" function="0" vbProcedure="0">#REF!</definedName>
    <definedName name="BillMkt11" hidden="0" function="0" vbProcedure="0">#REF!</definedName>
    <definedName name="BillMkt11_13" hidden="0" function="0" vbProcedure="0">#REF!</definedName>
    <definedName name="BillMkt11_4" hidden="0" function="0" vbProcedure="0">#REF!</definedName>
    <definedName name="BillMkt11_7" hidden="0" function="0" vbProcedure="0">#REF!</definedName>
    <definedName name="BillMkt1_13" hidden="0" function="0" vbProcedure="0">#REF!</definedName>
    <definedName name="BillMkt1_4" hidden="0" function="0" vbProcedure="0">#REF!</definedName>
    <definedName name="BillMkt1_7" hidden="0" function="0" vbProcedure="0">#REF!</definedName>
    <definedName name="BillMkt2" hidden="0" function="0" vbProcedure="0">#REF!</definedName>
    <definedName name="BillMkt2_13" hidden="0" function="0" vbProcedure="0">#REF!</definedName>
    <definedName name="BillMkt2_4" hidden="0" function="0" vbProcedure="0">#REF!</definedName>
    <definedName name="BillMkt2_7" hidden="0" function="0" vbProcedure="0">#REF!</definedName>
    <definedName name="BillMkt3" hidden="0" function="0" vbProcedure="0">#REF!</definedName>
    <definedName name="BillMkt3_13" hidden="0" function="0" vbProcedure="0">#REF!</definedName>
    <definedName name="BillMkt3_4" hidden="0" function="0" vbProcedure="0">#REF!</definedName>
    <definedName name="BillMkt3_7" hidden="0" function="0" vbProcedure="0">#REF!</definedName>
    <definedName name="BillMkt4" hidden="0" function="0" vbProcedure="0">#REF!</definedName>
    <definedName name="BillMkt4_13" hidden="0" function="0" vbProcedure="0">#REF!</definedName>
    <definedName name="BillMkt4_4" hidden="0" function="0" vbProcedure="0">#REF!</definedName>
    <definedName name="BillMkt4_7" hidden="0" function="0" vbProcedure="0">#REF!</definedName>
    <definedName name="BillMkt5" hidden="0" function="0" vbProcedure="0">#REF!</definedName>
    <definedName name="BillMkt5_13" hidden="0" function="0" vbProcedure="0">#REF!</definedName>
    <definedName name="BillMkt5_4" hidden="0" function="0" vbProcedure="0">#REF!</definedName>
    <definedName name="BillMkt5_7" hidden="0" function="0" vbProcedure="0">#REF!</definedName>
    <definedName name="BillMkt6" hidden="0" function="0" vbProcedure="0">#REF!</definedName>
    <definedName name="BillMkt6_13" hidden="0" function="0" vbProcedure="0">#REF!</definedName>
    <definedName name="BillMkt6_4" hidden="0" function="0" vbProcedure="0">#REF!</definedName>
    <definedName name="BillMkt6_7" hidden="0" function="0" vbProcedure="0">#REF!</definedName>
    <definedName name="BillMkt7" hidden="0" function="0" vbProcedure="0">#REF!</definedName>
    <definedName name="BillMkt7_13" hidden="0" function="0" vbProcedure="0">#REF!</definedName>
    <definedName name="BillMkt7_4" hidden="0" function="0" vbProcedure="0">#REF!</definedName>
    <definedName name="BillMkt7_7" hidden="0" function="0" vbProcedure="0">#REF!</definedName>
    <definedName name="BillMkt8" hidden="0" function="0" vbProcedure="0">#REF!</definedName>
    <definedName name="BillMkt8_13" hidden="0" function="0" vbProcedure="0">#REF!</definedName>
    <definedName name="BillMkt8_4" hidden="0" function="0" vbProcedure="0">#REF!</definedName>
    <definedName name="BillMkt8_7" hidden="0" function="0" vbProcedure="0">#REF!</definedName>
    <definedName name="BillMkt9" hidden="0" function="0" vbProcedure="0">#REF!</definedName>
    <definedName name="BillMkt9_13" hidden="0" function="0" vbProcedure="0">#REF!</definedName>
    <definedName name="BillMkt9_4" hidden="0" function="0" vbProcedure="0">#REF!</definedName>
    <definedName name="BillMkt9_7" hidden="0" function="0" vbProcedure="0">#REF!</definedName>
    <definedName name="BillTtl" hidden="0" function="0" vbProcedure="0">#REF!</definedName>
    <definedName name="BillTtl_13" hidden="0" function="0" vbProcedure="0">#REF!</definedName>
    <definedName name="BillTtl_4" hidden="0" function="0" vbProcedure="0">#REF!</definedName>
    <definedName name="BillTtl_7" hidden="0" function="0" vbProcedure="0">#REF!</definedName>
    <definedName name="bldbp" hidden="0" function="0" vbProcedure="0">#REF!</definedName>
    <definedName name="bldbr" hidden="0" function="0" vbProcedure="0">#REF!</definedName>
    <definedName name="bldcv" hidden="0" function="0" vbProcedure="0">#REF!</definedName>
    <definedName name="blddo" hidden="0" function="0" vbProcedure="0">#REF!</definedName>
    <definedName name="bldmd" hidden="0" function="0" vbProcedure="0">#REF!</definedName>
    <definedName name="bldpm" hidden="0" function="0" vbProcedure="0">#REF!</definedName>
    <definedName name="bldpt" hidden="0" function="0" vbProcedure="0">#REF!</definedName>
    <definedName name="bldrd" hidden="0" function="0" vbProcedure="0">#REF!</definedName>
    <definedName name="bldta" hidden="0" function="0" vbProcedure="0">#REF!</definedName>
    <definedName name="bldte" hidden="0" function="0" vbProcedure="0">#REF!</definedName>
    <definedName name="bldtr" hidden="0" function="0" vbProcedure="0">#REF!</definedName>
    <definedName name="blmrtot" hidden="0" function="0" vbProcedure="0">#REF!</definedName>
    <definedName name="blog" hidden="0" function="0" vbProcedure="0">#REF!</definedName>
    <definedName name="BLR80IA" hidden="0" function="0" vbProcedure="0">#REF!</definedName>
    <definedName name="BlrChemCost" hidden="0" function="0" vbProcedure="0">#REF!</definedName>
    <definedName name="bmprtot" hidden="0" function="0" vbProcedure="0">#REF!</definedName>
    <definedName name="bmrtot" hidden="0" function="0" vbProcedure="0">#REF!</definedName>
    <definedName name="bn" hidden="0" function="0" vbProcedure="0">#REF!</definedName>
    <definedName name="BOBAY_CONVEYAN" hidden="0" function="0" vbProcedure="0">#REF!</definedName>
    <definedName name="BOB_P_M" hidden="0" function="0" vbProcedure="0">#REF!</definedName>
    <definedName name="BOD_CEIP" hidden="0" function="0" vbProcedure="0">#REF!</definedName>
    <definedName name="BOD_OEQP" hidden="0" function="0" vbProcedure="0">#REF!</definedName>
    <definedName name="boi" hidden="0" function="0" vbProcedure="0">#REF!</definedName>
    <definedName name="bomperc" hidden="0" function="0" vbProcedure="0">#REF!</definedName>
    <definedName name="BonusFee" hidden="0" function="0" vbProcedure="0">#REF!</definedName>
    <definedName name="Bonus_13" hidden="0" function="0" vbProcedure="0">#REF!</definedName>
    <definedName name="Bonus_4" hidden="0" function="0" vbProcedure="0">#REF!</definedName>
    <definedName name="boxes" hidden="0" function="0" vbProcedure="0">#REF!</definedName>
    <definedName name="bpptot" hidden="0" function="0" vbProcedure="0">#REF!</definedName>
    <definedName name="bpr" hidden="0" function="0" vbProcedure="0">#REF!</definedName>
    <definedName name="BRanch__Sales___Aug" hidden="0" function="0" vbProcedure="0">#REF!</definedName>
    <definedName name="brptot" hidden="0" function="0" vbProcedure="0">#REF!</definedName>
    <definedName name="BRS_ADJ_31399" hidden="0" function="0" vbProcedure="0">#REF!</definedName>
    <definedName name="BS" hidden="0" function="0" vbProcedure="0">#REF!</definedName>
    <definedName name="BSDateSF_13" hidden="0" function="0" vbProcedure="0">#REF!</definedName>
    <definedName name="BSDateSF_4" hidden="0" function="0" vbProcedure="0">#REF!</definedName>
    <definedName name="BSGROUP" hidden="0" function="0" vbProcedure="0">#REF!</definedName>
    <definedName name="BSK" hidden="0" function="0" vbProcedure="0">#REF!</definedName>
    <definedName name="BSM" hidden="0" function="0" vbProcedure="0">#REF!</definedName>
    <definedName name="BS_CHK_THB" hidden="0" function="0" vbProcedure="0">#REF!</definedName>
    <definedName name="BS_CHK_USD" hidden="0" function="0" vbProcedure="0">#REF!</definedName>
    <definedName name="BUD2_DETAILS" hidden="0" function="0" vbProcedure="0">#REF!</definedName>
    <definedName name="BUD2_GL" hidden="0" function="0" vbProcedure="0">#REF!</definedName>
    <definedName name="BUDGET_YEAR" hidden="0" function="0" vbProcedure="0">#REF!</definedName>
    <definedName name="BUIL" hidden="0" function="0" vbProcedure="0">#REF!</definedName>
    <definedName name="BuiltIn_Print_Area" hidden="0" function="0" vbProcedure="0">#REF!</definedName>
    <definedName name="BuiltIn_Print_Area_13" hidden="0" function="0" vbProcedure="0">#REF!</definedName>
    <definedName name="BuiltIn_Print_Area_4" hidden="0" function="0" vbProcedure="0">#REF!</definedName>
    <definedName name="BuiltIn_Print_Area___0" hidden="0" function="0" vbProcedure="0">#REF!</definedName>
    <definedName name="BuiltIn_Print_Area___0_13" hidden="0" function="0" vbProcedure="0">#REF!</definedName>
    <definedName name="BuiltIn_Print_Area___0_4" hidden="0" function="0" vbProcedure="0">#REF!</definedName>
    <definedName name="BuiltIn_Print_Area___0___0" hidden="0" function="0" vbProcedure="0">#REF!</definedName>
    <definedName name="BuiltIn_Print_Area___0___0_13" hidden="0" function="0" vbProcedure="0">#REF!</definedName>
    <definedName name="BuiltIn_Print_Area___0___0_4" hidden="0" function="0" vbProcedure="0">#REF!</definedName>
    <definedName name="BuiltIn_Print_Area___0___0___0" hidden="0" function="0" vbProcedure="0">#REF!</definedName>
    <definedName name="BuiltIn_Print_Area___0___0___0_13" hidden="0" function="0" vbProcedure="0">#REF!</definedName>
    <definedName name="BuiltIn_Print_Area___0___0___0_4" hidden="0" function="0" vbProcedure="0">#REF!</definedName>
    <definedName name="BuiltIn_Print_Area___0___0___0___0" hidden="0" function="0" vbProcedure="0">#REF!</definedName>
    <definedName name="BuiltIn_Print_Area___0___0___0___0_13" hidden="0" function="0" vbProcedure="0">#REF!</definedName>
    <definedName name="BuiltIn_Print_Area___0___0___0___0_4" hidden="0" function="0" vbProcedure="0">#REF!</definedName>
    <definedName name="BuiltIn_Print_Area___0___0___0___0___0" hidden="0" function="0" vbProcedure="0">#REF!</definedName>
    <definedName name="BuiltIn_Print_Area___0___0___0___0___0___0" hidden="0" function="0" vbProcedure="0">#REF!</definedName>
    <definedName name="BuiltIn_Print_Area___0___0___0___0___0___0_13" hidden="0" function="0" vbProcedure="0">#REF!</definedName>
    <definedName name="BuiltIn_Print_Area___0___0___0___0___0___0_4" hidden="0" function="0" vbProcedure="0">#REF!</definedName>
    <definedName name="BuiltIn_Print_Area___0___0___0___0___0___0___0" hidden="0" function="0" vbProcedure="0">#REF!</definedName>
    <definedName name="BuiltIn_Print_Area___0___0___0___0___0___0___0_13" hidden="0" function="0" vbProcedure="0">#REF!</definedName>
    <definedName name="BuiltIn_Print_Area___0___0___0___0___0___0___0_4" hidden="0" function="0" vbProcedure="0">#REF!</definedName>
    <definedName name="BuiltIn_Print_Area___0___0___0___0___0___0___0___0" hidden="0" function="0" vbProcedure="0">#REF!</definedName>
    <definedName name="BuiltIn_Print_Area___0___0___0___0___0___0___0___0_13" hidden="0" function="0" vbProcedure="0">#REF!</definedName>
    <definedName name="BuiltIn_Print_Area___0___0___0___0___0___0___0___0_4" hidden="0" function="0" vbProcedure="0">#REF!</definedName>
    <definedName name="BuiltIn_Print_Titles" hidden="0" function="0" vbProcedure="0">#REF!</definedName>
    <definedName name="BuiltIn_Print_Titles___0" hidden="0" function="0" vbProcedure="0">#REF!</definedName>
    <definedName name="BuiltIn_Print_Titles___0_13" hidden="0" function="0" vbProcedure="0">#REF!</definedName>
    <definedName name="BuiltIn_Print_Titles___0_4" hidden="0" function="0" vbProcedure="0">#REF!</definedName>
    <definedName name="by" hidden="0" function="0" vbProcedure="0">#REF!</definedName>
    <definedName name="B_BALKRISHANAN" hidden="0" function="0" vbProcedure="0">#REF!</definedName>
    <definedName name="C.AP.100" hidden="0" function="0" vbProcedure="0">#REF!</definedName>
    <definedName name="C.AP.110" hidden="0" function="0" vbProcedure="0">#REF!</definedName>
    <definedName name="C.AP.120" hidden="0" function="0" vbProcedure="0">#REF!</definedName>
    <definedName name="C.AP.130" hidden="0" function="0" vbProcedure="0">#REF!</definedName>
    <definedName name="C.AP.140" hidden="0" function="0" vbProcedure="0">#REF!</definedName>
    <definedName name="C.AP.140.core.hrs" hidden="0" function="0" vbProcedure="0">#REF!</definedName>
    <definedName name="C.AP.140.opt.hrs" hidden="0" function="0" vbProcedure="0">#REF!</definedName>
    <definedName name="C.BP.090" hidden="0" function="0" vbProcedure="0">#REF!</definedName>
    <definedName name="C.BR.100" hidden="0" function="0" vbProcedure="0">#REF!</definedName>
    <definedName name="C.BR.110" hidden="0" function="0" vbProcedure="0">#REF!</definedName>
    <definedName name="C.CV.020" hidden="0" function="0" vbProcedure="0">#REF!</definedName>
    <definedName name="C.CV.030" hidden="0" function="0" vbProcedure="0">#REF!</definedName>
    <definedName name="C.CV.040" hidden="0" function="0" vbProcedure="0">#REF!</definedName>
    <definedName name="C.CV.050" hidden="0" function="0" vbProcedure="0">#REF!</definedName>
    <definedName name="C.CV.060" hidden="0" function="0" vbProcedure="0">#REF!</definedName>
    <definedName name="C.CV.070" hidden="0" function="0" vbProcedure="0">#REF!</definedName>
    <definedName name="C.MD.040" hidden="0" function="0" vbProcedure="0">#REF!</definedName>
    <definedName name="C.MD.050" hidden="0" function="0" vbProcedure="0">#REF!</definedName>
    <definedName name="C.MD.050.hrs" hidden="0" function="0" vbProcedure="0">#REF!</definedName>
    <definedName name="C.MD.060" hidden="0" function="0" vbProcedure="0">#REF!</definedName>
    <definedName name="C.MD.060.hrs" hidden="0" function="0" vbProcedure="0">#REF!</definedName>
    <definedName name="C.MD.070" hidden="0" function="0" vbProcedure="0">#REF!</definedName>
    <definedName name="C.MD.070.hrs" hidden="0" function="0" vbProcedure="0">#REF!</definedName>
    <definedName name="C.MD.080" hidden="0" function="0" vbProcedure="0">#REF!</definedName>
    <definedName name="C.PT.040" hidden="0" function="0" vbProcedure="0">#REF!</definedName>
    <definedName name="C.PT.050" hidden="0" function="0" vbProcedure="0">#REF!</definedName>
    <definedName name="C.PT.060" hidden="0" function="0" vbProcedure="0">#REF!</definedName>
    <definedName name="C.PT.070" hidden="0" function="0" vbProcedure="0">#REF!</definedName>
    <definedName name="C.TA.080" hidden="0" function="0" vbProcedure="0">#REF!</definedName>
    <definedName name="C.TE.020" hidden="0" function="0" vbProcedure="0">#REF!</definedName>
    <definedName name="C.TE.030" hidden="0" function="0" vbProcedure="0">#REF!</definedName>
    <definedName name="C.TE.040" hidden="0" function="0" vbProcedure="0">#REF!</definedName>
    <definedName name="C.TE.050" hidden="0" function="0" vbProcedure="0">#REF!</definedName>
    <definedName name="canarabank" hidden="0" function="0" vbProcedure="0">#REF!</definedName>
    <definedName name="caperc" hidden="0" function="0" vbProcedure="0">#REF!</definedName>
    <definedName name="capgains" hidden="0" function="0" vbProcedure="0">#REF!</definedName>
    <definedName name="capital" hidden="0" function="0" vbProcedure="0">#REF!</definedName>
    <definedName name="CapitalGains_exempt_PrintArea" hidden="0" function="0" vbProcedure="0">#REF!</definedName>
    <definedName name="CapitalGains_taxable_PrintArea" hidden="0" function="0" vbProcedure="0">#REF!</definedName>
    <definedName name="cars_comp" hidden="0" function="0" vbProcedure="0">#REF!</definedName>
    <definedName name="Case" hidden="0" function="0" vbProcedure="0">#REF!</definedName>
    <definedName name="CaseNo." hidden="0" function="0" vbProcedure="0">#REF!</definedName>
    <definedName name="Case_Result" hidden="0" function="0" vbProcedure="0">#REF!</definedName>
    <definedName name="CashflowMonth1Actuals" hidden="0" function="0" vbProcedure="0">#REF!</definedName>
    <definedName name="CashflowMonth1Budget" hidden="0" function="0" vbProcedure="0">#REF!</definedName>
    <definedName name="CashflowMonth2Actuals" hidden="0" function="0" vbProcedure="0">#REF!</definedName>
    <definedName name="CashflowMonth2Budget" hidden="0" function="0" vbProcedure="0">#REF!</definedName>
    <definedName name="CashflowMonth3Actuals" hidden="0" function="0" vbProcedure="0">#REF!</definedName>
    <definedName name="CashflowMonth3Budget" hidden="0" function="0" vbProcedure="0">#REF!</definedName>
    <definedName name="CashflowMonth4Actuals" hidden="0" function="0" vbProcedure="0">#REF!</definedName>
    <definedName name="CashflowMonth4Budget" hidden="0" function="0" vbProcedure="0">#REF!</definedName>
    <definedName name="CashflowYTDActuals" hidden="0" function="0" vbProcedure="0">#REF!</definedName>
    <definedName name="CashflowYTDBudget" hidden="0" function="0" vbProcedure="0">#REF!</definedName>
    <definedName name="CashProfitActuals" hidden="0" function="0" vbProcedure="0">#REF!</definedName>
    <definedName name="CashProfitBudget" hidden="0" function="0" vbProcedure="0">#REF!</definedName>
    <definedName name="CashProfitMonth1Actuals" hidden="0" function="0" vbProcedure="0">#REF!</definedName>
    <definedName name="CashProfitMonth1Budget" hidden="0" function="0" vbProcedure="0">#REF!</definedName>
    <definedName name="CashProfitMonth2Actuals" hidden="0" function="0" vbProcedure="0">#REF!</definedName>
    <definedName name="CashProfitMonth2Budget" hidden="0" function="0" vbProcedure="0">#REF!</definedName>
    <definedName name="CashProfitMonth3Actuals" hidden="0" function="0" vbProcedure="0">#REF!</definedName>
    <definedName name="CashProfitMonth3Budget" hidden="0" function="0" vbProcedure="0">#REF!</definedName>
    <definedName name="CashProfitMonth4Actuals" hidden="0" function="0" vbProcedure="0">#REF!</definedName>
    <definedName name="CashProfitMonth4Budget" hidden="0" function="0" vbProcedure="0">#REF!</definedName>
    <definedName name="CashProfitYTDActuals" hidden="0" function="0" vbProcedure="0">#REF!</definedName>
    <definedName name="CashProfitYTDBudget" hidden="0" function="0" vbProcedure="0">#REF!</definedName>
    <definedName name="cash_bank" hidden="0" function="0" vbProcedure="0">#REF!</definedName>
    <definedName name="CASH_CHK_THB" hidden="0" function="0" vbProcedure="0">#REF!</definedName>
    <definedName name="CASH_CHK_USD" hidden="0" function="0" vbProcedure="0">#REF!</definedName>
    <definedName name="CATEGORY_HEADER" hidden="0" function="0" vbProcedure="0">#REF!</definedName>
    <definedName name="cboBusiness" hidden="0" function="0" vbProcedure="0">#REF!</definedName>
    <definedName name="cbpio" hidden="0" function="0" vbProcedure="0">#REF!</definedName>
    <definedName name="ccac" hidden="0" function="0" vbProcedure="0">#REF!</definedName>
    <definedName name="ccpp" hidden="0" function="0" vbProcedure="0">#REF!</definedName>
    <definedName name="ccr" hidden="0" function="0" vbProcedure="0">#REF!</definedName>
    <definedName name="CCT" hidden="0" function="0" vbProcedure="0">#REF!</definedName>
    <definedName name="CCT_4" hidden="0" function="0" vbProcedure="0">#REF!</definedName>
    <definedName name="ccu" hidden="0" function="0" vbProcedure="0">#REF!</definedName>
    <definedName name="CDFinal" hidden="0" function="0" vbProcedure="0">#REF!</definedName>
    <definedName name="cdmhrs" hidden="0" function="0" vbProcedure="0">#REF!</definedName>
    <definedName name="CDPG1" hidden="0" function="0" vbProcedure="0">#REF!</definedName>
    <definedName name="CDPG5" hidden="0" function="0" vbProcedure="0">#REF!</definedName>
    <definedName name="cefdays" hidden="0" function="0" vbProcedure="0">#REF!</definedName>
    <definedName name="celltips_area" hidden="0" function="0" vbProcedure="0">#REF!</definedName>
    <definedName name="celltips_area_4" hidden="0" function="0" vbProcedure="0">#REF!</definedName>
    <definedName name="Centre" hidden="0" function="0" vbProcedure="0">#REF!</definedName>
    <definedName name="certot" hidden="0" function="0" vbProcedure="0">#REF!</definedName>
    <definedName name="cesc" hidden="0" function="0" vbProcedure="0">#REF!</definedName>
    <definedName name="CF" hidden="0" function="0" vbProcedure="0">#REF!</definedName>
    <definedName name="CFlowSum" hidden="0" function="0" vbProcedure="0">#REF!</definedName>
    <definedName name="CFSC" hidden="0" function="0" vbProcedure="0">#REF!</definedName>
    <definedName name="CGTScale" hidden="0" function="0" vbProcedure="0">#REF!</definedName>
    <definedName name="CHA" hidden="0" function="0" vbProcedure="0">#REF!</definedName>
    <definedName name="chambalfert" hidden="0" function="0" vbProcedure="0">#REF!</definedName>
    <definedName name="CHANGE" hidden="0" function="0" vbProcedure="0">#REF!</definedName>
    <definedName name="Chans_per_Disbn_sys" hidden="0" function="0" vbProcedure="0">#REF!</definedName>
    <definedName name="check" hidden="0" function="0" vbProcedure="0">#REF!</definedName>
    <definedName name="CHINA_PLASTIC_in_KUSD" hidden="0" function="0" vbProcedure="0">#REF!</definedName>
    <definedName name="CHINA_PLASTIC_in_KUSD_4" hidden="0" function="0" vbProcedure="0">#REF!</definedName>
    <definedName name="cint" hidden="0" function="0" vbProcedure="0">#REF!</definedName>
    <definedName name="cipla" hidden="0" function="0" vbProcedure="0">#REF!</definedName>
    <definedName name="clause10" hidden="0" function="0" vbProcedure="0">#REF!</definedName>
    <definedName name="clause10_4" hidden="0" function="0" vbProcedure="0">#REF!</definedName>
    <definedName name="CLAUSE13" hidden="0" function="0" vbProcedure="0">#REF!</definedName>
    <definedName name="CLAUSE13b" hidden="0" function="0" vbProcedure="0">#REF!</definedName>
    <definedName name="CLAUSE13b_4" hidden="0" function="0" vbProcedure="0">#REF!</definedName>
    <definedName name="CLAUSE13_4" hidden="0" function="0" vbProcedure="0">#REF!</definedName>
    <definedName name="clause14" hidden="0" function="0" vbProcedure="0">#REF!</definedName>
    <definedName name="clause14d" hidden="0" function="0" vbProcedure="0">#REF!</definedName>
    <definedName name="clause14d_4" hidden="0" function="0" vbProcedure="0">#REF!</definedName>
    <definedName name="clause14_4" hidden="0" function="0" vbProcedure="0">#REF!</definedName>
    <definedName name="clause15" hidden="0" function="0" vbProcedure="0">#REF!</definedName>
    <definedName name="clause15_4" hidden="0" function="0" vbProcedure="0">#REF!</definedName>
    <definedName name="clause16b" hidden="0" function="0" vbProcedure="0">#REF!</definedName>
    <definedName name="clause16b_4" hidden="0" function="0" vbProcedure="0">#REF!</definedName>
    <definedName name="clause17a" hidden="0" function="0" vbProcedure="0">#REF!</definedName>
    <definedName name="clause17a_4" hidden="0" function="0" vbProcedure="0">#REF!</definedName>
    <definedName name="clause17B" hidden="0" function="0" vbProcedure="0">#REF!</definedName>
    <definedName name="clause17B_4" hidden="0" function="0" vbProcedure="0">#REF!</definedName>
    <definedName name="clause17C" hidden="0" function="0" vbProcedure="0">#REF!</definedName>
    <definedName name="clause17C_4" hidden="0" function="0" vbProcedure="0">#REF!</definedName>
    <definedName name="CLAUSE17D" hidden="0" function="0" vbProcedure="0">#REF!</definedName>
    <definedName name="CLAUSE17D_4" hidden="0" function="0" vbProcedure="0">#REF!</definedName>
    <definedName name="clause17E" hidden="0" function="0" vbProcedure="0">#REF!</definedName>
    <definedName name="clause17E_4" hidden="0" function="0" vbProcedure="0">#REF!</definedName>
    <definedName name="clause17F" hidden="0" function="0" vbProcedure="0">#REF!</definedName>
    <definedName name="clause17F_4" hidden="0" function="0" vbProcedure="0">#REF!</definedName>
    <definedName name="clause17h" hidden="0" function="0" vbProcedure="0">#REF!</definedName>
    <definedName name="clause17h_4" hidden="0" function="0" vbProcedure="0">#REF!</definedName>
    <definedName name="clause17K" hidden="0" function="0" vbProcedure="0">#REF!</definedName>
    <definedName name="clause17K_4" hidden="0" function="0" vbProcedure="0">#REF!</definedName>
    <definedName name="clause18" hidden="0" function="0" vbProcedure="0">#REF!</definedName>
    <definedName name="clause18_4" hidden="0" function="0" vbProcedure="0">#REF!</definedName>
    <definedName name="CLAUSE20" hidden="0" function="0" vbProcedure="0">#REF!</definedName>
    <definedName name="CLAUSE20_4" hidden="0" function="0" vbProcedure="0">#REF!</definedName>
    <definedName name="clause21" hidden="0" function="0" vbProcedure="0">#REF!</definedName>
    <definedName name="clause21_4" hidden="0" function="0" vbProcedure="0">#REF!</definedName>
    <definedName name="CLAUSE22A" hidden="0" function="0" vbProcedure="0">#REF!</definedName>
    <definedName name="CLAUSE22A_4" hidden="0" function="0" vbProcedure="0">#REF!</definedName>
    <definedName name="CLAUSE22B" hidden="0" function="0" vbProcedure="0">#REF!</definedName>
    <definedName name="CLAUSE22B_4" hidden="0" function="0" vbProcedure="0">#REF!</definedName>
    <definedName name="clause23" hidden="0" function="0" vbProcedure="0">#REF!</definedName>
    <definedName name="clause23_4" hidden="0" function="0" vbProcedure="0">#REF!</definedName>
    <definedName name="clause24" hidden="0" function="0" vbProcedure="0">#REF!</definedName>
    <definedName name="clause24b" hidden="0" function="0" vbProcedure="0">#REF!</definedName>
    <definedName name="clause24b_4" hidden="0" function="0" vbProcedure="0">#REF!</definedName>
    <definedName name="clause24_4" hidden="0" function="0" vbProcedure="0">#REF!</definedName>
    <definedName name="clause25" hidden="0" function="0" vbProcedure="0">#REF!</definedName>
    <definedName name="clause25_4" hidden="0" function="0" vbProcedure="0">#REF!</definedName>
    <definedName name="clause26" hidden="0" function="0" vbProcedure="0">#REF!</definedName>
    <definedName name="clause26_4" hidden="0" function="0" vbProcedure="0">#REF!</definedName>
    <definedName name="clause27" hidden="0" function="0" vbProcedure="0">#REF!</definedName>
    <definedName name="clause27_4" hidden="0" function="0" vbProcedure="0">#REF!</definedName>
    <definedName name="clause28" hidden="0" function="0" vbProcedure="0">#REF!</definedName>
    <definedName name="clause28b" hidden="0" function="0" vbProcedure="0">#REF!</definedName>
    <definedName name="clause28b_4" hidden="0" function="0" vbProcedure="0">#REF!</definedName>
    <definedName name="clause28_4" hidden="0" function="0" vbProcedure="0">#REF!</definedName>
    <definedName name="CLRATE1" hidden="0" function="0" vbProcedure="0">#REF!</definedName>
    <definedName name="clsdo" hidden="0" function="0" vbProcedure="0">#REF!</definedName>
    <definedName name="clup" hidden="0" function="0" vbProcedure="0">#REF!</definedName>
    <definedName name="cmdc" hidden="0" function="0" vbProcedure="0">#REF!</definedName>
    <definedName name="cmhc" hidden="0" function="0" vbProcedure="0">#REF!</definedName>
    <definedName name="cmpcomp" hidden="0" function="0" vbProcedure="0">#REF!</definedName>
    <definedName name="cmpctl" hidden="0" function="0" vbProcedure="0">#REF!</definedName>
    <definedName name="cmperc" hidden="0" function="0" vbProcedure="0">#REF!</definedName>
    <definedName name="cmpphs" hidden="0" function="0" vbProcedure="0">#REF!</definedName>
    <definedName name="cmpphscomp" hidden="0" function="0" vbProcedure="0">#REF!</definedName>
    <definedName name="cmpplan" hidden="0" function="0" vbProcedure="0">#REF!</definedName>
    <definedName name="cmptot" hidden="0" function="0" vbProcedure="0">#REF!</definedName>
    <definedName name="cmsrtot" hidden="0" function="0" vbProcedure="0">#REF!</definedName>
    <definedName name="CoAdd_13" hidden="0" function="0" vbProcedure="0">#REF!</definedName>
    <definedName name="CoAdd_4" hidden="0" function="0" vbProcedure="0">#REF!</definedName>
    <definedName name="cocm" hidden="0" function="0" vbProcedure="0">#REF!</definedName>
    <definedName name="coimbatore" hidden="0" function="0" vbProcedure="0">#REF!</definedName>
    <definedName name="col10_4" hidden="0" function="0" vbProcedure="0">#REF!</definedName>
    <definedName name="col11_4" hidden="0" function="0" vbProcedure="0">#REF!</definedName>
    <definedName name="col12_4" hidden="0" function="0" vbProcedure="0">#REF!</definedName>
    <definedName name="col13_4" hidden="0" function="0" vbProcedure="0">#REF!</definedName>
    <definedName name="col1_4" hidden="0" function="0" vbProcedure="0">#REF!</definedName>
    <definedName name="col2_4" hidden="0" function="0" vbProcedure="0">#REF!</definedName>
    <definedName name="col3_4" hidden="0" function="0" vbProcedure="0">#REF!</definedName>
    <definedName name="col4_4" hidden="0" function="0" vbProcedure="0">#REF!</definedName>
    <definedName name="col5_4" hidden="0" function="0" vbProcedure="0">#REF!</definedName>
    <definedName name="col6_4" hidden="0" function="0" vbProcedure="0">#REF!</definedName>
    <definedName name="col7_4" hidden="0" function="0" vbProcedure="0">#REF!</definedName>
    <definedName name="col8_4" hidden="0" function="0" vbProcedure="0">#REF!</definedName>
    <definedName name="col9_4" hidden="0" function="0" vbProcedure="0">#REF!</definedName>
    <definedName name="COM" hidden="0" function="0" vbProcedure="0">#REF!</definedName>
    <definedName name="COMGENLIAB" hidden="0" function="0" vbProcedure="0">#REF!</definedName>
    <definedName name="COMM" hidden="0" function="0" vbProcedure="0">#REF!</definedName>
    <definedName name="Commercial_IRD_per_Disbn_sys" hidden="0" function="0" vbProcedure="0">#REF!</definedName>
    <definedName name="COMM_L_MONTHS" hidden="0" function="0" vbProcedure="0">#REF!</definedName>
    <definedName name="COMP" hidden="0" function="0" vbProcedure="0">#REF!</definedName>
    <definedName name="comp1" hidden="0" function="0" vbProcedure="0">#REF!</definedName>
    <definedName name="Company" hidden="0" function="0" vbProcedure="0">#REF!</definedName>
    <definedName name="compu1" hidden="0" function="0" vbProcedure="0">#REF!</definedName>
    <definedName name="Computation" hidden="0" function="0" vbProcedure="0">#REF!</definedName>
    <definedName name="COMPUTATION_OF_INTEREST_UNDER_SECTION_234_C" hidden="0" function="0" vbProcedure="0">#REF!</definedName>
    <definedName name="Computers" hidden="0" function="0" vbProcedure="0">#REF!</definedName>
    <definedName name="COMS2Q2" hidden="0" function="0" vbProcedure="0">#REF!</definedName>
    <definedName name="COMS3Q2" hidden="0" function="0" vbProcedure="0">#REF!</definedName>
    <definedName name="CoName_13" hidden="0" function="0" vbProcedure="0">#REF!</definedName>
    <definedName name="CoName_4" hidden="0" function="0" vbProcedure="0">#REF!</definedName>
    <definedName name="CondensateRtrn" hidden="0" function="0" vbProcedure="0">#REF!</definedName>
    <definedName name="conflict" hidden="0" function="0" vbProcedure="0">#REF!</definedName>
    <definedName name="conperc" hidden="0" function="0" vbProcedure="0">#REF!</definedName>
    <definedName name="Consolidations" hidden="0" function="0" vbProcedure="0">#REF!</definedName>
    <definedName name="Consol_BL1_CashCheck" hidden="0" function="0" vbProcedure="0">#REF!</definedName>
    <definedName name="constrn" hidden="0" function="0" vbProcedure="0">#REF!</definedName>
    <definedName name="cont" hidden="0" function="0" vbProcedure="0">#REF!</definedName>
    <definedName name="Continuation" hidden="0" function="0" vbProcedure="0">#REF!</definedName>
    <definedName name="CONTINUE" hidden="0" function="0" vbProcedure="0">#REF!</definedName>
    <definedName name="CONTRACTOR" hidden="0" function="0" vbProcedure="0">#REF!</definedName>
    <definedName name="CONVEYANCE_DEL" hidden="0" function="0" vbProcedure="0">#REF!</definedName>
    <definedName name="COPM" hidden="0" function="0" vbProcedure="0">#REF!</definedName>
    <definedName name="COST" hidden="0" function="0" vbProcedure="0">#REF!</definedName>
    <definedName name="CoStatus_13" hidden="0" function="0" vbProcedure="0">#REF!</definedName>
    <definedName name="CoStatus_4" hidden="0" function="0" vbProcedure="0">#REF!</definedName>
    <definedName name="COST_4" hidden="0" function="0" vbProcedure="0">#REF!</definedName>
    <definedName name="cost_calcn" hidden="0" function="0" vbProcedure="0">#REF!</definedName>
    <definedName name="cost_calcn_4" hidden="0" function="0" vbProcedure="0">#REF!</definedName>
    <definedName name="Cost_Center" hidden="0" function="0" vbProcedure="0">#REF!</definedName>
    <definedName name="COVER" hidden="0" function="0" vbProcedure="0">#REF!</definedName>
    <definedName name="cpc" hidden="0" function="0" vbProcedure="0">#REF!</definedName>
    <definedName name="cpdc" hidden="0" function="0" vbProcedure="0">#REF!</definedName>
    <definedName name="cpmprtot" hidden="0" function="0" vbProcedure="0">#REF!</definedName>
    <definedName name="cpmrtot" hidden="0" function="0" vbProcedure="0">#REF!</definedName>
    <definedName name="cpsd" hidden="0" function="0" vbProcedure="0">#REF!</definedName>
    <definedName name="cpt" hidden="0" function="0" vbProcedure="0">#REF!</definedName>
    <definedName name="CQA" hidden="0" function="0" vbProcedure="0">#REF!</definedName>
    <definedName name="CR" hidden="0" function="0" vbProcedure="0">#REF!</definedName>
    <definedName name="crpcomp" hidden="0" function="0" vbProcedure="0">#REF!</definedName>
    <definedName name="crpctl" hidden="0" function="0" vbProcedure="0">#REF!</definedName>
    <definedName name="crpperc" hidden="0" function="0" vbProcedure="0">#REF!</definedName>
    <definedName name="crpphs" hidden="0" function="0" vbProcedure="0">#REF!</definedName>
    <definedName name="crpphscomp" hidden="0" function="0" vbProcedure="0">#REF!</definedName>
    <definedName name="crpplan" hidden="0" function="0" vbProcedure="0">#REF!</definedName>
    <definedName name="crptot" hidden="0" function="0" vbProcedure="0">#REF!</definedName>
    <definedName name="cr_knnl_mrbc_ron" hidden="0" function="0" vbProcedure="0">#REF!</definedName>
    <definedName name="csaeo" hidden="0" function="0" vbProcedure="0">#REF!</definedName>
    <definedName name="cscore" hidden="0" function="0" vbProcedure="0">#REF!</definedName>
    <definedName name="cseo" hidden="0" function="0" vbProcedure="0">#REF!</definedName>
    <definedName name="csmrtot" hidden="0" function="0" vbProcedure="0">#REF!</definedName>
    <definedName name="csrtot" hidden="0" function="0" vbProcedure="0">#REF!</definedName>
    <definedName name="cstperc" hidden="0" function="0" vbProcedure="0">#REF!</definedName>
    <definedName name="CTGMW" hidden="0" function="0" vbProcedure="0">#REF!</definedName>
    <definedName name="ctlrtot" hidden="0" function="0" vbProcedure="0">#REF!</definedName>
    <definedName name="ctmro" hidden="0" function="0" vbProcedure="0">#REF!</definedName>
    <definedName name="CURADIA" hidden="0" function="0" vbProcedure="0">#REF!</definedName>
    <definedName name="CURRENCY" hidden="0" function="0" vbProcedure="0">#REF!</definedName>
    <definedName name="CurrentMonth" hidden="0" function="0" vbProcedure="0">#REF!</definedName>
    <definedName name="CurrentYTD" hidden="0" function="0" vbProcedure="0">#REF!</definedName>
    <definedName name="curr_liab_prov" hidden="0" function="0" vbProcedure="0">#REF!</definedName>
    <definedName name="custom" hidden="0" function="0" vbProcedure="0">#REF!</definedName>
    <definedName name="cvptot" hidden="0" function="0" vbProcedure="0">#REF!</definedName>
    <definedName name="CWIP" hidden="0" function="0" vbProcedure="0">#REF!</definedName>
    <definedName name="cwip2" hidden="0" function="0" vbProcedure="0">#REF!</definedName>
    <definedName name="cy_retained_earnings" hidden="0" function="0" vbProcedure="0">#REF!</definedName>
    <definedName name="cy_ret_earn_beg" hidden="0" function="0" vbProcedure="0">#REF!</definedName>
    <definedName name="cy_share_equity" hidden="0" function="0" vbProcedure="0">#REF!</definedName>
    <definedName name="C_" hidden="0" function="0" vbProcedure="0">#REF!</definedName>
    <definedName name="d" hidden="0" function="0" vbProcedure="0">#REF!</definedName>
    <definedName name="D.AP.150" hidden="0" function="0" vbProcedure="0">#REF!</definedName>
    <definedName name="D.AP.160" hidden="0" function="0" vbProcedure="0">#REF!</definedName>
    <definedName name="D.CV.080" hidden="0" function="0" vbProcedure="0">#REF!</definedName>
    <definedName name="D.CV.090" hidden="0" function="0" vbProcedure="0">#REF!</definedName>
    <definedName name="D.CV.100" hidden="0" function="0" vbProcedure="0">#REF!</definedName>
    <definedName name="D.CV.110" hidden="0" function="0" vbProcedure="0">#REF!</definedName>
    <definedName name="D.DO.060" hidden="0" function="0" vbProcedure="0">#REF!</definedName>
    <definedName name="D.DO.070" hidden="0" function="0" vbProcedure="0">#REF!</definedName>
    <definedName name="D.DO.080" hidden="0" function="0" vbProcedure="0">#REF!</definedName>
    <definedName name="D.DO.090" hidden="0" function="0" vbProcedure="0">#REF!</definedName>
    <definedName name="D.MD.090" hidden="0" function="0" vbProcedure="0">#REF!</definedName>
    <definedName name="D.MD.100" hidden="0" function="0" vbProcedure="0">#REF!</definedName>
    <definedName name="D.MD.110" hidden="0" function="0" vbProcedure="0">#REF!</definedName>
    <definedName name="D.MD.120" hidden="0" function="0" vbProcedure="0">#REF!</definedName>
    <definedName name="D.PM.020" hidden="0" function="0" vbProcedure="0">#REF!</definedName>
    <definedName name="D.PM.030" hidden="0" function="0" vbProcedure="0">#REF!</definedName>
    <definedName name="D.PT.080" hidden="0" function="0" vbProcedure="0">#REF!</definedName>
    <definedName name="D.PT.090" hidden="0" function="0" vbProcedure="0">#REF!</definedName>
    <definedName name="D.PT.100" hidden="0" function="0" vbProcedure="0">#REF!</definedName>
    <definedName name="D.PT.110" hidden="0" function="0" vbProcedure="0">#REF!</definedName>
    <definedName name="D.PT.120" hidden="0" function="0" vbProcedure="0">#REF!</definedName>
    <definedName name="D.PT.130" hidden="0" function="0" vbProcedure="0">#REF!</definedName>
    <definedName name="D.TA.100" hidden="0" function="0" vbProcedure="0">#REF!</definedName>
    <definedName name="D.TA.110" hidden="0" function="0" vbProcedure="0">#REF!</definedName>
    <definedName name="D.TA.120" hidden="0" function="0" vbProcedure="0">#REF!</definedName>
    <definedName name="d.ta.120.hrs" hidden="0" function="0" vbProcedure="0">#REF!</definedName>
    <definedName name="D.TA.130" hidden="0" function="0" vbProcedure="0">#REF!</definedName>
    <definedName name="D.TA.140" hidden="0" function="0" vbProcedure="0">#REF!</definedName>
    <definedName name="D.TA.150" hidden="0" function="0" vbProcedure="0">#REF!</definedName>
    <definedName name="D.TA.150.hrs" hidden="0" function="0" vbProcedure="0">#REF!</definedName>
    <definedName name="D.TE.060" hidden="0" function="0" vbProcedure="0">#REF!</definedName>
    <definedName name="D.TE.070" hidden="0" function="0" vbProcedure="0">#REF!</definedName>
    <definedName name="D.TE.080" hidden="0" function="0" vbProcedure="0">#REF!</definedName>
    <definedName name="D.TE.080.hrs" hidden="0" function="0" vbProcedure="0">#REF!</definedName>
    <definedName name="D.TE.090" hidden="0" function="0" vbProcedure="0">#REF!</definedName>
    <definedName name="D.TE.100" hidden="0" function="0" vbProcedure="0">#REF!</definedName>
    <definedName name="D.TE.110" hidden="0" function="0" vbProcedure="0">#REF!</definedName>
    <definedName name="D.TE.110.hrs" hidden="0" function="0" vbProcedure="0">#REF!</definedName>
    <definedName name="D.TE.120" hidden="0" function="0" vbProcedure="0">#REF!</definedName>
    <definedName name="da" hidden="0" function="0" vbProcedure="0">#REF!</definedName>
    <definedName name="dafdsf" hidden="0" function="0" vbProcedure="0">#REF!</definedName>
    <definedName name="daperc" hidden="0" function="0" vbProcedure="0">#REF!</definedName>
    <definedName name="das" hidden="0" function="0" vbProcedure="0">#REF!</definedName>
    <definedName name="data1" hidden="0" function="0" vbProcedure="0">#REF!</definedName>
    <definedName name="data10" hidden="0" function="0" vbProcedure="0">#REF!</definedName>
    <definedName name="data100" hidden="0" function="0" vbProcedure="0">#REF!</definedName>
    <definedName name="data100_4" hidden="0" function="0" vbProcedure="0">#REF!</definedName>
    <definedName name="data101" hidden="0" function="0" vbProcedure="0">#REF!</definedName>
    <definedName name="data101_4" hidden="0" function="0" vbProcedure="0">#REF!</definedName>
    <definedName name="data10_4" hidden="0" function="0" vbProcedure="0">#REF!</definedName>
    <definedName name="data11" hidden="0" function="0" vbProcedure="0">#REF!</definedName>
    <definedName name="data11_4" hidden="0" function="0" vbProcedure="0">#REF!</definedName>
    <definedName name="data12" hidden="0" function="0" vbProcedure="0">#REF!</definedName>
    <definedName name="data12_4" hidden="0" function="0" vbProcedure="0">#REF!</definedName>
    <definedName name="data13" hidden="0" function="0" vbProcedure="0">#REF!</definedName>
    <definedName name="data13_4" hidden="0" function="0" vbProcedure="0">#REF!</definedName>
    <definedName name="data14" hidden="0" function="0" vbProcedure="0">#REF!</definedName>
    <definedName name="data14_4" hidden="0" function="0" vbProcedure="0">#REF!</definedName>
    <definedName name="data15" hidden="0" function="0" vbProcedure="0">#REF!</definedName>
    <definedName name="data15_4" hidden="0" function="0" vbProcedure="0">#REF!</definedName>
    <definedName name="data16" hidden="0" function="0" vbProcedure="0">#REF!</definedName>
    <definedName name="data16_4" hidden="0" function="0" vbProcedure="0">#REF!</definedName>
    <definedName name="data17" hidden="0" function="0" vbProcedure="0">#REF!</definedName>
    <definedName name="data17_4" hidden="0" function="0" vbProcedure="0">#REF!</definedName>
    <definedName name="data18" hidden="0" function="0" vbProcedure="0">#REF!</definedName>
    <definedName name="data18_4" hidden="0" function="0" vbProcedure="0">#REF!</definedName>
    <definedName name="data19" hidden="0" function="0" vbProcedure="0">#REF!</definedName>
    <definedName name="data19_4" hidden="0" function="0" vbProcedure="0">#REF!</definedName>
    <definedName name="data1_4" hidden="0" function="0" vbProcedure="0">#REF!</definedName>
    <definedName name="data2" hidden="0" function="0" vbProcedure="0">#REF!</definedName>
    <definedName name="data20" hidden="0" function="0" vbProcedure="0">#REF!</definedName>
    <definedName name="data20_4" hidden="0" function="0" vbProcedure="0">#REF!</definedName>
    <definedName name="data21" hidden="0" function="0" vbProcedure="0">#REF!</definedName>
    <definedName name="data21_4" hidden="0" function="0" vbProcedure="0">#REF!</definedName>
    <definedName name="data22" hidden="0" function="0" vbProcedure="0">#REF!</definedName>
    <definedName name="data22_4" hidden="0" function="0" vbProcedure="0">#REF!</definedName>
    <definedName name="data23" hidden="0" function="0" vbProcedure="0">#REF!</definedName>
    <definedName name="data23_4" hidden="0" function="0" vbProcedure="0">#REF!</definedName>
    <definedName name="data24" hidden="0" function="0" vbProcedure="0">#REF!</definedName>
    <definedName name="data24_4" hidden="0" function="0" vbProcedure="0">#REF!</definedName>
    <definedName name="data25" hidden="0" function="0" vbProcedure="0">#REF!</definedName>
    <definedName name="data25_4" hidden="0" function="0" vbProcedure="0">#REF!</definedName>
    <definedName name="data26" hidden="0" function="0" vbProcedure="0">#REF!</definedName>
    <definedName name="data26_4" hidden="0" function="0" vbProcedure="0">#REF!</definedName>
    <definedName name="data27" hidden="0" function="0" vbProcedure="0">#REF!</definedName>
    <definedName name="data27_4" hidden="0" function="0" vbProcedure="0">#REF!</definedName>
    <definedName name="data28" hidden="0" function="0" vbProcedure="0">#REF!</definedName>
    <definedName name="data28_4" hidden="0" function="0" vbProcedure="0">#REF!</definedName>
    <definedName name="data29" hidden="0" function="0" vbProcedure="0">#REF!</definedName>
    <definedName name="data29_4" hidden="0" function="0" vbProcedure="0">#REF!</definedName>
    <definedName name="data2_4" hidden="0" function="0" vbProcedure="0">#REF!</definedName>
    <definedName name="data3" hidden="0" function="0" vbProcedure="0">#REF!</definedName>
    <definedName name="data30" hidden="0" function="0" vbProcedure="0">#REF!</definedName>
    <definedName name="data30_4" hidden="0" function="0" vbProcedure="0">#REF!</definedName>
    <definedName name="data31" hidden="0" function="0" vbProcedure="0">#REF!</definedName>
    <definedName name="data31_4" hidden="0" function="0" vbProcedure="0">#REF!</definedName>
    <definedName name="data32" hidden="0" function="0" vbProcedure="0">#REF!</definedName>
    <definedName name="data32_4" hidden="0" function="0" vbProcedure="0">#REF!</definedName>
    <definedName name="data33" hidden="0" function="0" vbProcedure="0">#REF!</definedName>
    <definedName name="data33_4" hidden="0" function="0" vbProcedure="0">#REF!</definedName>
    <definedName name="data34" hidden="0" function="0" vbProcedure="0">#REF!</definedName>
    <definedName name="data34_4" hidden="0" function="0" vbProcedure="0">#REF!</definedName>
    <definedName name="data35" hidden="0" function="0" vbProcedure="0">#REF!</definedName>
    <definedName name="data35_4" hidden="0" function="0" vbProcedure="0">#REF!</definedName>
    <definedName name="data36" hidden="0" function="0" vbProcedure="0">#REF!</definedName>
    <definedName name="data36_4" hidden="0" function="0" vbProcedure="0">#REF!</definedName>
    <definedName name="data37" hidden="0" function="0" vbProcedure="0">#REF!</definedName>
    <definedName name="data37_4" hidden="0" function="0" vbProcedure="0">#REF!</definedName>
    <definedName name="data38" hidden="0" function="0" vbProcedure="0">#REF!</definedName>
    <definedName name="data38_4" hidden="0" function="0" vbProcedure="0">#REF!</definedName>
    <definedName name="data39" hidden="0" function="0" vbProcedure="0">#REF!</definedName>
    <definedName name="data39_4" hidden="0" function="0" vbProcedure="0">#REF!</definedName>
    <definedName name="data3_4" hidden="0" function="0" vbProcedure="0">#REF!</definedName>
    <definedName name="data4" hidden="0" function="0" vbProcedure="0">#REF!</definedName>
    <definedName name="data40" hidden="0" function="0" vbProcedure="0">#REF!</definedName>
    <definedName name="data40_4" hidden="0" function="0" vbProcedure="0">#REF!</definedName>
    <definedName name="data41" hidden="0" function="0" vbProcedure="0">#REF!</definedName>
    <definedName name="data41_4" hidden="0" function="0" vbProcedure="0">#REF!</definedName>
    <definedName name="data42" hidden="0" function="0" vbProcedure="0">#REF!</definedName>
    <definedName name="data42_4" hidden="0" function="0" vbProcedure="0">#REF!</definedName>
    <definedName name="data43" hidden="0" function="0" vbProcedure="0">#REF!</definedName>
    <definedName name="data43_4" hidden="0" function="0" vbProcedure="0">#REF!</definedName>
    <definedName name="data44" hidden="0" function="0" vbProcedure="0">#REF!</definedName>
    <definedName name="data44_4" hidden="0" function="0" vbProcedure="0">#REF!</definedName>
    <definedName name="data45" hidden="0" function="0" vbProcedure="0">#REF!</definedName>
    <definedName name="data45_4" hidden="0" function="0" vbProcedure="0">#REF!</definedName>
    <definedName name="data46" hidden="0" function="0" vbProcedure="0">#REF!</definedName>
    <definedName name="data46_4" hidden="0" function="0" vbProcedure="0">#REF!</definedName>
    <definedName name="data47" hidden="0" function="0" vbProcedure="0">#REF!</definedName>
    <definedName name="data47_4" hidden="0" function="0" vbProcedure="0">#REF!</definedName>
    <definedName name="data48" hidden="0" function="0" vbProcedure="0">#REF!</definedName>
    <definedName name="data48_4" hidden="0" function="0" vbProcedure="0">#REF!</definedName>
    <definedName name="data49" hidden="0" function="0" vbProcedure="0">#REF!</definedName>
    <definedName name="data49_4" hidden="0" function="0" vbProcedure="0">#REF!</definedName>
    <definedName name="data4_4" hidden="0" function="0" vbProcedure="0">#REF!</definedName>
    <definedName name="data5" hidden="0" function="0" vbProcedure="0">#REF!</definedName>
    <definedName name="data50" hidden="0" function="0" vbProcedure="0">#REF!</definedName>
    <definedName name="data50_4" hidden="0" function="0" vbProcedure="0">#REF!</definedName>
    <definedName name="data51" hidden="0" function="0" vbProcedure="0">#REF!</definedName>
    <definedName name="data51_4" hidden="0" function="0" vbProcedure="0">#REF!</definedName>
    <definedName name="data52" hidden="0" function="0" vbProcedure="0">#REF!</definedName>
    <definedName name="data52_4" hidden="0" function="0" vbProcedure="0">#REF!</definedName>
    <definedName name="data53" hidden="0" function="0" vbProcedure="0">#REF!</definedName>
    <definedName name="data53_4" hidden="0" function="0" vbProcedure="0">#REF!</definedName>
    <definedName name="data54" hidden="0" function="0" vbProcedure="0">#REF!</definedName>
    <definedName name="data54_4" hidden="0" function="0" vbProcedure="0">#REF!</definedName>
    <definedName name="data55" hidden="0" function="0" vbProcedure="0">#REF!</definedName>
    <definedName name="data55_4" hidden="0" function="0" vbProcedure="0">#REF!</definedName>
    <definedName name="data56" hidden="0" function="0" vbProcedure="0">#REF!</definedName>
    <definedName name="data56_4" hidden="0" function="0" vbProcedure="0">#REF!</definedName>
    <definedName name="data57" hidden="0" function="0" vbProcedure="0">#REF!</definedName>
    <definedName name="data57_4" hidden="0" function="0" vbProcedure="0">#REF!</definedName>
    <definedName name="data58" hidden="0" function="0" vbProcedure="0">#REF!</definedName>
    <definedName name="data58_4" hidden="0" function="0" vbProcedure="0">#REF!</definedName>
    <definedName name="data59" hidden="0" function="0" vbProcedure="0">#REF!</definedName>
    <definedName name="data59_4" hidden="0" function="0" vbProcedure="0">#REF!</definedName>
    <definedName name="data5_4" hidden="0" function="0" vbProcedure="0">#REF!</definedName>
    <definedName name="data6" hidden="0" function="0" vbProcedure="0">#REF!</definedName>
    <definedName name="data60" hidden="0" function="0" vbProcedure="0">#REF!</definedName>
    <definedName name="data60_4" hidden="0" function="0" vbProcedure="0">#REF!</definedName>
    <definedName name="data61" hidden="0" function="0" vbProcedure="0">#REF!</definedName>
    <definedName name="data61_4" hidden="0" function="0" vbProcedure="0">#REF!</definedName>
    <definedName name="data62" hidden="0" function="0" vbProcedure="0">#REF!</definedName>
    <definedName name="data62_4" hidden="0" function="0" vbProcedure="0">#REF!</definedName>
    <definedName name="data63" hidden="0" function="0" vbProcedure="0">#REF!</definedName>
    <definedName name="data63_4" hidden="0" function="0" vbProcedure="0">#REF!</definedName>
    <definedName name="data64" hidden="0" function="0" vbProcedure="0">#REF!</definedName>
    <definedName name="data64_4" hidden="0" function="0" vbProcedure="0">#REF!</definedName>
    <definedName name="data65" hidden="0" function="0" vbProcedure="0">#REF!</definedName>
    <definedName name="data65_4" hidden="0" function="0" vbProcedure="0">#REF!</definedName>
    <definedName name="data66" hidden="0" function="0" vbProcedure="0">#REF!</definedName>
    <definedName name="data66_4" hidden="0" function="0" vbProcedure="0">#REF!</definedName>
    <definedName name="data67" hidden="0" function="0" vbProcedure="0">#REF!</definedName>
    <definedName name="data67_4" hidden="0" function="0" vbProcedure="0">#REF!</definedName>
    <definedName name="data68" hidden="0" function="0" vbProcedure="0">#REF!</definedName>
    <definedName name="data68_4" hidden="0" function="0" vbProcedure="0">#REF!</definedName>
    <definedName name="data69" hidden="0" function="0" vbProcedure="0">#REF!</definedName>
    <definedName name="data69_4" hidden="0" function="0" vbProcedure="0">#REF!</definedName>
    <definedName name="data6_4" hidden="0" function="0" vbProcedure="0">#REF!</definedName>
    <definedName name="data7" hidden="0" function="0" vbProcedure="0">#REF!</definedName>
    <definedName name="data70" hidden="0" function="0" vbProcedure="0">#REF!</definedName>
    <definedName name="data70_4" hidden="0" function="0" vbProcedure="0">#REF!</definedName>
    <definedName name="data71" hidden="0" function="0" vbProcedure="0">#REF!</definedName>
    <definedName name="data71_4" hidden="0" function="0" vbProcedure="0">#REF!</definedName>
    <definedName name="data72" hidden="0" function="0" vbProcedure="0">#REF!</definedName>
    <definedName name="data72_4" hidden="0" function="0" vbProcedure="0">#REF!</definedName>
    <definedName name="data73" hidden="0" function="0" vbProcedure="0">#REF!</definedName>
    <definedName name="data73_4" hidden="0" function="0" vbProcedure="0">#REF!</definedName>
    <definedName name="data74" hidden="0" function="0" vbProcedure="0">#REF!</definedName>
    <definedName name="data74_4" hidden="0" function="0" vbProcedure="0">#REF!</definedName>
    <definedName name="data75" hidden="0" function="0" vbProcedure="0">#REF!</definedName>
    <definedName name="data75_4" hidden="0" function="0" vbProcedure="0">#REF!</definedName>
    <definedName name="data76" hidden="0" function="0" vbProcedure="0">#REF!</definedName>
    <definedName name="data76_4" hidden="0" function="0" vbProcedure="0">#REF!</definedName>
    <definedName name="data77" hidden="0" function="0" vbProcedure="0">#REF!</definedName>
    <definedName name="data77_4" hidden="0" function="0" vbProcedure="0">#REF!</definedName>
    <definedName name="data78" hidden="0" function="0" vbProcedure="0">#REF!</definedName>
    <definedName name="data78_4" hidden="0" function="0" vbProcedure="0">#REF!</definedName>
    <definedName name="data79" hidden="0" function="0" vbProcedure="0">#REF!</definedName>
    <definedName name="data79_4" hidden="0" function="0" vbProcedure="0">#REF!</definedName>
    <definedName name="data7_4" hidden="0" function="0" vbProcedure="0">#REF!</definedName>
    <definedName name="data8" hidden="0" function="0" vbProcedure="0">#REF!</definedName>
    <definedName name="data80" hidden="0" function="0" vbProcedure="0">#REF!</definedName>
    <definedName name="data80_4" hidden="0" function="0" vbProcedure="0">#REF!</definedName>
    <definedName name="data81" hidden="0" function="0" vbProcedure="0">#REF!</definedName>
    <definedName name="data81_4" hidden="0" function="0" vbProcedure="0">#REF!</definedName>
    <definedName name="data82" hidden="0" function="0" vbProcedure="0">#REF!</definedName>
    <definedName name="data82_4" hidden="0" function="0" vbProcedure="0">#REF!</definedName>
    <definedName name="data83" hidden="0" function="0" vbProcedure="0">#REF!</definedName>
    <definedName name="data83_4" hidden="0" function="0" vbProcedure="0">#REF!</definedName>
    <definedName name="data84" hidden="0" function="0" vbProcedure="0">#REF!</definedName>
    <definedName name="data84_4" hidden="0" function="0" vbProcedure="0">#REF!</definedName>
    <definedName name="data85" hidden="0" function="0" vbProcedure="0">#REF!</definedName>
    <definedName name="data85_4" hidden="0" function="0" vbProcedure="0">#REF!</definedName>
    <definedName name="data86" hidden="0" function="0" vbProcedure="0">#REF!</definedName>
    <definedName name="data86_4" hidden="0" function="0" vbProcedure="0">#REF!</definedName>
    <definedName name="data87" hidden="0" function="0" vbProcedure="0">#REF!</definedName>
    <definedName name="data87_4" hidden="0" function="0" vbProcedure="0">#REF!</definedName>
    <definedName name="data88" hidden="0" function="0" vbProcedure="0">#REF!</definedName>
    <definedName name="data88_4" hidden="0" function="0" vbProcedure="0">#REF!</definedName>
    <definedName name="data89" hidden="0" function="0" vbProcedure="0">#REF!</definedName>
    <definedName name="data89_4" hidden="0" function="0" vbProcedure="0">#REF!</definedName>
    <definedName name="data8_4" hidden="0" function="0" vbProcedure="0">#REF!</definedName>
    <definedName name="data9" hidden="0" function="0" vbProcedure="0">#REF!</definedName>
    <definedName name="data90" hidden="0" function="0" vbProcedure="0">#REF!</definedName>
    <definedName name="data90_4" hidden="0" function="0" vbProcedure="0">#REF!</definedName>
    <definedName name="data91" hidden="0" function="0" vbProcedure="0">#REF!</definedName>
    <definedName name="data91_4" hidden="0" function="0" vbProcedure="0">#REF!</definedName>
    <definedName name="data92" hidden="0" function="0" vbProcedure="0">#REF!</definedName>
    <definedName name="data92_4" hidden="0" function="0" vbProcedure="0">#REF!</definedName>
    <definedName name="data93" hidden="0" function="0" vbProcedure="0">#REF!</definedName>
    <definedName name="data93_4" hidden="0" function="0" vbProcedure="0">#REF!</definedName>
    <definedName name="data94" hidden="0" function="0" vbProcedure="0">#REF!</definedName>
    <definedName name="data94_4" hidden="0" function="0" vbProcedure="0">#REF!</definedName>
    <definedName name="data95" hidden="0" function="0" vbProcedure="0">#REF!</definedName>
    <definedName name="data95_4" hidden="0" function="0" vbProcedure="0">#REF!</definedName>
    <definedName name="data96" hidden="0" function="0" vbProcedure="0">#REF!</definedName>
    <definedName name="data96_4" hidden="0" function="0" vbProcedure="0">#REF!</definedName>
    <definedName name="data97" hidden="0" function="0" vbProcedure="0">#REF!</definedName>
    <definedName name="data97_4" hidden="0" function="0" vbProcedure="0">#REF!</definedName>
    <definedName name="data98" hidden="0" function="0" vbProcedure="0">#REF!</definedName>
    <definedName name="data98_4" hidden="0" function="0" vbProcedure="0">#REF!</definedName>
    <definedName name="data99" hidden="0" function="0" vbProcedure="0">#REF!</definedName>
    <definedName name="data99_4" hidden="0" function="0" vbProcedure="0">#REF!</definedName>
    <definedName name="data9_4" hidden="0" function="0" vbProcedure="0">#REF!</definedName>
    <definedName name="DataType" hidden="0" function="0" vbProcedure="0">#REF!</definedName>
    <definedName name="Date_of_expense" hidden="0" function="0" vbProcedure="0">#REF!</definedName>
    <definedName name="Date_of_Payment" hidden="0" function="0" vbProcedure="0">#REF!</definedName>
    <definedName name="Days" hidden="0" function="0" vbProcedure="0">'[1]Project Inputs'!$G$25</definedName>
    <definedName name="dbartot" hidden="0" function="0" vbProcedure="0">#REF!</definedName>
    <definedName name="dd" hidden="0" function="0" vbProcedure="0">#REF!</definedName>
    <definedName name="ddd" hidden="0" function="0" vbProcedure="0">#REF!</definedName>
    <definedName name="dddd" hidden="0" function="0" vbProcedure="0">#REF!</definedName>
    <definedName name="ddrtot" hidden="0" function="0" vbProcedure="0">#REF!</definedName>
    <definedName name="DECDATA?" hidden="0" function="0" vbProcedure="0">#REF!</definedName>
    <definedName name="DecInWorkingCapitalMonth1Actuals" hidden="0" function="0" vbProcedure="0">#REF!</definedName>
    <definedName name="DecInWorkingCapitalMonth1Budget" hidden="0" function="0" vbProcedure="0">#REF!</definedName>
    <definedName name="DecInWorkingCapitalMonth2Actuals" hidden="0" function="0" vbProcedure="0">#REF!</definedName>
    <definedName name="DecInWorkingCapitalMonth2Budget" hidden="0" function="0" vbProcedure="0">#REF!</definedName>
    <definedName name="DecInWorkingCapitalMonth3Actuals" hidden="0" function="0" vbProcedure="0">#REF!</definedName>
    <definedName name="DecInWorkingCapitalMonth3Budget" hidden="0" function="0" vbProcedure="0">#REF!</definedName>
    <definedName name="DecInWorkingCapitalMonth4Actuals" hidden="0" function="0" vbProcedure="0">#REF!</definedName>
    <definedName name="DecInWorkingCapitalMonth4Budget" hidden="0" function="0" vbProcedure="0">#REF!</definedName>
    <definedName name="DecInWorkingCapitalYTDActuals" hidden="0" function="0" vbProcedure="0">#REF!</definedName>
    <definedName name="DecInWorkingCapitalYTDBudget" hidden="0" function="0" vbProcedure="0">#REF!</definedName>
    <definedName name="Deepak" hidden="0" function="0" vbProcedure="0">#REF!</definedName>
    <definedName name="defbp" hidden="0" function="0" vbProcedure="0">#REF!</definedName>
    <definedName name="defbr" hidden="0" function="0" vbProcedure="0">#REF!</definedName>
    <definedName name="defcv" hidden="0" function="0" vbProcedure="0">#REF!</definedName>
    <definedName name="defdays" hidden="0" function="0" vbProcedure="0">#REF!</definedName>
    <definedName name="defdo" hidden="0" function="0" vbProcedure="0">#REF!</definedName>
    <definedName name="defmd" hidden="0" function="0" vbProcedure="0">#REF!</definedName>
    <definedName name="defpm" hidden="0" function="0" vbProcedure="0">#REF!</definedName>
    <definedName name="defpt" hidden="0" function="0" vbProcedure="0">#REF!</definedName>
    <definedName name="defrd" hidden="0" function="0" vbProcedure="0">#REF!</definedName>
    <definedName name="defta" hidden="0" function="0" vbProcedure="0">#REF!</definedName>
    <definedName name="defte" hidden="0" function="0" vbProcedure="0">#REF!</definedName>
    <definedName name="deftr" hidden="0" function="0" vbProcedure="0">#REF!</definedName>
    <definedName name="dep" hidden="0" function="0" vbProcedure="0">#REF!</definedName>
    <definedName name="Depn" hidden="0" function="0" vbProcedure="0">#REF!</definedName>
    <definedName name="DEPNFUND" hidden="0" function="0" vbProcedure="0">#REF!</definedName>
    <definedName name="depo" hidden="0" function="0" vbProcedure="0">#REF!</definedName>
    <definedName name="Depreciation" hidden="0" function="0" vbProcedure="0">#REF!</definedName>
    <definedName name="DEPRI" hidden="0" function="0" vbProcedure="0">#REF!</definedName>
    <definedName name="depsch" hidden="0" function="0" vbProcedure="0">#REF!</definedName>
    <definedName name="dep_it_act" hidden="0" function="0" vbProcedure="0">#REF!</definedName>
    <definedName name="desbp" hidden="0" function="0" vbProcedure="0">#REF!</definedName>
    <definedName name="desbr" hidden="0" function="0" vbProcedure="0">#REF!</definedName>
    <definedName name="descv" hidden="0" function="0" vbProcedure="0">#REF!</definedName>
    <definedName name="desdo" hidden="0" function="0" vbProcedure="0">#REF!</definedName>
    <definedName name="desmd" hidden="0" function="0" vbProcedure="0">#REF!</definedName>
    <definedName name="despm" hidden="0" function="0" vbProcedure="0">#REF!</definedName>
    <definedName name="despt" hidden="0" function="0" vbProcedure="0">#REF!</definedName>
    <definedName name="desrd" hidden="0" function="0" vbProcedure="0">#REF!</definedName>
    <definedName name="desta" hidden="0" function="0" vbProcedure="0">#REF!</definedName>
    <definedName name="deste" hidden="0" function="0" vbProcedure="0">#REF!</definedName>
    <definedName name="destr" hidden="0" function="0" vbProcedure="0">#REF!</definedName>
    <definedName name="DETAIL" hidden="0" function="0" vbProcedure="0">#REF!</definedName>
    <definedName name="DETAILS" hidden="0" function="0" vbProcedure="0">#REF!</definedName>
    <definedName name="DET_ITM_3_4" hidden="0" function="0" vbProcedure="0">#REF!</definedName>
    <definedName name="dev" hidden="0" function="0" vbProcedure="0">#REF!</definedName>
    <definedName name="df" hidden="0" function="0" vbProcedure="0">#REF!</definedName>
    <definedName name="dfadfa" hidden="0" function="0" vbProcedure="0">#REF!</definedName>
    <definedName name="dfafad" hidden="0" function="0" vbProcedure="0">#REF!</definedName>
    <definedName name="dfdrf" hidden="0" function="0" vbProcedure="0">#REF!</definedName>
    <definedName name="dfngkfd" hidden="0" function="0" vbProcedure="0">#REF!</definedName>
    <definedName name="dfsa" hidden="0" function="0" vbProcedure="0">#REF!</definedName>
    <definedName name="dfsadsf" hidden="0" function="0" vbProcedure="0">#REF!</definedName>
    <definedName name="DGNMKTG" hidden="0" function="0" vbProcedure="0">#REF!</definedName>
    <definedName name="dhampursugar" hidden="0" function="0" vbProcedure="0">#REF!</definedName>
    <definedName name="diff" hidden="0" function="0" vbProcedure="0">#REF!</definedName>
    <definedName name="Differential_Rate" hidden="0" function="0" vbProcedure="0">#REF!</definedName>
    <definedName name="DirectExpenses" hidden="0" function="0" vbProcedure="0">#REF!</definedName>
    <definedName name="DIRECTORS" hidden="0" function="0" vbProcedure="0">#REF!</definedName>
    <definedName name="disagg" hidden="0" function="0" vbProcedure="0">#REF!</definedName>
    <definedName name="disaggre" hidden="0" function="0" vbProcedure="0">#REF!</definedName>
    <definedName name="Disaggregations" hidden="0" function="0" vbProcedure="0">#REF!</definedName>
    <definedName name="DiscretionaryBudgetedCompletionDate" hidden="0" function="0" vbProcedure="0">#REF!</definedName>
    <definedName name="DiscretionaryCommitted" hidden="0" function="0" vbProcedure="0">#REF!</definedName>
    <definedName name="DiscretionaryExpectedCompletionDate" hidden="0" function="0" vbProcedure="0">#REF!</definedName>
    <definedName name="DiscretionaryExpectedTotalExpenditure" hidden="0" function="0" vbProcedure="0">#REF!</definedName>
    <definedName name="DiscretionaryExpenditureToDate" hidden="0" function="0" vbProcedure="0">#REF!</definedName>
    <definedName name="DiscretionaryPercentComp." hidden="0" function="0" vbProcedure="0">#REF!</definedName>
    <definedName name="DiscretionaryPercentSanctioned" hidden="0" function="0" vbProcedure="0">#REF!</definedName>
    <definedName name="DiscretionaryReviewRequired" hidden="0" function="0" vbProcedure="0">#REF!</definedName>
    <definedName name="DiscretionarySanctioned" hidden="0" function="0" vbProcedure="0">#REF!</definedName>
    <definedName name="display_area_2" hidden="0" function="0" vbProcedure="0">#REF!</definedName>
    <definedName name="display_area_2_4" hidden="0" function="0" vbProcedure="0">#REF!</definedName>
    <definedName name="DisputedProvisions4Actuals" hidden="0" function="0" vbProcedure="0">#REF!</definedName>
    <definedName name="DisputedProvisions4Budget" hidden="0" function="0" vbProcedure="0">#REF!</definedName>
    <definedName name="DisputedProvisionsMonth1Actuals" hidden="0" function="0" vbProcedure="0">#REF!</definedName>
    <definedName name="DisputedProvisionsMonth1Budget" hidden="0" function="0" vbProcedure="0">#REF!</definedName>
    <definedName name="DisputedProvisionsMonth2Actuals" hidden="0" function="0" vbProcedure="0">#REF!</definedName>
    <definedName name="DisputedProvisionsMonth2Budget" hidden="0" function="0" vbProcedure="0">#REF!</definedName>
    <definedName name="DisputedProvisionsMonth3Actuals" hidden="0" function="0" vbProcedure="0">#REF!</definedName>
    <definedName name="DisputedProvisionsMonth3Budget" hidden="0" function="0" vbProcedure="0">#REF!</definedName>
    <definedName name="DisputedProvisionsYTDActuals" hidden="0" function="0" vbProcedure="0">#REF!</definedName>
    <definedName name="DisputedProvisionsYTDBudget" hidden="0" function="0" vbProcedure="0">#REF!</definedName>
    <definedName name="DisputedProvisionYTDActuals" hidden="0" function="0" vbProcedure="0">#REF!</definedName>
    <definedName name="DisputedProvisionYTDBudget" hidden="0" function="0" vbProcedure="0">#REF!</definedName>
    <definedName name="Distribution_encoder_run_rate" hidden="0" function="0" vbProcedure="0">#REF!</definedName>
    <definedName name="Distribution_mux_run_rate" hidden="0" function="0" vbProcedure="0">#REF!</definedName>
    <definedName name="DISTRIBUTORS" hidden="0" function="0" vbProcedure="0">#REF!</definedName>
    <definedName name="Dist_Enc_run_rate" hidden="0" function="0" vbProcedure="0">#REF!</definedName>
    <definedName name="Dist_Mux_run_rate" hidden="0" function="0" vbProcedure="0">#REF!</definedName>
    <definedName name="Dist_ratio_Tvcom_to_Alteia" hidden="0" function="0" vbProcedure="0">#REF!</definedName>
    <definedName name="djaks" hidden="0" function="0" vbProcedure="0">#REF!</definedName>
    <definedName name="DM" hidden="0" function="0" vbProcedure="0">#REF!</definedName>
    <definedName name="DMPL" hidden="0" function="0" vbProcedure="0">#REF!</definedName>
    <definedName name="DOI" hidden="0" function="0" vbProcedure="0">#REF!</definedName>
    <definedName name="Doors" hidden="0" function="0" vbProcedure="0">#REF!</definedName>
    <definedName name="doptot" hidden="0" function="0" vbProcedure="0">#REF!</definedName>
    <definedName name="DP" hidden="0" function="0" vbProcedure="0">#REF!</definedName>
    <definedName name="DRA" hidden="0" function="0" vbProcedure="0">#REF!</definedName>
    <definedName name="DRA_CQA_IPR_CP" hidden="0" function="0" vbProcedure="0">#REF!</definedName>
    <definedName name="DrReddy" hidden="0" function="0" vbProcedure="0">#REF!</definedName>
    <definedName name="DRUCKBEREI03" hidden="0" function="0" vbProcedure="0">#REF!</definedName>
    <definedName name="dsafds" hidden="0" function="0" vbProcedure="0">#REF!</definedName>
    <definedName name="dsasdds" hidden="0" function="0" vbProcedure="0">#REF!</definedName>
    <definedName name="dsdsds" hidden="0" function="0" vbProcedure="0">#REF!</definedName>
    <definedName name="dsfd" hidden="0" function="0" vbProcedure="0">#REF!</definedName>
    <definedName name="DSRA_diff" hidden="0" function="0" vbProcedure="0">[1]Debt!$I$198</definedName>
    <definedName name="duryapharma" hidden="0" function="0" vbProcedure="0">#REF!</definedName>
    <definedName name="DutyAppl" hidden="0" function="0" vbProcedure="0">#REF!</definedName>
    <definedName name="DutyRate" hidden="0" function="0" vbProcedure="0">#REF!</definedName>
    <definedName name="dvrtot" hidden="0" function="0" vbProcedure="0">#REF!</definedName>
    <definedName name="dxdst" hidden="0" function="0" vbProcedure="0">#REF!</definedName>
    <definedName name="D_Gupta" hidden="0" function="0" vbProcedure="0">#REF!</definedName>
    <definedName name="D_Khatwani" hidden="0" function="0" vbProcedure="0">#REF!</definedName>
    <definedName name="D_Marquis" hidden="0" function="0" vbProcedure="0">#REF!</definedName>
    <definedName name="E" hidden="0" function="0" vbProcedure="0">#REF!</definedName>
    <definedName name="E.AP.170" hidden="0" function="0" vbProcedure="0">#REF!</definedName>
    <definedName name="E.CV.130" hidden="0" function="0" vbProcedure="0">#REF!</definedName>
    <definedName name="E.PM.040" hidden="0" function="0" vbProcedure="0">#REF!</definedName>
    <definedName name="E.PM.050" hidden="0" function="0" vbProcedure="0">#REF!</definedName>
    <definedName name="E.PM.060" hidden="0" function="0" vbProcedure="0">#REF!</definedName>
    <definedName name="E.PM.070" hidden="0" function="0" vbProcedure="0">#REF!</definedName>
    <definedName name="E.PM.080" hidden="0" function="0" vbProcedure="0">#REF!</definedName>
    <definedName name="E.TE.130" hidden="0" function="0" vbProcedure="0">#REF!</definedName>
    <definedName name="ediperc" hidden="0" function="0" vbProcedure="0">#REF!</definedName>
    <definedName name="eefdays" hidden="0" function="0" vbProcedure="0">#REF!</definedName>
    <definedName name="eidparry" hidden="0" function="0" vbProcedure="0">#REF!</definedName>
    <definedName name="Electricity" hidden="0" function="0" vbProcedure="0">#REF!</definedName>
    <definedName name="Elim" hidden="0" function="0" vbProcedure="0">#REF!</definedName>
    <definedName name="ENDMKT" hidden="0" function="0" vbProcedure="0">#REF!</definedName>
    <definedName name="ENDUSER" hidden="0" function="0" vbProcedure="0">#REF!</definedName>
    <definedName name="engineersind" hidden="0" function="0" vbProcedure="0">#REF!</definedName>
    <definedName name="ENGL" hidden="0" function="0" vbProcedure="0">#REF!</definedName>
    <definedName name="ENGLAND" hidden="0" function="0" vbProcedure="0">#REF!</definedName>
    <definedName name="engperc" hidden="0" function="0" vbProcedure="0">#REF!</definedName>
    <definedName name="Entitywise_Collection_Flash" hidden="0" function="0" vbProcedure="0">#REF!</definedName>
    <definedName name="entry_in_brs_adj_31300" hidden="0" function="0" vbProcedure="0">#REF!</definedName>
    <definedName name="eqwe" hidden="0" function="0" vbProcedure="0">#REF!</definedName>
    <definedName name="ERRORS" hidden="0" function="0" vbProcedure="0">#REF!</definedName>
    <definedName name="ESPP" hidden="0" function="0" vbProcedure="0">#REF!</definedName>
    <definedName name="EstimatedTaxMonth1Actuals" hidden="0" function="0" vbProcedure="0">#REF!</definedName>
    <definedName name="EstimatedTaxMonth1Budget" hidden="0" function="0" vbProcedure="0">#REF!</definedName>
    <definedName name="EstimatedTaxMonth2Actuals" hidden="0" function="0" vbProcedure="0">#REF!</definedName>
    <definedName name="EstimatedTaxMonth2Budget" hidden="0" function="0" vbProcedure="0">#REF!</definedName>
    <definedName name="EstimatedTaxMonth3Actuals" hidden="0" function="0" vbProcedure="0">#REF!</definedName>
    <definedName name="EstimatedTaxMonth3Budget" hidden="0" function="0" vbProcedure="0">#REF!</definedName>
    <definedName name="EstimatedTaxMonth4Actuals" hidden="0" function="0" vbProcedure="0">#REF!</definedName>
    <definedName name="EstimatedTaxMonth4Budget" hidden="0" function="0" vbProcedure="0">#REF!</definedName>
    <definedName name="EstimatedTaxMonth5Actuals" hidden="0" function="0" vbProcedure="0">#REF!</definedName>
    <definedName name="EstimatedTaxMonth5Budget" hidden="0" function="0" vbProcedure="0">#REF!</definedName>
    <definedName name="etc" hidden="0" function="0" vbProcedure="0">#REF!</definedName>
    <definedName name="EUHQ" hidden="0" function="0" vbProcedure="0">#REF!</definedName>
    <definedName name="EUROPEAN_HQ" hidden="0" function="0" vbProcedure="0">#REF!</definedName>
    <definedName name="ex" hidden="0" function="0" vbProcedure="0">#REF!</definedName>
    <definedName name="Excel_BuiltIn_Database" hidden="0" function="0" vbProcedure="0">#REF!</definedName>
    <definedName name="Excel_BuiltIn_Database_4" hidden="0" function="0" vbProcedure="0">#REF!</definedName>
    <definedName name="Excel_BuiltIn_Print_Area" hidden="0" function="0" vbProcedure="0">#REF!</definedName>
    <definedName name="Excel_BuiltIn_Print_Area_1" hidden="0" function="0" vbProcedure="0">#REF!</definedName>
    <definedName name="Excel_BuiltIn_Print_Area_4___0" hidden="0" function="0" vbProcedure="0">#REF!</definedName>
    <definedName name="Excel_BuiltIn_Print_Titles_2" hidden="0" function="0" vbProcedure="0">#REF!</definedName>
    <definedName name="Excel_BuiltIn__FilterDatabase_11" hidden="0" function="0" vbProcedure="0">#REF!</definedName>
    <definedName name="ExchangeRt" hidden="0" function="0" vbProcedure="0">#REF!</definedName>
    <definedName name="Exchange_Gain__Rs" hidden="0" function="0" vbProcedure="0">#REF!</definedName>
    <definedName name="exchange_rate" hidden="0" function="0" vbProcedure="0">#REF!</definedName>
    <definedName name="exp_bal" hidden="0" function="0" vbProcedure="0">#REF!</definedName>
    <definedName name="ExrateBt" hidden="0" function="0" vbProcedure="0">#REF!</definedName>
    <definedName name="ExrateInd" hidden="0" function="0" vbProcedure="0">#REF!</definedName>
    <definedName name="ExrateSing" hidden="0" function="0" vbProcedure="0">#REF!</definedName>
    <definedName name="ExrateUS" hidden="0" function="0" vbProcedure="0">#REF!</definedName>
    <definedName name="extb" hidden="0" function="0" vbProcedure="0">#REF!</definedName>
    <definedName name="ExternalData1" hidden="0" function="0" vbProcedure="0">#REF!</definedName>
    <definedName name="ExtraordinaryItemsMonth1Actuals" hidden="0" function="0" vbProcedure="0">#REF!</definedName>
    <definedName name="ExtraordinaryItemsMonth1Budget" hidden="0" function="0" vbProcedure="0">#REF!</definedName>
    <definedName name="ExtraordinaryItemsMonth2Actuals" hidden="0" function="0" vbProcedure="0">#REF!</definedName>
    <definedName name="ExtraordinaryItemsMonth2Budget" hidden="0" function="0" vbProcedure="0">#REF!</definedName>
    <definedName name="ExtraordinaryItemsMonth3Actuals" hidden="0" function="0" vbProcedure="0">#REF!</definedName>
    <definedName name="ExtraordinaryItemsMonth3Budget" hidden="0" function="0" vbProcedure="0">#REF!</definedName>
    <definedName name="ExtraordinaryItemsMonth4Actuals" hidden="0" function="0" vbProcedure="0">#REF!</definedName>
    <definedName name="ExtraordinaryItemsMonth4Budget" hidden="0" function="0" vbProcedure="0">#REF!</definedName>
    <definedName name="ExtraordinaryItemsYTDActuals" hidden="0" function="0" vbProcedure="0">#REF!</definedName>
    <definedName name="ExtraordinaryItemsYTDBudget" hidden="0" function="0" vbProcedure="0">#REF!</definedName>
    <definedName name="EX_INDIA" hidden="0" function="0" vbProcedure="0">#REF!</definedName>
    <definedName name="EX_RATE" hidden="0" function="0" vbProcedure="0">#REF!</definedName>
    <definedName name="f" hidden="0" function="0" vbProcedure="0">#REF!</definedName>
    <definedName name="F.AP.180" hidden="0" function="0" vbProcedure="0">#REF!</definedName>
    <definedName name="f.asset" hidden="0" function="0" vbProcedure="0">#REF!</definedName>
    <definedName name="f.asset_4" hidden="0" function="0" vbProcedure="0">#REF!</definedName>
    <definedName name="F.PM.100" hidden="0" function="0" vbProcedure="0">#REF!</definedName>
    <definedName name="F.PM.110" hidden="0" function="0" vbProcedure="0">#REF!</definedName>
    <definedName name="F.PM.120" hidden="0" function="0" vbProcedure="0">#REF!</definedName>
    <definedName name="F.PM.130" hidden="0" function="0" vbProcedure="0">#REF!</definedName>
    <definedName name="F.PM.140" hidden="0" function="0" vbProcedure="0">#REF!</definedName>
    <definedName name="faperc" hidden="0" function="0" vbProcedure="0">#REF!</definedName>
    <definedName name="fcrtot" hidden="0" function="0" vbProcedure="0">#REF!</definedName>
    <definedName name="FEBDATA?" hidden="0" function="0" vbProcedure="0">#REF!</definedName>
    <definedName name="feb_ea" hidden="0" function="0" vbProcedure="0">#REF!</definedName>
    <definedName name="feb_ps" hidden="0" function="0" vbProcedure="0">#REF!</definedName>
    <definedName name="feb_rm" hidden="0" function="0" vbProcedure="0">#REF!</definedName>
    <definedName name="FEF" hidden="0" function="0" vbProcedure="0">#REF!</definedName>
    <definedName name="fefdays" hidden="0" function="0" vbProcedure="0">#REF!</definedName>
    <definedName name="FF" hidden="0" function="0" vbProcedure="0">#REF!</definedName>
    <definedName name="fg" hidden="0" function="0" vbProcedure="0">#REF!</definedName>
    <definedName name="fgg" hidden="0" function="0" vbProcedure="0">#REF!</definedName>
    <definedName name="fhh" hidden="0" function="0" vbProcedure="0">#REF!</definedName>
    <definedName name="FIN" hidden="0" function="0" vbProcedure="0">#REF!</definedName>
    <definedName name="FirstCommYr" hidden="0" function="0" vbProcedure="0">#REF!</definedName>
    <definedName name="FiscalYear" hidden="0" function="0" vbProcedure="0">#REF!</definedName>
    <definedName name="FIVEDAY" hidden="0" function="0" vbProcedure="0">#REF!</definedName>
    <definedName name="FiveMonthsBefore" hidden="0" function="0" vbProcedure="0">#REF!</definedName>
    <definedName name="Fixed" hidden="0" function="0" vbProcedure="0">#REF!</definedName>
    <definedName name="fixed_asset" hidden="0" function="0" vbProcedure="0">#REF!</definedName>
    <definedName name="FJK" hidden="0" function="0" vbProcedure="0">#REF!</definedName>
    <definedName name="fmperc" hidden="0" function="0" vbProcedure="0">#REF!</definedName>
    <definedName name="Forecast" hidden="0" function="0" vbProcedure="0">#REF!</definedName>
    <definedName name="Forecast_Summary" hidden="0" function="0" vbProcedure="0">#REF!</definedName>
    <definedName name="FOREIGNPAY" hidden="0" function="0" vbProcedure="0">#REF!</definedName>
    <definedName name="Form3CDFinal" hidden="0" function="0" vbProcedure="0">#REF!</definedName>
    <definedName name="Format" hidden="0" function="0" vbProcedure="0">#REF!</definedName>
    <definedName name="FourMonthsBefore" hidden="0" function="0" vbProcedure="0">#REF!</definedName>
    <definedName name="Fraction_Disbn_sys_ASI" hidden="0" function="0" vbProcedure="0">#REF!</definedName>
    <definedName name="Fraction_Disbn_sys_PRO_AC3" hidden="0" function="0" vbProcedure="0">#REF!</definedName>
    <definedName name="Fraction_Disbn_sys_PRO_AUD" hidden="0" function="0" vbProcedure="0">#REF!</definedName>
    <definedName name="Fraction_Disbn_sys_PRO_DVA" hidden="0" function="0" vbProcedure="0">#REF!</definedName>
    <definedName name="Fraction_Disbn_sys_PRO_IRD" hidden="0" function="0" vbProcedure="0">#REF!</definedName>
    <definedName name="Fraction_Disbn_sys_PRO_RAM1" hidden="0" function="0" vbProcedure="0">#REF!</definedName>
    <definedName name="Fraction_Disbn_sys_PRO_RAM2" hidden="0" function="0" vbProcedure="0">#REF!</definedName>
    <definedName name="Fraction_Disbn_sys_PRO_TSO" hidden="0" function="0" vbProcedure="0">#REF!</definedName>
    <definedName name="Fraction_Disbn_sys_PRO_TSO3" hidden="0" function="0" vbProcedure="0">#REF!</definedName>
    <definedName name="Fraction_Disbn_sys_PRO_TSOII" hidden="0" function="0" vbProcedure="0">#REF!</definedName>
    <definedName name="Fraction_Disbn_sys_PRO_TXT" hidden="0" function="0" vbProcedure="0">#REF!</definedName>
    <definedName name="Fraction_Disbn_sys_PRO_TXT_UK" hidden="0" function="0" vbProcedure="0">#REF!</definedName>
    <definedName name="Fraction_Disbn_sys_PRO_VBI" hidden="0" function="0" vbProcedure="0">#REF!</definedName>
    <definedName name="Fraction_Euro_Irdeto_FW" hidden="0" function="0" vbProcedure="0">#REF!</definedName>
    <definedName name="Fraction_Fast_Irdeto_FW" hidden="0" function="0" vbProcedure="0">#REF!</definedName>
    <definedName name="Fraction_NDS_CA" hidden="0" function="0" vbProcedure="0">#REF!</definedName>
    <definedName name="FRAN" hidden="0" function="0" vbProcedure="0">#REF!</definedName>
    <definedName name="FRANCE" hidden="0" function="0" vbProcedure="0">#REF!</definedName>
    <definedName name="fRANCIS" hidden="0" function="0" vbProcedure="0">#REF!</definedName>
    <definedName name="frate" hidden="0" function="0" vbProcedure="0">#REF!</definedName>
    <definedName name="frncis" hidden="0" function="0" vbProcedure="0">#REF!</definedName>
    <definedName name="FS" hidden="0" function="0" vbProcedure="0">#REF!</definedName>
    <definedName name="FST" hidden="0" function="0" vbProcedure="0">#REF!</definedName>
    <definedName name="FUEL" hidden="0" function="0" vbProcedure="0">#REF!</definedName>
    <definedName name="Furnitures" hidden="0" function="0" vbProcedure="0">#REF!</definedName>
    <definedName name="FXRATE1" hidden="0" function="0" vbProcedure="0">#REF!</definedName>
    <definedName name="F_F" hidden="0" function="0" vbProcedure="0">#REF!</definedName>
    <definedName name="F_Patel" hidden="0" function="0" vbProcedure="0">#REF!</definedName>
    <definedName name="g" hidden="0" function="0" vbProcedure="0">#REF!</definedName>
    <definedName name="gail" hidden="0" function="0" vbProcedure="0">#REF!</definedName>
    <definedName name="GDF" hidden="0" function="0" vbProcedure="0">#REF!</definedName>
    <definedName name="GeneralExp" hidden="0" function="0" vbProcedure="0">#REF!</definedName>
    <definedName name="Genesc" hidden="0" function="0" vbProcedure="0">#REF!</definedName>
    <definedName name="GERM" hidden="0" function="0" vbProcedure="0">#REF!</definedName>
    <definedName name="GERMANY" hidden="0" function="0" vbProcedure="0">#REF!</definedName>
    <definedName name="gg" hidden="0" function="0" vbProcedure="0">#REF!</definedName>
    <definedName name="ggggg" hidden="0" function="0" vbProcedure="0">#REF!</definedName>
    <definedName name="ggnemp" hidden="0" function="0" vbProcedure="0">#REF!</definedName>
    <definedName name="GITA_DANG" hidden="0" function="0" vbProcedure="0">#REF!</definedName>
    <definedName name="Global_Sales_Entitywise" hidden="0" function="0" vbProcedure="0">#REF!</definedName>
    <definedName name="Global_Sales_Month" hidden="0" function="0" vbProcedure="0">#REF!</definedName>
    <definedName name="Global_Sales_Ytd" hidden="0" function="0" vbProcedure="0">#REF!</definedName>
    <definedName name="glperc" hidden="0" function="0" vbProcedure="0">#REF!</definedName>
    <definedName name="gmr" hidden="0" function="0" vbProcedure="0">#REF!</definedName>
    <definedName name="goatrial" hidden="0" function="0" vbProcedure="0">#REF!</definedName>
    <definedName name="Government_Revenue" hidden="0" function="0" vbProcedure="0">#REF!</definedName>
    <definedName name="Grand_Total" hidden="0" function="0" vbProcedure="0">#REF!</definedName>
    <definedName name="Graph10" hidden="0" function="0" vbProcedure="0">#REF!</definedName>
    <definedName name="Graph11" hidden="0" function="0" vbProcedure="0">#REF!</definedName>
    <definedName name="Graph12" hidden="0" function="0" vbProcedure="0">#REF!</definedName>
    <definedName name="Graph7" hidden="0" function="0" vbProcedure="0">#REF!</definedName>
    <definedName name="Graph8" hidden="0" function="0" vbProcedure="0">#REF!</definedName>
    <definedName name="Graph9" hidden="0" function="0" vbProcedure="0">#REF!</definedName>
    <definedName name="grasim" hidden="0" function="0" vbProcedure="0">#REF!</definedName>
    <definedName name="Gratuity" hidden="0" function="0" vbProcedure="0">#REF!</definedName>
    <definedName name="GROSSBLOCK" hidden="0" function="0" vbProcedure="0">#REF!</definedName>
    <definedName name="GROSSPFT" hidden="0" function="0" vbProcedure="0">#REF!</definedName>
    <definedName name="Gross_Margin___Rs_M" hidden="0" function="0" vbProcedure="0">#REF!</definedName>
    <definedName name="Gross_Margin___Rs_M_4" hidden="0" function="0" vbProcedure="0">#REF!</definedName>
    <definedName name="Group" hidden="0" function="0" vbProcedure="0">#REF!</definedName>
    <definedName name="Grouped" hidden="0" function="0" vbProcedure="0">#REF!</definedName>
    <definedName name="groupings" hidden="0" function="0" vbProcedure="0">#REF!</definedName>
    <definedName name="GTFixedPrice" hidden="0" function="0" vbProcedure="0">#REF!</definedName>
    <definedName name="GTScaler" hidden="0" function="0" vbProcedure="0">#REF!</definedName>
    <definedName name="GTVariablePrice" hidden="0" function="0" vbProcedure="0">#REF!</definedName>
    <definedName name="gujaratalka" hidden="0" function="0" vbProcedure="0">#REF!</definedName>
    <definedName name="gujaratambuja" hidden="0" function="0" vbProcedure="0">#REF!</definedName>
    <definedName name="gytuy" hidden="0" function="0" vbProcedure="0">#REF!</definedName>
    <definedName name="G_Dang" hidden="0" function="0" vbProcedure="0">#REF!</definedName>
    <definedName name="h" hidden="0" function="0" vbProcedure="0">#REF!</definedName>
    <definedName name="H26B" hidden="0" function="0" vbProcedure="0">#REF!</definedName>
    <definedName name="hcad" hidden="0" function="0" vbProcedure="0">#REF!</definedName>
    <definedName name="hceng" hidden="0" function="0" vbProcedure="0">#REF!</definedName>
    <definedName name="hdfc" hidden="0" function="0" vbProcedure="0">#REF!</definedName>
    <definedName name="hdfcbank" hidden="0" function="0" vbProcedure="0">#REF!</definedName>
    <definedName name="Header" hidden="0" function="0" vbProcedure="0">#REF!</definedName>
    <definedName name="HEAVEN" hidden="0" function="0" vbProcedure="0">#REF!</definedName>
    <definedName name="herohonda" hidden="0" function="0" vbProcedure="0">#REF!</definedName>
    <definedName name="hgfhgg" hidden="0" function="0" vbProcedure="0">#REF!</definedName>
    <definedName name="hhuty" hidden="0" function="0" vbProcedure="0">#REF!</definedName>
    <definedName name="hi" hidden="0" function="0" vbProcedure="0">#REF!</definedName>
    <definedName name="Highlights" hidden="0" function="0" vbProcedure="0">#REF!</definedName>
    <definedName name="hi_13" hidden="0" function="0" vbProcedure="0">#REF!</definedName>
    <definedName name="HKIS2Q2" hidden="0" function="0" vbProcedure="0">#REF!</definedName>
    <definedName name="HKIS3Q2" hidden="0" function="0" vbProcedure="0">#REF!</definedName>
    <definedName name="hlh" hidden="0" function="0" vbProcedure="0">#REF!</definedName>
    <definedName name="HOInterestMonth1Budget" hidden="0" function="0" vbProcedure="0">#REF!</definedName>
    <definedName name="HOInterestUnpaidMonth1Actuals" hidden="0" function="0" vbProcedure="0">#REF!</definedName>
    <definedName name="HOInterestUnpaidMonth1Budget" hidden="0" function="0" vbProcedure="0">#REF!</definedName>
    <definedName name="HOInterestUnpaidMonth2Actuals" hidden="0" function="0" vbProcedure="0">#REF!</definedName>
    <definedName name="HOInterestUnpaidMonth2Budget" hidden="0" function="0" vbProcedure="0">#REF!</definedName>
    <definedName name="HOInterestUnpaidMonth3Actuals" hidden="0" function="0" vbProcedure="0">#REF!</definedName>
    <definedName name="HOInterestUnpaidMonth3Budget" hidden="0" function="0" vbProcedure="0">#REF!</definedName>
    <definedName name="HOInterestUnpaidMonth4Actuals" hidden="0" function="0" vbProcedure="0">#REF!</definedName>
    <definedName name="HOInterestUnpaidMonth4Budget" hidden="0" function="0" vbProcedure="0">#REF!</definedName>
    <definedName name="HOInterestUnpaidYTDActuals" hidden="0" function="0" vbProcedure="0">#REF!</definedName>
    <definedName name="HOInterestUnpaidYTDBudget" hidden="0" function="0" vbProcedure="0">#REF!</definedName>
    <definedName name="HOLL" hidden="0" function="0" vbProcedure="0">#REF!</definedName>
    <definedName name="HOLLAND" hidden="0" function="0" vbProcedure="0">#REF!</definedName>
    <definedName name="hrperc" hidden="0" function="0" vbProcedure="0">#REF!</definedName>
    <definedName name="HRSGFlow" hidden="0" function="0" vbProcedure="0">#REF!</definedName>
    <definedName name="hsprtot" hidden="0" function="0" vbProcedure="0">#REF!</definedName>
    <definedName name="hydro" hidden="0" function="0" vbProcedure="0">#REF!</definedName>
    <definedName name="ICEUR" hidden="0" function="0" vbProcedure="0">#REF!</definedName>
    <definedName name="ICEURUSD" hidden="0" function="0" vbProcedure="0">#REF!</definedName>
    <definedName name="IDC_Diff" hidden="0" function="0" vbProcedure="0">[1]Debt!$I$159</definedName>
    <definedName name="iflexsolutions" hidden="0" function="0" vbProcedure="0">#REF!</definedName>
    <definedName name="ii" hidden="0" function="0" vbProcedure="0">#REF!</definedName>
    <definedName name="IIS3Q2" hidden="0" function="0" vbProcedure="0">#REF!</definedName>
    <definedName name="IK" hidden="0" function="0" vbProcedure="0">#REF!</definedName>
    <definedName name="ILT" hidden="0" function="0" vbProcedure="0">#REF!</definedName>
    <definedName name="imperc" hidden="0" function="0" vbProcedure="0">#REF!</definedName>
    <definedName name="INCENTIVES" hidden="0" function="0" vbProcedure="0">#REF!</definedName>
    <definedName name="income" hidden="0" function="0" vbProcedure="0">#REF!</definedName>
    <definedName name="IncrementalSalesTaxMonth1Budget" hidden="0" function="0" vbProcedure="0">#REF!</definedName>
    <definedName name="INDEX" hidden="0" function="0" vbProcedure="0">#REF!</definedName>
    <definedName name="INDEX_ANNEXURE" hidden="0" function="0" vbProcedure="0">#REF!</definedName>
    <definedName name="INDEX_GLANCE" hidden="0" function="0" vbProcedure="0">#REF!</definedName>
    <definedName name="india" hidden="0" function="0" vbProcedure="0">#REF!</definedName>
    <definedName name="indianpetro" hidden="0" function="0" vbProcedure="0">#REF!</definedName>
    <definedName name="INDIA_PLASTIC_in_KUSD" hidden="0" function="0" vbProcedure="0">#REF!</definedName>
    <definedName name="INDIA_PLASTIC_in_KUSD_4" hidden="0" function="0" vbProcedure="0">#REF!</definedName>
    <definedName name="InevitableBudgetedCompletionDate" hidden="0" function="0" vbProcedure="0">#REF!</definedName>
    <definedName name="InevitableCommitted" hidden="0" function="0" vbProcedure="0">#REF!</definedName>
    <definedName name="InevitableExpectedCompletionDate" hidden="0" function="0" vbProcedure="0">#REF!</definedName>
    <definedName name="InevitableExpectedTotalExpenditure" hidden="0" function="0" vbProcedure="0">#REF!</definedName>
    <definedName name="InevitableExpenditureToDate" hidden="0" function="0" vbProcedure="0">#REF!</definedName>
    <definedName name="InevitablePercentComp." hidden="0" function="0" vbProcedure="0">#REF!</definedName>
    <definedName name="InevitablePercentSanctioned" hidden="0" function="0" vbProcedure="0">#REF!</definedName>
    <definedName name="InevitableReviewRequired" hidden="0" function="0" vbProcedure="0">#REF!</definedName>
    <definedName name="InevitableSanctioned" hidden="0" function="0" vbProcedure="0">#REF!</definedName>
    <definedName name="infosystech" hidden="0" function="0" vbProcedure="0">#REF!</definedName>
    <definedName name="INPUT" hidden="0" function="0" vbProcedure="0">#REF!</definedName>
    <definedName name="INRATE1" hidden="0" function="0" vbProcedure="0">#REF!</definedName>
    <definedName name="interco_bal_break_up" hidden="0" function="0" vbProcedure="0">#REF!</definedName>
    <definedName name="INTEREST" hidden="0" function="0" vbProcedure="0">#REF!</definedName>
    <definedName name="InterestOnDebtMonth1Actuals" hidden="0" function="0" vbProcedure="0">#REF!</definedName>
    <definedName name="InterestOnDebtMonth1Budget" hidden="0" function="0" vbProcedure="0">#REF!</definedName>
    <definedName name="InterestOnDebtMonth2Actuals" hidden="0" function="0" vbProcedure="0">#REF!</definedName>
    <definedName name="InterestOnDebtMonth2Budget" hidden="0" function="0" vbProcedure="0">#REF!</definedName>
    <definedName name="InterestOnDebtMonth3Actuals" hidden="0" function="0" vbProcedure="0">#REF!</definedName>
    <definedName name="InterestOnDebtMonth3Budget" hidden="0" function="0" vbProcedure="0">#REF!</definedName>
    <definedName name="InterestOnDebtMonth4Actuals" hidden="0" function="0" vbProcedure="0">#REF!</definedName>
    <definedName name="InterestOnDebtMonth4Budget" hidden="0" function="0" vbProcedure="0">#REF!</definedName>
    <definedName name="InterestOnDebtYTDActuals" hidden="0" function="0" vbProcedure="0">#REF!</definedName>
    <definedName name="InterestOnDebtYTDBudget" hidden="0" function="0" vbProcedure="0">#REF!</definedName>
    <definedName name="interest_234_a_b_c" hidden="0" function="0" vbProcedure="0">#REF!</definedName>
    <definedName name="IntroPrintArea" hidden="1" function="0" vbProcedure="0">#REF!</definedName>
    <definedName name="INV" hidden="0" function="0" vbProcedure="0">#REF!</definedName>
    <definedName name="investment" hidden="0" function="0" vbProcedure="0">#REF!</definedName>
    <definedName name="invperc" hidden="0" function="0" vbProcedure="0">#REF!</definedName>
    <definedName name="iob" hidden="0" function="0" vbProcedure="0">#REF!</definedName>
    <definedName name="IPR" hidden="0" function="0" vbProcedure="0">#REF!</definedName>
    <definedName name="IQ_CH" hidden="0" function="0" vbProcedure="0">110000</definedName>
    <definedName name="IQ_CQ" hidden="0" function="0" vbProcedure="0">5000</definedName>
    <definedName name="IQ_CY" hidden="0" function="0" vbProcedure="0">10000</definedName>
    <definedName name="IQ_DAILY" hidden="0" function="0" vbProcedure="0">500000</definedName>
    <definedName name="IQ_DNTM" hidden="1" function="0" vbProcedure="0">700000</definedName>
    <definedName name="IQ_FH" hidden="0" function="0" vbProcedure="0">100000</definedName>
    <definedName name="IQ_FQ" hidden="0" function="0" vbProcedure="0">500</definedName>
    <definedName name="IQ_FWD_CY" hidden="1" function="0" vbProcedure="0">10001</definedName>
    <definedName name="IQ_FWD_CY1" hidden="1" function="0" vbProcedure="0">10002</definedName>
    <definedName name="IQ_FWD_CY2" hidden="1" function="0" vbProcedure="0">10003</definedName>
    <definedName name="IQ_FWD_FY" hidden="1" function="0" vbProcedure="0">1001</definedName>
    <definedName name="IQ_FWD_FY1" hidden="1" function="0" vbProcedure="0">1002</definedName>
    <definedName name="IQ_FWD_FY2" hidden="1" function="0" vbProcedure="0">1003</definedName>
    <definedName name="IQ_FWD_Q" hidden="1" function="0" vbProcedure="0">501</definedName>
    <definedName name="IQ_FWD_Q1" hidden="1" function="0" vbProcedure="0">502</definedName>
    <definedName name="IQ_FWD_Q2" hidden="1" function="0" vbProcedure="0">503</definedName>
    <definedName name="IQ_FY" hidden="0" function="0" vbProcedure="0">1000</definedName>
    <definedName name="IQ_LATESTK" hidden="1" function="0" vbProcedure="0">1000</definedName>
    <definedName name="IQ_LATESTQ" hidden="1" function="0" vbProcedure="0">500</definedName>
    <definedName name="IQ_LTM" hidden="0" function="0" vbProcedure="0">2000</definedName>
    <definedName name="IQ_LTMMONTH" hidden="1" function="0" vbProcedure="0">120000</definedName>
    <definedName name="IQ_MONTH" hidden="0" function="0" vbProcedure="0">15000</definedName>
    <definedName name="IQ_MTD" hidden="1" function="0" vbProcedure="0">800000</definedName>
    <definedName name="IQ_NAMES_REVISION_DATE_" hidden="1" function="0" vbProcedure="0">"03/17/2022 01:13:03"</definedName>
    <definedName name="IQ_NTM" hidden="0" function="0" vbProcedure="0">6000</definedName>
    <definedName name="IQ_QTD" hidden="1" function="0" vbProcedure="0">750000</definedName>
    <definedName name="IQ_TODAY" hidden="1" function="0" vbProcedure="0">0</definedName>
    <definedName name="IQ_WEEK" hidden="0" function="0" vbProcedure="0">50000</definedName>
    <definedName name="IQ_YTD" hidden="0" function="0" vbProcedure="0">3000</definedName>
    <definedName name="IQ_YTDMONTH" hidden="1" function="0" vbProcedure="0">130000</definedName>
    <definedName name="IRA" hidden="0" function="0" vbProcedure="0">#REF!</definedName>
    <definedName name="IRR_U" hidden="0" function="0" vbProcedure="0">[1]IRR!$J$47</definedName>
    <definedName name="ismrtot" hidden="0" function="0" vbProcedure="0">#REF!</definedName>
    <definedName name="ITAL" hidden="0" function="0" vbProcedure="0">#REF!</definedName>
    <definedName name="ITALY" hidden="0" function="0" vbProcedure="0">#REF!</definedName>
    <definedName name="itc" hidden="0" function="0" vbProcedure="0">#REF!</definedName>
    <definedName name="iupquweur" hidden="0" function="0" vbProcedure="0">#REF!</definedName>
    <definedName name="iv" hidden="0" function="0" vbProcedure="0">#REF!</definedName>
    <definedName name="J" hidden="0" function="0" vbProcedure="0">#REF!</definedName>
    <definedName name="JA" hidden="0" function="0" vbProcedure="0">#REF!</definedName>
    <definedName name="JANDATA?" hidden="0" function="0" vbProcedure="0">#REF!</definedName>
    <definedName name="JAPA" hidden="0" function="0" vbProcedure="0">#REF!</definedName>
    <definedName name="Japan" hidden="0" function="0" vbProcedure="0">#REF!</definedName>
    <definedName name="jdjjdjd" hidden="0" function="0" vbProcedure="0">#REF!</definedName>
    <definedName name="JECODE" hidden="0" function="0" vbProcedure="0">#REF!</definedName>
    <definedName name="JECODE2005" hidden="0" function="0" vbProcedure="0">#REF!</definedName>
    <definedName name="JECODE2006" hidden="0" function="0" vbProcedure="0">#REF!</definedName>
    <definedName name="JECODEA12008" hidden="0" function="0" vbProcedure="0">#REF!</definedName>
    <definedName name="JECODEA22008" hidden="0" function="0" vbProcedure="0">#REF!</definedName>
    <definedName name="JECODEA32008" hidden="0" function="0" vbProcedure="0">#REF!</definedName>
    <definedName name="JECODEA42008" hidden="0" function="0" vbProcedure="0">#REF!</definedName>
    <definedName name="JECREDIT" hidden="0" function="0" vbProcedure="0">#REF!</definedName>
    <definedName name="JECREDIT2005" hidden="0" function="0" vbProcedure="0">#REF!</definedName>
    <definedName name="JECREDIT2006" hidden="0" function="0" vbProcedure="0">#REF!</definedName>
    <definedName name="JECREDITA12008" hidden="0" function="0" vbProcedure="0">#REF!</definedName>
    <definedName name="JECREDITA22008" hidden="0" function="0" vbProcedure="0">#REF!</definedName>
    <definedName name="JECREDITA32008" hidden="0" function="0" vbProcedure="0">#REF!</definedName>
    <definedName name="JECREDITA42008" hidden="0" function="0" vbProcedure="0">#REF!</definedName>
    <definedName name="JEDEBIT" hidden="0" function="0" vbProcedure="0">#REF!</definedName>
    <definedName name="JEDEBIT2005" hidden="0" function="0" vbProcedure="0">#REF!</definedName>
    <definedName name="JEDEBIT2006" hidden="0" function="0" vbProcedure="0">#REF!</definedName>
    <definedName name="JEDEBITA12008" hidden="0" function="0" vbProcedure="0">#REF!</definedName>
    <definedName name="JEDEBITA22008" hidden="0" function="0" vbProcedure="0">#REF!</definedName>
    <definedName name="JEDEBITA32008" hidden="0" function="0" vbProcedure="0">#REF!</definedName>
    <definedName name="JEDEBITA42008" hidden="0" function="0" vbProcedure="0">#REF!</definedName>
    <definedName name="JournalCode" hidden="0" function="0" vbProcedure="0">#REF!</definedName>
    <definedName name="JOYLYN_FERNANDE" hidden="0" function="0" vbProcedure="0">#REF!</definedName>
    <definedName name="JRHOLMES" hidden="0" function="0" vbProcedure="0">#REF!</definedName>
    <definedName name="JULDATA?" hidden="0" function="0" vbProcedure="0">#REF!</definedName>
    <definedName name="JULY" hidden="0" function="0" vbProcedure="0">#REF!</definedName>
    <definedName name="JUNDATA?" hidden="0" function="0" vbProcedure="0">#REF!</definedName>
    <definedName name="JUNE" hidden="0" function="0" vbProcedure="0">#REF!</definedName>
    <definedName name="June09" hidden="0" function="0" vbProcedure="0">#REF!</definedName>
    <definedName name="JVs_Subsidiaries_Sales_Local_Currency" hidden="0" function="0" vbProcedure="0">#REF!</definedName>
    <definedName name="JVs_Subsidiaries_Sales_US___000" hidden="0" function="0" vbProcedure="0">#REF!</definedName>
    <definedName name="JV_ADJ_31399" hidden="0" function="0" vbProcedure="0">#REF!</definedName>
    <definedName name="J_Fernandes" hidden="0" function="0" vbProcedure="0">#REF!</definedName>
    <definedName name="K" hidden="0" function="0" vbProcedure="0">#REF!</definedName>
    <definedName name="KA" hidden="0" function="0" vbProcedure="0">#REF!</definedName>
    <definedName name="kakdk" hidden="0" function="0" vbProcedure="0">#REF!</definedName>
    <definedName name="KAREN_ALI" hidden="0" function="0" vbProcedure="0">#REF!</definedName>
    <definedName name="KAREN_JANE" hidden="0" function="0" vbProcedure="0">#REF!</definedName>
    <definedName name="karnatakabank" hidden="0" function="0" vbProcedure="0">#REF!</definedName>
    <definedName name="kdidkd" hidden="0" function="0" vbProcedure="0">#REF!</definedName>
    <definedName name="Key_A1_CAT" hidden="0" function="0" vbProcedure="0">#REF!</definedName>
    <definedName name="Key_A1_ELEM" hidden="0" function="0" vbProcedure="0">#REF!</definedName>
    <definedName name="Key_A1_OPSEC" hidden="0" function="0" vbProcedure="0">#REF!</definedName>
    <definedName name="Key_A1_PER" hidden="0" function="0" vbProcedure="0">#REF!</definedName>
    <definedName name="Key_A1_TCUR" hidden="0" function="0" vbProcedure="0">#REF!</definedName>
    <definedName name="Key_A1_TOFR" hidden="0" function="0" vbProcedure="0">#REF!</definedName>
    <definedName name="Key_A1_UNIT" hidden="0" function="0" vbProcedure="0">#REF!</definedName>
    <definedName name="Key_A_CAT" hidden="0" function="0" vbProcedure="0">#REF!</definedName>
    <definedName name="Key_A_ELEM" hidden="0" function="0" vbProcedure="0">#REF!</definedName>
    <definedName name="Key_A_OPSEC" hidden="0" function="0" vbProcedure="0">#REF!</definedName>
    <definedName name="Key_A_PER" hidden="0" function="0" vbProcedure="0">#REF!</definedName>
    <definedName name="Key_A_TCUR" hidden="0" function="0" vbProcedure="0">#REF!</definedName>
    <definedName name="Key_A_TOFR" hidden="0" function="0" vbProcedure="0">#REF!</definedName>
    <definedName name="Key_A_UNIT" hidden="0" function="0" vbProcedure="0">#REF!</definedName>
    <definedName name="Key_C_CAT" hidden="0" function="0" vbProcedure="0">#REF!</definedName>
    <definedName name="Key_C_ELEM" hidden="0" function="0" vbProcedure="0">#REF!</definedName>
    <definedName name="Key_C_OPSEC" hidden="0" function="0" vbProcedure="0">#REF!</definedName>
    <definedName name="Key_C_PER" hidden="0" function="0" vbProcedure="0">#REF!</definedName>
    <definedName name="Key_C_TCUR" hidden="0" function="0" vbProcedure="0">#REF!</definedName>
    <definedName name="Key_C_TOFR" hidden="0" function="0" vbProcedure="0">#REF!</definedName>
    <definedName name="Key_C_UNIT" hidden="0" function="0" vbProcedure="0">#REF!</definedName>
    <definedName name="kfndg" hidden="0" function="0" vbProcedure="0">#REF!</definedName>
    <definedName name="KGM" hidden="0" function="0" vbProcedure="0">#REF!</definedName>
    <definedName name="khkh" hidden="0" function="0" vbProcedure="0">#REF!</definedName>
    <definedName name="KIS" hidden="0" function="0" vbProcedure="0">#REF!</definedName>
    <definedName name="kjadfadkj" hidden="0" function="0" vbProcedure="0">#REF!</definedName>
    <definedName name="KOREA_PLASTIC_in_KUSD" hidden="0" function="0" vbProcedure="0">#REF!</definedName>
    <definedName name="KOREA_PLASTIC_in_KUSD_4" hidden="0" function="0" vbProcedure="0">#REF!</definedName>
    <definedName name="ksjgfd" hidden="0" function="0" vbProcedure="0">#REF!</definedName>
    <definedName name="ksr" hidden="0" function="0" vbProcedure="0">#REF!</definedName>
    <definedName name="kurtot" hidden="0" function="0" vbProcedure="0">#REF!</definedName>
    <definedName name="LABOR3" hidden="0" function="0" vbProcedure="0">#REF!</definedName>
    <definedName name="LAC" hidden="0" function="0" vbProcedure="0">#REF!</definedName>
    <definedName name="LAC_13" hidden="0" function="0" vbProcedure="0">#REF!</definedName>
    <definedName name="LAC_4" hidden="0" function="0" vbProcedure="0">#REF!</definedName>
    <definedName name="lakhdjal" hidden="0" function="0" vbProcedure="0">#REF!</definedName>
    <definedName name="LAND" hidden="0" function="0" vbProcedure="0">#REF!</definedName>
    <definedName name="Land_adv" hidden="0" function="0" vbProcedure="0">#REF!</definedName>
    <definedName name="Last_Year" hidden="0" function="0" vbProcedure="0">#REF!</definedName>
    <definedName name="Leasehold" hidden="0" function="0" vbProcedure="0">#REF!</definedName>
    <definedName name="LessLoanPavmentMonth1Actuals" hidden="0" function="0" vbProcedure="0">#REF!</definedName>
    <definedName name="LessLoanPavmentMonth1Budget" hidden="0" function="0" vbProcedure="0">#REF!</definedName>
    <definedName name="LessLoanPavmentMonth2Actuals" hidden="0" function="0" vbProcedure="0">#REF!</definedName>
    <definedName name="LessLoanPavmentMonth2Budget" hidden="0" function="0" vbProcedure="0">#REF!</definedName>
    <definedName name="LessLoanPavmentMonth3Actuals" hidden="0" function="0" vbProcedure="0">#REF!</definedName>
    <definedName name="LessLoanPavmentMonth3Budget" hidden="0" function="0" vbProcedure="0">#REF!</definedName>
    <definedName name="LessLoanPavmentMonth4Actuals" hidden="0" function="0" vbProcedure="0">#REF!</definedName>
    <definedName name="LessLoanPavmentMonth4Budget" hidden="0" function="0" vbProcedure="0">#REF!</definedName>
    <definedName name="LessLoanPavmentYTDActuals" hidden="0" function="0" vbProcedure="0">#REF!</definedName>
    <definedName name="LessLoanPavmentYTDBudget" hidden="0" function="0" vbProcedure="0">#REF!</definedName>
    <definedName name="LevMaint_" hidden="0" function="0" vbProcedure="0">#REF!</definedName>
    <definedName name="lf" hidden="0" function="0" vbProcedure="0">#REF!</definedName>
    <definedName name="limcount" hidden="1" function="0" vbProcedure="0">2</definedName>
    <definedName name="list" hidden="0" function="0" vbProcedure="0">#REF!</definedName>
    <definedName name="LKJL" hidden="0" function="0" vbProcedure="0">#REF!</definedName>
    <definedName name="lkkkk" hidden="0" function="0" vbProcedure="0">#REF!</definedName>
    <definedName name="lmperc" hidden="0" function="0" vbProcedure="0">#REF!</definedName>
    <definedName name="loans_adv" hidden="0" function="0" vbProcedure="0">#REF!</definedName>
    <definedName name="LocalPay" hidden="0" function="0" vbProcedure="0">#REF!</definedName>
    <definedName name="LP" hidden="0" function="0" vbProcedure="0">#REF!</definedName>
    <definedName name="L_TCost" hidden="0" function="0" vbProcedure="0">#REF!</definedName>
    <definedName name="M" hidden="0" function="0" vbProcedure="0">#REF!</definedName>
    <definedName name="macmillan" hidden="0" function="0" vbProcedure="0">#REF!</definedName>
    <definedName name="macperc" hidden="0" function="0" vbProcedure="0">#REF!</definedName>
    <definedName name="Magix_Sales___JFM_2001" hidden="0" function="0" vbProcedure="0">#REF!</definedName>
    <definedName name="mahesh" hidden="0" function="0" vbProcedure="0">#REF!</definedName>
    <definedName name="mahindra" hidden="0" function="0" vbProcedure="0">#REF!</definedName>
    <definedName name="MAINCOMP" hidden="0" function="0" vbProcedure="0">#REF!</definedName>
    <definedName name="MAIN_TB31399" hidden="0" function="0" vbProcedure="0">#REF!</definedName>
    <definedName name="MAJOR" hidden="0" function="0" vbProcedure="0">#REF!</definedName>
    <definedName name="MAJORFUND" hidden="0" function="0" vbProcedure="0">#REF!</definedName>
    <definedName name="MakeUpGPH" hidden="0" function="0" vbProcedure="0">#REF!</definedName>
    <definedName name="malli" hidden="0" function="0" vbProcedure="0">#REF!</definedName>
    <definedName name="management_revenue" hidden="0" function="0" vbProcedure="0">#REF!</definedName>
    <definedName name="MARCH" hidden="0" function="0" vbProcedure="0">#REF!</definedName>
    <definedName name="MARDATA?" hidden="0" function="0" vbProcedure="0">#REF!</definedName>
    <definedName name="MARIYA_RAPOSE" hidden="0" function="0" vbProcedure="0">#REF!</definedName>
    <definedName name="Marketing_managerwise_Global_Sales" hidden="0" function="0" vbProcedure="0">#REF!</definedName>
    <definedName name="matcomp" hidden="0" function="0" vbProcedure="0">#REF!</definedName>
    <definedName name="matnotes" hidden="0" function="0" vbProcedure="0">#REF!</definedName>
    <definedName name="MAXIM_ROTCONFIRMATIONOFRELEASE" hidden="0" function="0" vbProcedure="0">#REF!</definedName>
    <definedName name="MAY" hidden="0" function="0" vbProcedure="0">#REF!</definedName>
    <definedName name="MAYDATA?" hidden="0" function="0" vbProcedure="0">#REF!</definedName>
    <definedName name="mcdowell" hidden="0" function="0" vbProcedure="0">#REF!</definedName>
    <definedName name="MCF" hidden="0" function="0" vbProcedure="0">#REF!</definedName>
    <definedName name="MDEVISES" hidden="0" function="0" vbProcedure="0">#REF!</definedName>
    <definedName name="MDEVISES_13" hidden="0" function="0" vbProcedure="0">#REF!</definedName>
    <definedName name="MDEVISES_4" hidden="0" function="0" vbProcedure="0">#REF!</definedName>
    <definedName name="mdptot" hidden="0" function="0" vbProcedure="0">#REF!</definedName>
    <definedName name="mdrtot" hidden="0" function="0" vbProcedure="0">#REF!</definedName>
    <definedName name="MED_ALLOW_NT" hidden="0" function="0" vbProcedure="0">#REF!</definedName>
    <definedName name="MEENA_JAGTIANI" hidden="0" function="0" vbProcedure="0">#REF!</definedName>
    <definedName name="MethodAcc_13" hidden="0" function="0" vbProcedure="0">#REF!</definedName>
    <definedName name="MethodAcc_4" hidden="0" function="0" vbProcedure="0">#REF!</definedName>
    <definedName name="MFRF" hidden="0" function="0" vbProcedure="0">#REF!</definedName>
    <definedName name="MFRF_13" hidden="0" function="0" vbProcedure="0">#REF!</definedName>
    <definedName name="MFRF_4" hidden="0" function="0" vbProcedure="0">#REF!</definedName>
    <definedName name="MK11USD" hidden="0" function="0" vbProcedure="0">#REF!</definedName>
    <definedName name="MK11USD_13" hidden="0" function="0" vbProcedure="0">#REF!</definedName>
    <definedName name="MK11USD_4" hidden="0" function="0" vbProcedure="0">#REF!</definedName>
    <definedName name="MK11USD_7" hidden="0" function="0" vbProcedure="0">#REF!</definedName>
    <definedName name="MKT10LC" hidden="0" function="0" vbProcedure="0">#REF!</definedName>
    <definedName name="MKT10LC_13" hidden="0" function="0" vbProcedure="0">#REF!</definedName>
    <definedName name="MKT10LC_4" hidden="0" function="0" vbProcedure="0">#REF!</definedName>
    <definedName name="MKT10LC_7" hidden="0" function="0" vbProcedure="0">#REF!</definedName>
    <definedName name="Mkt10Local" hidden="0" function="0" vbProcedure="0">#REF!</definedName>
    <definedName name="Mkt10Local_13" hidden="0" function="0" vbProcedure="0">#REF!</definedName>
    <definedName name="Mkt10Local_4" hidden="0" function="0" vbProcedure="0">#REF!</definedName>
    <definedName name="Mkt10Local_7" hidden="0" function="0" vbProcedure="0">#REF!</definedName>
    <definedName name="Mkt10USD" hidden="0" function="0" vbProcedure="0">#REF!</definedName>
    <definedName name="Mkt10USD_13" hidden="0" function="0" vbProcedure="0">#REF!</definedName>
    <definedName name="Mkt10USD_4" hidden="0" function="0" vbProcedure="0">#REF!</definedName>
    <definedName name="Mkt10USD_7" hidden="0" function="0" vbProcedure="0">#REF!</definedName>
    <definedName name="MKT10_13" hidden="0" function="0" vbProcedure="0">#REF!</definedName>
    <definedName name="MKT10_4" hidden="0" function="0" vbProcedure="0">#REF!</definedName>
    <definedName name="MKT10_7" hidden="0" function="0" vbProcedure="0">#REF!</definedName>
    <definedName name="MKT11LC" hidden="0" function="0" vbProcedure="0">#REF!</definedName>
    <definedName name="MKT11LC_13" hidden="0" function="0" vbProcedure="0">#REF!</definedName>
    <definedName name="MKT11LC_4" hidden="0" function="0" vbProcedure="0">#REF!</definedName>
    <definedName name="MKT11LC_7" hidden="0" function="0" vbProcedure="0">#REF!</definedName>
    <definedName name="Mkt11Local" hidden="0" function="0" vbProcedure="0">#REF!</definedName>
    <definedName name="Mkt11Local_13" hidden="0" function="0" vbProcedure="0">#REF!</definedName>
    <definedName name="Mkt11Local_4" hidden="0" function="0" vbProcedure="0">#REF!</definedName>
    <definedName name="Mkt11Local_7" hidden="0" function="0" vbProcedure="0">#REF!</definedName>
    <definedName name="Mkt11USD" hidden="0" function="0" vbProcedure="0">#REF!</definedName>
    <definedName name="Mkt11USD_13" hidden="0" function="0" vbProcedure="0">#REF!</definedName>
    <definedName name="Mkt11USD_4" hidden="0" function="0" vbProcedure="0">#REF!</definedName>
    <definedName name="Mkt11USD_7" hidden="0" function="0" vbProcedure="0">#REF!</definedName>
    <definedName name="MKT11_13" hidden="0" function="0" vbProcedure="0">#REF!</definedName>
    <definedName name="MKT11_4" hidden="0" function="0" vbProcedure="0">#REF!</definedName>
    <definedName name="MKT11_7" hidden="0" function="0" vbProcedure="0">#REF!</definedName>
    <definedName name="MKT1LC" hidden="0" function="0" vbProcedure="0">#REF!</definedName>
    <definedName name="MKT1LC_13" hidden="0" function="0" vbProcedure="0">#REF!</definedName>
    <definedName name="MKT1LC_4" hidden="0" function="0" vbProcedure="0">#REF!</definedName>
    <definedName name="MKT1LC_7" hidden="0" function="0" vbProcedure="0">#REF!</definedName>
    <definedName name="Mkt1Local" hidden="0" function="0" vbProcedure="0">#REF!</definedName>
    <definedName name="Mkt1Local_13" hidden="0" function="0" vbProcedure="0">#REF!</definedName>
    <definedName name="Mkt1Local_4" hidden="0" function="0" vbProcedure="0">#REF!</definedName>
    <definedName name="Mkt1Local_7" hidden="0" function="0" vbProcedure="0">#REF!</definedName>
    <definedName name="Mkt1USD" hidden="0" function="0" vbProcedure="0">#REF!</definedName>
    <definedName name="Mkt1USD_13" hidden="0" function="0" vbProcedure="0">#REF!</definedName>
    <definedName name="Mkt1USD_4" hidden="0" function="0" vbProcedure="0">#REF!</definedName>
    <definedName name="Mkt1USD_7" hidden="0" function="0" vbProcedure="0">#REF!</definedName>
    <definedName name="MKT1_13" hidden="0" function="0" vbProcedure="0">#REF!</definedName>
    <definedName name="MKT1_4" hidden="0" function="0" vbProcedure="0">#REF!</definedName>
    <definedName name="MKT1_7" hidden="0" function="0" vbProcedure="0">#REF!</definedName>
    <definedName name="MKT2LC" hidden="0" function="0" vbProcedure="0">#REF!</definedName>
    <definedName name="MKT2LC_13" hidden="0" function="0" vbProcedure="0">#REF!</definedName>
    <definedName name="MKT2LC_4" hidden="0" function="0" vbProcedure="0">#REF!</definedName>
    <definedName name="MKT2LC_7" hidden="0" function="0" vbProcedure="0">#REF!</definedName>
    <definedName name="Mkt2Local" hidden="0" function="0" vbProcedure="0">#REF!</definedName>
    <definedName name="Mkt2Local_13" hidden="0" function="0" vbProcedure="0">#REF!</definedName>
    <definedName name="Mkt2Local_4" hidden="0" function="0" vbProcedure="0">#REF!</definedName>
    <definedName name="Mkt2Local_7" hidden="0" function="0" vbProcedure="0">#REF!</definedName>
    <definedName name="Mkt2USD" hidden="0" function="0" vbProcedure="0">#REF!</definedName>
    <definedName name="Mkt2USD_13" hidden="0" function="0" vbProcedure="0">#REF!</definedName>
    <definedName name="Mkt2USD_4" hidden="0" function="0" vbProcedure="0">#REF!</definedName>
    <definedName name="Mkt2USD_7" hidden="0" function="0" vbProcedure="0">#REF!</definedName>
    <definedName name="MKT2_13" hidden="0" function="0" vbProcedure="0">#REF!</definedName>
    <definedName name="MKT2_4" hidden="0" function="0" vbProcedure="0">#REF!</definedName>
    <definedName name="MKT2_7" hidden="0" function="0" vbProcedure="0">#REF!</definedName>
    <definedName name="MKT3LC" hidden="0" function="0" vbProcedure="0">#REF!</definedName>
    <definedName name="MKT3LC_13" hidden="0" function="0" vbProcedure="0">#REF!</definedName>
    <definedName name="MKT3LC_4" hidden="0" function="0" vbProcedure="0">#REF!</definedName>
    <definedName name="MKT3LC_7" hidden="0" function="0" vbProcedure="0">#REF!</definedName>
    <definedName name="Mkt3Local" hidden="0" function="0" vbProcedure="0">#REF!</definedName>
    <definedName name="Mkt3Local_13" hidden="0" function="0" vbProcedure="0">#REF!</definedName>
    <definedName name="Mkt3Local_4" hidden="0" function="0" vbProcedure="0">#REF!</definedName>
    <definedName name="Mkt3Local_7" hidden="0" function="0" vbProcedure="0">#REF!</definedName>
    <definedName name="Mkt3USD" hidden="0" function="0" vbProcedure="0">#REF!</definedName>
    <definedName name="Mkt3USD1" hidden="0" function="0" vbProcedure="0">#REF!</definedName>
    <definedName name="Mkt3USD_13" hidden="0" function="0" vbProcedure="0">#REF!</definedName>
    <definedName name="Mkt3USD_4" hidden="0" function="0" vbProcedure="0">#REF!</definedName>
    <definedName name="Mkt3USD_7" hidden="0" function="0" vbProcedure="0">#REF!</definedName>
    <definedName name="MKT3_13" hidden="0" function="0" vbProcedure="0">#REF!</definedName>
    <definedName name="MKT3_4" hidden="0" function="0" vbProcedure="0">#REF!</definedName>
    <definedName name="MKT3_7" hidden="0" function="0" vbProcedure="0">#REF!</definedName>
    <definedName name="MKT4LC" hidden="0" function="0" vbProcedure="0">#REF!</definedName>
    <definedName name="MKT4LC_13" hidden="0" function="0" vbProcedure="0">#REF!</definedName>
    <definedName name="MKT4LC_4" hidden="0" function="0" vbProcedure="0">#REF!</definedName>
    <definedName name="MKT4LC_7" hidden="0" function="0" vbProcedure="0">#REF!</definedName>
    <definedName name="Mkt4Local" hidden="0" function="0" vbProcedure="0">#REF!</definedName>
    <definedName name="Mkt4Local_13" hidden="0" function="0" vbProcedure="0">#REF!</definedName>
    <definedName name="Mkt4Local_4" hidden="0" function="0" vbProcedure="0">#REF!</definedName>
    <definedName name="Mkt4Local_7" hidden="0" function="0" vbProcedure="0">#REF!</definedName>
    <definedName name="Mkt4USD" hidden="0" function="0" vbProcedure="0">#REF!</definedName>
    <definedName name="Mkt4USD_13" hidden="0" function="0" vbProcedure="0">#REF!</definedName>
    <definedName name="Mkt4USD_4" hidden="0" function="0" vbProcedure="0">#REF!</definedName>
    <definedName name="Mkt4USD_7" hidden="0" function="0" vbProcedure="0">#REF!</definedName>
    <definedName name="MKT4_13" hidden="0" function="0" vbProcedure="0">#REF!</definedName>
    <definedName name="MKT4_4" hidden="0" function="0" vbProcedure="0">#REF!</definedName>
    <definedName name="MKT4_7" hidden="0" function="0" vbProcedure="0">#REF!</definedName>
    <definedName name="MKT5LC" hidden="0" function="0" vbProcedure="0">#REF!</definedName>
    <definedName name="MKT5LC_13" hidden="0" function="0" vbProcedure="0">#REF!</definedName>
    <definedName name="MKT5LC_4" hidden="0" function="0" vbProcedure="0">#REF!</definedName>
    <definedName name="MKT5LC_7" hidden="0" function="0" vbProcedure="0">#REF!</definedName>
    <definedName name="Mkt5Local" hidden="0" function="0" vbProcedure="0">#REF!</definedName>
    <definedName name="Mkt5Local_13" hidden="0" function="0" vbProcedure="0">#REF!</definedName>
    <definedName name="Mkt5Local_4" hidden="0" function="0" vbProcedure="0">#REF!</definedName>
    <definedName name="Mkt5Local_7" hidden="0" function="0" vbProcedure="0">#REF!</definedName>
    <definedName name="Mkt5USD" hidden="0" function="0" vbProcedure="0">#REF!</definedName>
    <definedName name="Mkt5USD_13" hidden="0" function="0" vbProcedure="0">#REF!</definedName>
    <definedName name="Mkt5USD_4" hidden="0" function="0" vbProcedure="0">#REF!</definedName>
    <definedName name="Mkt5USD_7" hidden="0" function="0" vbProcedure="0">#REF!</definedName>
    <definedName name="MKT5_13" hidden="0" function="0" vbProcedure="0">#REF!</definedName>
    <definedName name="MKT5_4" hidden="0" function="0" vbProcedure="0">#REF!</definedName>
    <definedName name="MKT5_7" hidden="0" function="0" vbProcedure="0">#REF!</definedName>
    <definedName name="MKT6LC" hidden="0" function="0" vbProcedure="0">#REF!</definedName>
    <definedName name="MKT6LC_13" hidden="0" function="0" vbProcedure="0">#REF!</definedName>
    <definedName name="MKT6LC_4" hidden="0" function="0" vbProcedure="0">#REF!</definedName>
    <definedName name="MKT6LC_7" hidden="0" function="0" vbProcedure="0">#REF!</definedName>
    <definedName name="Mkt6Local" hidden="0" function="0" vbProcedure="0">#REF!</definedName>
    <definedName name="Mkt6Local_13" hidden="0" function="0" vbProcedure="0">#REF!</definedName>
    <definedName name="Mkt6Local_4" hidden="0" function="0" vbProcedure="0">#REF!</definedName>
    <definedName name="Mkt6Local_7" hidden="0" function="0" vbProcedure="0">#REF!</definedName>
    <definedName name="Mkt6USD" hidden="0" function="0" vbProcedure="0">#REF!</definedName>
    <definedName name="Mkt6USD_13" hidden="0" function="0" vbProcedure="0">#REF!</definedName>
    <definedName name="Mkt6USD_4" hidden="0" function="0" vbProcedure="0">#REF!</definedName>
    <definedName name="Mkt6USD_7" hidden="0" function="0" vbProcedure="0">#REF!</definedName>
    <definedName name="MKT6_13" hidden="0" function="0" vbProcedure="0">#REF!</definedName>
    <definedName name="MKT6_4" hidden="0" function="0" vbProcedure="0">#REF!</definedName>
    <definedName name="MKT6_7" hidden="0" function="0" vbProcedure="0">#REF!</definedName>
    <definedName name="MKT7LC" hidden="0" function="0" vbProcedure="0">#REF!</definedName>
    <definedName name="MKT7LC_13" hidden="0" function="0" vbProcedure="0">#REF!</definedName>
    <definedName name="MKT7LC_4" hidden="0" function="0" vbProcedure="0">#REF!</definedName>
    <definedName name="MKT7LC_7" hidden="0" function="0" vbProcedure="0">#REF!</definedName>
    <definedName name="Mkt7Local" hidden="0" function="0" vbProcedure="0">#REF!</definedName>
    <definedName name="Mkt7Local_13" hidden="0" function="0" vbProcedure="0">#REF!</definedName>
    <definedName name="Mkt7Local_4" hidden="0" function="0" vbProcedure="0">#REF!</definedName>
    <definedName name="Mkt7Local_7" hidden="0" function="0" vbProcedure="0">#REF!</definedName>
    <definedName name="Mkt7USD" hidden="0" function="0" vbProcedure="0">#REF!</definedName>
    <definedName name="Mkt7USD_13" hidden="0" function="0" vbProcedure="0">#REF!</definedName>
    <definedName name="Mkt7USD_4" hidden="0" function="0" vbProcedure="0">#REF!</definedName>
    <definedName name="Mkt7USD_7" hidden="0" function="0" vbProcedure="0">#REF!</definedName>
    <definedName name="MKT7_13" hidden="0" function="0" vbProcedure="0">#REF!</definedName>
    <definedName name="MKT7_4" hidden="0" function="0" vbProcedure="0">#REF!</definedName>
    <definedName name="MKT7_7" hidden="0" function="0" vbProcedure="0">#REF!</definedName>
    <definedName name="MKT8LC" hidden="0" function="0" vbProcedure="0">#REF!</definedName>
    <definedName name="MKT8LC_13" hidden="0" function="0" vbProcedure="0">#REF!</definedName>
    <definedName name="MKT8LC_4" hidden="0" function="0" vbProcedure="0">#REF!</definedName>
    <definedName name="MKT8LC_7" hidden="0" function="0" vbProcedure="0">#REF!</definedName>
    <definedName name="Mkt8Local" hidden="0" function="0" vbProcedure="0">#REF!</definedName>
    <definedName name="Mkt8Local_13" hidden="0" function="0" vbProcedure="0">#REF!</definedName>
    <definedName name="Mkt8Local_4" hidden="0" function="0" vbProcedure="0">#REF!</definedName>
    <definedName name="Mkt8Local_7" hidden="0" function="0" vbProcedure="0">#REF!</definedName>
    <definedName name="Mkt8USD" hidden="0" function="0" vbProcedure="0">#REF!</definedName>
    <definedName name="Mkt8USD_13" hidden="0" function="0" vbProcedure="0">#REF!</definedName>
    <definedName name="Mkt8USD_4" hidden="0" function="0" vbProcedure="0">#REF!</definedName>
    <definedName name="Mkt8USD_7" hidden="0" function="0" vbProcedure="0">#REF!</definedName>
    <definedName name="MKT8_13" hidden="0" function="0" vbProcedure="0">#REF!</definedName>
    <definedName name="MKT8_4" hidden="0" function="0" vbProcedure="0">#REF!</definedName>
    <definedName name="MKT8_7" hidden="0" function="0" vbProcedure="0">#REF!</definedName>
    <definedName name="MKT9LC" hidden="0" function="0" vbProcedure="0">#REF!</definedName>
    <definedName name="MKT9LC_13" hidden="0" function="0" vbProcedure="0">#REF!</definedName>
    <definedName name="MKT9LC_4" hidden="0" function="0" vbProcedure="0">#REF!</definedName>
    <definedName name="MKT9LC_7" hidden="0" function="0" vbProcedure="0">#REF!</definedName>
    <definedName name="Mkt9Local" hidden="0" function="0" vbProcedure="0">#REF!</definedName>
    <definedName name="Mkt9Local_13" hidden="0" function="0" vbProcedure="0">#REF!</definedName>
    <definedName name="Mkt9Local_4" hidden="0" function="0" vbProcedure="0">#REF!</definedName>
    <definedName name="Mkt9Local_7" hidden="0" function="0" vbProcedure="0">#REF!</definedName>
    <definedName name="Mkt9USD" hidden="0" function="0" vbProcedure="0">#REF!</definedName>
    <definedName name="Mkt9USD_13" hidden="0" function="0" vbProcedure="0">#REF!</definedName>
    <definedName name="Mkt9USD_4" hidden="0" function="0" vbProcedure="0">#REF!</definedName>
    <definedName name="Mkt9USD_7" hidden="0" function="0" vbProcedure="0">#REF!</definedName>
    <definedName name="MKT9_13" hidden="0" function="0" vbProcedure="0">#REF!</definedName>
    <definedName name="MKT9_4" hidden="0" function="0" vbProcedure="0">#REF!</definedName>
    <definedName name="MKT9_7" hidden="0" function="0" vbProcedure="0">#REF!</definedName>
    <definedName name="MKT_2" hidden="0" function="0" vbProcedure="0">#REF!</definedName>
    <definedName name="MKT_2_13" hidden="0" function="0" vbProcedure="0">#REF!</definedName>
    <definedName name="MKT_2_4" hidden="0" function="0" vbProcedure="0">#REF!</definedName>
    <definedName name="MKT_2_7" hidden="0" function="0" vbProcedure="0">#REF!</definedName>
    <definedName name="MMLB_SOLD_ANNUA" hidden="0" function="0" vbProcedure="0">#REF!</definedName>
    <definedName name="MMLB_SOLD_APRIL" hidden="0" function="0" vbProcedure="0">#REF!</definedName>
    <definedName name="MMLB_SOLD_AUGUS" hidden="0" function="0" vbProcedure="0">#REF!</definedName>
    <definedName name="MMLB_SOLD_JULY" hidden="0" function="0" vbProcedure="0">#REF!</definedName>
    <definedName name="MMLB_SOLD_JUNE" hidden="0" function="0" vbProcedure="0">#REF!</definedName>
    <definedName name="MMLB_SOLD_MARCH" hidden="0" function="0" vbProcedure="0">#REF!</definedName>
    <definedName name="MMLB_SOLD_MAY" hidden="0" function="0" vbProcedure="0">#REF!</definedName>
    <definedName name="MMLB_SO_DECEMBE" hidden="0" function="0" vbProcedure="0">#REF!</definedName>
    <definedName name="MMLB_SO_FEBRUAR" hidden="0" function="0" vbProcedure="0">#REF!</definedName>
    <definedName name="MMLB_SO_JANUARY" hidden="0" function="0" vbProcedure="0">#REF!</definedName>
    <definedName name="MMLB_SO_NOVEMBE" hidden="0" function="0" vbProcedure="0">#REF!</definedName>
    <definedName name="MMLB_SO_OCTOBER" hidden="0" function="0" vbProcedure="0">#REF!</definedName>
    <definedName name="MMLB_SO_SEPTEMB" hidden="0" function="0" vbProcedure="0">#REF!</definedName>
    <definedName name="MN" hidden="0" function="0" vbProcedure="0">#REF!</definedName>
    <definedName name="Model_Tol" hidden="0" function="0" vbProcedure="0">'[1]Project Inputs'!$G$28</definedName>
    <definedName name="Model_Tolerance" hidden="0" function="0" vbProcedure="0">#REF!</definedName>
    <definedName name="Mods_per_Disbn_sys" hidden="0" function="0" vbProcedure="0">#REF!</definedName>
    <definedName name="Monetary_Precision" hidden="0" function="0" vbProcedure="0">#REF!</definedName>
    <definedName name="Month" hidden="0" function="0" vbProcedure="0">#REF!</definedName>
    <definedName name="Month1_Ending_Bal" hidden="0" function="0" vbProcedure="0">#REF!</definedName>
    <definedName name="Month1_Ending_Bal_13" hidden="0" function="0" vbProcedure="0">#REF!</definedName>
    <definedName name="Month1_Ending_Bal_4" hidden="0" function="0" vbProcedure="0">#REF!</definedName>
    <definedName name="Month1_Ending_Bal_7" hidden="0" function="0" vbProcedure="0">#REF!</definedName>
    <definedName name="Month2_Ending_Bal_13" hidden="0" function="0" vbProcedure="0">#REF!</definedName>
    <definedName name="Month2_Ending_Bal_4" hidden="0" function="0" vbProcedure="0">#REF!</definedName>
    <definedName name="Month2_Ending_Bal_7" hidden="0" function="0" vbProcedure="0">#REF!</definedName>
    <definedName name="Month3_Ending_Bal_13" hidden="0" function="0" vbProcedure="0">#REF!</definedName>
    <definedName name="Month3_Ending_Bal_4" hidden="0" function="0" vbProcedure="0">#REF!</definedName>
    <definedName name="Month3_Ending_Bal_7" hidden="0" function="0" vbProcedure="0">#REF!</definedName>
    <definedName name="Month4_Ending_Bal_13" hidden="0" function="0" vbProcedure="0">#REF!</definedName>
    <definedName name="Month4_Ending_Bal_4" hidden="0" function="0" vbProcedure="0">#REF!</definedName>
    <definedName name="Month4_Ending_Bal_7" hidden="0" function="0" vbProcedure="0">#REF!</definedName>
    <definedName name="Month5_Ending_Bal_13" hidden="0" function="0" vbProcedure="0">#REF!</definedName>
    <definedName name="Month5_Ending_Bal_4" hidden="0" function="0" vbProcedure="0">#REF!</definedName>
    <definedName name="Month5_Ending_Bal_7" hidden="0" function="0" vbProcedure="0">#REF!</definedName>
    <definedName name="Month6_Ending_Bal_13" hidden="0" function="0" vbProcedure="0">#REF!</definedName>
    <definedName name="Month6_Ending_Bal_4" hidden="0" function="0" vbProcedure="0">#REF!</definedName>
    <definedName name="Month6_Ending_Bal_7" hidden="0" function="0" vbProcedure="0">#REF!</definedName>
    <definedName name="MONTHLY_MG" hidden="0" function="0" vbProcedure="0">#REF!</definedName>
    <definedName name="Monthly_Report_for_2003" hidden="0" function="0" vbProcedure="0">#REF!</definedName>
    <definedName name="MonthYear" hidden="0" function="0" vbProcedure="0">#REF!</definedName>
    <definedName name="Motar_Car" hidden="0" function="0" vbProcedure="0">#REF!</definedName>
    <definedName name="Movt_Summary" hidden="0" function="0" vbProcedure="0">#REF!</definedName>
    <definedName name="Movt___Forecast_Detail" hidden="0" function="0" vbProcedure="0">#REF!</definedName>
    <definedName name="MP" hidden="0" function="0" vbProcedure="0">#REF!</definedName>
    <definedName name="mpsperc" hidden="0" function="0" vbProcedure="0">#REF!</definedName>
    <definedName name="MP_Singh" hidden="0" function="0" vbProcedure="0">#REF!</definedName>
    <definedName name="MStVal_13" hidden="0" function="0" vbProcedure="0">#REF!</definedName>
    <definedName name="MStVal_4" hidden="0" function="0" vbProcedure="0">#REF!</definedName>
    <definedName name="Muliplicator" hidden="0" function="0" vbProcedure="0">#REF!</definedName>
    <definedName name="MULTIPLICATOR" hidden="0" function="0" vbProcedure="0">#REF!</definedName>
    <definedName name="MUNISH_PAL" hidden="0" function="0" vbProcedure="0">#REF!</definedName>
    <definedName name="murali" hidden="0" function="0" vbProcedure="0">#REF!</definedName>
    <definedName name="Muxes_per_Disbn_sys" hidden="0" function="0" vbProcedure="0">#REF!</definedName>
    <definedName name="MWScale" hidden="0" function="0" vbProcedure="0">#REF!</definedName>
    <definedName name="MyBusiness" hidden="0" function="0" vbProcedure="0">#REF!</definedName>
    <definedName name="M_ACost" hidden="0" function="0" vbProcedure="0">#REF!</definedName>
    <definedName name="M_Agarwal" hidden="0" function="0" vbProcedure="0">#REF!</definedName>
    <definedName name="M_Arora" hidden="0" function="0" vbProcedure="0">#REF!</definedName>
    <definedName name="M_Nayar" hidden="0" function="0" vbProcedure="0">#REF!</definedName>
    <definedName name="M_Sharan" hidden="0" function="0" vbProcedure="0">#REF!</definedName>
    <definedName name="Name" hidden="0" function="0" vbProcedure="0">#REF!</definedName>
    <definedName name="Name_13" hidden="0" function="0" vbProcedure="0">#REF!</definedName>
    <definedName name="Name_4" hidden="0" function="0" vbProcedure="0">#REF!</definedName>
    <definedName name="Name_7" hidden="0" function="0" vbProcedure="0">#REF!</definedName>
    <definedName name="Name_of_the_Party" hidden="0" function="0" vbProcedure="0">#REF!</definedName>
    <definedName name="nartot" hidden="0" function="0" vbProcedure="0">#REF!</definedName>
    <definedName name="NatureBusiness_13" hidden="0" function="0" vbProcedure="0">#REF!</definedName>
    <definedName name="NatureBusiness_4" hidden="0" function="0" vbProcedure="0">#REF!</definedName>
    <definedName name="NETBLOCK" hidden="0" function="0" vbProcedure="0">#REF!</definedName>
    <definedName name="NEUC" hidden="0" function="0" vbProcedure="0">#REF!</definedName>
    <definedName name="NEUCHATEL" hidden="0" function="0" vbProcedure="0">#REF!</definedName>
    <definedName name="New" hidden="0" function="0" vbProcedure="0">#REF!</definedName>
    <definedName name="newack2" hidden="0" function="0" vbProcedure="0">#REF!</definedName>
    <definedName name="neyveli" hidden="0" function="0" vbProcedure="0">#REF!</definedName>
    <definedName name="nifty" hidden="0" function="0" vbProcedure="0">#REF!</definedName>
    <definedName name="NISCO_Ventures_Pvt._Ltd__NFH_Contract_A_c" hidden="0" function="0" vbProcedure="0">#REF!</definedName>
    <definedName name="NMWH_ANNUAL" hidden="0" function="0" vbProcedure="0">#REF!</definedName>
    <definedName name="NMWH_APRIL" hidden="0" function="0" vbProcedure="0">#REF!</definedName>
    <definedName name="NMWH_AUGUST" hidden="0" function="0" vbProcedure="0">#REF!</definedName>
    <definedName name="NMWH_DECEMBER" hidden="0" function="0" vbProcedure="0">#REF!</definedName>
    <definedName name="NMWH_FEBRUARY" hidden="0" function="0" vbProcedure="0">#REF!</definedName>
    <definedName name="NMWH_JANUARY" hidden="0" function="0" vbProcedure="0">#REF!</definedName>
    <definedName name="NMWH_JULY" hidden="0" function="0" vbProcedure="0">#REF!</definedName>
    <definedName name="NMWH_JUNE" hidden="0" function="0" vbProcedure="0">#REF!</definedName>
    <definedName name="NMWH_MARCH" hidden="0" function="0" vbProcedure="0">#REF!</definedName>
    <definedName name="NMWH_MAY" hidden="0" function="0" vbProcedure="0">#REF!</definedName>
    <definedName name="NMWH_NOVEMBER" hidden="0" function="0" vbProcedure="0">#REF!</definedName>
    <definedName name="NMWH_OCTOBER" hidden="0" function="0" vbProcedure="0">#REF!</definedName>
    <definedName name="NMWH_SEPTEMBER" hidden="0" function="0" vbProcedure="0">#REF!</definedName>
    <definedName name="nn" hidden="0" function="0" vbProcedure="0">#REF!</definedName>
    <definedName name="NO" hidden="0" function="0" vbProcedure="0">#REF!</definedName>
    <definedName name="NonOperatingItemsBudget" hidden="0" function="0" vbProcedure="0">#REF!</definedName>
    <definedName name="NonOperatingItemsMonth1Actuals" hidden="0" function="0" vbProcedure="0">#REF!</definedName>
    <definedName name="NonOperatingItemsMonth1Budget" hidden="0" function="0" vbProcedure="0">#REF!</definedName>
    <definedName name="NonOperatingItemsMonth2Actuals" hidden="0" function="0" vbProcedure="0">#REF!</definedName>
    <definedName name="NonOperatingItemsMonth2Budget" hidden="0" function="0" vbProcedure="0">#REF!</definedName>
    <definedName name="NonOperatingItemsMonth3Actuals" hidden="0" function="0" vbProcedure="0">#REF!</definedName>
    <definedName name="NonOperatingItemsMonth3Budget" hidden="0" function="0" vbProcedure="0">#REF!</definedName>
    <definedName name="NonOperatingItemsMonth4Actuals" hidden="0" function="0" vbProcedure="0">#REF!</definedName>
    <definedName name="NonOperatingItemsMonth4Budget" hidden="0" function="0" vbProcedure="0">#REF!</definedName>
    <definedName name="NonOperatingItemsYTDActuals" hidden="0" function="0" vbProcedure="0">#REF!</definedName>
    <definedName name="NonOperatingItemsYTDBudget" hidden="0" function="0" vbProcedure="0">#REF!</definedName>
    <definedName name="NOPATMonth1Actuals" hidden="0" function="0" vbProcedure="0">#REF!</definedName>
    <definedName name="NOPATMonth1Budget" hidden="0" function="0" vbProcedure="0">#REF!</definedName>
    <definedName name="NOPATMonth2Actuals" hidden="0" function="0" vbProcedure="0">#REF!</definedName>
    <definedName name="NOPATMonth2Budget" hidden="0" function="0" vbProcedure="0">#REF!</definedName>
    <definedName name="NOPATMonth3Actuals" hidden="0" function="0" vbProcedure="0">#REF!</definedName>
    <definedName name="NOPATMonth3Budget" hidden="0" function="0" vbProcedure="0">#REF!</definedName>
    <definedName name="NOPATMonth4Actuals" hidden="0" function="0" vbProcedure="0">#REF!</definedName>
    <definedName name="NOPATMonth4Budget" hidden="0" function="0" vbProcedure="0">#REF!</definedName>
    <definedName name="NOPATMonth5Actuals" hidden="0" function="0" vbProcedure="0">#REF!</definedName>
    <definedName name="NOPATMonth5Budget" hidden="0" function="0" vbProcedure="0">#REF!</definedName>
    <definedName name="NOPATYTDActuals" hidden="0" function="0" vbProcedure="0">#REF!</definedName>
    <definedName name="NOPATYTDBudget" hidden="0" function="0" vbProcedure="0">#REF!</definedName>
    <definedName name="Notes" hidden="0" function="0" vbProcedure="0">#REF!</definedName>
    <definedName name="Notes1" hidden="0" function="0" vbProcedure="0">#REF!</definedName>
    <definedName name="Notes_1_6" hidden="0" function="0" vbProcedure="0">#REF!</definedName>
    <definedName name="NOTES_MAINCOMP" hidden="0" function="0" vbProcedure="0">#REF!</definedName>
    <definedName name="NOTE_1" hidden="0" function="0" vbProcedure="0">#REF!</definedName>
    <definedName name="Note_10_12" hidden="0" function="0" vbProcedure="0">#REF!</definedName>
    <definedName name="note_2" hidden="0" function="0" vbProcedure="0">#REF!</definedName>
    <definedName name="NOTE_3" hidden="0" function="0" vbProcedure="0">#REF!</definedName>
    <definedName name="NOTE_4" hidden="0" function="0" vbProcedure="0">#REF!</definedName>
    <definedName name="Note_7_9" hidden="0" function="0" vbProcedure="0">#REF!</definedName>
    <definedName name="nov" hidden="0" function="0" vbProcedure="0">#REF!</definedName>
    <definedName name="NOVDATA?" hidden="0" function="0" vbProcedure="0">#REF!</definedName>
    <definedName name="NO_4" hidden="0" function="0" vbProcedure="0">#REF!</definedName>
    <definedName name="nqknq" hidden="0" function="0" vbProcedure="0">#REF!</definedName>
    <definedName name="NSC" hidden="0" function="0" vbProcedure="0">#REF!</definedName>
    <definedName name="ntpc" hidden="0" function="0" vbProcedure="0">#REF!</definedName>
    <definedName name="NUMBER" hidden="0" function="0" vbProcedure="0">#REF!</definedName>
    <definedName name="N_Rodrigues" hidden="0" function="0" vbProcedure="0">#REF!</definedName>
    <definedName name="N_Tandon" hidden="0" function="0" vbProcedure="0">#REF!</definedName>
    <definedName name="obpl" hidden="0" function="0" vbProcedure="0">#REF!</definedName>
    <definedName name="OCTDATA?" hidden="0" function="0" vbProcedure="0">#REF!</definedName>
    <definedName name="odsrtot" hidden="0" function="0" vbProcedure="0">#REF!</definedName>
    <definedName name="OE" hidden="0" function="0" vbProcedure="0">#REF!</definedName>
    <definedName name="oeperc" hidden="0" function="0" vbProcedure="0">#REF!</definedName>
    <definedName name="OEQP" hidden="0" function="0" vbProcedure="0">#REF!</definedName>
    <definedName name="Office_Equipments" hidden="0" function="0" vbProcedure="0">#REF!</definedName>
    <definedName name="old" hidden="0" function="0" vbProcedure="0">#REF!</definedName>
    <definedName name="OLE_LINK17" hidden="0" function="0" vbProcedure="0">#REF!</definedName>
    <definedName name="OLE_LINK8" hidden="0" function="0" vbProcedure="0">#REF!</definedName>
    <definedName name="ongc" hidden="0" function="0" vbProcedure="0">#REF!</definedName>
    <definedName name="op" hidden="0" function="0" vbProcedure="0">#REF!</definedName>
    <definedName name="OPCAP" hidden="0" function="0" vbProcedure="0">#REF!</definedName>
    <definedName name="OperatingHrs" hidden="0" function="0" vbProcedure="0">#REF!</definedName>
    <definedName name="operations" hidden="0" function="0" vbProcedure="0">#REF!</definedName>
    <definedName name="operations_4" hidden="0" function="0" vbProcedure="0">#REF!</definedName>
    <definedName name="or1perc" hidden="0" function="0" vbProcedure="0">#REF!</definedName>
    <definedName name="or2perc" hidden="0" function="0" vbProcedure="0">#REF!</definedName>
    <definedName name="or3perc" hidden="0" function="0" vbProcedure="0">#REF!</definedName>
    <definedName name="or4perc" hidden="0" function="0" vbProcedure="0">#REF!</definedName>
    <definedName name="or5perc" hidden="0" function="0" vbProcedure="0">#REF!</definedName>
    <definedName name="or6perc" hidden="0" function="0" vbProcedure="0">#REF!</definedName>
    <definedName name="orientalbank" hidden="0" function="0" vbProcedure="0">#REF!</definedName>
    <definedName name="osmperc" hidden="0" function="0" vbProcedure="0">#REF!</definedName>
    <definedName name="OTHERINC" hidden="0" function="0" vbProcedure="0">#REF!</definedName>
    <definedName name="OtherNonCashItemsMonth1Actuals" hidden="0" function="0" vbProcedure="0">#REF!</definedName>
    <definedName name="OtherNonCashItemsMonth2Actuals" hidden="0" function="0" vbProcedure="0">#REF!</definedName>
    <definedName name="OtherNonCashItemsMonth2Budget" hidden="0" function="0" vbProcedure="0">#REF!</definedName>
    <definedName name="OtherNonCashItemsMonth3Actuaaaaaaaaaaaaaals" hidden="0" function="0" vbProcedure="0">#REF!</definedName>
    <definedName name="OtherNonCashItemsMonth3Budget" hidden="0" function="0" vbProcedure="0">#REF!</definedName>
    <definedName name="OtherNonCashItemsMonth4Actuals" hidden="0" function="0" vbProcedure="0">#REF!</definedName>
    <definedName name="OtherNonCashItemsMonth4Budget" hidden="0" function="0" vbProcedure="0">#REF!</definedName>
    <definedName name="OtherNonCashItemsYTDActuals" hidden="0" function="0" vbProcedure="0">#REF!</definedName>
    <definedName name="OtherNonCashItemsYTDBudget" hidden="0" function="0" vbProcedure="0">#REF!</definedName>
    <definedName name="OtherProjectsBudgetedCompletionDate" hidden="0" function="0" vbProcedure="0">#REF!</definedName>
    <definedName name="OtherProjectsCommitted" hidden="0" function="0" vbProcedure="0">#REF!</definedName>
    <definedName name="OtherProjectsExpectedCompletionDate" hidden="0" function="0" vbProcedure="0">#REF!</definedName>
    <definedName name="OtherProjectsExpectedTotalExpenditure" hidden="0" function="0" vbProcedure="0">#REF!</definedName>
    <definedName name="OtherProjectsExpenditureToDate" hidden="0" function="0" vbProcedure="0">#REF!</definedName>
    <definedName name="OtherProjectsPercentageSanctioned" hidden="0" function="0" vbProcedure="0">#REF!</definedName>
    <definedName name="OtherProjectsPercentComp." hidden="0" function="0" vbProcedure="0">#REF!</definedName>
    <definedName name="OtherProjectsReviewRequired" hidden="0" function="0" vbProcedure="0">#REF!</definedName>
    <definedName name="OtherProjectsSanctioned" hidden="0" function="0" vbProcedure="0">#REF!</definedName>
    <definedName name="others" hidden="0" function="0" vbProcedure="0">#REF!</definedName>
    <definedName name="others_4" hidden="0" function="0" vbProcedure="0">#REF!</definedName>
    <definedName name="ou" hidden="0" function="0" vbProcedure="0">#REF!</definedName>
    <definedName name="OVERSEAS" hidden="0" function="0" vbProcedure="0">#REF!</definedName>
    <definedName name="OVERVIEW" hidden="0" function="0" vbProcedure="0">#REF!</definedName>
    <definedName name="overview2" hidden="0" function="0" vbProcedure="0">#REF!</definedName>
    <definedName name="P" hidden="0" function="0" vbProcedure="0">#REF!</definedName>
    <definedName name="p1_villas" hidden="0" function="0" vbProcedure="0">#REF!</definedName>
    <definedName name="P7M_COMP" hidden="0" function="0" vbProcedure="0">#REF!</definedName>
    <definedName name="pacperc" hidden="0" function="0" vbProcedure="0">#REF!</definedName>
    <definedName name="PAG" hidden="0" function="0" vbProcedure="0">#REF!</definedName>
    <definedName name="PAGE" hidden="0" function="0" vbProcedure="0">#REF!</definedName>
    <definedName name="PAGE1" hidden="0" function="0" vbProcedure="0">#REF!</definedName>
    <definedName name="PAGE14" hidden="0" function="0" vbProcedure="0">#REF!</definedName>
    <definedName name="PAGE2" hidden="0" function="0" vbProcedure="0">#REF!</definedName>
    <definedName name="PAGE22" hidden="0" function="0" vbProcedure="0">#REF!</definedName>
    <definedName name="PAGE3" hidden="0" function="0" vbProcedure="0">#REF!</definedName>
    <definedName name="PAGE_1" hidden="0" function="0" vbProcedure="0">#REF!</definedName>
    <definedName name="PAGE_2" hidden="0" function="0" vbProcedure="0">#REF!</definedName>
    <definedName name="PAGE_3" hidden="0" function="0" vbProcedure="0">#REF!</definedName>
    <definedName name="PAGE_4" hidden="0" function="0" vbProcedure="0">#REF!</definedName>
    <definedName name="Page_6" hidden="0" function="0" vbProcedure="0">#REF!</definedName>
    <definedName name="PAN_13" hidden="0" function="0" vbProcedure="0">#REF!</definedName>
    <definedName name="PAN_4" hidden="0" function="0" vbProcedure="0">#REF!</definedName>
    <definedName name="PartDesignation_13" hidden="0" function="0" vbProcedure="0">#REF!</definedName>
    <definedName name="PartDesignation_4" hidden="0" function="0" vbProcedure="0">#REF!</definedName>
    <definedName name="part_iv" hidden="0" function="0" vbProcedure="0">#REF!</definedName>
    <definedName name="Pass" hidden="0" function="0" vbProcedure="0">#REF!</definedName>
    <definedName name="Pass_13" hidden="0" function="0" vbProcedure="0">#REF!</definedName>
    <definedName name="Pauline" hidden="0" function="0" vbProcedure="0">#REF!</definedName>
    <definedName name="pay" hidden="0" function="0" vbProcedure="0">#REF!</definedName>
    <definedName name="Payments" hidden="0" function="0" vbProcedure="0">#REF!</definedName>
    <definedName name="Payout_Total" hidden="0" function="0" vbProcedure="0">#REF!</definedName>
    <definedName name="payperc" hidden="0" function="0" vbProcedure="0">#REF!</definedName>
    <definedName name="PAYROLL_TAX" hidden="0" function="0" vbProcedure="0">#REF!</definedName>
    <definedName name="PBC_Memberwise_Global_Sales" hidden="0" function="0" vbProcedure="0">#REF!</definedName>
    <definedName name="pbperc" hidden="0" function="0" vbProcedure="0">#REF!</definedName>
    <definedName name="pc" hidden="0" function="0" vbProcedure="0">#REF!</definedName>
    <definedName name="pcmperc" hidden="0" function="0" vbProcedure="0">#REF!</definedName>
    <definedName name="pcperc" hidden="0" function="0" vbProcedure="0">#REF!</definedName>
    <definedName name="pcrpperc" hidden="0" function="0" vbProcedure="0">#REF!</definedName>
    <definedName name="pcsperc" hidden="0" function="0" vbProcedure="0">#REF!</definedName>
    <definedName name="PeriodNumber" hidden="0" function="0" vbProcedure="0">#REF!</definedName>
    <definedName name="pfmperc" hidden="0" function="0" vbProcedure="0">#REF!</definedName>
    <definedName name="PG" hidden="0" function="0" vbProcedure="0">#REF!</definedName>
    <definedName name="PG2A" hidden="0" function="0" vbProcedure="0">#REF!</definedName>
    <definedName name="PG2B" hidden="0" function="0" vbProcedure="0">#REF!</definedName>
    <definedName name="PG8A" hidden="0" function="0" vbProcedure="0">#REF!</definedName>
    <definedName name="PG8B" hidden="0" function="0" vbProcedure="0">#REF!</definedName>
    <definedName name="PG8C" hidden="0" function="0" vbProcedure="0">#REF!</definedName>
    <definedName name="PG8D" hidden="0" function="0" vbProcedure="0">#REF!</definedName>
    <definedName name="PG8E" hidden="0" function="0" vbProcedure="0">#REF!</definedName>
    <definedName name="PG_2" hidden="0" function="0" vbProcedure="0">#REF!</definedName>
    <definedName name="PG_4" hidden="0" function="0" vbProcedure="0">#REF!</definedName>
    <definedName name="PG_5" hidden="0" function="0" vbProcedure="0">#REF!</definedName>
    <definedName name="PHARMA" hidden="0" function="0" vbProcedure="0">#REF!</definedName>
    <definedName name="PkgBrlFlow" hidden="0" function="0" vbProcedure="0">#REF!</definedName>
    <definedName name="placcount" hidden="0" function="0" vbProcedure="0">#REF!</definedName>
    <definedName name="Plant" hidden="0" function="0" vbProcedure="0">#REF!</definedName>
    <definedName name="PLrate" hidden="0" function="0" vbProcedure="0">#REF!</definedName>
    <definedName name="PM" hidden="0" function="0" vbProcedure="0">#REF!</definedName>
    <definedName name="pmdrtot" hidden="0" function="0" vbProcedure="0">#REF!</definedName>
    <definedName name="pmperc" hidden="0" function="0" vbProcedure="0">#REF!</definedName>
    <definedName name="pmprtot" hidden="0" function="0" vbProcedure="0">#REF!</definedName>
    <definedName name="pmpsperc" hidden="0" function="0" vbProcedure="0">#REF!</definedName>
    <definedName name="pmptot" hidden="0" function="0" vbProcedure="0">#REF!</definedName>
    <definedName name="pmrpperc" hidden="0" function="0" vbProcedure="0">#REF!</definedName>
    <definedName name="pmrtot" hidden="0" function="0" vbProcedure="0">#REF!</definedName>
    <definedName name="pname" hidden="0" function="0" vbProcedure="0">#REF!</definedName>
    <definedName name="pnb" hidden="0" function="0" vbProcedure="0">#REF!</definedName>
    <definedName name="pnboptions" hidden="0" function="0" vbProcedure="0">#REF!</definedName>
    <definedName name="pocperc" hidden="0" function="0" vbProcedure="0">#REF!</definedName>
    <definedName name="poeperc" hidden="0" function="0" vbProcedure="0">#REF!</definedName>
    <definedName name="polorisoft" hidden="0" function="0" vbProcedure="0">#REF!</definedName>
    <definedName name="poperc" hidden="0" function="0" vbProcedure="0">#REF!</definedName>
    <definedName name="ppmperc" hidden="0" function="0" vbProcedure="0">#REF!</definedName>
    <definedName name="ppoperc" hidden="0" function="0" vbProcedure="0">#REF!</definedName>
    <definedName name="pr" hidden="0" function="0" vbProcedure="0">#REF!</definedName>
    <definedName name="prativa" hidden="0" function="0" vbProcedure="0">#REF!</definedName>
    <definedName name="pravin" hidden="0" function="0" vbProcedure="0">#REF!</definedName>
    <definedName name="Pravin1" hidden="0" function="0" vbProcedure="0">#REF!</definedName>
    <definedName name="Pravin2" hidden="0" function="0" vbProcedure="0">#REF!</definedName>
    <definedName name="Pravin3" hidden="0" function="0" vbProcedure="0">#REF!</definedName>
    <definedName name="Pravin4" hidden="0" function="0" vbProcedure="0">#REF!</definedName>
    <definedName name="Pravin5" hidden="0" function="0" vbProcedure="0">#REF!</definedName>
    <definedName name="Pravin6" hidden="0" function="0" vbProcedure="0">#REF!</definedName>
    <definedName name="Pravin7" hidden="0" function="0" vbProcedure="0">#REF!</definedName>
    <definedName name="Pravin8" hidden="0" function="0" vbProcedure="0">#REF!</definedName>
    <definedName name="prdbp" hidden="0" function="0" vbProcedure="0">#REF!</definedName>
    <definedName name="prdbr" hidden="0" function="0" vbProcedure="0">#REF!</definedName>
    <definedName name="prdcv" hidden="0" function="0" vbProcedure="0">#REF!</definedName>
    <definedName name="prddo" hidden="0" function="0" vbProcedure="0">#REF!</definedName>
    <definedName name="prdmd" hidden="0" function="0" vbProcedure="0">#REF!</definedName>
    <definedName name="prdpm" hidden="0" function="0" vbProcedure="0">#REF!</definedName>
    <definedName name="prdpt" hidden="0" function="0" vbProcedure="0">#REF!</definedName>
    <definedName name="prdrd" hidden="0" function="0" vbProcedure="0">#REF!</definedName>
    <definedName name="prdta" hidden="0" function="0" vbProcedure="0">#REF!</definedName>
    <definedName name="prdte" hidden="0" function="0" vbProcedure="0">#REF!</definedName>
    <definedName name="prdtr" hidden="0" function="0" vbProcedure="0">#REF!</definedName>
    <definedName name="Prelm_Exp" hidden="0" function="0" vbProcedure="0">#REF!</definedName>
    <definedName name="premises" hidden="0" function="0" vbProcedure="0">#REF!</definedName>
    <definedName name="Premium_13" hidden="0" function="0" vbProcedure="0">#REF!</definedName>
    <definedName name="Premium_4" hidden="0" function="0" vbProcedure="0">#REF!</definedName>
    <definedName name="PREPAID_OTHER" hidden="0" function="0" vbProcedure="0">#REF!</definedName>
    <definedName name="prev" hidden="0" function="0" vbProcedure="0">#REF!</definedName>
    <definedName name="PreviousMonth" hidden="0" function="0" vbProcedure="0">#REF!</definedName>
    <definedName name="PREV_ADJ_31398" hidden="0" function="0" vbProcedure="0">#REF!</definedName>
    <definedName name="Print" hidden="0" function="0" vbProcedure="0">#REF!</definedName>
    <definedName name="Print_Area1" hidden="0" function="0" vbProcedure="0">#REF!</definedName>
    <definedName name="Print_Area2" hidden="0" function="0" vbProcedure="0">#REF!</definedName>
    <definedName name="Print_Area_MI" hidden="0" function="0" vbProcedure="0">#REF!</definedName>
    <definedName name="Print_Range___0___0___0___0___0___0___0" hidden="0" function="0" vbProcedure="0">#REF!</definedName>
    <definedName name="Print_Range___0___0___0___0___0___0___0___0" hidden="0" function="0" vbProcedure="0">#REF!</definedName>
    <definedName name="Print_Range___8" hidden="0" function="0" vbProcedure="0">#REF!</definedName>
    <definedName name="PRINT_SUMMARY" hidden="0" function="0" vbProcedure="0">#REF!</definedName>
    <definedName name="Print_titles22" hidden="0" function="0" vbProcedure="0">#REF!</definedName>
    <definedName name="PRINT_TITLES_MI" hidden="0" function="0" vbProcedure="0">#REF!</definedName>
    <definedName name="problem1" hidden="0" function="0" vbProcedure="0">#REF!</definedName>
    <definedName name="PRODSALES" hidden="0" function="0" vbProcedure="0">#REF!</definedName>
    <definedName name="Professional_IRD_per_Disbn_sys_at_Receive_site" hidden="0" function="0" vbProcedure="0">#REF!</definedName>
    <definedName name="PROFITLOSS" hidden="0" function="0" vbProcedure="0">#REF!</definedName>
    <definedName name="PROFITP" hidden="0" function="0" vbProcedure="0">#REF!</definedName>
    <definedName name="progm" hidden="0" function="0" vbProcedure="0">#REF!</definedName>
    <definedName name="ProjDesc" hidden="0" function="0" vbProcedure="0">#REF!</definedName>
    <definedName name="PROJECT_NAME" hidden="0" function="0" vbProcedure="0">#REF!</definedName>
    <definedName name="ProjName" hidden="0" function="0" vbProcedure="0">#REF!</definedName>
    <definedName name="promail" hidden="0" function="0" vbProcedure="0">#REF!</definedName>
    <definedName name="pronomail" hidden="0" function="0" vbProcedure="0">#REF!</definedName>
    <definedName name="Provisional_Rate" hidden="0" function="0" vbProcedure="0">#REF!</definedName>
    <definedName name="Provisions" hidden="0" function="0" vbProcedure="0">#REF!</definedName>
    <definedName name="Pro_Decoder_per_Disbn_sys" hidden="0" function="0" vbProcedure="0">#REF!</definedName>
    <definedName name="Pro_IRD_per_Disbn_sys" hidden="0" function="0" vbProcedure="0">#REF!</definedName>
    <definedName name="PrtMajMaint" hidden="0" function="0" vbProcedure="0">#REF!</definedName>
    <definedName name="PrtOffsite" hidden="0" function="0" vbProcedure="0">#REF!</definedName>
    <definedName name="PrtPrecomm" hidden="0" function="0" vbProcedure="0">#REF!</definedName>
    <definedName name="PrtSetup" hidden="0" function="0" vbProcedure="0">#REF!</definedName>
    <definedName name="psmperc" hidden="0" function="0" vbProcedure="0">#REF!</definedName>
    <definedName name="psmprtot" hidden="0" function="0" vbProcedure="0">#REF!</definedName>
    <definedName name="psprtot" hidden="0" function="0" vbProcedure="0">#REF!</definedName>
    <definedName name="psrtot" hidden="0" function="0" vbProcedure="0">#REF!</definedName>
    <definedName name="pssprtot" hidden="0" function="0" vbProcedure="0">#REF!</definedName>
    <definedName name="pssrtot" hidden="0" function="0" vbProcedure="0">#REF!</definedName>
    <definedName name="ptaperc" hidden="0" function="0" vbProcedure="0">#REF!</definedName>
    <definedName name="Ptas" hidden="0" function="0" vbProcedure="0">#REF!</definedName>
    <definedName name="ptptot" hidden="0" function="0" vbProcedure="0">#REF!</definedName>
    <definedName name="pub" hidden="0" function="0" vbProcedure="0">#REF!</definedName>
    <definedName name="PURCHASE" hidden="0" function="0" vbProcedure="0">#REF!</definedName>
    <definedName name="py_retained_earnings" hidden="0" function="0" vbProcedure="0">#REF!</definedName>
    <definedName name="py_ret_earn_beg" hidden="0" function="0" vbProcedure="0">#REF!</definedName>
    <definedName name="py_share_equity" hidden="0" function="0" vbProcedure="0">#REF!</definedName>
    <definedName name="P_L" hidden="0" function="0" vbProcedure="0">#REF!</definedName>
    <definedName name="P_MARVINKURVE" hidden="0" function="0" vbProcedure="0">#REF!</definedName>
    <definedName name="P_M_AC" hidden="0" function="0" vbProcedure="0">#REF!</definedName>
    <definedName name="P_Som" hidden="0" function="0" vbProcedure="0">#REF!</definedName>
    <definedName name="P___L___Statement" hidden="0" function="0" vbProcedure="0">#REF!</definedName>
    <definedName name="P___L___Statement_4" hidden="0" function="0" vbProcedure="0">#REF!</definedName>
    <definedName name="q" hidden="0" function="0" vbProcedure="0">#REF!</definedName>
    <definedName name="qalperc" hidden="0" function="0" vbProcedure="0">#REF!</definedName>
    <definedName name="qaprtot" hidden="0" function="0" vbProcedure="0">#REF!</definedName>
    <definedName name="qartot" hidden="0" function="0" vbProcedure="0">#REF!</definedName>
    <definedName name="qmpcomp" hidden="0" function="0" vbProcedure="0">#REF!</definedName>
    <definedName name="qmpctl" hidden="0" function="0" vbProcedure="0">#REF!</definedName>
    <definedName name="qmperc" hidden="0" function="0" vbProcedure="0">#REF!</definedName>
    <definedName name="qmpphs" hidden="0" function="0" vbProcedure="0">#REF!</definedName>
    <definedName name="qmpphscomp" hidden="0" function="0" vbProcedure="0">#REF!</definedName>
    <definedName name="qmpplan" hidden="0" function="0" vbProcedure="0">#REF!</definedName>
    <definedName name="qmptot" hidden="0" function="0" vbProcedure="0">#REF!</definedName>
    <definedName name="qmrtot" hidden="0" function="0" vbProcedure="0">#REF!</definedName>
    <definedName name="qq" hidden="0" function="0" vbProcedure="0">#REF!</definedName>
    <definedName name="qryPRExport" hidden="0" function="0" vbProcedure="0">#REF!</definedName>
    <definedName name="qryPRExportNYR" hidden="0" function="0" vbProcedure="0">#REF!</definedName>
    <definedName name="qweqw" hidden="0" function="0" vbProcedure="0">#REF!</definedName>
    <definedName name="qzqzqz10" hidden="0" function="0" vbProcedure="0">#REF!</definedName>
    <definedName name="qzqzqz10_4" hidden="0" function="0" vbProcedure="0">#REF!</definedName>
    <definedName name="qzqzqz11" hidden="0" function="0" vbProcedure="0">#REF!</definedName>
    <definedName name="qzqzqz11_4" hidden="0" function="0" vbProcedure="0">#REF!</definedName>
    <definedName name="qzqzqz12" hidden="0" function="0" vbProcedure="0">#REF!</definedName>
    <definedName name="qzqzqz12_4" hidden="0" function="0" vbProcedure="0">#REF!</definedName>
    <definedName name="qzqzqz13" hidden="0" function="0" vbProcedure="0">#REF!</definedName>
    <definedName name="qzqzqz13_4" hidden="0" function="0" vbProcedure="0">#REF!</definedName>
    <definedName name="qzqzqz14" hidden="0" function="0" vbProcedure="0">#REF!</definedName>
    <definedName name="qzqzqz14_4" hidden="0" function="0" vbProcedure="0">#REF!</definedName>
    <definedName name="qzqzqz15" hidden="0" function="0" vbProcedure="0">#REF!</definedName>
    <definedName name="qzqzqz15_4" hidden="0" function="0" vbProcedure="0">#REF!</definedName>
    <definedName name="qzqzqz16" hidden="0" function="0" vbProcedure="0">#REF!</definedName>
    <definedName name="qzqzqz16_4" hidden="0" function="0" vbProcedure="0">#REF!</definedName>
    <definedName name="qzqzqz17" hidden="0" function="0" vbProcedure="0">#REF!</definedName>
    <definedName name="qzqzqz17_4" hidden="0" function="0" vbProcedure="0">#REF!</definedName>
    <definedName name="qzqzqz18" hidden="0" function="0" vbProcedure="0">#REF!</definedName>
    <definedName name="qzqzqz18_4" hidden="0" function="0" vbProcedure="0">#REF!</definedName>
    <definedName name="qzqzqz19" hidden="0" function="0" vbProcedure="0">#REF!</definedName>
    <definedName name="qzqzqz19_4" hidden="0" function="0" vbProcedure="0">#REF!</definedName>
    <definedName name="qzqzqz20" hidden="0" function="0" vbProcedure="0">#REF!</definedName>
    <definedName name="qzqzqz20_4" hidden="0" function="0" vbProcedure="0">#REF!</definedName>
    <definedName name="qzqzqz21" hidden="0" function="0" vbProcedure="0">#REF!</definedName>
    <definedName name="qzqzqz21_4" hidden="0" function="0" vbProcedure="0">#REF!</definedName>
    <definedName name="qzqzqz22" hidden="0" function="0" vbProcedure="0">#REF!</definedName>
    <definedName name="qzqzqz22_4" hidden="0" function="0" vbProcedure="0">#REF!</definedName>
    <definedName name="qzqzqz23" hidden="0" function="0" vbProcedure="0">#REF!</definedName>
    <definedName name="qzqzqz23_4" hidden="0" function="0" vbProcedure="0">#REF!</definedName>
    <definedName name="qzqzqz24" hidden="0" function="0" vbProcedure="0">#REF!</definedName>
    <definedName name="qzqzqz24_4" hidden="0" function="0" vbProcedure="0">#REF!</definedName>
    <definedName name="qzqzqz25" hidden="0" function="0" vbProcedure="0">#REF!</definedName>
    <definedName name="qzqzqz25_4" hidden="0" function="0" vbProcedure="0">#REF!</definedName>
    <definedName name="qzqzqz26" hidden="0" function="0" vbProcedure="0">#REF!</definedName>
    <definedName name="qzqzqz26_4" hidden="0" function="0" vbProcedure="0">#REF!</definedName>
    <definedName name="qzqzqz27" hidden="0" function="0" vbProcedure="0">#REF!</definedName>
    <definedName name="qzqzqz27_4" hidden="0" function="0" vbProcedure="0">#REF!</definedName>
    <definedName name="qzqzqz28" hidden="0" function="0" vbProcedure="0">#REF!</definedName>
    <definedName name="qzqzqz28_4" hidden="0" function="0" vbProcedure="0">#REF!</definedName>
    <definedName name="qzqzqz29" hidden="0" function="0" vbProcedure="0">#REF!</definedName>
    <definedName name="qzqzqz29_4" hidden="0" function="0" vbProcedure="0">#REF!</definedName>
    <definedName name="qzqzqz30" hidden="0" function="0" vbProcedure="0">#REF!</definedName>
    <definedName name="qzqzqz30_4" hidden="0" function="0" vbProcedure="0">#REF!</definedName>
    <definedName name="qzqzqz31" hidden="0" function="0" vbProcedure="0">#REF!</definedName>
    <definedName name="qzqzqz31_4" hidden="0" function="0" vbProcedure="0">#REF!</definedName>
    <definedName name="qzqzqz32" hidden="0" function="0" vbProcedure="0">#REF!</definedName>
    <definedName name="qzqzqz32_4" hidden="0" function="0" vbProcedure="0">#REF!</definedName>
    <definedName name="qzqzqz33" hidden="0" function="0" vbProcedure="0">#REF!</definedName>
    <definedName name="qzqzqz33_4" hidden="0" function="0" vbProcedure="0">#REF!</definedName>
    <definedName name="qzqzqz34" hidden="0" function="0" vbProcedure="0">#REF!</definedName>
    <definedName name="qzqzqz34_4" hidden="0" function="0" vbProcedure="0">#REF!</definedName>
    <definedName name="qzqzqz35" hidden="0" function="0" vbProcedure="0">#REF!</definedName>
    <definedName name="qzqzqz35_4" hidden="0" function="0" vbProcedure="0">#REF!</definedName>
    <definedName name="qzqzqz36" hidden="0" function="0" vbProcedure="0">#REF!</definedName>
    <definedName name="qzqzqz36_4" hidden="0" function="0" vbProcedure="0">#REF!</definedName>
    <definedName name="qzqzqz37" hidden="0" function="0" vbProcedure="0">#REF!</definedName>
    <definedName name="qzqzqz37_4" hidden="0" function="0" vbProcedure="0">#REF!</definedName>
    <definedName name="qzqzqz38" hidden="0" function="0" vbProcedure="0">#REF!</definedName>
    <definedName name="qzqzqz38_4" hidden="0" function="0" vbProcedure="0">#REF!</definedName>
    <definedName name="qzqzqz39" hidden="0" function="0" vbProcedure="0">#REF!</definedName>
    <definedName name="qzqzqz39_4" hidden="0" function="0" vbProcedure="0">#REF!</definedName>
    <definedName name="qzqzqz40" hidden="0" function="0" vbProcedure="0">#REF!</definedName>
    <definedName name="qzqzqz40_4" hidden="0" function="0" vbProcedure="0">#REF!</definedName>
    <definedName name="qzqzqz41" hidden="0" function="0" vbProcedure="0">#REF!</definedName>
    <definedName name="qzqzqz41_4" hidden="0" function="0" vbProcedure="0">#REF!</definedName>
    <definedName name="qzqzqz42" hidden="0" function="0" vbProcedure="0">#REF!</definedName>
    <definedName name="qzqzqz42_4" hidden="0" function="0" vbProcedure="0">#REF!</definedName>
    <definedName name="qzqzqz43" hidden="0" function="0" vbProcedure="0">#REF!</definedName>
    <definedName name="qzqzqz43_4" hidden="0" function="0" vbProcedure="0">#REF!</definedName>
    <definedName name="qzqzqz44" hidden="0" function="0" vbProcedure="0">#REF!</definedName>
    <definedName name="qzqzqz44_4" hidden="0" function="0" vbProcedure="0">#REF!</definedName>
    <definedName name="qzqzqz45" hidden="0" function="0" vbProcedure="0">#REF!</definedName>
    <definedName name="qzqzqz45_4" hidden="0" function="0" vbProcedure="0">#REF!</definedName>
    <definedName name="qzqzqz46" hidden="0" function="0" vbProcedure="0">#REF!</definedName>
    <definedName name="qzqzqz46_4" hidden="0" function="0" vbProcedure="0">#REF!</definedName>
    <definedName name="qzqzqz47" hidden="0" function="0" vbProcedure="0">#REF!</definedName>
    <definedName name="qzqzqz47_4" hidden="0" function="0" vbProcedure="0">#REF!</definedName>
    <definedName name="qzqzqz48" hidden="0" function="0" vbProcedure="0">#REF!</definedName>
    <definedName name="qzqzqz48_4" hidden="0" function="0" vbProcedure="0">#REF!</definedName>
    <definedName name="qzqzqz49" hidden="0" function="0" vbProcedure="0">#REF!</definedName>
    <definedName name="qzqzqz49_4" hidden="0" function="0" vbProcedure="0">#REF!</definedName>
    <definedName name="qzqzqz50" hidden="0" function="0" vbProcedure="0">#REF!</definedName>
    <definedName name="qzqzqz50_4" hidden="0" function="0" vbProcedure="0">#REF!</definedName>
    <definedName name="qzqzqz51" hidden="0" function="0" vbProcedure="0">#REF!</definedName>
    <definedName name="qzqzqz51_4" hidden="0" function="0" vbProcedure="0">#REF!</definedName>
    <definedName name="qzqzqz52" hidden="0" function="0" vbProcedure="0">#REF!</definedName>
    <definedName name="qzqzqz52_4" hidden="0" function="0" vbProcedure="0">#REF!</definedName>
    <definedName name="qzqzqz53" hidden="0" function="0" vbProcedure="0">#REF!</definedName>
    <definedName name="qzqzqz53_4" hidden="0" function="0" vbProcedure="0">#REF!</definedName>
    <definedName name="qzqzqz54" hidden="0" function="0" vbProcedure="0">#REF!</definedName>
    <definedName name="qzqzqz54_4" hidden="0" function="0" vbProcedure="0">#REF!</definedName>
    <definedName name="qzqzqz55" hidden="0" function="0" vbProcedure="0">#REF!</definedName>
    <definedName name="qzqzqz55_4" hidden="0" function="0" vbProcedure="0">#REF!</definedName>
    <definedName name="qzqzqz56" hidden="0" function="0" vbProcedure="0">#REF!</definedName>
    <definedName name="qzqzqz56_4" hidden="0" function="0" vbProcedure="0">#REF!</definedName>
    <definedName name="qzqzqz57" hidden="0" function="0" vbProcedure="0">#REF!</definedName>
    <definedName name="qzqzqz57_4" hidden="0" function="0" vbProcedure="0">#REF!</definedName>
    <definedName name="qzqzqz58" hidden="0" function="0" vbProcedure="0">#REF!</definedName>
    <definedName name="qzqzqz58_4" hidden="0" function="0" vbProcedure="0">#REF!</definedName>
    <definedName name="qzqzqz59" hidden="0" function="0" vbProcedure="0">#REF!</definedName>
    <definedName name="qzqzqz59_4" hidden="0" function="0" vbProcedure="0">#REF!</definedName>
    <definedName name="qzqzqz6" hidden="0" function="0" vbProcedure="0">#REF!</definedName>
    <definedName name="qzqzqz60" hidden="0" function="0" vbProcedure="0">#REF!</definedName>
    <definedName name="qzqzqz60_4" hidden="0" function="0" vbProcedure="0">#REF!</definedName>
    <definedName name="qzqzqz61" hidden="0" function="0" vbProcedure="0">#REF!</definedName>
    <definedName name="qzqzqz61_4" hidden="0" function="0" vbProcedure="0">#REF!</definedName>
    <definedName name="qzqzqz6_4" hidden="0" function="0" vbProcedure="0">#REF!</definedName>
    <definedName name="qzqzqz7" hidden="0" function="0" vbProcedure="0">#REF!</definedName>
    <definedName name="qzqzqz7_4" hidden="0" function="0" vbProcedure="0">#REF!</definedName>
    <definedName name="qzqzqz8" hidden="0" function="0" vbProcedure="0">#REF!</definedName>
    <definedName name="qzqzqz8_4" hidden="0" function="0" vbProcedure="0">#REF!</definedName>
    <definedName name="qzqzqz9" hidden="0" function="0" vbProcedure="0">#REF!</definedName>
    <definedName name="qzqzqz9_4" hidden="0" function="0" vbProcedure="0">#REF!</definedName>
    <definedName name="radha" hidden="0" function="0" vbProcedure="0">#REF!</definedName>
    <definedName name="Ram" hidden="0" function="0" vbProcedure="0">#REF!</definedName>
    <definedName name="rama1" hidden="0" function="0" vbProcedure="0">#REF!</definedName>
    <definedName name="ramcoindus" hidden="0" function="0" vbProcedure="0">#REF!</definedName>
    <definedName name="ramcosys" hidden="0" function="0" vbProcedure="0">#REF!</definedName>
    <definedName name="ranbaxylabs" hidden="0" function="0" vbProcedure="0">#REF!</definedName>
    <definedName name="RAO" hidden="0" function="0" vbProcedure="0">#REF!</definedName>
    <definedName name="rate" hidden="0" function="0" vbProcedure="0">#REF!</definedName>
    <definedName name="rate10" hidden="0" function="0" vbProcedure="0">#REF!</definedName>
    <definedName name="rate11" hidden="0" function="0" vbProcedure="0">#REF!</definedName>
    <definedName name="rate12" hidden="0" function="0" vbProcedure="0">#REF!</definedName>
    <definedName name="rate13" hidden="0" function="0" vbProcedure="0">#REF!</definedName>
    <definedName name="rate14" hidden="0" function="0" vbProcedure="0">#REF!</definedName>
    <definedName name="rate15" hidden="0" function="0" vbProcedure="0">#REF!</definedName>
    <definedName name="rate2" hidden="0" function="0" vbProcedure="0">#REF!</definedName>
    <definedName name="rate3" hidden="0" function="0" vbProcedure="0">#REF!</definedName>
    <definedName name="rate4" hidden="0" function="0" vbProcedure="0">#REF!</definedName>
    <definedName name="rate5" hidden="0" function="0" vbProcedure="0">#REF!</definedName>
    <definedName name="rate6" hidden="0" function="0" vbProcedure="0">#REF!</definedName>
    <definedName name="rate7" hidden="0" function="0" vbProcedure="0">#REF!</definedName>
    <definedName name="rate8" hidden="0" function="0" vbProcedure="0">#REF!</definedName>
    <definedName name="rate9" hidden="0" function="0" vbProcedure="0">#REF!</definedName>
    <definedName name="ratebyname" hidden="0" function="0" vbProcedure="0">#REF!</definedName>
    <definedName name="Ratio_Disbn_sys_4_2_2_to_4_2_0" hidden="0" function="0" vbProcedure="0">#REF!</definedName>
    <definedName name="Ratio_Disbn_sys_ASI_SPI_decoder_to_basic" hidden="0" function="0" vbProcedure="0">#REF!</definedName>
    <definedName name="Ratio_Disbn_sys_CA_to_FTA" hidden="0" function="0" vbProcedure="0">#REF!</definedName>
    <definedName name="Ratio_Disbn_sys_Director_to_RAS1" hidden="0" function="0" vbProcedure="0">#REF!</definedName>
    <definedName name="Ratio_Disbn_sys_E5610___E5210" hidden="0" function="0" vbProcedure="0">#REF!</definedName>
    <definedName name="Ratio_Disbn_sys_mods_QPSK_to_8PSK" hidden="0" function="0" vbProcedure="0">#REF!</definedName>
    <definedName name="Ratio_Disbn_sys_with_reflex" hidden="0" function="0" vbProcedure="0">#REF!</definedName>
    <definedName name="RawData" hidden="0" function="0" vbProcedure="0">#REF!</definedName>
    <definedName name="RawHeader" hidden="0" function="0" vbProcedure="0">#REF!</definedName>
    <definedName name="RCS2Q2" hidden="0" function="0" vbProcedure="0">#REF!</definedName>
    <definedName name="RCS3Q2" hidden="0" function="0" vbProcedure="0">#REF!</definedName>
    <definedName name="rdptot" hidden="0" function="0" vbProcedure="0">#REF!</definedName>
    <definedName name="RD_PROFILE" hidden="0" function="0" vbProcedure="0">#REF!</definedName>
    <definedName name="re" hidden="0" function="0" vbProcedure="0">#REF!</definedName>
    <definedName name="Realisations_salevalue" hidden="0" function="0" vbProcedure="0">#REF!</definedName>
    <definedName name="Realisations_salevalue_4" hidden="0" function="0" vbProcedure="0">#REF!</definedName>
    <definedName name="Receipts" hidden="0" function="0" vbProcedure="0">#REF!</definedName>
    <definedName name="RECLASSBS2008." hidden="0" function="0" vbProcedure="0">#REF!</definedName>
    <definedName name="RECLBS1" hidden="0" function="0" vbProcedure="0">#REF!</definedName>
    <definedName name="RECLBS2005" hidden="0" function="0" vbProcedure="0">#REF!</definedName>
    <definedName name="RECLBS2006" hidden="0" function="0" vbProcedure="0">#REF!</definedName>
    <definedName name="RECLPL1" hidden="0" function="0" vbProcedure="0">#REF!</definedName>
    <definedName name="RECLPL2007" hidden="0" function="0" vbProcedure="0">#REF!</definedName>
    <definedName name="recon" hidden="0" function="0" vbProcedure="0">#REF!</definedName>
    <definedName name="Recons" hidden="0" function="0" vbProcedure="0">#REF!</definedName>
    <definedName name="Refund" hidden="0" function="0" vbProcedure="0">#REF!</definedName>
    <definedName name="refunds" hidden="0" function="0" vbProcedure="0">#REF!</definedName>
    <definedName name="Ref_1" hidden="0" function="0" vbProcedure="0">#REF!</definedName>
    <definedName name="Ref_2" hidden="0" function="0" vbProcedure="0">#REF!</definedName>
    <definedName name="Ref_3" hidden="0" function="0" vbProcedure="0">#REF!</definedName>
    <definedName name="Ref_4" hidden="0" function="0" vbProcedure="0">#REF!</definedName>
    <definedName name="RegenCost" hidden="0" function="0" vbProcedure="0">#REF!</definedName>
    <definedName name="REGION" hidden="0" function="0" vbProcedure="0">#REF!</definedName>
    <definedName name="relenergy" hidden="0" function="0" vbProcedure="0">#REF!</definedName>
    <definedName name="relindus" hidden="0" function="0" vbProcedure="0">#REF!</definedName>
    <definedName name="RentElecAlloc" hidden="0" function="0" vbProcedure="0">#REF!</definedName>
    <definedName name="Resi_diff" hidden="0" function="0" vbProcedure="0">#REF!</definedName>
    <definedName name="Results" hidden="0" function="0" vbProcedure="0">#REF!</definedName>
    <definedName name="Res_diff" hidden="0" function="0" vbProcedure="0">#REF!</definedName>
    <definedName name="Retention_Money__Arun_Construction" hidden="0" function="0" vbProcedure="0">#REF!</definedName>
    <definedName name="REVLOC" hidden="0" function="0" vbProcedure="0">#REF!</definedName>
    <definedName name="REV_WORKING" hidden="0" function="0" vbProcedure="0">#REF!</definedName>
    <definedName name="RFCL" hidden="0" function="0" vbProcedure="0">#REF!</definedName>
    <definedName name="Riacove" hidden="0" function="0" vbProcedure="0">#REF!</definedName>
    <definedName name="risk" hidden="0" function="0" vbProcedure="0">#REF!</definedName>
    <definedName name="RJASSET" hidden="0" function="0" vbProcedure="0">#REF!</definedName>
    <definedName name="rmpcomp" hidden="0" function="0" vbProcedure="0">#REF!</definedName>
    <definedName name="rmpctl" hidden="0" function="0" vbProcedure="0">#REF!</definedName>
    <definedName name="rmpphs" hidden="0" function="0" vbProcedure="0">#REF!</definedName>
    <definedName name="rmpphscomp" hidden="0" function="0" vbProcedure="0">#REF!</definedName>
    <definedName name="rmpplan" hidden="0" function="0" vbProcedure="0">#REF!</definedName>
    <definedName name="rmptot" hidden="0" function="0" vbProcedure="0">#REF!</definedName>
    <definedName name="RO?" hidden="0" function="0" vbProcedure="0">#REF!</definedName>
    <definedName name="ROI" hidden="0" function="0" vbProcedure="0">#REF!</definedName>
    <definedName name="rrate" hidden="0" function="0" vbProcedure="0">#REF!</definedName>
    <definedName name="Rs.2.25" hidden="0" function="0" vbProcedure="0">#REF!</definedName>
    <definedName name="RSU_Confirmation_of_Release" hidden="0" function="0" vbProcedure="0">#REF!</definedName>
    <definedName name="RunDate" hidden="0" function="0" vbProcedure="0">#REF!</definedName>
    <definedName name="RunName" hidden="0" function="0" vbProcedure="0">#REF!</definedName>
    <definedName name="R_D" hidden="0" function="0" vbProcedure="0">#REF!</definedName>
    <definedName name="R_f" hidden="0" function="0" vbProcedure="0">#REF!</definedName>
    <definedName name="R_fac" hidden="0" function="0" vbProcedure="0">#REF!</definedName>
    <definedName name="R_Factor" hidden="0" function="0" vbProcedure="0">#REF!</definedName>
    <definedName name="R_Pathania" hidden="0" function="0" vbProcedure="0">#REF!</definedName>
    <definedName name="S" hidden="0" function="0" vbProcedure="0">#REF!</definedName>
    <definedName name="sa" hidden="0" function="0" vbProcedure="0">#REF!</definedName>
    <definedName name="sad" hidden="0" function="0" vbProcedure="0">#REF!</definedName>
    <definedName name="sadfdsa" hidden="0" function="0" vbProcedure="0">#REF!</definedName>
    <definedName name="sadrtot" hidden="0" function="0" vbProcedure="0">#REF!</definedName>
    <definedName name="sadsad" hidden="0" function="0" vbProcedure="0">#REF!</definedName>
    <definedName name="sail" hidden="0" function="0" vbProcedure="0">#REF!</definedName>
    <definedName name="sajkfdhkdf" hidden="0" function="0" vbProcedure="0">#REF!</definedName>
    <definedName name="SAL299_FULL" hidden="0" function="0" vbProcedure="0">#REF!</definedName>
    <definedName name="Salary" hidden="0" function="0" vbProcedure="0">#REF!</definedName>
    <definedName name="salect2" hidden="0" function="0" vbProcedure="0">#REF!</definedName>
    <definedName name="SALES" hidden="0" function="0" vbProcedure="0">#REF!</definedName>
    <definedName name="salesdata" hidden="0" function="0" vbProcedure="0">#REF!</definedName>
    <definedName name="SalesMTCust1Budget" hidden="0" function="0" vbProcedure="0">#REF!</definedName>
    <definedName name="SalesMTCust1NextQuarter" hidden="0" function="0" vbProcedure="0">#REF!</definedName>
    <definedName name="SalesMTCust1Quarter" hidden="0" function="0" vbProcedure="0">#REF!</definedName>
    <definedName name="SalesMTCust2NextQuarter" hidden="0" function="0" vbProcedure="0">#REF!</definedName>
    <definedName name="SalesMTCust3Budget" hidden="0" function="0" vbProcedure="0">#REF!</definedName>
    <definedName name="SalesMTCust3NextQuarter" hidden="0" function="0" vbProcedure="0">#REF!</definedName>
    <definedName name="SalesMTTotal" hidden="0" function="0" vbProcedure="0">#REF!</definedName>
    <definedName name="SalesMTTotalBudget" hidden="0" function="0" vbProcedure="0">#REF!</definedName>
    <definedName name="SalesMTTotalNextQuarter" hidden="0" function="0" vbProcedure="0">#REF!</definedName>
    <definedName name="SalesMTTotalQuarter" hidden="0" function="0" vbProcedure="0">#REF!</definedName>
    <definedName name="SALES_4" hidden="0" function="0" vbProcedure="0">#REF!</definedName>
    <definedName name="sandhy" hidden="0" function="0" vbProcedure="0">#REF!</definedName>
    <definedName name="SANGEETA_PAL" hidden="0" function="0" vbProcedure="0">#REF!</definedName>
    <definedName name="SAPBEXrevision" hidden="1" function="0" vbProcedure="0">23</definedName>
    <definedName name="SAPBEXsysID" hidden="1" function="0" vbProcedure="0">"PR2"</definedName>
    <definedName name="SAPBEXwbID" hidden="1" function="0" vbProcedure="0">"48JV5QZDW1LGRWBV3T4IVLRLX"</definedName>
    <definedName name="saperc" hidden="0" function="0" vbProcedure="0">#REF!</definedName>
    <definedName name="sartot" hidden="0" function="0" vbProcedure="0">#REF!</definedName>
    <definedName name="satyamcomp" hidden="0" function="0" vbProcedure="0">#REF!</definedName>
    <definedName name="sbi" hidden="0" function="0" vbProcedure="0">#REF!</definedName>
    <definedName name="sch" hidden="0" function="0" vbProcedure="0">#REF!</definedName>
    <definedName name="SCH1_5" hidden="0" function="0" vbProcedure="0">#REF!</definedName>
    <definedName name="SCH6_10" hidden="0" function="0" vbProcedure="0">#REF!</definedName>
    <definedName name="schedules" hidden="0" function="0" vbProcedure="0">#REF!</definedName>
    <definedName name="SchO" hidden="0" function="0" vbProcedure="0">#REF!</definedName>
    <definedName name="SCH_11" hidden="0" function="0" vbProcedure="0">#REF!</definedName>
    <definedName name="sch_a" hidden="0" function="0" vbProcedure="0">#REF!</definedName>
    <definedName name="SCH__2" hidden="0" function="0" vbProcedure="0">#REF!</definedName>
    <definedName name="scmprtot" hidden="0" function="0" vbProcedure="0">#REF!</definedName>
    <definedName name="scmrtot" hidden="0" function="0" vbProcedure="0">#REF!</definedName>
    <definedName name="scperc" hidden="0" function="0" vbProcedure="0">#REF!</definedName>
    <definedName name="scpperc" hidden="0" function="0" vbProcedure="0">#REF!</definedName>
    <definedName name="sc_a_b" hidden="0" function="0" vbProcedure="0">#REF!</definedName>
    <definedName name="sc_b" hidden="0" function="0" vbProcedure="0">#REF!</definedName>
    <definedName name="SD" hidden="0" function="0" vbProcedure="0">#REF!</definedName>
    <definedName name="sda" hidden="0" function="0" vbProcedure="0">#REF!</definedName>
    <definedName name="sdafds" hidden="0" function="0" vbProcedure="0">#REF!</definedName>
    <definedName name="SDASD" hidden="0" function="0" vbProcedure="0">#REF!</definedName>
    <definedName name="sdased" hidden="0" function="0" vbProcedure="0">#REF!</definedName>
    <definedName name="sdfd" hidden="0" function="0" vbProcedure="0">#REF!</definedName>
    <definedName name="SDGSDB" hidden="0" function="0" vbProcedure="0">#REF!</definedName>
    <definedName name="sdpl" hidden="0" function="0" vbProcedure="0">#REF!</definedName>
    <definedName name="SDPLBS" hidden="0" function="0" vbProcedure="0">#REF!</definedName>
    <definedName name="SDPLFA" hidden="0" function="0" vbProcedure="0">#REF!</definedName>
    <definedName name="SDPLPL" hidden="0" function="0" vbProcedure="0">#REF!</definedName>
    <definedName name="secured" hidden="0" function="0" vbProcedure="0">#REF!</definedName>
    <definedName name="sec_deposit" hidden="0" function="0" vbProcedure="0">#REF!</definedName>
    <definedName name="sef" hidden="0" function="0" vbProcedure="0">#REF!</definedName>
    <definedName name="sencount" hidden="1" function="0" vbProcedure="0">2</definedName>
    <definedName name="sensitivity" hidden="0" function="0" vbProcedure="0">#REF!</definedName>
    <definedName name="Sensitivity_Analysis___Land_Cost_only__with_HHP_as_Newco" hidden="0" function="0" vbProcedure="0">#REF!</definedName>
    <definedName name="Sensitivity_Analysis___Maintain_original_land_cost_but_convert_HHP_s_request_to_share" hidden="0" function="0" vbProcedure="0">#REF!</definedName>
    <definedName name="sep97_4" hidden="0" function="0" vbProcedure="0">#REF!</definedName>
    <definedName name="SEPDATA?" hidden="0" function="0" vbProcedure="0">#REF!</definedName>
    <definedName name="SEPT" hidden="0" function="0" vbProcedure="0">#REF!</definedName>
    <definedName name="SETUP_PRINT" hidden="0" function="0" vbProcedure="0">#REF!</definedName>
    <definedName name="SEVENDAY" hidden="0" function="0" vbProcedure="0">#REF!</definedName>
    <definedName name="SFD" hidden="0" function="0" vbProcedure="0">#REF!</definedName>
    <definedName name="SFV" hidden="0" function="0" vbProcedure="0">#REF!</definedName>
    <definedName name="SHARED_FORMULA_1" hidden="0" function="0" vbProcedure="0">#REF!</definedName>
    <definedName name="SHARED_FORMULA_3" hidden="0" function="0" vbProcedure="0">#REF!</definedName>
    <definedName name="SHARED_FORMULA_5" hidden="0" function="0" vbProcedure="0">#REF!</definedName>
    <definedName name="SHARED_FORMULA_7" hidden="0" function="0" vbProcedure="0">#REF!</definedName>
    <definedName name="SHARED_FORMULA_9" hidden="0" function="0" vbProcedure="0">#REF!</definedName>
    <definedName name="Shared_Interest_Total" hidden="0" function="0" vbProcedure="0">#REF!</definedName>
    <definedName name="SHEET1" hidden="0" function="0" vbProcedure="0">#REF!</definedName>
    <definedName name="SHT" hidden="0" function="0" vbProcedure="0">#REF!</definedName>
    <definedName name="singh" hidden="0" function="0" vbProcedure="0">#REF!</definedName>
    <definedName name="Six" hidden="0" function="0" vbProcedure="0">#REF!</definedName>
    <definedName name="smsrtot" hidden="0" function="0" vbProcedure="0">#REF!</definedName>
    <definedName name="sonim" hidden="0" function="0" vbProcedure="0">#REF!</definedName>
    <definedName name="SPAIN" hidden="0" function="0" vbProcedure="0">#REF!</definedName>
    <definedName name="SPAN" hidden="0" function="0" vbProcedure="0">#REF!</definedName>
    <definedName name="srate" hidden="0" function="0" vbProcedure="0">#REF!</definedName>
    <definedName name="srvperc" hidden="0" function="0" vbProcedure="0">#REF!</definedName>
    <definedName name="ssa" hidden="0" function="0" vbProcedure="0">#REF!</definedName>
    <definedName name="ssc" hidden="0" function="0" vbProcedure="0">#REF!</definedName>
    <definedName name="ssperc" hidden="0" function="0" vbProcedure="0">#REF!</definedName>
    <definedName name="ST" hidden="0" function="0" vbProcedure="0">#REF!</definedName>
    <definedName name="StaffScale" hidden="0" function="0" vbProcedure="0">#REF!</definedName>
    <definedName name="stalecheque" hidden="0" function="0" vbProcedure="0">#REF!</definedName>
    <definedName name="Start" hidden="0" function="0" vbProcedure="0">#REF!</definedName>
    <definedName name="Status" hidden="0" function="0" vbProcedure="0">#REF!</definedName>
    <definedName name="stk" hidden="0" function="0" vbProcedure="0">#REF!</definedName>
    <definedName name="stock" hidden="0" function="0" vbProcedure="0">#REF!</definedName>
    <definedName name="stockdata" hidden="0" function="0" vbProcedure="0">#REF!</definedName>
    <definedName name="Stocks" hidden="0" function="0" vbProcedure="0">#REF!</definedName>
    <definedName name="Stocks_4" hidden="0" function="0" vbProcedure="0">#REF!</definedName>
    <definedName name="stock_status2001" hidden="0" function="0" vbProcedure="0">#REF!</definedName>
    <definedName name="STRAT" hidden="0" function="0" vbProcedure="0">#REF!</definedName>
    <definedName name="STScale" hidden="0" function="0" vbProcedure="0">#REF!</definedName>
    <definedName name="sum" hidden="0" function="0" vbProcedure="0">#REF!</definedName>
    <definedName name="Summary_Budget_Form_For_Development_Expenditure" hidden="0" function="0" vbProcedure="0">#REF!</definedName>
    <definedName name="SUMMARY_OF_EXPO" hidden="0" function="0" vbProcedure="0">#REF!</definedName>
    <definedName name="SUM_MIL" hidden="0" function="0" vbProcedure="0">#REF!</definedName>
    <definedName name="Sum_of_All" hidden="0" function="0" vbProcedure="0">#REF!</definedName>
    <definedName name="sunflag" hidden="0" function="0" vbProcedure="0">#REF!</definedName>
    <definedName name="suryapharma" hidden="0" function="0" vbProcedure="0">#REF!</definedName>
    <definedName name="swapna" hidden="0" function="0" vbProcedure="0">#REF!</definedName>
    <definedName name="SWED" hidden="0" function="0" vbProcedure="0">#REF!</definedName>
    <definedName name="SWEDEN" hidden="0" function="0" vbProcedure="0">#REF!</definedName>
    <definedName name="sweet" hidden="0" function="0" vbProcedure="0">#REF!</definedName>
    <definedName name="SWIT" hidden="0" function="0" vbProcedure="0">#REF!</definedName>
    <definedName name="SWITZERLAND" hidden="0" function="0" vbProcedure="0">#REF!</definedName>
    <definedName name="S_AcctDes" hidden="0" function="0" vbProcedure="0">#REF!</definedName>
    <definedName name="S_Adjust" hidden="0" function="0" vbProcedure="0">#REF!</definedName>
    <definedName name="S_Adjust_GT" hidden="0" function="0" vbProcedure="0">#REF!</definedName>
    <definedName name="S_AJE_Tot" hidden="0" function="0" vbProcedure="0">#REF!</definedName>
    <definedName name="S_AJE_Tot_GT" hidden="0" function="0" vbProcedure="0">#REF!</definedName>
    <definedName name="S_CompNum" hidden="0" function="0" vbProcedure="0">#REF!</definedName>
    <definedName name="S_CY_Beg" hidden="0" function="0" vbProcedure="0">#REF!</definedName>
    <definedName name="S_CY_End" hidden="0" function="0" vbProcedure="0">#REF!</definedName>
    <definedName name="S_CY_End_GT" hidden="0" function="0" vbProcedure="0">#REF!</definedName>
    <definedName name="S_Diff_Amt" hidden="0" function="0" vbProcedure="0">#REF!</definedName>
    <definedName name="S_Diff_Pct" hidden="0" function="0" vbProcedure="0">#REF!</definedName>
    <definedName name="S_Dogra" hidden="0" function="0" vbProcedure="0">#REF!</definedName>
    <definedName name="S_Gentela" hidden="0" function="0" vbProcedure="0">#REF!</definedName>
    <definedName name="S_GrpNum" hidden="0" function="0" vbProcedure="0">#REF!</definedName>
    <definedName name="S_Headings" hidden="0" function="0" vbProcedure="0">#REF!</definedName>
    <definedName name="S_KeyValue" hidden="0" function="0" vbProcedure="0">#REF!</definedName>
    <definedName name="S_Negi" hidden="0" function="0" vbProcedure="0">#REF!</definedName>
    <definedName name="S_Pal" hidden="0" function="0" vbProcedure="0">#REF!</definedName>
    <definedName name="S_PY_End" hidden="0" function="0" vbProcedure="0">#REF!</definedName>
    <definedName name="S_PY_End_GT" hidden="0" function="0" vbProcedure="0">#REF!</definedName>
    <definedName name="S_RJE_Tot" hidden="0" function="0" vbProcedure="0">#REF!</definedName>
    <definedName name="S_RJE_Tot_GT" hidden="0" function="0" vbProcedure="0">#REF!</definedName>
    <definedName name="S_RowNum" hidden="0" function="0" vbProcedure="0">#REF!</definedName>
    <definedName name="ta" hidden="0" function="0" vbProcedure="0">#REF!</definedName>
    <definedName name="TAFName_13" hidden="0" function="0" vbProcedure="0">#REF!</definedName>
    <definedName name="TAFName_4" hidden="0" function="0" vbProcedure="0">#REF!</definedName>
    <definedName name="tally" hidden="0" function="0" vbProcedure="0">#REF!</definedName>
    <definedName name="TAMNo_13" hidden="0" function="0" vbProcedure="0">#REF!</definedName>
    <definedName name="TAMNo_4" hidden="0" function="0" vbProcedure="0">#REF!</definedName>
    <definedName name="TAName_13" hidden="0" function="0" vbProcedure="0">#REF!</definedName>
    <definedName name="TAName_4" hidden="0" function="0" vbProcedure="0">#REF!</definedName>
    <definedName name="tanrtot" hidden="0" function="0" vbProcedure="0">#REF!</definedName>
    <definedName name="taperc" hidden="0" function="0" vbProcedure="0">#REF!</definedName>
    <definedName name="TAPlace_13" hidden="0" function="0" vbProcedure="0">#REF!</definedName>
    <definedName name="TAPlace_4" hidden="0" function="0" vbProcedure="0">#REF!</definedName>
    <definedName name="taptot" hidden="0" function="0" vbProcedure="0">#REF!</definedName>
    <definedName name="Target_IRR_L" hidden="0" function="0" vbProcedure="0">[1]IRR!$I$62</definedName>
    <definedName name="Target_IRR_U" hidden="0" function="0" vbProcedure="0">[1]IRR!$I$47</definedName>
    <definedName name="Task_Table" hidden="0" function="0" vbProcedure="0">#REF!</definedName>
    <definedName name="tatachemical" hidden="0" function="0" vbProcedure="0">#REF!</definedName>
    <definedName name="Tax" hidden="0" function="0" vbProcedure="0">#REF!</definedName>
    <definedName name="TaxAudAdd_13" hidden="0" function="0" vbProcedure="0">#REF!</definedName>
    <definedName name="TaxAudAdd_4" hidden="0" function="0" vbProcedure="0">#REF!</definedName>
    <definedName name="TaxAuditDate_13" hidden="0" function="0" vbProcedure="0">#REF!</definedName>
    <definedName name="TaxAuditDate_4" hidden="0" function="0" vbProcedure="0">#REF!</definedName>
    <definedName name="Tax_Diff" hidden="0" function="0" vbProcedure="0">[1]Tax!$I$53</definedName>
    <definedName name="TAX_MEDICAL" hidden="0" function="0" vbProcedure="0">#REF!</definedName>
    <definedName name="TB" hidden="0" function="0" vbProcedure="0">#REF!</definedName>
    <definedName name="tb17.04" hidden="0" function="0" vbProcedure="0">#REF!</definedName>
    <definedName name="TBFINAL" hidden="0" function="0" vbProcedure="0">#REF!</definedName>
    <definedName name="tcs" hidden="0" function="0" vbProcedure="0">#REF!</definedName>
    <definedName name="td" hidden="0" function="0" vbProcedure="0">#REF!</definedName>
    <definedName name="TDS" hidden="0" function="0" vbProcedure="0">#REF!</definedName>
    <definedName name="TDSCERTICATES" hidden="0" function="0" vbProcedure="0">#REF!</definedName>
    <definedName name="TENDAY" hidden="0" function="0" vbProcedure="0">#REF!</definedName>
    <definedName name="teptot" hidden="0" function="0" vbProcedure="0">#REF!</definedName>
    <definedName name="TEST" hidden="0" function="0" vbProcedure="0">#REF!</definedName>
    <definedName name="TEST0" hidden="0" function="0" vbProcedure="0">#REF!</definedName>
    <definedName name="TEST1" hidden="0" function="0" vbProcedure="0">#REF!</definedName>
    <definedName name="TEST2" hidden="0" function="0" vbProcedure="0">#REF!</definedName>
    <definedName name="TEST3" hidden="0" function="0" vbProcedure="0">#REF!</definedName>
    <definedName name="TEST4" hidden="0" function="0" vbProcedure="0">#REF!</definedName>
    <definedName name="TEST5" hidden="0" function="0" vbProcedure="0">#REF!</definedName>
    <definedName name="TEST6" hidden="0" function="0" vbProcedure="0">#REF!</definedName>
    <definedName name="TESTHKEY" hidden="0" function="0" vbProcedure="0">#REF!</definedName>
    <definedName name="TESTKEYS" hidden="0" function="0" vbProcedure="0">#REF!</definedName>
    <definedName name="TESTVKEY" hidden="0" function="0" vbProcedure="0">#REF!</definedName>
    <definedName name="TextRefCopy1" hidden="0" function="0" vbProcedure="0">#REF!</definedName>
    <definedName name="TextRefCopy13" hidden="0" function="0" vbProcedure="0">#REF!</definedName>
    <definedName name="TextRefCopy14" hidden="0" function="0" vbProcedure="0">#REF!</definedName>
    <definedName name="TextRefCopy15" hidden="0" function="0" vbProcedure="0">#REF!</definedName>
    <definedName name="TextRefCopy2" hidden="0" function="0" vbProcedure="0">#REF!</definedName>
    <definedName name="TextRefCopy3" hidden="0" function="0" vbProcedure="0">#REF!</definedName>
    <definedName name="TextRefCopy4" hidden="0" function="0" vbProcedure="0">#REF!</definedName>
    <definedName name="TextRefCopy5" hidden="0" function="0" vbProcedure="0">#REF!</definedName>
    <definedName name="TextRefCopy6" hidden="0" function="0" vbProcedure="0">#REF!</definedName>
    <definedName name="TextRefCopy7" hidden="0" function="0" vbProcedure="0">#REF!</definedName>
    <definedName name="THAI_PLASTIC_in_KUSD" hidden="0" function="0" vbProcedure="0">#REF!</definedName>
    <definedName name="THAI_PLASTIC_in_KUSD_4" hidden="0" function="0" vbProcedure="0">#REF!</definedName>
    <definedName name="Therma" hidden="0" function="0" vbProcedure="0">#REF!</definedName>
    <definedName name="Thousand" hidden="0" function="0" vbProcedure="0">'[1]Project Inputs'!$G$24</definedName>
    <definedName name="THREEDAY" hidden="0" function="0" vbProcedure="0">#REF!</definedName>
    <definedName name="ThreeMonthsBefore" hidden="0" function="0" vbProcedure="0">#REF!</definedName>
    <definedName name="tisco" hidden="0" function="0" vbProcedure="0">#REF!</definedName>
    <definedName name="TITLE_1" hidden="0" function="0" vbProcedure="0">#REF!</definedName>
    <definedName name="TITLE_2" hidden="0" function="0" vbProcedure="0">#REF!</definedName>
    <definedName name="TITLE_3" hidden="0" function="0" vbProcedure="0">#REF!</definedName>
    <definedName name="TITLE_4" hidden="0" function="0" vbProcedure="0">#REF!</definedName>
    <definedName name="TITLE_5" hidden="0" function="0" vbProcedure="0">#REF!</definedName>
    <definedName name="TITLE_6" hidden="0" function="0" vbProcedure="0">#REF!</definedName>
    <definedName name="TITLE_7" hidden="0" function="0" vbProcedure="0">#REF!</definedName>
    <definedName name="tlsrtot" hidden="0" function="0" vbProcedure="0">#REF!</definedName>
    <definedName name="TLT" hidden="0" function="0" vbProcedure="0">#REF!</definedName>
    <definedName name="tmperc" hidden="0" function="0" vbProcedure="0">#REF!</definedName>
    <definedName name="TOT" hidden="0" function="0" vbProcedure="0">#REF!</definedName>
    <definedName name="Total" hidden="0" function="0" vbProcedure="0">#REF!</definedName>
    <definedName name="TotalCommitted" hidden="0" function="0" vbProcedure="0">#REF!</definedName>
    <definedName name="TotalExpectedTotalExpenditure" hidden="0" function="0" vbProcedure="0">#REF!</definedName>
    <definedName name="TotalExpenditureToDate" hidden="0" function="0" vbProcedure="0">#REF!</definedName>
    <definedName name="TotalLocal" hidden="0" function="0" vbProcedure="0">#REF!</definedName>
    <definedName name="TotalLocal_13" hidden="0" function="0" vbProcedure="0">#REF!</definedName>
    <definedName name="TotalLocal_4" hidden="0" function="0" vbProcedure="0">#REF!</definedName>
    <definedName name="TotalLocal_7" hidden="0" function="0" vbProcedure="0">#REF!</definedName>
    <definedName name="TotalPercentSanctioned" hidden="0" function="0" vbProcedure="0">#REF!</definedName>
    <definedName name="TotalSanctioned" hidden="0" function="0" vbProcedure="0">#REF!</definedName>
    <definedName name="TotalStmFlw" hidden="0" function="0" vbProcedure="0">#REF!</definedName>
    <definedName name="TotalUSD" hidden="0" function="0" vbProcedure="0">#REF!</definedName>
    <definedName name="TotalUSD_13" hidden="0" function="0" vbProcedure="0">#REF!</definedName>
    <definedName name="TotalUSD_4" hidden="0" function="0" vbProcedure="0">#REF!</definedName>
    <definedName name="TotalUSD_7" hidden="0" function="0" vbProcedure="0">#REF!</definedName>
    <definedName name="Total_13" hidden="0" function="0" vbProcedure="0">#REF!</definedName>
    <definedName name="Total_4" hidden="0" function="0" vbProcedure="0">#REF!</definedName>
    <definedName name="Total_7" hidden="0" function="0" vbProcedure="0">#REF!</definedName>
    <definedName name="TOTINSURANCE" hidden="0" function="0" vbProcedure="0">#REF!</definedName>
    <definedName name="tp1perc" hidden="0" function="0" vbProcedure="0">#REF!</definedName>
    <definedName name="tp2perc" hidden="0" function="0" vbProcedure="0">#REF!</definedName>
    <definedName name="tp3perc" hidden="0" function="0" vbProcedure="0">#REF!</definedName>
    <definedName name="tp4perc" hidden="0" function="0" vbProcedure="0">#REF!</definedName>
    <definedName name="tp5perc" hidden="0" function="0" vbProcedure="0">#REF!</definedName>
    <definedName name="tp6perc" hidden="0" function="0" vbProcedure="0">#REF!</definedName>
    <definedName name="Travelling___Conveyance__Office" hidden="0" function="0" vbProcedure="0">#REF!</definedName>
    <definedName name="TREASURY" hidden="0" function="0" vbProcedure="0">#REF!</definedName>
    <definedName name="Treshold" hidden="0" function="0" vbProcedure="0">#REF!</definedName>
    <definedName name="TRIA" hidden="0" function="0" vbProcedure="0">#REF!</definedName>
    <definedName name="TRIAL" hidden="0" function="0" vbProcedure="0">#REF!</definedName>
    <definedName name="trnbp" hidden="0" function="0" vbProcedure="0">#REF!</definedName>
    <definedName name="trnbr" hidden="0" function="0" vbProcedure="0">#REF!</definedName>
    <definedName name="trncv" hidden="0" function="0" vbProcedure="0">#REF!</definedName>
    <definedName name="trndo" hidden="0" function="0" vbProcedure="0">#REF!</definedName>
    <definedName name="trnmd" hidden="0" function="0" vbProcedure="0">#REF!</definedName>
    <definedName name="trnpm" hidden="0" function="0" vbProcedure="0">#REF!</definedName>
    <definedName name="trnpt" hidden="0" function="0" vbProcedure="0">#REF!</definedName>
    <definedName name="trnrd" hidden="0" function="0" vbProcedure="0">#REF!</definedName>
    <definedName name="trnta" hidden="0" function="0" vbProcedure="0">#REF!</definedName>
    <definedName name="trnte" hidden="0" function="0" vbProcedure="0">#REF!</definedName>
    <definedName name="trntr" hidden="0" function="0" vbProcedure="0">#REF!</definedName>
    <definedName name="trptot" hidden="0" function="0" vbProcedure="0">#REF!</definedName>
    <definedName name="trrtot" hidden="0" function="0" vbProcedure="0">#REF!</definedName>
    <definedName name="TRS2Q2" hidden="0" function="0" vbProcedure="0">#REF!</definedName>
    <definedName name="TRS3Q2" hidden="0" function="0" vbProcedure="0">#REF!</definedName>
    <definedName name="Trvdpr" hidden="0" function="0" vbProcedure="0">#REF!</definedName>
    <definedName name="tsrtot" hidden="0" function="0" vbProcedure="0">#REF!</definedName>
    <definedName name="TwoMonthsBefore" hidden="0" function="0" vbProcedure="0">#REF!</definedName>
    <definedName name="twrtot" hidden="0" function="0" vbProcedure="0">#REF!</definedName>
    <definedName name="t_b_round_off" hidden="0" function="0" vbProcedure="0">#REF!</definedName>
    <definedName name="U" hidden="0" function="0" vbProcedure="0">#REF!</definedName>
    <definedName name="ubi" hidden="0" function="0" vbProcedure="0">#REF!</definedName>
    <definedName name="UER" hidden="0" function="0" vbProcedure="0">#REF!</definedName>
    <definedName name="un" hidden="0" function="0" vbProcedure="0">#REF!</definedName>
    <definedName name="unasrtot" hidden="0" function="0" vbProcedure="0">#REF!</definedName>
    <definedName name="unit" hidden="0" function="0" vbProcedure="0">#REF!</definedName>
    <definedName name="UnitName" hidden="0" function="0" vbProcedure="0">#REF!</definedName>
    <definedName name="unnamed" hidden="0" function="0" vbProcedure="0">#REF!</definedName>
    <definedName name="unnamed3" hidden="0" function="0" vbProcedure="0">#REF!</definedName>
    <definedName name="unnamed_0" hidden="0" function="0" vbProcedure="0">#REF!</definedName>
    <definedName name="unnamed_0_20" hidden="0" function="0" vbProcedure="0">#REF!</definedName>
    <definedName name="unnamed_0_23" hidden="0" function="0" vbProcedure="0">#REF!</definedName>
    <definedName name="unnamed_0_5" hidden="0" function="0" vbProcedure="0">#REF!</definedName>
    <definedName name="unnamed_1" hidden="0" function="0" vbProcedure="0">#REF!</definedName>
    <definedName name="unnamed_1_20" hidden="0" function="0" vbProcedure="0">#REF!</definedName>
    <definedName name="unnamed_1_23" hidden="0" function="0" vbProcedure="0">#REF!</definedName>
    <definedName name="unnamed_1_5" hidden="0" function="0" vbProcedure="0">#REF!</definedName>
    <definedName name="unnamed_2" hidden="0" function="0" vbProcedure="0">#REF!</definedName>
    <definedName name="unnamed_2_20" hidden="0" function="0" vbProcedure="0">#REF!</definedName>
    <definedName name="unnamed_2_23" hidden="0" function="0" vbProcedure="0">#REF!</definedName>
    <definedName name="unnamed_2_5" hidden="0" function="0" vbProcedure="0">#REF!</definedName>
    <definedName name="unnamed_3" hidden="0" function="0" vbProcedure="0">#REF!</definedName>
    <definedName name="unnamed_3_20" hidden="0" function="0" vbProcedure="0">#REF!</definedName>
    <definedName name="unnamed_3_23" hidden="0" function="0" vbProcedure="0">#REF!</definedName>
    <definedName name="unnamed_3_5" hidden="0" function="0" vbProcedure="0">#REF!</definedName>
    <definedName name="unnamed_4" hidden="0" function="0" vbProcedure="0">#REF!</definedName>
    <definedName name="unnamed_5" hidden="0" function="0" vbProcedure="0">#REF!</definedName>
    <definedName name="unnamed_5_20" hidden="0" function="0" vbProcedure="0">#REF!</definedName>
    <definedName name="unnamed_5_23" hidden="0" function="0" vbProcedure="0">#REF!</definedName>
    <definedName name="unnamed_5_5" hidden="0" function="0" vbProcedure="0">#REF!</definedName>
    <definedName name="unnamed_6" hidden="0" function="0" vbProcedure="0">#REF!</definedName>
    <definedName name="unnamed_7" hidden="0" function="0" vbProcedure="0">#REF!</definedName>
    <definedName name="unnamed_8" hidden="0" function="0" vbProcedure="0">#REF!</definedName>
    <definedName name="unnamed_8_20" hidden="0" function="0" vbProcedure="0">#REF!</definedName>
    <definedName name="unnamed_8_23" hidden="0" function="0" vbProcedure="0">#REF!</definedName>
    <definedName name="unnamed_8_5" hidden="0" function="0" vbProcedure="0">#REF!</definedName>
    <definedName name="unsecured" hidden="0" function="0" vbProcedure="0">#REF!</definedName>
    <definedName name="USA" hidden="0" function="0" vbProcedure="0">#REF!</definedName>
    <definedName name="USD" hidden="0" function="0" vbProcedure="0">#REF!</definedName>
    <definedName name="USD.A" hidden="0" function="0" vbProcedure="0">#REF!</definedName>
    <definedName name="USD.A_4" hidden="0" function="0" vbProcedure="0">#REF!</definedName>
    <definedName name="USD.E" hidden="0" function="0" vbProcedure="0">#REF!</definedName>
    <definedName name="USD.E_4" hidden="0" function="0" vbProcedure="0">#REF!</definedName>
    <definedName name="USD_B" hidden="0" function="0" vbProcedure="0">#REF!</definedName>
    <definedName name="USD_B_13" hidden="0" function="0" vbProcedure="0">#REF!</definedName>
    <definedName name="USD_B_4" hidden="0" function="0" vbProcedure="0">#REF!</definedName>
    <definedName name="Usercount" hidden="0" function="0" vbProcedure="0">#REF!</definedName>
    <definedName name="usrtot" hidden="0" function="0" vbProcedure="0">#REF!</definedName>
    <definedName name="v" hidden="0" function="0" vbProcedure="0">#REF!</definedName>
    <definedName name="VALTHSALA" hidden="0" function="0" vbProcedure="0">#REF!</definedName>
    <definedName name="varalakshmi" hidden="0" function="0" vbProcedure="0">#REF!</definedName>
    <definedName name="vasavi" hidden="0" function="0" vbProcedure="0">#REF!</definedName>
    <definedName name="VEH" hidden="0" function="0" vbProcedure="0">#REF!</definedName>
    <definedName name="vi" hidden="0" function="0" vbProcedure="0">#REF!</definedName>
    <definedName name="videsh" hidden="0" function="0" vbProcedure="0">#REF!</definedName>
    <definedName name="VINOD_GAWADE" hidden="0" function="0" vbProcedure="0">#REF!</definedName>
    <definedName name="Vivek" hidden="0" function="0" vbProcedure="0">#REF!</definedName>
    <definedName name="vlook" hidden="0" function="0" vbProcedure="0">#REF!</definedName>
    <definedName name="Vlookup" hidden="0" function="0" vbProcedure="0">#REF!</definedName>
    <definedName name="Vlook_BS" hidden="0" function="0" vbProcedure="0">#REF!</definedName>
    <definedName name="VOLVO_INDIA_PRIVATE_LIMITED" hidden="0" function="0" vbProcedure="0">#REF!</definedName>
    <definedName name="Voucher_No" hidden="0" function="0" vbProcedure="0">#REF!</definedName>
    <definedName name="V_Gawade" hidden="0" function="0" vbProcedure="0">#REF!</definedName>
    <definedName name="v_LYN" hidden="0" function="0" vbProcedure="0">#REF!</definedName>
    <definedName name="v_OPR" hidden="0" function="0" vbProcedure="0">#REF!</definedName>
    <definedName name="v_PED" hidden="0" function="0" vbProcedure="0">#REF!</definedName>
    <definedName name="v_RBK" hidden="0" function="0" vbProcedure="0">#REF!</definedName>
    <definedName name="v_RBN" hidden="0" function="0" vbProcedure="0">#REF!</definedName>
    <definedName name="v_RBU" hidden="0" function="0" vbProcedure="0">#REF!</definedName>
    <definedName name="v_RID" hidden="0" function="0" vbProcedure="0">#REF!</definedName>
    <definedName name="v_SCN" hidden="0" function="0" vbProcedure="0">#REF!</definedName>
    <definedName name="v_SFD" hidden="0" function="0" vbProcedure="0">#REF!</definedName>
    <definedName name="v_SFV" hidden="0" function="0" vbProcedure="0">#REF!</definedName>
    <definedName name="W" hidden="0" function="0" vbProcedure="0">#REF!</definedName>
    <definedName name="wages" hidden="0" function="0" vbProcedure="0">#REF!</definedName>
    <definedName name="wcperc" hidden="0" function="0" vbProcedure="0">#REF!</definedName>
    <definedName name="we" hidden="0" function="0" vbProcedure="0">#REF!</definedName>
    <definedName name="weee" hidden="0" function="0" vbProcedure="0">#REF!</definedName>
    <definedName name="weperc" hidden="0" function="0" vbProcedure="0">#REF!</definedName>
    <definedName name="weqw" hidden="0" function="0" vbProcedure="0">#REF!</definedName>
    <definedName name="WGJDFHJ" hidden="0" function="0" vbProcedure="0">#REF!</definedName>
    <definedName name="wipperc" hidden="0" function="0" vbProcedure="0">#REF!</definedName>
    <definedName name="wmpcomp" hidden="0" function="0" vbProcedure="0">#REF!</definedName>
    <definedName name="wmpctl" hidden="0" function="0" vbProcedure="0">#REF!</definedName>
    <definedName name="wmpphs" hidden="0" function="0" vbProcedure="0">#REF!</definedName>
    <definedName name="wmpphscomp" hidden="0" function="0" vbProcedure="0">#REF!</definedName>
    <definedName name="wmpplan" hidden="0" function="0" vbProcedure="0">#REF!</definedName>
    <definedName name="wmptot" hidden="0" function="0" vbProcedure="0">#REF!</definedName>
    <definedName name="wng" hidden="0" function="0" vbProcedure="0">#REF!</definedName>
    <definedName name="WORKING" hidden="0" function="0" vbProcedure="0">#REF!</definedName>
    <definedName name="WR.ALS" hidden="0" function="0" vbProcedure="0">#REF!</definedName>
    <definedName name="WR.AS" hidden="0" function="0" vbProcedure="0">#REF!</definedName>
    <definedName name="WR.ASSP" hidden="0" function="0" vbProcedure="0">#REF!</definedName>
    <definedName name="WR.BA" hidden="0" function="0" vbProcedure="0">#REF!</definedName>
    <definedName name="WR.BLM" hidden="0" function="0" vbProcedure="0">#REF!</definedName>
    <definedName name="WR.CE" hidden="0" function="0" vbProcedure="0">#REF!</definedName>
    <definedName name="WR.CMS" hidden="0" function="0" vbProcedure="0">#REF!</definedName>
    <definedName name="WR.CPM" hidden="0" function="0" vbProcedure="0">#REF!</definedName>
    <definedName name="WR.CS" hidden="0" function="0" vbProcedure="0">#REF!</definedName>
    <definedName name="WR.CSM" hidden="0" function="0" vbProcedure="0">#REF!</definedName>
    <definedName name="WR.DBA" hidden="0" function="0" vbProcedure="0">#REF!</definedName>
    <definedName name="WR.DD" hidden="0" function="0" vbProcedure="0">#REF!</definedName>
    <definedName name="WR.DV" hidden="0" function="0" vbProcedure="0">#REF!</definedName>
    <definedName name="WR.FC" hidden="0" function="0" vbProcedure="0">#REF!</definedName>
    <definedName name="WR.HSP" hidden="0" function="0" vbProcedure="0">#REF!</definedName>
    <definedName name="WR.ISM" hidden="0" function="0" vbProcedure="0">#REF!</definedName>
    <definedName name="WR.KU" hidden="0" function="0" vbProcedure="0">#REF!</definedName>
    <definedName name="WR.NA" hidden="0" function="0" vbProcedure="0">#REF!</definedName>
    <definedName name="WR.ODS" hidden="0" function="0" vbProcedure="0">#REF!</definedName>
    <definedName name="WR.PM" hidden="0" function="0" vbProcedure="0">#REF!</definedName>
    <definedName name="WR.PMD" hidden="0" function="0" vbProcedure="0">#REF!</definedName>
    <definedName name="WR.PS" hidden="0" function="0" vbProcedure="0">#REF!</definedName>
    <definedName name="WR.PSS" hidden="0" function="0" vbProcedure="0">#REF!</definedName>
    <definedName name="WR.QA" hidden="0" function="0" vbProcedure="0">#REF!</definedName>
    <definedName name="WR.QM" hidden="0" function="0" vbProcedure="0">#REF!</definedName>
    <definedName name="WR.SA" hidden="0" function="0" vbProcedure="0">#REF!</definedName>
    <definedName name="WR.SAD" hidden="0" function="0" vbProcedure="0">#REF!</definedName>
    <definedName name="WR.SCM" hidden="0" function="0" vbProcedure="0">#REF!</definedName>
    <definedName name="WR.SMS" hidden="0" function="0" vbProcedure="0">#REF!</definedName>
    <definedName name="WR.TAN" hidden="0" function="0" vbProcedure="0">#REF!</definedName>
    <definedName name="WR.TLS" hidden="0" function="0" vbProcedure="0">#REF!</definedName>
    <definedName name="WR.TR" hidden="0" function="0" vbProcedure="0">#REF!</definedName>
    <definedName name="WR.TS" hidden="0" function="0" vbProcedure="0">#REF!</definedName>
    <definedName name="WR.TW" hidden="0" function="0" vbProcedure="0">#REF!</definedName>
    <definedName name="WR.UNAS" hidden="0" function="0" vbProcedure="0">#REF!</definedName>
    <definedName name="WR.US" hidden="0" function="0" vbProcedure="0">#REF!</definedName>
    <definedName name="wrkperc" hidden="0" function="0" vbProcedure="0">#REF!</definedName>
    <definedName name="wrn.Aging._.and._.Trend._.Analysis." hidden="0" function="0" vbProcedure="0">#REF!</definedName>
    <definedName name="wrn.ANZ._.Report." hidden="0" function="0" vbProcedure="0">#REF!</definedName>
    <definedName name="wrn.CMR_TOP." hidden="0" function="0" vbProcedure="0">#REF!</definedName>
    <definedName name="wrn.CMR_TREND." hidden="0" function="0" vbProcedure="0">#REF!</definedName>
    <definedName name="wrn.FORM1." hidden="0" function="0" vbProcedure="0">#REF!</definedName>
    <definedName name="wrn.FORNDV." hidden="0" function="0" vbProcedure="0">#REF!</definedName>
    <definedName name="wrn.Full._.Report." hidden="1" function="0" vbProcedure="0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sperc" hidden="0" function="0" vbProcedure="0">#REF!</definedName>
    <definedName name="WT.A.AP.010" hidden="0" function="0" vbProcedure="0">#REF!</definedName>
    <definedName name="WT.A.AP.020" hidden="0" function="0" vbProcedure="0">#REF!</definedName>
    <definedName name="WT.A.AP.030" hidden="0" function="0" vbProcedure="0">#REF!</definedName>
    <definedName name="WT.A.AP.040" hidden="0" function="0" vbProcedure="0">#REF!</definedName>
    <definedName name="WT.A.AP.050" hidden="0" function="0" vbProcedure="0">#REF!</definedName>
    <definedName name="WT.A.AP.060" hidden="0" function="0" vbProcedure="0">#REF!</definedName>
    <definedName name="WT.A.AP.070" hidden="0" function="0" vbProcedure="0">#REF!</definedName>
    <definedName name="WT.A.AP.080" hidden="0" function="0" vbProcedure="0">#REF!</definedName>
    <definedName name="WT.A.BP.010" hidden="0" function="0" vbProcedure="0">#REF!</definedName>
    <definedName name="WT.A.BP.020" hidden="0" function="0" vbProcedure="0">#REF!</definedName>
    <definedName name="WT.A.BP.030" hidden="0" function="0" vbProcedure="0">#REF!</definedName>
    <definedName name="WT.A.BP.040" hidden="0" function="0" vbProcedure="0">#REF!</definedName>
    <definedName name="WT.A.BP.050" hidden="0" function="0" vbProcedure="0">#REF!</definedName>
    <definedName name="WT.A.BP.060" hidden="0" function="0" vbProcedure="0">#REF!</definedName>
    <definedName name="WT.A.BP.070" hidden="0" function="0" vbProcedure="0">#REF!</definedName>
    <definedName name="WT.A.CV.010" hidden="0" function="0" vbProcedure="0">#REF!</definedName>
    <definedName name="WT.A.DO.010" hidden="0" function="0" vbProcedure="0">#REF!</definedName>
    <definedName name="WT.A.DO.020" hidden="0" function="0" vbProcedure="0">#REF!</definedName>
    <definedName name="WT.A.DO.030" hidden="0" function="0" vbProcedure="0">#REF!</definedName>
    <definedName name="WT.A.MD.010" hidden="0" function="0" vbProcedure="0">#REF!</definedName>
    <definedName name="WT.A.PT.010" hidden="0" function="0" vbProcedure="0">#REF!</definedName>
    <definedName name="WT.A.RD.010" hidden="0" function="0" vbProcedure="0">#REF!</definedName>
    <definedName name="WT.A.RD.020" hidden="0" function="0" vbProcedure="0">#REF!</definedName>
    <definedName name="WT.A.TA.010" hidden="0" function="0" vbProcedure="0">#REF!</definedName>
    <definedName name="WT.A.TA.020" hidden="0" function="0" vbProcedure="0">#REF!</definedName>
    <definedName name="WT.A.TA.030" hidden="0" function="0" vbProcedure="0">#REF!</definedName>
    <definedName name="WT.A.TE.010" hidden="0" function="0" vbProcedure="0">#REF!</definedName>
    <definedName name="WT.B.BP.080" hidden="0" function="0" vbProcedure="0">#REF!</definedName>
    <definedName name="WT.B.RD.030" hidden="0" function="0" vbProcedure="0">#REF!</definedName>
    <definedName name="WT.B.RD.040" hidden="0" function="0" vbProcedure="0">#REF!</definedName>
    <definedName name="WT.B.RD.050" hidden="0" function="0" vbProcedure="0">#REF!</definedName>
    <definedName name="WT.B.RD.060" hidden="0" function="0" vbProcedure="0">#REF!</definedName>
    <definedName name="WT.B.RD.070" hidden="0" function="0" vbProcedure="0">#REF!</definedName>
    <definedName name="WT.B.RD.080" hidden="0" function="0" vbProcedure="0">#REF!</definedName>
    <definedName name="ww" hidden="0" function="0" vbProcedure="0">#REF!</definedName>
    <definedName name="X2DefTax" hidden="0" function="0" vbProcedure="0">#REF!</definedName>
    <definedName name="Xge_Rate" hidden="0" function="0" vbProcedure="0">#REF!</definedName>
    <definedName name="Xge_Rate_March" hidden="0" function="0" vbProcedure="0">#REF!</definedName>
    <definedName name="XRefActiveRow" hidden="0" function="0" vbProcedure="0">#REF!</definedName>
    <definedName name="XRefCopy1" hidden="0" function="0" vbProcedure="0">#REF!</definedName>
    <definedName name="XRefCopy2" hidden="0" function="0" vbProcedure="0">#REF!</definedName>
    <definedName name="XRefCopy4" hidden="0" function="0" vbProcedure="0">#REF!</definedName>
    <definedName name="XRefCopy4Row" hidden="0" function="0" vbProcedure="0">#REF!</definedName>
    <definedName name="XRefPaste1" hidden="0" function="0" vbProcedure="0">#REF!</definedName>
    <definedName name="XRefPaste2Row" hidden="0" function="0" vbProcedure="0">#REF!</definedName>
    <definedName name="XREF_COLUMN_1" hidden="0" function="0" vbProcedure="0">#REF!</definedName>
    <definedName name="XREF_COLUMN_2" hidden="0" function="0" vbProcedure="0">#REF!</definedName>
    <definedName name="xx" hidden="0" function="0" vbProcedure="0">#REF!</definedName>
    <definedName name="xxnn" hidden="0" function="0" vbProcedure="0">#REF!</definedName>
    <definedName name="xyz" hidden="0" function="0" vbProcedure="0">#REF!</definedName>
    <definedName name="Y" hidden="0" function="0" vbProcedure="0">#REF!</definedName>
    <definedName name="ytd" hidden="0" function="0" vbProcedure="0">#REF!</definedName>
    <definedName name="z" hidden="0" function="0" vbProcedure="0">#REF!</definedName>
    <definedName name="zz" hidden="0" function="0" vbProcedure="0">#REF!</definedName>
    <definedName name="Z_302D6222_A45C_4115_851F_722ADC80CC31_.wvu.FilterData" hidden="1" function="0" vbProcedure="0">#REF!</definedName>
    <definedName name="Z_CCC9F4A9_ABF4_4E6C_95EC_9AD66CB799CC_.wvu.FilterData" hidden="1" function="0" vbProcedure="0">#REF!</definedName>
    <definedName name="_" hidden="0" function="0" vbProcedure="0">#REF!</definedName>
    <definedName name="_10lkjdsf" hidden="0" function="0" vbProcedure="0">#REF!</definedName>
    <definedName name="_10MIS_C" hidden="0" function="0" vbProcedure="0">#REF!</definedName>
    <definedName name="_10_9_BTU_ANNUA" hidden="0" function="0" vbProcedure="0">#REF!</definedName>
    <definedName name="_10_9_BTU_APRIL" hidden="0" function="0" vbProcedure="0">#REF!</definedName>
    <definedName name="_10_9_BTU_AUGUS" hidden="0" function="0" vbProcedure="0">#REF!</definedName>
    <definedName name="_10_9_BTU_JANUA" hidden="0" function="0" vbProcedure="0">#REF!</definedName>
    <definedName name="_10_9_BTU_JULY" hidden="0" function="0" vbProcedure="0">#REF!</definedName>
    <definedName name="_10_9_BTU_JUNE" hidden="0" function="0" vbProcedure="0">#REF!</definedName>
    <definedName name="_10_9_BTU_MARCH" hidden="0" function="0" vbProcedure="0">#REF!</definedName>
    <definedName name="_10_9_BTU_MAY" hidden="0" function="0" vbProcedure="0">#REF!</definedName>
    <definedName name="_10_9_BTU_OCTOB" hidden="0" function="0" vbProcedure="0">#REF!</definedName>
    <definedName name="_10_9_BT_DECEMB" hidden="0" function="0" vbProcedure="0">#REF!</definedName>
    <definedName name="_10_9_BT_december" hidden="0" function="0" vbProcedure="0">#REF!</definedName>
    <definedName name="_10_9_BT_FEBRUA" hidden="0" function="0" vbProcedure="0">#REF!</definedName>
    <definedName name="_10_9_BT_NOVEMB" hidden="0" function="0" vbProcedure="0">#REF!</definedName>
    <definedName name="_10_9_BT_SEPTEM" hidden="0" function="0" vbProcedure="0">#REF!</definedName>
    <definedName name="_115JAA" hidden="0" function="0" vbProcedure="0">#REF!</definedName>
    <definedName name="_12PROJECT_O" hidden="0" function="0" vbProcedure="0">#REF!</definedName>
    <definedName name="_1ANNEX_C_1" hidden="0" function="0" vbProcedure="0">#REF!</definedName>
    <definedName name="_1BENEF" hidden="0" function="0" vbProcedure="0">#REF!</definedName>
    <definedName name="_1_115JAA" hidden="0" function="0" vbProcedure="0">#REF!</definedName>
    <definedName name="_1_FULL" hidden="0" function="0" vbProcedure="0">#REF!</definedName>
    <definedName name="_25" hidden="0" function="0" vbProcedure="0">#REF!</definedName>
    <definedName name="_26" hidden="0" function="0" vbProcedure="0">#REF!</definedName>
    <definedName name="_2BENEFIT" hidden="0" function="0" vbProcedure="0">#REF!</definedName>
    <definedName name="_2B_9" hidden="0" function="0" vbProcedure="0">#REF!</definedName>
    <definedName name="_2_29B_STT2" hidden="0" function="0" vbProcedure="0">#REF!</definedName>
    <definedName name="_3BENEFITS" hidden="0" function="0" vbProcedure="0">#REF!</definedName>
    <definedName name="_3_35_2AA" hidden="0" function="0" vbProcedure="0">#REF!</definedName>
    <definedName name="_4Chargeba" hidden="0" function="0" vbProcedure="0">#REF!</definedName>
    <definedName name="_4_35_2AB_SUMM" hidden="0" function="0" vbProcedure="0">#REF!</definedName>
    <definedName name="_5300" hidden="0" function="0" vbProcedure="0">#REF!</definedName>
    <definedName name="_5ANNEX_C_1" hidden="0" function="0" vbProcedure="0">#REF!</definedName>
    <definedName name="_5CAP_GAIN" hidden="0" function="0" vbProcedure="0">#REF!</definedName>
    <definedName name="_5CO" hidden="0" function="0" vbProcedure="0">#REF!</definedName>
    <definedName name="_6CAP_GAIN" hidden="0" function="0" vbProcedure="0">#REF!</definedName>
    <definedName name="_6COS" hidden="0" function="0" vbProcedure="0">#REF!</definedName>
    <definedName name="_6FORM_29B" hidden="0" function="0" vbProcedure="0">#REF!</definedName>
    <definedName name="_7COST" hidden="0" function="0" vbProcedure="0">#REF!</definedName>
    <definedName name="_7FORM_29B" hidden="0" function="0" vbProcedure="0">#REF!</definedName>
    <definedName name="_7PAGE_4" hidden="0" function="0" vbProcedure="0">#REF!</definedName>
    <definedName name="_80HHC" hidden="0" function="0" vbProcedure="0">#REF!</definedName>
    <definedName name="_8COST_BENEF" hidden="0" function="0" vbProcedure="0">#REF!</definedName>
    <definedName name="_8PAGE_4" hidden="0" function="0" vbProcedure="0">#REF!</definedName>
    <definedName name="_a" hidden="0" function="0" vbProcedure="0">#REF!</definedName>
    <definedName name="_A65536" hidden="0" function="0" vbProcedure="0">#REF!</definedName>
    <definedName name="_A65537" hidden="0" function="0" vbProcedure="0">#REF!</definedName>
    <definedName name="_a665536" hidden="0" function="0" vbProcedure="0">#REF!</definedName>
    <definedName name="_ACK1" hidden="0" function="0" vbProcedure="0">#REF!</definedName>
    <definedName name="_a_1" hidden="0" function="0" vbProcedure="0">#REF!</definedName>
    <definedName name="_C" hidden="0" function="0" vbProcedure="0">#REF!</definedName>
    <definedName name="_col1" hidden="0" function="0" vbProcedure="0">#REF!</definedName>
    <definedName name="_col10" hidden="0" function="0" vbProcedure="0">#REF!</definedName>
    <definedName name="_col11" hidden="0" function="0" vbProcedure="0">#REF!</definedName>
    <definedName name="_col12" hidden="0" function="0" vbProcedure="0">#REF!</definedName>
    <definedName name="_col13" hidden="0" function="0" vbProcedure="0">#REF!</definedName>
    <definedName name="_col2" hidden="0" function="0" vbProcedure="0">#REF!</definedName>
    <definedName name="_col3" hidden="0" function="0" vbProcedure="0">#REF!</definedName>
    <definedName name="_col4" hidden="0" function="0" vbProcedure="0">#REF!</definedName>
    <definedName name="_col5" hidden="0" function="0" vbProcedure="0">#REF!</definedName>
    <definedName name="_col6" hidden="0" function="0" vbProcedure="0">#REF!</definedName>
    <definedName name="_col7" hidden="0" function="0" vbProcedure="0">#REF!</definedName>
    <definedName name="_col8" hidden="0" function="0" vbProcedure="0">#REF!</definedName>
    <definedName name="_col9" hidden="0" function="0" vbProcedure="0">#REF!</definedName>
    <definedName name="_DAT1" hidden="0" function="0" vbProcedure="0">#REF!</definedName>
    <definedName name="_DAT10" hidden="0" function="0" vbProcedure="0">#REF!</definedName>
    <definedName name="_DAT11" hidden="0" function="0" vbProcedure="0">#REF!</definedName>
    <definedName name="_DAT12" hidden="0" function="0" vbProcedure="0">#REF!</definedName>
    <definedName name="_DAT13" hidden="0" function="0" vbProcedure="0">#REF!</definedName>
    <definedName name="_DAT14" hidden="0" function="0" vbProcedure="0">#REF!</definedName>
    <definedName name="_DAT15" hidden="0" function="0" vbProcedure="0">#REF!</definedName>
    <definedName name="_DAT16" hidden="0" function="0" vbProcedure="0">#REF!</definedName>
    <definedName name="_DAT17" hidden="0" function="0" vbProcedure="0">#REF!</definedName>
    <definedName name="_DAT18" hidden="0" function="0" vbProcedure="0">#REF!</definedName>
    <definedName name="_DAT19" hidden="0" function="0" vbProcedure="0">#REF!</definedName>
    <definedName name="_DAT2" hidden="0" function="0" vbProcedure="0">#REF!</definedName>
    <definedName name="_DAT20" hidden="0" function="0" vbProcedure="0">#REF!</definedName>
    <definedName name="_DAT21" hidden="0" function="0" vbProcedure="0">#REF!</definedName>
    <definedName name="_DAT22" hidden="0" function="0" vbProcedure="0">#REF!</definedName>
    <definedName name="_DAT23" hidden="0" function="0" vbProcedure="0">#REF!</definedName>
    <definedName name="_DAT24" hidden="0" function="0" vbProcedure="0">#REF!</definedName>
    <definedName name="_DAT25" hidden="0" function="0" vbProcedure="0">#REF!</definedName>
    <definedName name="_DAT26" hidden="0" function="0" vbProcedure="0">#REF!</definedName>
    <definedName name="_DAT27" hidden="0" function="0" vbProcedure="0">#REF!</definedName>
    <definedName name="_DAT28" hidden="0" function="0" vbProcedure="0">#REF!</definedName>
    <definedName name="_DAT29" hidden="0" function="0" vbProcedure="0">#REF!</definedName>
    <definedName name="_DAT3" hidden="0" function="0" vbProcedure="0">#REF!</definedName>
    <definedName name="_DAT30" hidden="0" function="0" vbProcedure="0">#REF!</definedName>
    <definedName name="_DAT31" hidden="0" function="0" vbProcedure="0">#REF!</definedName>
    <definedName name="_DAT32" hidden="0" function="0" vbProcedure="0">#REF!</definedName>
    <definedName name="_DAT33" hidden="0" function="0" vbProcedure="0">#REF!</definedName>
    <definedName name="_DAT34" hidden="0" function="0" vbProcedure="0">#REF!</definedName>
    <definedName name="_DAT35" hidden="0" function="0" vbProcedure="0">#REF!</definedName>
    <definedName name="_DAT36" hidden="0" function="0" vbProcedure="0">#REF!</definedName>
    <definedName name="_DAT37" hidden="0" function="0" vbProcedure="0">#REF!</definedName>
    <definedName name="_DAT38" hidden="0" function="0" vbProcedure="0">#REF!</definedName>
    <definedName name="_DAT39" hidden="0" function="0" vbProcedure="0">#REF!</definedName>
    <definedName name="_DAT4" hidden="0" function="0" vbProcedure="0">#REF!</definedName>
    <definedName name="_DAT40" hidden="0" function="0" vbProcedure="0">#REF!</definedName>
    <definedName name="_DAT41" hidden="0" function="0" vbProcedure="0">#REF!</definedName>
    <definedName name="_DAT42" hidden="0" function="0" vbProcedure="0">#REF!</definedName>
    <definedName name="_DAT43" hidden="0" function="0" vbProcedure="0">#REF!</definedName>
    <definedName name="_DAT44" hidden="0" function="0" vbProcedure="0">#REF!</definedName>
    <definedName name="_DAT45" hidden="0" function="0" vbProcedure="0">#REF!</definedName>
    <definedName name="_DAT46" hidden="0" function="0" vbProcedure="0">#REF!</definedName>
    <definedName name="_DAT47" hidden="0" function="0" vbProcedure="0">#REF!</definedName>
    <definedName name="_DAT48" hidden="0" function="0" vbProcedure="0">#REF!</definedName>
    <definedName name="_DAT49" hidden="0" function="0" vbProcedure="0">#REF!</definedName>
    <definedName name="_DAT5" hidden="0" function="0" vbProcedure="0">#REF!</definedName>
    <definedName name="_DAT50" hidden="0" function="0" vbProcedure="0">#REF!</definedName>
    <definedName name="_DAT51" hidden="0" function="0" vbProcedure="0">#REF!</definedName>
    <definedName name="_DAT52" hidden="0" function="0" vbProcedure="0">#REF!</definedName>
    <definedName name="_DAT53" hidden="0" function="0" vbProcedure="0">#REF!</definedName>
    <definedName name="_DAT54" hidden="0" function="0" vbProcedure="0">#REF!</definedName>
    <definedName name="_DAT55" hidden="0" function="0" vbProcedure="0">#REF!</definedName>
    <definedName name="_DAT56" hidden="0" function="0" vbProcedure="0">#REF!</definedName>
    <definedName name="_DAT57" hidden="0" function="0" vbProcedure="0">#REF!</definedName>
    <definedName name="_DAT58" hidden="0" function="0" vbProcedure="0">#REF!</definedName>
    <definedName name="_DAT59" hidden="0" function="0" vbProcedure="0">#REF!</definedName>
    <definedName name="_DAT6" hidden="0" function="0" vbProcedure="0">#REF!</definedName>
    <definedName name="_DAT60" hidden="0" function="0" vbProcedure="0">#REF!</definedName>
    <definedName name="_DAT61" hidden="0" function="0" vbProcedure="0">#REF!</definedName>
    <definedName name="_DAT62" hidden="0" function="0" vbProcedure="0">#REF!</definedName>
    <definedName name="_DAT63" hidden="0" function="0" vbProcedure="0">#REF!</definedName>
    <definedName name="_DAT64" hidden="0" function="0" vbProcedure="0">#REF!</definedName>
    <definedName name="_DAT65" hidden="0" function="0" vbProcedure="0">#REF!</definedName>
    <definedName name="_DAT66" hidden="0" function="0" vbProcedure="0">#REF!</definedName>
    <definedName name="_DAT67" hidden="0" function="0" vbProcedure="0">#REF!</definedName>
    <definedName name="_DAT68" hidden="0" function="0" vbProcedure="0">#REF!</definedName>
    <definedName name="_DAT69" hidden="0" function="0" vbProcedure="0">#REF!</definedName>
    <definedName name="_DAT7" hidden="0" function="0" vbProcedure="0">#REF!</definedName>
    <definedName name="_DAT70" hidden="0" function="0" vbProcedure="0">#REF!</definedName>
    <definedName name="_DAT71" hidden="0" function="0" vbProcedure="0">#REF!</definedName>
    <definedName name="_DAT8" hidden="0" function="0" vbProcedure="0">#REF!</definedName>
    <definedName name="_DAT9" hidden="0" function="0" vbProcedure="0">#REF!</definedName>
    <definedName name="_Dist_Bin" hidden="0" function="0" vbProcedure="0">#REF!</definedName>
    <definedName name="_Dist_Values" hidden="0" function="0" vbProcedure="0">#REF!</definedName>
    <definedName name="_Fill" hidden="0" function="0" vbProcedure="0">#REF!</definedName>
    <definedName name="_FS1" hidden="0" function="0" vbProcedure="0">#REF!</definedName>
    <definedName name="_Grp12" hidden="0" function="0" vbProcedure="0">#REF!</definedName>
    <definedName name="_Grp13" hidden="0" function="0" vbProcedure="0">#REF!</definedName>
    <definedName name="_Grp14" hidden="0" function="0" vbProcedure="0">#REF!</definedName>
    <definedName name="_Grp15" hidden="0" function="0" vbProcedure="0">#REF!</definedName>
    <definedName name="_Grp2" hidden="0" function="0" vbProcedure="0">#REF!</definedName>
    <definedName name="_JAI1" hidden="0" function="0" vbProcedure="0">#REF!</definedName>
    <definedName name="_JAI2" hidden="0" function="0" vbProcedure="0">#REF!</definedName>
    <definedName name="_JAI3" hidden="0" function="0" vbProcedure="0">#REF!</definedName>
    <definedName name="_Key1" hidden="0" function="0" vbProcedure="0">#REF!</definedName>
    <definedName name="_KJ1" hidden="0" function="0" vbProcedure="0">#REF!</definedName>
    <definedName name="_KJ2" hidden="0" function="0" vbProcedure="0">#REF!</definedName>
    <definedName name="_KJ3" hidden="0" function="0" vbProcedure="0">#REF!</definedName>
    <definedName name="_KJ4" hidden="0" function="0" vbProcedure="0">#REF!</definedName>
    <definedName name="_KJ5" hidden="0" function="0" vbProcedure="0">#REF!</definedName>
    <definedName name="_KSR2" hidden="0" function="0" vbProcedure="0">#REF!</definedName>
    <definedName name="_ma67" hidden="0" function="0" vbProcedure="0">#REF!</definedName>
    <definedName name="_ma71" hidden="0" function="0" vbProcedure="0">#REF!</definedName>
    <definedName name="_ma74" hidden="0" function="0" vbProcedure="0">#REF!</definedName>
    <definedName name="_MAR9091" hidden="0" function="0" vbProcedure="0">#REF!</definedName>
    <definedName name="_MKT1" hidden="0" function="0" vbProcedure="0">#REF!</definedName>
    <definedName name="_MKT10" hidden="0" function="0" vbProcedure="0">#REF!</definedName>
    <definedName name="_MKT11" hidden="0" function="0" vbProcedure="0">#REF!</definedName>
    <definedName name="_MKT2" hidden="0" function="0" vbProcedure="0">#REF!</definedName>
    <definedName name="_MKT3" hidden="0" function="0" vbProcedure="0">#REF!</definedName>
    <definedName name="_MKT4" hidden="0" function="0" vbProcedure="0">#REF!</definedName>
    <definedName name="_MKT5" hidden="0" function="0" vbProcedure="0">#REF!</definedName>
    <definedName name="_MKT6" hidden="0" function="0" vbProcedure="0">#REF!</definedName>
    <definedName name="_MKT7" hidden="0" function="0" vbProcedure="0">#REF!</definedName>
    <definedName name="_MKT8" hidden="0" function="0" vbProcedure="0">#REF!</definedName>
    <definedName name="_MKT9" hidden="0" function="0" vbProcedure="0">#REF!</definedName>
    <definedName name="_mmm10" hidden="0" function="0" vbProcedure="0">#REF!</definedName>
    <definedName name="_mp1" hidden="0" function="0" vbProcedure="0">#REF!</definedName>
    <definedName name="_New1" hidden="0" function="0" vbProcedure="0">#REF!</definedName>
    <definedName name="_OP1" hidden="0" function="0" vbProcedure="0">#REF!</definedName>
    <definedName name="_OP2" hidden="0" function="0" vbProcedure="0">#REF!</definedName>
    <definedName name="_OP3" hidden="0" function="0" vbProcedure="0">#REF!</definedName>
    <definedName name="_OP4" hidden="0" function="0" vbProcedure="0">#REF!</definedName>
    <definedName name="_Order1" hidden="1" function="0" vbProcedure="0">0</definedName>
    <definedName name="_p" hidden="0" function="0" vbProcedure="0">#REF!</definedName>
    <definedName name="_P1" hidden="0" function="0" vbProcedure="0">#REF!</definedName>
    <definedName name="_Parse_In" hidden="0" function="0" vbProcedure="0">#REF!</definedName>
    <definedName name="_Parse_Out" hidden="0" function="0" vbProcedure="0">#REF!</definedName>
    <definedName name="_PG1" hidden="0" function="0" vbProcedure="0">#REF!</definedName>
    <definedName name="_PG10" hidden="0" function="0" vbProcedure="0">#REF!</definedName>
    <definedName name="_PG11" hidden="0" function="0" vbProcedure="0">#REF!</definedName>
    <definedName name="_PG13" hidden="0" function="0" vbProcedure="0">#REF!</definedName>
    <definedName name="_PG2" hidden="0" function="0" vbProcedure="0">#REF!</definedName>
    <definedName name="_PG3" hidden="0" function="0" vbProcedure="0">#REF!</definedName>
    <definedName name="_PG4" hidden="0" function="0" vbProcedure="0">#REF!</definedName>
    <definedName name="_PG5" hidden="0" function="0" vbProcedure="0">#REF!</definedName>
    <definedName name="_PG6" hidden="0" function="0" vbProcedure="0">#REF!</definedName>
    <definedName name="_PG7" hidden="0" function="0" vbProcedure="0">#REF!</definedName>
    <definedName name="_PG8" hidden="0" function="0" vbProcedure="0">#REF!</definedName>
    <definedName name="_ram2" hidden="0" function="0" vbProcedure="0">#REF!</definedName>
    <definedName name="_sb1" hidden="0" function="0" vbProcedure="0">#REF!</definedName>
    <definedName name="_SC1" hidden="0" function="0" vbProcedure="0">#REF!</definedName>
    <definedName name="_SC10" hidden="0" function="0" vbProcedure="0">#REF!</definedName>
    <definedName name="_SC11" hidden="0" function="0" vbProcedure="0">#REF!</definedName>
    <definedName name="_SC12" hidden="0" function="0" vbProcedure="0">#REF!</definedName>
    <definedName name="_SC13" hidden="0" function="0" vbProcedure="0">#REF!</definedName>
    <definedName name="_SC15" hidden="0" function="0" vbProcedure="0">#REF!</definedName>
    <definedName name="_SC16" hidden="0" function="0" vbProcedure="0">#REF!</definedName>
    <definedName name="_SC18" hidden="0" function="0" vbProcedure="0">#REF!</definedName>
    <definedName name="_SC2" hidden="0" function="0" vbProcedure="0">#REF!</definedName>
    <definedName name="_SC3" hidden="0" function="0" vbProcedure="0">#REF!</definedName>
    <definedName name="_SC4" hidden="0" function="0" vbProcedure="0">#REF!</definedName>
    <definedName name="_SC5" hidden="0" function="0" vbProcedure="0">#REF!</definedName>
    <definedName name="_SC6" hidden="0" function="0" vbProcedure="0">#REF!</definedName>
    <definedName name="_SC7" hidden="0" function="0" vbProcedure="0">#REF!</definedName>
    <definedName name="_SC8" hidden="0" function="0" vbProcedure="0">#REF!</definedName>
    <definedName name="_SC9" hidden="0" function="0" vbProcedure="0">#REF!</definedName>
    <definedName name="_Sch10" hidden="0" function="0" vbProcedure="0">#REF!</definedName>
    <definedName name="_Sch11" hidden="0" function="0" vbProcedure="0">#REF!</definedName>
    <definedName name="_Sch12" hidden="0" function="0" vbProcedure="0">#REF!</definedName>
    <definedName name="_Sch13" hidden="0" function="0" vbProcedure="0">#REF!</definedName>
    <definedName name="_Sch14" hidden="0" function="0" vbProcedure="0">#REF!</definedName>
    <definedName name="_Sch15" hidden="0" function="0" vbProcedure="0">#REF!</definedName>
    <definedName name="_Sch2" hidden="0" function="0" vbProcedure="0">#REF!</definedName>
    <definedName name="_Sch4" hidden="0" function="0" vbProcedure="0">#REF!</definedName>
    <definedName name="_Sch5" hidden="0" function="0" vbProcedure="0">#REF!</definedName>
    <definedName name="_Sch6" hidden="0" function="0" vbProcedure="0">#REF!</definedName>
    <definedName name="_Sch7" hidden="0" function="0" vbProcedure="0">#REF!</definedName>
    <definedName name="_Sch8" hidden="0" function="0" vbProcedure="0">#REF!</definedName>
    <definedName name="_Sch9" hidden="0" function="0" vbProcedure="0">#REF!</definedName>
    <definedName name="_sep97" hidden="0" function="0" vbProcedure="0">#REF!</definedName>
    <definedName name="_sht1" hidden="0" function="0" vbProcedure="0">#REF!</definedName>
    <definedName name="_Sort" hidden="0" function="0" vbProcedure="0">#REF!</definedName>
    <definedName name="_sum1" hidden="0" function="0" vbProcedure="0">#REF!</definedName>
    <definedName name="_sum3" hidden="0" function="0" vbProcedure="0">#REF!</definedName>
    <definedName name="_tb05" hidden="0" function="0" vbProcedure="0">#REF!</definedName>
    <definedName name="_tb1" hidden="0" function="0" vbProcedure="0">#REF!</definedName>
    <definedName name="_TB2004" hidden="0" function="0" vbProcedure="0">#REF!</definedName>
    <definedName name="_zx3" hidden="0" function="0" vbProcedure="0">#REF!</definedName>
    <definedName name="_ZZ150" hidden="0" function="0" vbProcedure="0">#REF!</definedName>
    <definedName name="__123Graph_A" hidden="0" function="0" vbProcedure="0">#REF!</definedName>
    <definedName name="__123Graph_B" hidden="0" function="0" vbProcedure="0">#REF!</definedName>
    <definedName name="__123Graph_BCURRENT" hidden="0" function="0" vbProcedure="0">#REF!</definedName>
    <definedName name="__123Graph_CCURRENT" hidden="0" function="0" vbProcedure="0">#REF!</definedName>
    <definedName name="__123Graph_D" hidden="0" function="0" vbProcedure="0">#REF!</definedName>
    <definedName name="__123Graph_DCURRENT" hidden="0" function="0" vbProcedure="0">#REF!</definedName>
    <definedName name="__123Graph_ECURRENT" hidden="0" function="0" vbProcedure="0">#REF!</definedName>
    <definedName name="__123Graph_X" hidden="0" function="0" vbProcedure="0">#REF!</definedName>
    <definedName name="__A65536" hidden="0" function="0" vbProcedure="0">#REF!</definedName>
    <definedName name="__A65537" hidden="0" function="0" vbProcedure="0">#REF!</definedName>
    <definedName name="__a665536" hidden="0" function="0" vbProcedure="0">#REF!</definedName>
    <definedName name="__ACK1" hidden="0" function="0" vbProcedure="0">#REF!</definedName>
    <definedName name="__C" hidden="0" function="0" vbProcedure="0">#REF!</definedName>
    <definedName name="__col1" hidden="0" function="0" vbProcedure="0">#REF!</definedName>
    <definedName name="__col10" hidden="0" function="0" vbProcedure="0">#REF!</definedName>
    <definedName name="__col11" hidden="0" function="0" vbProcedure="0">#REF!</definedName>
    <definedName name="__col12" hidden="0" function="0" vbProcedure="0">#REF!</definedName>
    <definedName name="__col13" hidden="0" function="0" vbProcedure="0">#REF!</definedName>
    <definedName name="__col2" hidden="0" function="0" vbProcedure="0">#REF!</definedName>
    <definedName name="__col3" hidden="0" function="0" vbProcedure="0">#REF!</definedName>
    <definedName name="__col4" hidden="0" function="0" vbProcedure="0">#REF!</definedName>
    <definedName name="__col5" hidden="0" function="0" vbProcedure="0">#REF!</definedName>
    <definedName name="__col6" hidden="0" function="0" vbProcedure="0">#REF!</definedName>
    <definedName name="__col7" hidden="0" function="0" vbProcedure="0">#REF!</definedName>
    <definedName name="__col8" hidden="0" function="0" vbProcedure="0">#REF!</definedName>
    <definedName name="__col9" hidden="0" function="0" vbProcedure="0">#REF!</definedName>
    <definedName name="__DAT1" hidden="0" function="0" vbProcedure="0">#REF!</definedName>
    <definedName name="__DAT10" hidden="0" function="0" vbProcedure="0">#REF!</definedName>
    <definedName name="__DAT11" hidden="0" function="0" vbProcedure="0">#REF!</definedName>
    <definedName name="__DAT12" hidden="0" function="0" vbProcedure="0">#REF!</definedName>
    <definedName name="__DAT13" hidden="0" function="0" vbProcedure="0">#REF!</definedName>
    <definedName name="__DAT14" hidden="0" function="0" vbProcedure="0">#REF!</definedName>
    <definedName name="__DAT15" hidden="0" function="0" vbProcedure="0">#REF!</definedName>
    <definedName name="__DAT16" hidden="0" function="0" vbProcedure="0">#REF!</definedName>
    <definedName name="__DAT17" hidden="0" function="0" vbProcedure="0">#REF!</definedName>
    <definedName name="__DAT18" hidden="0" function="0" vbProcedure="0">#REF!</definedName>
    <definedName name="__DAT19" hidden="0" function="0" vbProcedure="0">#REF!</definedName>
    <definedName name="__DAT2" hidden="0" function="0" vbProcedure="0">#REF!</definedName>
    <definedName name="__DAT20" hidden="0" function="0" vbProcedure="0">#REF!</definedName>
    <definedName name="__DAT21" hidden="0" function="0" vbProcedure="0">#REF!</definedName>
    <definedName name="__DAT22" hidden="0" function="0" vbProcedure="0">#REF!</definedName>
    <definedName name="__DAT23" hidden="0" function="0" vbProcedure="0">#REF!</definedName>
    <definedName name="__DAT24" hidden="0" function="0" vbProcedure="0">#REF!</definedName>
    <definedName name="__DAT25" hidden="0" function="0" vbProcedure="0">#REF!</definedName>
    <definedName name="__DAT26" hidden="0" function="0" vbProcedure="0">#REF!</definedName>
    <definedName name="__DAT27" hidden="0" function="0" vbProcedure="0">#REF!</definedName>
    <definedName name="__DAT28" hidden="0" function="0" vbProcedure="0">#REF!</definedName>
    <definedName name="__DAT29" hidden="0" function="0" vbProcedure="0">#REF!</definedName>
    <definedName name="__DAT3" hidden="0" function="0" vbProcedure="0">#REF!</definedName>
    <definedName name="__DAT30" hidden="0" function="0" vbProcedure="0">#REF!</definedName>
    <definedName name="__DAT31" hidden="0" function="0" vbProcedure="0">#REF!</definedName>
    <definedName name="__DAT32" hidden="0" function="0" vbProcedure="0">#REF!</definedName>
    <definedName name="__DAT33" hidden="0" function="0" vbProcedure="0">#REF!</definedName>
    <definedName name="__DAT34" hidden="0" function="0" vbProcedure="0">#REF!</definedName>
    <definedName name="__DAT35" hidden="0" function="0" vbProcedure="0">#REF!</definedName>
    <definedName name="__DAT36" hidden="0" function="0" vbProcedure="0">#REF!</definedName>
    <definedName name="__DAT37" hidden="0" function="0" vbProcedure="0">#REF!</definedName>
    <definedName name="__DAT38" hidden="0" function="0" vbProcedure="0">#REF!</definedName>
    <definedName name="__DAT39" hidden="0" function="0" vbProcedure="0">#REF!</definedName>
    <definedName name="__DAT4" hidden="0" function="0" vbProcedure="0">#REF!</definedName>
    <definedName name="__DAT40" hidden="0" function="0" vbProcedure="0">#REF!</definedName>
    <definedName name="__DAT41" hidden="0" function="0" vbProcedure="0">#REF!</definedName>
    <definedName name="__DAT42" hidden="0" function="0" vbProcedure="0">#REF!</definedName>
    <definedName name="__DAT43" hidden="0" function="0" vbProcedure="0">#REF!</definedName>
    <definedName name="__DAT44" hidden="0" function="0" vbProcedure="0">#REF!</definedName>
    <definedName name="__DAT45" hidden="0" function="0" vbProcedure="0">#REF!</definedName>
    <definedName name="__DAT46" hidden="0" function="0" vbProcedure="0">#REF!</definedName>
    <definedName name="__DAT47" hidden="0" function="0" vbProcedure="0">#REF!</definedName>
    <definedName name="__DAT48" hidden="0" function="0" vbProcedure="0">#REF!</definedName>
    <definedName name="__DAT49" hidden="0" function="0" vbProcedure="0">#REF!</definedName>
    <definedName name="__DAT5" hidden="0" function="0" vbProcedure="0">#REF!</definedName>
    <definedName name="__DAT50" hidden="0" function="0" vbProcedure="0">#REF!</definedName>
    <definedName name="__DAT51" hidden="0" function="0" vbProcedure="0">#REF!</definedName>
    <definedName name="__DAT52" hidden="0" function="0" vbProcedure="0">#REF!</definedName>
    <definedName name="__DAT53" hidden="0" function="0" vbProcedure="0">#REF!</definedName>
    <definedName name="__DAT54" hidden="0" function="0" vbProcedure="0">#REF!</definedName>
    <definedName name="__DAT55" hidden="0" function="0" vbProcedure="0">#REF!</definedName>
    <definedName name="__DAT56" hidden="0" function="0" vbProcedure="0">#REF!</definedName>
    <definedName name="__DAT57" hidden="0" function="0" vbProcedure="0">#REF!</definedName>
    <definedName name="__DAT58" hidden="0" function="0" vbProcedure="0">#REF!</definedName>
    <definedName name="__DAT59" hidden="0" function="0" vbProcedure="0">#REF!</definedName>
    <definedName name="__DAT6" hidden="0" function="0" vbProcedure="0">#REF!</definedName>
    <definedName name="__DAT60" hidden="0" function="0" vbProcedure="0">#REF!</definedName>
    <definedName name="__DAT61" hidden="0" function="0" vbProcedure="0">#REF!</definedName>
    <definedName name="__DAT62" hidden="0" function="0" vbProcedure="0">#REF!</definedName>
    <definedName name="__DAT63" hidden="0" function="0" vbProcedure="0">#REF!</definedName>
    <definedName name="__DAT64" hidden="0" function="0" vbProcedure="0">#REF!</definedName>
    <definedName name="__DAT65" hidden="0" function="0" vbProcedure="0">#REF!</definedName>
    <definedName name="__DAT66" hidden="0" function="0" vbProcedure="0">#REF!</definedName>
    <definedName name="__DAT67" hidden="0" function="0" vbProcedure="0">#REF!</definedName>
    <definedName name="__DAT68" hidden="0" function="0" vbProcedure="0">#REF!</definedName>
    <definedName name="__DAT69" hidden="0" function="0" vbProcedure="0">#REF!</definedName>
    <definedName name="__DAT7" hidden="0" function="0" vbProcedure="0">#REF!</definedName>
    <definedName name="__DAT70" hidden="0" function="0" vbProcedure="0">#REF!</definedName>
    <definedName name="__DAT71" hidden="0" function="0" vbProcedure="0">#REF!</definedName>
    <definedName name="__DAT8" hidden="0" function="0" vbProcedure="0">#REF!</definedName>
    <definedName name="__DAT9" hidden="0" function="0" vbProcedure="0">#REF!</definedName>
    <definedName name="__FS1" hidden="0" function="0" vbProcedure="0">#REF!</definedName>
    <definedName name="__Grp12" hidden="0" function="0" vbProcedure="0">#REF!</definedName>
    <definedName name="__Grp13" hidden="0" function="0" vbProcedure="0">#REF!</definedName>
    <definedName name="__Grp14" hidden="0" function="0" vbProcedure="0">#REF!</definedName>
    <definedName name="__Grp15" hidden="0" function="0" vbProcedure="0">#REF!</definedName>
    <definedName name="__Grp2" hidden="0" function="0" vbProcedure="0">#REF!</definedName>
    <definedName name="__IntlFixup" hidden="1" function="0" vbProcedure="0">TRUE()</definedName>
    <definedName name="__JAI1" hidden="0" function="0" vbProcedure="0">#REF!</definedName>
    <definedName name="__JAI2" hidden="0" function="0" vbProcedure="0">#REF!</definedName>
    <definedName name="__JAI3" hidden="0" function="0" vbProcedure="0">#REF!</definedName>
    <definedName name="__KJ1" hidden="0" function="0" vbProcedure="0">#REF!</definedName>
    <definedName name="__KJ2" hidden="0" function="0" vbProcedure="0">#REF!</definedName>
    <definedName name="__KJ3" hidden="0" function="0" vbProcedure="0">#REF!</definedName>
    <definedName name="__KJ4" hidden="0" function="0" vbProcedure="0">#REF!</definedName>
    <definedName name="__KJ5" hidden="0" function="0" vbProcedure="0">#REF!</definedName>
    <definedName name="__KSR2" hidden="0" function="0" vbProcedure="0">#REF!</definedName>
    <definedName name="__ma67" hidden="0" function="0" vbProcedure="0">#REF!</definedName>
    <definedName name="__ma71" hidden="0" function="0" vbProcedure="0">#REF!</definedName>
    <definedName name="__ma74" hidden="0" function="0" vbProcedure="0">#REF!</definedName>
    <definedName name="__MAR9091" hidden="0" function="0" vbProcedure="0">#REF!</definedName>
    <definedName name="__MKT1" hidden="0" function="0" vbProcedure="0">#REF!</definedName>
    <definedName name="__MKT10" hidden="0" function="0" vbProcedure="0">#REF!</definedName>
    <definedName name="__MKT11" hidden="0" function="0" vbProcedure="0">#REF!</definedName>
    <definedName name="__MKT2" hidden="0" function="0" vbProcedure="0">#REF!</definedName>
    <definedName name="__MKT3" hidden="0" function="0" vbProcedure="0">#REF!</definedName>
    <definedName name="__MKT4" hidden="0" function="0" vbProcedure="0">#REF!</definedName>
    <definedName name="__MKT5" hidden="0" function="0" vbProcedure="0">#REF!</definedName>
    <definedName name="__MKT6" hidden="0" function="0" vbProcedure="0">#REF!</definedName>
    <definedName name="__MKT7" hidden="0" function="0" vbProcedure="0">#REF!</definedName>
    <definedName name="__MKT8" hidden="0" function="0" vbProcedure="0">#REF!</definedName>
    <definedName name="__MKT9" hidden="0" function="0" vbProcedure="0">#REF!</definedName>
    <definedName name="__mmm10" hidden="0" function="0" vbProcedure="0">#REF!</definedName>
    <definedName name="__mp1" hidden="0" function="0" vbProcedure="0">#REF!</definedName>
    <definedName name="__New1" hidden="0" function="0" vbProcedure="0">#REF!</definedName>
    <definedName name="__OP1" hidden="0" function="0" vbProcedure="0">#REF!</definedName>
    <definedName name="__OP2" hidden="0" function="0" vbProcedure="0">#REF!</definedName>
    <definedName name="__OP3" hidden="0" function="0" vbProcedure="0">#REF!</definedName>
    <definedName name="__OP4" hidden="0" function="0" vbProcedure="0">#REF!</definedName>
    <definedName name="__P1" hidden="0" function="0" vbProcedure="0">#REF!</definedName>
    <definedName name="__Pg1" hidden="0" function="0" vbProcedure="0">#REF!</definedName>
    <definedName name="__PG10" hidden="0" function="0" vbProcedure="0">#REF!</definedName>
    <definedName name="__PG11" hidden="0" function="0" vbProcedure="0">#REF!</definedName>
    <definedName name="__PG13" hidden="0" function="0" vbProcedure="0">#REF!</definedName>
    <definedName name="__PG2" hidden="0" function="0" vbProcedure="0">#REF!</definedName>
    <definedName name="__PG3" hidden="0" function="0" vbProcedure="0">#REF!</definedName>
    <definedName name="__PG4" hidden="0" function="0" vbProcedure="0">#REF!</definedName>
    <definedName name="__PG5" hidden="0" function="0" vbProcedure="0">#REF!</definedName>
    <definedName name="__PG6" hidden="0" function="0" vbProcedure="0">#REF!</definedName>
    <definedName name="__PG7" hidden="0" function="0" vbProcedure="0">#REF!</definedName>
    <definedName name="__PG8" hidden="0" function="0" vbProcedure="0">#REF!</definedName>
    <definedName name="__ram2" hidden="0" function="0" vbProcedure="0">#REF!</definedName>
    <definedName name="__SC1" hidden="0" function="0" vbProcedure="0">#REF!</definedName>
    <definedName name="__SC10" hidden="0" function="0" vbProcedure="0">#REF!</definedName>
    <definedName name="__SC11" hidden="0" function="0" vbProcedure="0">#REF!</definedName>
    <definedName name="__SC12" hidden="0" function="0" vbProcedure="0">#REF!</definedName>
    <definedName name="__SC13" hidden="0" function="0" vbProcedure="0">#REF!</definedName>
    <definedName name="__SC15" hidden="0" function="0" vbProcedure="0">#REF!</definedName>
    <definedName name="__SC16" hidden="0" function="0" vbProcedure="0">#REF!</definedName>
    <definedName name="__SC18" hidden="0" function="0" vbProcedure="0">#REF!</definedName>
    <definedName name="__SC2" hidden="0" function="0" vbProcedure="0">#REF!</definedName>
    <definedName name="__SC3" hidden="0" function="0" vbProcedure="0">#REF!</definedName>
    <definedName name="__SC4" hidden="0" function="0" vbProcedure="0">#REF!</definedName>
    <definedName name="__SC5" hidden="0" function="0" vbProcedure="0">#REF!</definedName>
    <definedName name="__SC6" hidden="0" function="0" vbProcedure="0">#REF!</definedName>
    <definedName name="__SC7" hidden="0" function="0" vbProcedure="0">#REF!</definedName>
    <definedName name="__SC8" hidden="0" function="0" vbProcedure="0">#REF!</definedName>
    <definedName name="__SC9" hidden="0" function="0" vbProcedure="0">#REF!</definedName>
    <definedName name="__Sch10" hidden="0" function="0" vbProcedure="0">#REF!</definedName>
    <definedName name="__Sch11" hidden="0" function="0" vbProcedure="0">#REF!</definedName>
    <definedName name="__Sch12" hidden="0" function="0" vbProcedure="0">#REF!</definedName>
    <definedName name="__Sch13" hidden="0" function="0" vbProcedure="0">#REF!</definedName>
    <definedName name="__Sch14" hidden="0" function="0" vbProcedure="0">#REF!</definedName>
    <definedName name="__Sch15" hidden="0" function="0" vbProcedure="0">#REF!</definedName>
    <definedName name="__Sch2" hidden="0" function="0" vbProcedure="0">#REF!</definedName>
    <definedName name="__Sch4" hidden="0" function="0" vbProcedure="0">#REF!</definedName>
    <definedName name="__Sch5" hidden="0" function="0" vbProcedure="0">#REF!</definedName>
    <definedName name="__Sch6" hidden="0" function="0" vbProcedure="0">#REF!</definedName>
    <definedName name="__Sch7" hidden="0" function="0" vbProcedure="0">#REF!</definedName>
    <definedName name="__Sch8" hidden="0" function="0" vbProcedure="0">#REF!</definedName>
    <definedName name="__Sch9" hidden="0" function="0" vbProcedure="0">#REF!</definedName>
    <definedName name="__sep97" hidden="0" function="0" vbProcedure="0">#REF!</definedName>
    <definedName name="__sht1" hidden="0" function="0" vbProcedure="0">#REF!</definedName>
    <definedName name="__tb1" hidden="0" function="0" vbProcedure="0">#REF!</definedName>
    <definedName name="__TB2004" hidden="0" function="0" vbProcedure="0">#REF!</definedName>
    <definedName name="__zx3" hidden="0" function="0" vbProcedure="0">#REF!</definedName>
    <definedName name="__ZZ150" hidden="0" function="0" vbProcedure="0">#REF!</definedName>
    <definedName name="___A65536" hidden="0" function="0" vbProcedure="0">#REF!</definedName>
    <definedName name="___A65537" hidden="0" function="0" vbProcedure="0">#REF!</definedName>
    <definedName name="___a665536" hidden="0" function="0" vbProcedure="0">#REF!</definedName>
    <definedName name="___ACK1" hidden="0" function="0" vbProcedure="0">#REF!</definedName>
    <definedName name="___col1" hidden="0" function="0" vbProcedure="0">#REF!</definedName>
    <definedName name="___col10" hidden="0" function="0" vbProcedure="0">#REF!</definedName>
    <definedName name="___col11" hidden="0" function="0" vbProcedure="0">#REF!</definedName>
    <definedName name="___col12" hidden="0" function="0" vbProcedure="0">#REF!</definedName>
    <definedName name="___col13" hidden="0" function="0" vbProcedure="0">#REF!</definedName>
    <definedName name="___col2" hidden="0" function="0" vbProcedure="0">#REF!</definedName>
    <definedName name="___col3" hidden="0" function="0" vbProcedure="0">#REF!</definedName>
    <definedName name="___col4" hidden="0" function="0" vbProcedure="0">#REF!</definedName>
    <definedName name="___col5" hidden="0" function="0" vbProcedure="0">#REF!</definedName>
    <definedName name="___col6" hidden="0" function="0" vbProcedure="0">#REF!</definedName>
    <definedName name="___col7" hidden="0" function="0" vbProcedure="0">#REF!</definedName>
    <definedName name="___col8" hidden="0" function="0" vbProcedure="0">#REF!</definedName>
    <definedName name="___col9" hidden="0" function="0" vbProcedure="0">#REF!</definedName>
    <definedName name="___DAT1" hidden="0" function="0" vbProcedure="0">#REF!</definedName>
    <definedName name="___DAT10" hidden="0" function="0" vbProcedure="0">#REF!</definedName>
    <definedName name="___DAT11" hidden="0" function="0" vbProcedure="0">#REF!</definedName>
    <definedName name="___DAT12" hidden="0" function="0" vbProcedure="0">#REF!</definedName>
    <definedName name="___DAT13" hidden="0" function="0" vbProcedure="0">#REF!</definedName>
    <definedName name="___DAT14" hidden="0" function="0" vbProcedure="0">#REF!</definedName>
    <definedName name="___DAT15" hidden="0" function="0" vbProcedure="0">#REF!</definedName>
    <definedName name="___DAT16" hidden="0" function="0" vbProcedure="0">#REF!</definedName>
    <definedName name="___DAT17" hidden="0" function="0" vbProcedure="0">#REF!</definedName>
    <definedName name="___DAT18" hidden="0" function="0" vbProcedure="0">#REF!</definedName>
    <definedName name="___DAT19" hidden="0" function="0" vbProcedure="0">#REF!</definedName>
    <definedName name="___DAT2" hidden="0" function="0" vbProcedure="0">#REF!</definedName>
    <definedName name="___DAT20" hidden="0" function="0" vbProcedure="0">#REF!</definedName>
    <definedName name="___DAT21" hidden="0" function="0" vbProcedure="0">#REF!</definedName>
    <definedName name="___DAT22" hidden="0" function="0" vbProcedure="0">#REF!</definedName>
    <definedName name="___DAT23" hidden="0" function="0" vbProcedure="0">#REF!</definedName>
    <definedName name="___DAT24" hidden="0" function="0" vbProcedure="0">#REF!</definedName>
    <definedName name="___DAT25" hidden="0" function="0" vbProcedure="0">#REF!</definedName>
    <definedName name="___DAT26" hidden="0" function="0" vbProcedure="0">#REF!</definedName>
    <definedName name="___DAT27" hidden="0" function="0" vbProcedure="0">#REF!</definedName>
    <definedName name="___DAT28" hidden="0" function="0" vbProcedure="0">#REF!</definedName>
    <definedName name="___DAT29" hidden="0" function="0" vbProcedure="0">#REF!</definedName>
    <definedName name="___DAT3" hidden="0" function="0" vbProcedure="0">#REF!</definedName>
    <definedName name="___DAT30" hidden="0" function="0" vbProcedure="0">#REF!</definedName>
    <definedName name="___DAT31" hidden="0" function="0" vbProcedure="0">#REF!</definedName>
    <definedName name="___DAT32" hidden="0" function="0" vbProcedure="0">#REF!</definedName>
    <definedName name="___DAT33" hidden="0" function="0" vbProcedure="0">#REF!</definedName>
    <definedName name="___DAT34" hidden="0" function="0" vbProcedure="0">#REF!</definedName>
    <definedName name="___DAT35" hidden="0" function="0" vbProcedure="0">#REF!</definedName>
    <definedName name="___DAT36" hidden="0" function="0" vbProcedure="0">#REF!</definedName>
    <definedName name="___DAT37" hidden="0" function="0" vbProcedure="0">#REF!</definedName>
    <definedName name="___DAT38" hidden="0" function="0" vbProcedure="0">#REF!</definedName>
    <definedName name="___DAT39" hidden="0" function="0" vbProcedure="0">#REF!</definedName>
    <definedName name="___DAT4" hidden="0" function="0" vbProcedure="0">#REF!</definedName>
    <definedName name="___DAT40" hidden="0" function="0" vbProcedure="0">#REF!</definedName>
    <definedName name="___DAT41" hidden="0" function="0" vbProcedure="0">#REF!</definedName>
    <definedName name="___DAT42" hidden="0" function="0" vbProcedure="0">#REF!</definedName>
    <definedName name="___DAT43" hidden="0" function="0" vbProcedure="0">#REF!</definedName>
    <definedName name="___DAT44" hidden="0" function="0" vbProcedure="0">#REF!</definedName>
    <definedName name="___DAT45" hidden="0" function="0" vbProcedure="0">#REF!</definedName>
    <definedName name="___DAT46" hidden="0" function="0" vbProcedure="0">#REF!</definedName>
    <definedName name="___DAT47" hidden="0" function="0" vbProcedure="0">#REF!</definedName>
    <definedName name="___DAT48" hidden="0" function="0" vbProcedure="0">#REF!</definedName>
    <definedName name="___DAT49" hidden="0" function="0" vbProcedure="0">#REF!</definedName>
    <definedName name="___DAT5" hidden="0" function="0" vbProcedure="0">#REF!</definedName>
    <definedName name="___DAT50" hidden="0" function="0" vbProcedure="0">#REF!</definedName>
    <definedName name="___DAT51" hidden="0" function="0" vbProcedure="0">#REF!</definedName>
    <definedName name="___DAT52" hidden="0" function="0" vbProcedure="0">#REF!</definedName>
    <definedName name="___DAT53" hidden="0" function="0" vbProcedure="0">#REF!</definedName>
    <definedName name="___DAT54" hidden="0" function="0" vbProcedure="0">#REF!</definedName>
    <definedName name="___DAT55" hidden="0" function="0" vbProcedure="0">#REF!</definedName>
    <definedName name="___DAT56" hidden="0" function="0" vbProcedure="0">#REF!</definedName>
    <definedName name="___DAT57" hidden="0" function="0" vbProcedure="0">#REF!</definedName>
    <definedName name="___DAT58" hidden="0" function="0" vbProcedure="0">#REF!</definedName>
    <definedName name="___DAT59" hidden="0" function="0" vbProcedure="0">#REF!</definedName>
    <definedName name="___DAT6" hidden="0" function="0" vbProcedure="0">#REF!</definedName>
    <definedName name="___DAT60" hidden="0" function="0" vbProcedure="0">#REF!</definedName>
    <definedName name="___DAT61" hidden="0" function="0" vbProcedure="0">#REF!</definedName>
    <definedName name="___DAT62" hidden="0" function="0" vbProcedure="0">#REF!</definedName>
    <definedName name="___DAT63" hidden="0" function="0" vbProcedure="0">#REF!</definedName>
    <definedName name="___DAT64" hidden="0" function="0" vbProcedure="0">#REF!</definedName>
    <definedName name="___DAT65" hidden="0" function="0" vbProcedure="0">#REF!</definedName>
    <definedName name="___DAT66" hidden="0" function="0" vbProcedure="0">#REF!</definedName>
    <definedName name="___DAT67" hidden="0" function="0" vbProcedure="0">#REF!</definedName>
    <definedName name="___DAT68" hidden="0" function="0" vbProcedure="0">#REF!</definedName>
    <definedName name="___DAT69" hidden="0" function="0" vbProcedure="0">#REF!</definedName>
    <definedName name="___DAT7" hidden="0" function="0" vbProcedure="0">#REF!</definedName>
    <definedName name="___DAT70" hidden="0" function="0" vbProcedure="0">#REF!</definedName>
    <definedName name="___DAT71" hidden="0" function="0" vbProcedure="0">#REF!</definedName>
    <definedName name="___DAT8" hidden="0" function="0" vbProcedure="0">#REF!</definedName>
    <definedName name="___DAT9" hidden="0" function="0" vbProcedure="0">#REF!</definedName>
    <definedName name="___FS1" hidden="0" function="0" vbProcedure="0">#REF!</definedName>
    <definedName name="___INDEX_SHEET___ASAP_Utilities" hidden="0" function="0" vbProcedure="0">#REF!</definedName>
    <definedName name="___ma67" hidden="0" function="0" vbProcedure="0">#REF!</definedName>
    <definedName name="___ma71" hidden="0" function="0" vbProcedure="0">#REF!</definedName>
    <definedName name="___ma74" hidden="0" function="0" vbProcedure="0">#REF!</definedName>
    <definedName name="___MAR9091" hidden="0" function="0" vbProcedure="0">#REF!</definedName>
    <definedName name="___MKT1" hidden="0" function="0" vbProcedure="0">#REF!</definedName>
    <definedName name="___MKT10" hidden="0" function="0" vbProcedure="0">#REF!</definedName>
    <definedName name="___MKT11" hidden="0" function="0" vbProcedure="0">#REF!</definedName>
    <definedName name="___MKT2" hidden="0" function="0" vbProcedure="0">#REF!</definedName>
    <definedName name="___MKT3" hidden="0" function="0" vbProcedure="0">#REF!</definedName>
    <definedName name="___MKT4" hidden="0" function="0" vbProcedure="0">#REF!</definedName>
    <definedName name="___MKT5" hidden="0" function="0" vbProcedure="0">#REF!</definedName>
    <definedName name="___MKT6" hidden="0" function="0" vbProcedure="0">#REF!</definedName>
    <definedName name="___MKT7" hidden="0" function="0" vbProcedure="0">#REF!</definedName>
    <definedName name="___MKT8" hidden="0" function="0" vbProcedure="0">#REF!</definedName>
    <definedName name="___MKT9" hidden="0" function="0" vbProcedure="0">#REF!</definedName>
    <definedName name="___mmm10" hidden="0" function="0" vbProcedure="0">#REF!</definedName>
    <definedName name="___New1" hidden="0" function="0" vbProcedure="0">#REF!</definedName>
    <definedName name="___OP1" hidden="0" function="0" vbProcedure="0">#REF!</definedName>
    <definedName name="___OP2" hidden="0" function="0" vbProcedure="0">#REF!</definedName>
    <definedName name="___OP3" hidden="0" function="0" vbProcedure="0">#REF!</definedName>
    <definedName name="___OP4" hidden="0" function="0" vbProcedure="0">#REF!</definedName>
    <definedName name="___P1" hidden="0" function="0" vbProcedure="0">#REF!</definedName>
    <definedName name="___Pg1" hidden="0" function="0" vbProcedure="0">#REF!</definedName>
    <definedName name="___PG2" hidden="0" function="0" vbProcedure="0">#REF!</definedName>
    <definedName name="___PG3" hidden="0" function="0" vbProcedure="0">#REF!</definedName>
    <definedName name="___PG4" hidden="0" function="0" vbProcedure="0">#REF!</definedName>
    <definedName name="___PG5" hidden="0" function="0" vbProcedure="0">#REF!</definedName>
    <definedName name="___PG6" hidden="0" function="0" vbProcedure="0">#REF!</definedName>
    <definedName name="___PG7" hidden="0" function="0" vbProcedure="0">#REF!</definedName>
    <definedName name="___ram2" hidden="0" function="0" vbProcedure="0">#REF!</definedName>
    <definedName name="___sep97" hidden="0" function="0" vbProcedure="0">#REF!</definedName>
    <definedName name="___tb1" hidden="0" function="0" vbProcedure="0">#REF!</definedName>
    <definedName name="___zx3" hidden="0" function="0" vbProcedure="0">#REF!</definedName>
    <definedName name="___ZZ150" hidden="0" function="0" vbProcedure="0">#REF!</definedName>
    <definedName name="____A65536" hidden="0" function="0" vbProcedure="0">#REF!</definedName>
    <definedName name="____A65537" hidden="0" function="0" vbProcedure="0">#REF!</definedName>
    <definedName name="____a665536" hidden="0" function="0" vbProcedure="0">#REF!</definedName>
    <definedName name="____col1" hidden="0" function="0" vbProcedure="0">#REF!</definedName>
    <definedName name="____col10" hidden="0" function="0" vbProcedure="0">#REF!</definedName>
    <definedName name="____col11" hidden="0" function="0" vbProcedure="0">#REF!</definedName>
    <definedName name="____col12" hidden="0" function="0" vbProcedure="0">#REF!</definedName>
    <definedName name="____col13" hidden="0" function="0" vbProcedure="0">#REF!</definedName>
    <definedName name="____col2" hidden="0" function="0" vbProcedure="0">#REF!</definedName>
    <definedName name="____col3" hidden="0" function="0" vbProcedure="0">#REF!</definedName>
    <definedName name="____col4" hidden="0" function="0" vbProcedure="0">#REF!</definedName>
    <definedName name="____col5" hidden="0" function="0" vbProcedure="0">#REF!</definedName>
    <definedName name="____col6" hidden="0" function="0" vbProcedure="0">#REF!</definedName>
    <definedName name="____col7" hidden="0" function="0" vbProcedure="0">#REF!</definedName>
    <definedName name="____col8" hidden="0" function="0" vbProcedure="0">#REF!</definedName>
    <definedName name="____col9" hidden="0" function="0" vbProcedure="0">#REF!</definedName>
    <definedName name="____DAT1" hidden="0" function="0" vbProcedure="0">#REF!</definedName>
    <definedName name="____DAT10" hidden="0" function="0" vbProcedure="0">#REF!</definedName>
    <definedName name="____DAT11" hidden="0" function="0" vbProcedure="0">#REF!</definedName>
    <definedName name="____DAT12" hidden="0" function="0" vbProcedure="0">#REF!</definedName>
    <definedName name="____DAT13" hidden="0" function="0" vbProcedure="0">#REF!</definedName>
    <definedName name="____DAT14" hidden="0" function="0" vbProcedure="0">#REF!</definedName>
    <definedName name="____DAT15" hidden="0" function="0" vbProcedure="0">#REF!</definedName>
    <definedName name="____DAT2" hidden="0" function="0" vbProcedure="0">#REF!</definedName>
    <definedName name="____DAT3" hidden="0" function="0" vbProcedure="0">#REF!</definedName>
    <definedName name="____DAT4" hidden="0" function="0" vbProcedure="0">#REF!</definedName>
    <definedName name="____DAT5" hidden="0" function="0" vbProcedure="0">#REF!</definedName>
    <definedName name="____DAT6" hidden="0" function="0" vbProcedure="0">#REF!</definedName>
    <definedName name="____DAT7" hidden="0" function="0" vbProcedure="0">#REF!</definedName>
    <definedName name="____DAT8" hidden="0" function="0" vbProcedure="0">#REF!</definedName>
    <definedName name="____DAT9" hidden="0" function="0" vbProcedure="0">#REF!</definedName>
    <definedName name="____ma67" hidden="0" function="0" vbProcedure="0">#REF!</definedName>
    <definedName name="____ma71" hidden="0" function="0" vbProcedure="0">#REF!</definedName>
    <definedName name="____ma74" hidden="0" function="0" vbProcedure="0">#REF!</definedName>
    <definedName name="____MAR9091" hidden="0" function="0" vbProcedure="0">#REF!</definedName>
    <definedName name="____MKT1" hidden="0" function="0" vbProcedure="0">#REF!</definedName>
    <definedName name="____MKT10" hidden="0" function="0" vbProcedure="0">#REF!</definedName>
    <definedName name="____MKT11" hidden="0" function="0" vbProcedure="0">#REF!</definedName>
    <definedName name="____MKT2" hidden="0" function="0" vbProcedure="0">#REF!</definedName>
    <definedName name="____MKT3" hidden="0" function="0" vbProcedure="0">#REF!</definedName>
    <definedName name="____MKT4" hidden="0" function="0" vbProcedure="0">#REF!</definedName>
    <definedName name="____MKT5" hidden="0" function="0" vbProcedure="0">#REF!</definedName>
    <definedName name="____MKT6" hidden="0" function="0" vbProcedure="0">#REF!</definedName>
    <definedName name="____MKT7" hidden="0" function="0" vbProcedure="0">#REF!</definedName>
    <definedName name="____MKT8" hidden="0" function="0" vbProcedure="0">#REF!</definedName>
    <definedName name="____MKT9" hidden="0" function="0" vbProcedure="0">#REF!</definedName>
    <definedName name="____mmm10" hidden="0" function="0" vbProcedure="0">#REF!</definedName>
    <definedName name="____New1" hidden="0" function="0" vbProcedure="0">#REF!</definedName>
    <definedName name="____ram2" hidden="0" function="0" vbProcedure="0">#REF!</definedName>
    <definedName name="____sep97" hidden="0" function="0" vbProcedure="0">#REF!</definedName>
    <definedName name="____zx3" hidden="0" function="0" vbProcedure="0">#REF!</definedName>
    <definedName name="____ZZ150" hidden="0" function="0" vbProcedure="0">#REF!</definedName>
    <definedName name="_____A65536" hidden="0" function="0" vbProcedure="0">#REF!</definedName>
    <definedName name="_____A65537" hidden="0" function="0" vbProcedure="0">#REF!</definedName>
    <definedName name="_____a665536" hidden="0" function="0" vbProcedure="0">#REF!</definedName>
    <definedName name="_____col1" hidden="0" function="0" vbProcedure="0">#REF!</definedName>
    <definedName name="_____col10" hidden="0" function="0" vbProcedure="0">#REF!</definedName>
    <definedName name="_____col11" hidden="0" function="0" vbProcedure="0">#REF!</definedName>
    <definedName name="_____col12" hidden="0" function="0" vbProcedure="0">#REF!</definedName>
    <definedName name="_____col13" hidden="0" function="0" vbProcedure="0">#REF!</definedName>
    <definedName name="_____col2" hidden="0" function="0" vbProcedure="0">#REF!</definedName>
    <definedName name="_____col3" hidden="0" function="0" vbProcedure="0">#REF!</definedName>
    <definedName name="_____col4" hidden="0" function="0" vbProcedure="0">#REF!</definedName>
    <definedName name="_____col5" hidden="0" function="0" vbProcedure="0">#REF!</definedName>
    <definedName name="_____col6" hidden="0" function="0" vbProcedure="0">#REF!</definedName>
    <definedName name="_____col7" hidden="0" function="0" vbProcedure="0">#REF!</definedName>
    <definedName name="_____col8" hidden="0" function="0" vbProcedure="0">#REF!</definedName>
    <definedName name="_____col9" hidden="0" function="0" vbProcedure="0">#REF!</definedName>
    <definedName name="_____DAT1" hidden="0" function="0" vbProcedure="0">#REF!</definedName>
    <definedName name="_____DAT10" hidden="0" function="0" vbProcedure="0">#REF!</definedName>
    <definedName name="_____DAT11" hidden="0" function="0" vbProcedure="0">#REF!</definedName>
    <definedName name="_____DAT12" hidden="0" function="0" vbProcedure="0">#REF!</definedName>
    <definedName name="_____DAT13" hidden="0" function="0" vbProcedure="0">#REF!</definedName>
    <definedName name="_____DAT14" hidden="0" function="0" vbProcedure="0">#REF!</definedName>
    <definedName name="_____DAT15" hidden="0" function="0" vbProcedure="0">#REF!</definedName>
    <definedName name="_____DAT2" hidden="0" function="0" vbProcedure="0">#REF!</definedName>
    <definedName name="_____DAT3" hidden="0" function="0" vbProcedure="0">#REF!</definedName>
    <definedName name="_____DAT4" hidden="0" function="0" vbProcedure="0">#REF!</definedName>
    <definedName name="_____DAT5" hidden="0" function="0" vbProcedure="0">#REF!</definedName>
    <definedName name="_____DAT6" hidden="0" function="0" vbProcedure="0">#REF!</definedName>
    <definedName name="_____DAT7" hidden="0" function="0" vbProcedure="0">#REF!</definedName>
    <definedName name="_____DAT8" hidden="0" function="0" vbProcedure="0">#REF!</definedName>
    <definedName name="_____DAT9" hidden="0" function="0" vbProcedure="0">#REF!</definedName>
    <definedName name="_____ma67" hidden="0" function="0" vbProcedure="0">#REF!</definedName>
    <definedName name="_____ma71" hidden="0" function="0" vbProcedure="0">#REF!</definedName>
    <definedName name="_____ma74" hidden="0" function="0" vbProcedure="0">#REF!</definedName>
    <definedName name="_____MAR9091" hidden="0" function="0" vbProcedure="0">#REF!</definedName>
    <definedName name="_____MKT1" hidden="0" function="0" vbProcedure="0">#REF!</definedName>
    <definedName name="_____MKT10" hidden="0" function="0" vbProcedure="0">#REF!</definedName>
    <definedName name="_____MKT11" hidden="0" function="0" vbProcedure="0">#REF!</definedName>
    <definedName name="_____MKT2" hidden="0" function="0" vbProcedure="0">#REF!</definedName>
    <definedName name="_____MKT3" hidden="0" function="0" vbProcedure="0">#REF!</definedName>
    <definedName name="_____MKT4" hidden="0" function="0" vbProcedure="0">#REF!</definedName>
    <definedName name="_____MKT5" hidden="0" function="0" vbProcedure="0">#REF!</definedName>
    <definedName name="_____MKT6" hidden="0" function="0" vbProcedure="0">#REF!</definedName>
    <definedName name="_____MKT7" hidden="0" function="0" vbProcedure="0">#REF!</definedName>
    <definedName name="_____MKT8" hidden="0" function="0" vbProcedure="0">#REF!</definedName>
    <definedName name="_____MKT9" hidden="0" function="0" vbProcedure="0">#REF!</definedName>
    <definedName name="_____mmm10" hidden="0" function="0" vbProcedure="0">#REF!</definedName>
    <definedName name="_____New1" hidden="0" function="0" vbProcedure="0">#REF!</definedName>
    <definedName name="_____ram2" hidden="0" function="0" vbProcedure="0">#REF!</definedName>
    <definedName name="_____sep97" hidden="0" function="0" vbProcedure="0">#REF!</definedName>
    <definedName name="_____zx3" hidden="0" function="0" vbProcedure="0">#REF!</definedName>
    <definedName name="_____ZZ150" hidden="0" function="0" vbProcedure="0">#REF!</definedName>
    <definedName name="______A65536" hidden="0" function="0" vbProcedure="0">#REF!</definedName>
    <definedName name="______A65537" hidden="0" function="0" vbProcedure="0">#REF!</definedName>
    <definedName name="______a665536" hidden="0" function="0" vbProcedure="0">#REF!</definedName>
    <definedName name="______col1" hidden="0" function="0" vbProcedure="0">#REF!</definedName>
    <definedName name="______col10" hidden="0" function="0" vbProcedure="0">#REF!</definedName>
    <definedName name="______col11" hidden="0" function="0" vbProcedure="0">#REF!</definedName>
    <definedName name="______col12" hidden="0" function="0" vbProcedure="0">#REF!</definedName>
    <definedName name="______col13" hidden="0" function="0" vbProcedure="0">#REF!</definedName>
    <definedName name="______col2" hidden="0" function="0" vbProcedure="0">#REF!</definedName>
    <definedName name="______col3" hidden="0" function="0" vbProcedure="0">#REF!</definedName>
    <definedName name="______col4" hidden="0" function="0" vbProcedure="0">#REF!</definedName>
    <definedName name="______col5" hidden="0" function="0" vbProcedure="0">#REF!</definedName>
    <definedName name="______col6" hidden="0" function="0" vbProcedure="0">#REF!</definedName>
    <definedName name="______col7" hidden="0" function="0" vbProcedure="0">#REF!</definedName>
    <definedName name="______col8" hidden="0" function="0" vbProcedure="0">#REF!</definedName>
    <definedName name="______col9" hidden="0" function="0" vbProcedure="0">#REF!</definedName>
    <definedName name="______DAT4" hidden="0" function="0" vbProcedure="0">#REF!</definedName>
    <definedName name="______MAR9091" hidden="0" function="0" vbProcedure="0">#REF!</definedName>
    <definedName name="______MKT1" hidden="0" function="0" vbProcedure="0">#REF!</definedName>
    <definedName name="______MKT10" hidden="0" function="0" vbProcedure="0">#REF!</definedName>
    <definedName name="______MKT11" hidden="0" function="0" vbProcedure="0">#REF!</definedName>
    <definedName name="______MKT2" hidden="0" function="0" vbProcedure="0">#REF!</definedName>
    <definedName name="______MKT3" hidden="0" function="0" vbProcedure="0">#REF!</definedName>
    <definedName name="______MKT4" hidden="0" function="0" vbProcedure="0">#REF!</definedName>
    <definedName name="______MKT5" hidden="0" function="0" vbProcedure="0">#REF!</definedName>
    <definedName name="______MKT6" hidden="0" function="0" vbProcedure="0">#REF!</definedName>
    <definedName name="______MKT7" hidden="0" function="0" vbProcedure="0">#REF!</definedName>
    <definedName name="______MKT8" hidden="0" function="0" vbProcedure="0">#REF!</definedName>
    <definedName name="______MKT9" hidden="0" function="0" vbProcedure="0">#REF!</definedName>
    <definedName name="______mmm10" hidden="0" function="0" vbProcedure="0">#REF!</definedName>
    <definedName name="______New1" hidden="0" function="0" vbProcedure="0">#REF!</definedName>
    <definedName name="______ram2" hidden="0" function="0" vbProcedure="0">#REF!</definedName>
    <definedName name="______sep97" hidden="0" function="0" vbProcedure="0">#REF!</definedName>
    <definedName name="_______A65536" hidden="0" function="0" vbProcedure="0">#REF!</definedName>
    <definedName name="_______A65537" hidden="0" function="0" vbProcedure="0">#REF!</definedName>
    <definedName name="_______a665536" hidden="0" function="0" vbProcedure="0">#REF!</definedName>
    <definedName name="_______col1" hidden="0" function="0" vbProcedure="0">#REF!</definedName>
    <definedName name="_______col10" hidden="0" function="0" vbProcedure="0">#REF!</definedName>
    <definedName name="_______col11" hidden="0" function="0" vbProcedure="0">#REF!</definedName>
    <definedName name="_______col12" hidden="0" function="0" vbProcedure="0">#REF!</definedName>
    <definedName name="_______col13" hidden="0" function="0" vbProcedure="0">#REF!</definedName>
    <definedName name="_______col2" hidden="0" function="0" vbProcedure="0">#REF!</definedName>
    <definedName name="_______col3" hidden="0" function="0" vbProcedure="0">#REF!</definedName>
    <definedName name="_______col4" hidden="0" function="0" vbProcedure="0">#REF!</definedName>
    <definedName name="_______col5" hidden="0" function="0" vbProcedure="0">#REF!</definedName>
    <definedName name="_______col6" hidden="0" function="0" vbProcedure="0">#REF!</definedName>
    <definedName name="_______col7" hidden="0" function="0" vbProcedure="0">#REF!</definedName>
    <definedName name="_______col8" hidden="0" function="0" vbProcedure="0">#REF!</definedName>
    <definedName name="_______col9" hidden="0" function="0" vbProcedure="0">#REF!</definedName>
    <definedName name="_______MAR9091" hidden="0" function="0" vbProcedure="0">#REF!</definedName>
    <definedName name="_______MKT1" hidden="0" function="0" vbProcedure="0">#REF!</definedName>
    <definedName name="_______MKT10" hidden="0" function="0" vbProcedure="0">#REF!</definedName>
    <definedName name="_______MKT11" hidden="0" function="0" vbProcedure="0">#REF!</definedName>
    <definedName name="_______MKT2" hidden="0" function="0" vbProcedure="0">#REF!</definedName>
    <definedName name="_______MKT3" hidden="0" function="0" vbProcedure="0">#REF!</definedName>
    <definedName name="_______MKT4" hidden="0" function="0" vbProcedure="0">#REF!</definedName>
    <definedName name="_______MKT5" hidden="0" function="0" vbProcedure="0">#REF!</definedName>
    <definedName name="_______MKT6" hidden="0" function="0" vbProcedure="0">#REF!</definedName>
    <definedName name="_______MKT7" hidden="0" function="0" vbProcedure="0">#REF!</definedName>
    <definedName name="_______MKT8" hidden="0" function="0" vbProcedure="0">#REF!</definedName>
    <definedName name="_______MKT9" hidden="0" function="0" vbProcedure="0">#REF!</definedName>
    <definedName name="_______mmm10" hidden="0" function="0" vbProcedure="0">#REF!</definedName>
    <definedName name="_______New1" hidden="0" function="0" vbProcedure="0">#REF!</definedName>
    <definedName name="_______ram2" hidden="0" function="0" vbProcedure="0">#REF!</definedName>
    <definedName name="_______sep97" hidden="0" function="0" vbProcedure="0">#REF!</definedName>
    <definedName name="________A65536" hidden="0" function="0" vbProcedure="0">#REF!</definedName>
    <definedName name="________A65537" hidden="0" function="0" vbProcedure="0">#REF!</definedName>
    <definedName name="________a665536" hidden="0" function="0" vbProcedure="0">#REF!</definedName>
    <definedName name="________col1" hidden="0" function="0" vbProcedure="0">#REF!</definedName>
    <definedName name="________col10" hidden="0" function="0" vbProcedure="0">#REF!</definedName>
    <definedName name="________col11" hidden="0" function="0" vbProcedure="0">#REF!</definedName>
    <definedName name="________col12" hidden="0" function="0" vbProcedure="0">#REF!</definedName>
    <definedName name="________col13" hidden="0" function="0" vbProcedure="0">#REF!</definedName>
    <definedName name="________col2" hidden="0" function="0" vbProcedure="0">#REF!</definedName>
    <definedName name="________col3" hidden="0" function="0" vbProcedure="0">#REF!</definedName>
    <definedName name="________col4" hidden="0" function="0" vbProcedure="0">#REF!</definedName>
    <definedName name="________col5" hidden="0" function="0" vbProcedure="0">#REF!</definedName>
    <definedName name="________col6" hidden="0" function="0" vbProcedure="0">#REF!</definedName>
    <definedName name="________col7" hidden="0" function="0" vbProcedure="0">#REF!</definedName>
    <definedName name="________col8" hidden="0" function="0" vbProcedure="0">#REF!</definedName>
    <definedName name="________col9" hidden="0" function="0" vbProcedure="0">#REF!</definedName>
    <definedName name="________MAR9091" hidden="0" function="0" vbProcedure="0">#REF!</definedName>
    <definedName name="________MKT1" hidden="0" function="0" vbProcedure="0">#REF!</definedName>
    <definedName name="________MKT10" hidden="0" function="0" vbProcedure="0">#REF!</definedName>
    <definedName name="________MKT11" hidden="0" function="0" vbProcedure="0">#REF!</definedName>
    <definedName name="________MKT2" hidden="0" function="0" vbProcedure="0">#REF!</definedName>
    <definedName name="________MKT3" hidden="0" function="0" vbProcedure="0">#REF!</definedName>
    <definedName name="________MKT4" hidden="0" function="0" vbProcedure="0">#REF!</definedName>
    <definedName name="________MKT5" hidden="0" function="0" vbProcedure="0">#REF!</definedName>
    <definedName name="________MKT6" hidden="0" function="0" vbProcedure="0">#REF!</definedName>
    <definedName name="________MKT7" hidden="0" function="0" vbProcedure="0">#REF!</definedName>
    <definedName name="________MKT8" hidden="0" function="0" vbProcedure="0">#REF!</definedName>
    <definedName name="________MKT9" hidden="0" function="0" vbProcedure="0">#REF!</definedName>
    <definedName name="________mmm10" hidden="0" function="0" vbProcedure="0">#REF!</definedName>
    <definedName name="________New1" hidden="0" function="0" vbProcedure="0">#REF!</definedName>
    <definedName name="________ram2" hidden="0" function="0" vbProcedure="0">#REF!</definedName>
    <definedName name="________sep97" hidden="0" function="0" vbProcedure="0">#REF!</definedName>
    <definedName name="_________A65536" hidden="0" function="0" vbProcedure="0">#REF!</definedName>
    <definedName name="_________A65537" hidden="0" function="0" vbProcedure="0">#REF!</definedName>
    <definedName name="_________a665536" hidden="0" function="0" vbProcedure="0">#REF!</definedName>
    <definedName name="_________col1" hidden="0" function="0" vbProcedure="0">#REF!</definedName>
    <definedName name="_________col10" hidden="0" function="0" vbProcedure="0">#REF!</definedName>
    <definedName name="_________col11" hidden="0" function="0" vbProcedure="0">#REF!</definedName>
    <definedName name="_________col12" hidden="0" function="0" vbProcedure="0">#REF!</definedName>
    <definedName name="_________col13" hidden="0" function="0" vbProcedure="0">#REF!</definedName>
    <definedName name="_________col2" hidden="0" function="0" vbProcedure="0">#REF!</definedName>
    <definedName name="_________col3" hidden="0" function="0" vbProcedure="0">#REF!</definedName>
    <definedName name="_________col4" hidden="0" function="0" vbProcedure="0">#REF!</definedName>
    <definedName name="_________col5" hidden="0" function="0" vbProcedure="0">#REF!</definedName>
    <definedName name="_________col6" hidden="0" function="0" vbProcedure="0">#REF!</definedName>
    <definedName name="_________col7" hidden="0" function="0" vbProcedure="0">#REF!</definedName>
    <definedName name="_________col8" hidden="0" function="0" vbProcedure="0">#REF!</definedName>
    <definedName name="_________col9" hidden="0" function="0" vbProcedure="0">#REF!</definedName>
    <definedName name="_________MAR9091" hidden="0" function="0" vbProcedure="0">#REF!</definedName>
    <definedName name="_________MKT1" hidden="0" function="0" vbProcedure="0">#REF!</definedName>
    <definedName name="_________MKT10" hidden="0" function="0" vbProcedure="0">#REF!</definedName>
    <definedName name="_________MKT11" hidden="0" function="0" vbProcedure="0">#REF!</definedName>
    <definedName name="_________MKT2" hidden="0" function="0" vbProcedure="0">#REF!</definedName>
    <definedName name="_________MKT3" hidden="0" function="0" vbProcedure="0">#REF!</definedName>
    <definedName name="_________MKT4" hidden="0" function="0" vbProcedure="0">#REF!</definedName>
    <definedName name="_________MKT5" hidden="0" function="0" vbProcedure="0">#REF!</definedName>
    <definedName name="_________MKT6" hidden="0" function="0" vbProcedure="0">#REF!</definedName>
    <definedName name="_________MKT7" hidden="0" function="0" vbProcedure="0">#REF!</definedName>
    <definedName name="_________MKT8" hidden="0" function="0" vbProcedure="0">#REF!</definedName>
    <definedName name="_________MKT9" hidden="0" function="0" vbProcedure="0">#REF!</definedName>
    <definedName name="_________mmm10" hidden="0" function="0" vbProcedure="0">#REF!</definedName>
    <definedName name="_________New1" hidden="0" function="0" vbProcedure="0">#REF!</definedName>
    <definedName name="_________ram2" hidden="0" function="0" vbProcedure="0">#REF!</definedName>
    <definedName name="_________sep97" hidden="0" function="0" vbProcedure="0">#REF!</definedName>
    <definedName name="__________A65536" hidden="0" function="0" vbProcedure="0">#REF!</definedName>
    <definedName name="__________A65537" hidden="0" function="0" vbProcedure="0">#REF!</definedName>
    <definedName name="__________a665536" hidden="0" function="0" vbProcedure="0">#REF!</definedName>
    <definedName name="__________col1" hidden="0" function="0" vbProcedure="0">#REF!</definedName>
    <definedName name="__________col10" hidden="0" function="0" vbProcedure="0">#REF!</definedName>
    <definedName name="__________col11" hidden="0" function="0" vbProcedure="0">#REF!</definedName>
    <definedName name="__________col12" hidden="0" function="0" vbProcedure="0">#REF!</definedName>
    <definedName name="__________col13" hidden="0" function="0" vbProcedure="0">#REF!</definedName>
    <definedName name="__________col2" hidden="0" function="0" vbProcedure="0">#REF!</definedName>
    <definedName name="__________col3" hidden="0" function="0" vbProcedure="0">#REF!</definedName>
    <definedName name="__________col4" hidden="0" function="0" vbProcedure="0">#REF!</definedName>
    <definedName name="__________col5" hidden="0" function="0" vbProcedure="0">#REF!</definedName>
    <definedName name="__________col6" hidden="0" function="0" vbProcedure="0">#REF!</definedName>
    <definedName name="__________col7" hidden="0" function="0" vbProcedure="0">#REF!</definedName>
    <definedName name="__________col8" hidden="0" function="0" vbProcedure="0">#REF!</definedName>
    <definedName name="__________col9" hidden="0" function="0" vbProcedure="0">#REF!</definedName>
    <definedName name="__________MAR9091" hidden="0" function="0" vbProcedure="0">#REF!</definedName>
    <definedName name="__________MKT1" hidden="0" function="0" vbProcedure="0">#REF!</definedName>
    <definedName name="__________MKT10" hidden="0" function="0" vbProcedure="0">#REF!</definedName>
    <definedName name="__________MKT11" hidden="0" function="0" vbProcedure="0">#REF!</definedName>
    <definedName name="__________MKT2" hidden="0" function="0" vbProcedure="0">#REF!</definedName>
    <definedName name="__________MKT3" hidden="0" function="0" vbProcedure="0">#REF!</definedName>
    <definedName name="__________MKT4" hidden="0" function="0" vbProcedure="0">#REF!</definedName>
    <definedName name="__________MKT5" hidden="0" function="0" vbProcedure="0">#REF!</definedName>
    <definedName name="__________MKT6" hidden="0" function="0" vbProcedure="0">#REF!</definedName>
    <definedName name="__________MKT7" hidden="0" function="0" vbProcedure="0">#REF!</definedName>
    <definedName name="__________MKT8" hidden="0" function="0" vbProcedure="0">#REF!</definedName>
    <definedName name="__________MKT9" hidden="0" function="0" vbProcedure="0">#REF!</definedName>
    <definedName name="__________mmm10" hidden="0" function="0" vbProcedure="0">#REF!</definedName>
    <definedName name="__________New1" hidden="0" function="0" vbProcedure="0">#REF!</definedName>
    <definedName name="__________ram2" hidden="0" function="0" vbProcedure="0">#REF!</definedName>
    <definedName name="__________sep97" hidden="0" function="0" vbProcedure="0">#REF!</definedName>
    <definedName name="___________A65536" hidden="0" function="0" vbProcedure="0">#REF!</definedName>
    <definedName name="___________A65537" hidden="0" function="0" vbProcedure="0">#REF!</definedName>
    <definedName name="___________a665536" hidden="0" function="0" vbProcedure="0">#REF!</definedName>
    <definedName name="___________col1" hidden="0" function="0" vbProcedure="0">#REF!</definedName>
    <definedName name="___________col10" hidden="0" function="0" vbProcedure="0">#REF!</definedName>
    <definedName name="___________col11" hidden="0" function="0" vbProcedure="0">#REF!</definedName>
    <definedName name="___________col12" hidden="0" function="0" vbProcedure="0">#REF!</definedName>
    <definedName name="___________col13" hidden="0" function="0" vbProcedure="0">#REF!</definedName>
    <definedName name="___________col2" hidden="0" function="0" vbProcedure="0">#REF!</definedName>
    <definedName name="___________col3" hidden="0" function="0" vbProcedure="0">#REF!</definedName>
    <definedName name="___________col4" hidden="0" function="0" vbProcedure="0">#REF!</definedName>
    <definedName name="___________col5" hidden="0" function="0" vbProcedure="0">#REF!</definedName>
    <definedName name="___________col6" hidden="0" function="0" vbProcedure="0">#REF!</definedName>
    <definedName name="___________col7" hidden="0" function="0" vbProcedure="0">#REF!</definedName>
    <definedName name="___________col8" hidden="0" function="0" vbProcedure="0">#REF!</definedName>
    <definedName name="___________col9" hidden="0" function="0" vbProcedure="0">#REF!</definedName>
    <definedName name="___________MAR9091" hidden="0" function="0" vbProcedure="0">#REF!</definedName>
    <definedName name="___________MKT1" hidden="0" function="0" vbProcedure="0">#REF!</definedName>
    <definedName name="___________MKT10" hidden="0" function="0" vbProcedure="0">#REF!</definedName>
    <definedName name="___________MKT11" hidden="0" function="0" vbProcedure="0">#REF!</definedName>
    <definedName name="___________MKT2" hidden="0" function="0" vbProcedure="0">#REF!</definedName>
    <definedName name="___________MKT3" hidden="0" function="0" vbProcedure="0">#REF!</definedName>
    <definedName name="___________MKT4" hidden="0" function="0" vbProcedure="0">#REF!</definedName>
    <definedName name="___________MKT5" hidden="0" function="0" vbProcedure="0">#REF!</definedName>
    <definedName name="___________MKT6" hidden="0" function="0" vbProcedure="0">#REF!</definedName>
    <definedName name="___________MKT7" hidden="0" function="0" vbProcedure="0">#REF!</definedName>
    <definedName name="___________MKT8" hidden="0" function="0" vbProcedure="0">#REF!</definedName>
    <definedName name="___________MKT9" hidden="0" function="0" vbProcedure="0">#REF!</definedName>
    <definedName name="___________mmm10" hidden="0" function="0" vbProcedure="0">#REF!</definedName>
    <definedName name="___________New1" hidden="0" function="0" vbProcedure="0">#REF!</definedName>
    <definedName name="___________ram2" hidden="0" function="0" vbProcedure="0">#REF!</definedName>
    <definedName name="___________sep97" hidden="0" function="0" vbProcedure="0">#REF!</definedName>
    <definedName name="____________ram2" hidden="0" function="0" vbProcedure="0">#REF!</definedName>
    <definedName name="_____________ram2" hidden="0" function="0" vbProcedure="0">#REF!</definedName>
    <definedName name="______________ram2" hidden="0" function="0" vbProcedure="0">#REF!</definedName>
    <definedName name="_______________ram2" hidden="0" function="0" vbProcedure="0">#REF!</definedName>
    <definedName name="________________ram2" hidden="0" function="0" vbProcedure="0">#REF!</definedName>
    <definedName name="_________________ram2" hidden="0" function="0" vbProcedure="0">#REF!</definedName>
    <definedName name="__________________ram2" hidden="0" function="0" vbProcedure="0">#REF!</definedName>
    <definedName name="___________________ram2" hidden="0" function="0" vbProcedure="0">#REF!</definedName>
    <definedName name="____________________ram2" hidden="0" function="0" vbProcedure="0">#REF!</definedName>
    <definedName name="_____________________ram2" hidden="0" function="0" vbProcedure="0">#REF!</definedName>
    <definedName name="______________________ram2" hidden="0" function="0" vbProcedure="0">#REF!</definedName>
    <definedName name="_______________________ram2" hidden="0" function="0" vbProcedure="0">#REF!</definedName>
    <definedName name="adv" localSheetId="0" hidden="0" function="0" vbProcedure="0">#REF!</definedName>
    <definedName name="advancetax" localSheetId="0" hidden="0" function="0" vbProcedure="0">#REF!</definedName>
    <definedName name="aefdays" localSheetId="0" hidden="0" function="0" vbProcedure="0">#REF!</definedName>
    <definedName name="Date_of_expense" localSheetId="0" hidden="0" function="0" vbProcedure="0">#REF!</definedName>
    <definedName name="Date_of_Payment" localSheetId="0" hidden="0" function="0" vbProcedure="0">#REF!</definedName>
    <definedName name="dbartot" localSheetId="0" hidden="0" function="0" vbProcedure="0">#REF!</definedName>
    <definedName name="Resi_diff" localSheetId="0" hidden="0" function="0" vbProcedure="0">#REF!</definedName>
    <definedName name="Results" localSheetId="0" hidden="0" function="0" vbProcedure="0">#REF!</definedName>
    <definedName name="Res_diff" localSheetId="0" hidden="0" function="0" vbProcedure="0">#REF!</definedName>
    <definedName name="rrate" localSheetId="0" hidden="0" function="0" vbProcedure="0">#REF!</definedName>
    <definedName name="Rs.2.25" localSheetId="0" hidden="0" function="0" vbProcedure="0">#REF!</definedName>
    <definedName name="RSU_Confirmation_of_Release" localSheetId="0" hidden="0" function="0" vbProcedure="0">#REF!</definedName>
    <definedName name="sum" localSheetId="0" hidden="0" function="0" vbProcedure="0">#REF!</definedName>
    <definedName name="SUM_MIL" localSheetId="0" hidden="0" function="0" vbProcedure="0">#REF!</definedName>
    <definedName name="Sum_of_All" localSheetId="0" hidden="0" function="0" vbProcedure="0">#REF!</definedName>
    <definedName name="_" localSheetId="0" hidden="0" function="0" vbProcedure="0">#REF!</definedName>
    <definedName name="_FS1" localSheetId="0" hidden="0" function="0" vbProcedure="0">#REF!</definedName>
    <definedName name="_Grp12" localSheetId="0" hidden="0" function="0" vbProcedure="0">#REF!</definedName>
    <definedName name="_Grp13" localSheetId="0" hidden="0" function="0" vbProcedure="0">#REF!</definedName>
    <definedName name="_______________________ram2" localSheetId="0" hidden="0" function="0" vbProcedure="0">#REF!</definedName>
    <definedName name="_xlnm._FilterDatabase" localSheetId="1" hidden="1">'FY 25-26-Accrual'!$A$3:$AE$471</definedName>
    <definedName name="_xlnm._FilterDatabase" localSheetId="2" hidden="1">'Invoices'!$A$3:$I$745</definedName>
    <definedName name="_xlnm._FilterDatabase" localSheetId="3" hidden="1">'Invoice'!$A$1:$ET$94</definedName>
    <definedName name="_xlnm._FilterDatabase" localSheetId="4" hidden="1">'Apr Bill'!$A$1:$CN$83</definedName>
    <definedName name="_xlnm._FilterDatabase" localSheetId="5" hidden="1">'May Sales invoice'!$A$1:$M$68</definedName>
  </definedNames>
  <calcPr calcId="124519" fullCalcOnLoad="1" refMode="A1" iterate="0" iterateCount="100" iterateDelta="0.0001"/>
  <pivotCaches>
    <pivotCache cacheId="2" r:id="rId15"/>
  </pivotCaches>
</workbook>
</file>

<file path=xl/styles.xml><?xml version="1.0" encoding="utf-8"?>
<styleSheet xmlns="http://schemas.openxmlformats.org/spreadsheetml/2006/main">
  <numFmts count="11">
    <numFmt numFmtId="164" formatCode="_ * #,##0_ ;_ * \-#,##0_ ;_ * \-??_ ;_ @_ "/>
    <numFmt numFmtId="165" formatCode="mmm\-yy"/>
    <numFmt numFmtId="166" formatCode="_ * #,##0.00_ ;_ * \-#,##0.00_ ;_ * \-??_ ;_ @_ "/>
    <numFmt numFmtId="167" formatCode="#,##0.00_);\(#,##0.00\)"/>
    <numFmt numFmtId="168" formatCode="d/m/yyyy"/>
    <numFmt numFmtId="169" formatCode="m/d/yyyy"/>
    <numFmt numFmtId="170" formatCode="yyyy/mm/dd"/>
    <numFmt numFmtId="171" formatCode="mm/dd/yy"/>
    <numFmt numFmtId="172" formatCode="_(* #,##0.00_);_(* \(#,##0.00\);_(* \-??_);_(@_)"/>
    <numFmt numFmtId="173" formatCode="yyyy-mm-dd h:mm:ss"/>
    <numFmt numFmtId="174" formatCode="YYYY-MM-DD HH:MM:SS"/>
  </numFmts>
  <fonts count="35">
    <font>
      <name val="Aptos Narrow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000000"/>
      <sz val="10"/>
    </font>
    <font>
      <name val="Aptos Narrow"/>
      <charset val="1"/>
      <family val="2"/>
      <color rgb="FF000000"/>
      <sz val="11"/>
    </font>
    <font>
      <name val="Aptos Narrow"/>
      <charset val="1"/>
      <family val="2"/>
      <color theme="1"/>
      <sz val="11"/>
    </font>
    <font>
      <name val="Aptos Narrow"/>
      <charset val="134"/>
      <family val="0"/>
      <b val="1"/>
      <color theme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6"/>
      <u val="single"/>
    </font>
    <font>
      <name val="Calibri"/>
      <charset val="1"/>
      <family val="2"/>
      <b val="1"/>
      <color theme="1"/>
      <sz val="11"/>
      <u val="single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i val="1"/>
      <color theme="1"/>
      <sz val="10"/>
    </font>
    <font>
      <name val="Calibri"/>
      <charset val="1"/>
      <family val="2"/>
      <i val="1"/>
      <color theme="1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0"/>
      <sz val="11"/>
      <u val="single"/>
    </font>
    <font>
      <name val="Aptos Narrow"/>
      <charset val="1"/>
      <family val="2"/>
      <color theme="10"/>
      <sz val="11"/>
      <u val="single"/>
    </font>
    <font>
      <name val="Arial"/>
      <charset val="1"/>
      <family val="2"/>
      <color theme="1"/>
      <sz val="11"/>
    </font>
    <font>
      <name val="Arial"/>
      <charset val="1"/>
      <family val="2"/>
      <b val="1"/>
      <color theme="1"/>
      <sz val="11"/>
    </font>
    <font>
      <name val="Arial"/>
      <charset val="1"/>
      <family val="2"/>
      <sz val="10"/>
    </font>
    <font>
      <name val="Arial"/>
      <charset val="1"/>
      <family val="2"/>
      <b val="1"/>
      <color theme="1"/>
      <sz val="10"/>
      <u val="single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0"/>
    </font>
    <font>
      <name val="Arial"/>
      <charset val="1"/>
      <family val="2"/>
      <color rgb="FF0000FF"/>
      <sz val="10"/>
    </font>
    <font>
      <name val="Arial"/>
      <charset val="1"/>
      <family val="2"/>
      <color theme="1"/>
      <sz val="10"/>
    </font>
    <font>
      <name val="Arial"/>
      <family val="2"/>
      <sz val="10"/>
    </font>
    <font>
      <name val="Arial"/>
      <charset val="1"/>
      <family val="2"/>
      <color rgb="FFFF0000"/>
      <sz val="10"/>
    </font>
    <font>
      <name val="Arial"/>
      <charset val="1"/>
      <family val="2"/>
      <b val="1"/>
      <color theme="1"/>
      <sz val="10"/>
    </font>
    <font>
      <name val="Times New Roman"/>
      <charset val="1"/>
      <family val="1"/>
      <b val="1"/>
      <color rgb="FF000000"/>
      <sz val="11"/>
    </font>
    <font>
      <name val="Arial"/>
      <charset val="1"/>
      <family val="2"/>
      <color rgb="FF000000"/>
      <sz val="11"/>
    </font>
    <font>
      <name val="Arial"/>
      <charset val="1"/>
      <family val="2"/>
      <color rgb="FFFF0000"/>
      <sz val="11"/>
    </font>
    <font>
      <name val="Aptos Narrow"/>
      <charset val="1"/>
      <family val="2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theme="3" tint="0.8999"/>
        <bgColor rgb="FFE9F0FE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C0006"/>
      </patternFill>
    </fill>
    <fill>
      <patternFill patternType="solid">
        <fgColor theme="7" tint="0.5999"/>
        <bgColor rgb="FF83CBEB"/>
      </patternFill>
    </fill>
    <fill>
      <patternFill patternType="solid">
        <fgColor theme="4" tint="0.5999"/>
        <bgColor rgb="FF96DCF8"/>
      </patternFill>
    </fill>
    <fill>
      <patternFill patternType="solid">
        <fgColor rgb="FFE9F0FE"/>
        <bgColor rgb="FFDCEAF7"/>
      </patternFill>
    </fill>
  </fills>
  <borders count="37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 style="medium"/>
      <top/>
      <bottom style="thin"/>
      <diagonal/>
    </border>
    <border>
      <left style="medium"/>
      <right style="thin"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/>
      <diagonal/>
    </border>
    <border>
      <left style="thin"/>
      <right style="medium"/>
      <top/>
      <bottom/>
      <diagonal/>
    </border>
    <border>
      <left style="thin"/>
      <right style="medium"/>
      <top/>
      <bottom style="thin"/>
      <diagonal/>
    </border>
    <border>
      <left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/>
      <bottom style="thin"/>
      <diagonal/>
    </border>
    <border>
      <left style="thin"/>
      <right style="thin"/>
      <top style="thin"/>
      <bottom style="thin"/>
    </border>
  </borders>
  <cellStyleXfs count="28">
    <xf numFmtId="0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172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5" fillId="0" borderId="0" applyAlignment="1">
      <alignment horizontal="general" vertical="bottom"/>
    </xf>
    <xf numFmtId="9" fontId="0" fillId="0" borderId="0" applyAlignment="1">
      <alignment horizontal="general" vertical="bottom"/>
    </xf>
    <xf numFmtId="0" fontId="0" fillId="0" borderId="0" applyAlignment="1">
      <alignment horizontal="left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7" fillId="0" borderId="0" applyAlignment="1">
      <alignment horizontal="left" vertical="bottom"/>
    </xf>
    <xf numFmtId="0" fontId="0" fillId="0" borderId="0" applyAlignment="1">
      <alignment horizontal="general" vertical="bottom"/>
    </xf>
  </cellStyleXfs>
  <cellXfs count="503"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15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15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12" fillId="2" borderId="1" applyAlignment="1" pivotButton="0" quotePrefix="0" xfId="0">
      <alignment horizontal="center" vertical="top"/>
    </xf>
    <xf numFmtId="164" fontId="12" fillId="2" borderId="2" applyAlignment="1" pivotButton="0" quotePrefix="0" xfId="15">
      <alignment horizontal="center" vertical="top"/>
    </xf>
    <xf numFmtId="0" fontId="8" fillId="0" borderId="0" applyAlignment="1" pivotButton="0" quotePrefix="0" xfId="0">
      <alignment horizontal="center" vertical="bottom"/>
    </xf>
    <xf numFmtId="0" fontId="12" fillId="2" borderId="3" applyAlignment="1" pivotButton="0" quotePrefix="0" xfId="0">
      <alignment horizontal="center" vertical="top" wrapText="1"/>
    </xf>
    <xf numFmtId="165" fontId="12" fillId="2" borderId="4" applyAlignment="1" pivotButton="0" quotePrefix="0" xfId="0">
      <alignment horizontal="center" vertical="top" wrapText="1"/>
    </xf>
    <xf numFmtId="0" fontId="13" fillId="0" borderId="5" applyAlignment="1" pivotButton="0" quotePrefix="0" xfId="0">
      <alignment horizontal="general" vertical="top"/>
    </xf>
    <xf numFmtId="164" fontId="13" fillId="0" borderId="6" applyAlignment="1" pivotButton="0" quotePrefix="0" xfId="15">
      <alignment horizontal="general" vertical="top"/>
    </xf>
    <xf numFmtId="164" fontId="14" fillId="0" borderId="6" applyAlignment="1" pivotButton="0" quotePrefix="0" xfId="15">
      <alignment horizontal="general" vertical="top"/>
    </xf>
    <xf numFmtId="0" fontId="14" fillId="0" borderId="5" applyAlignment="1" pivotButton="0" quotePrefix="0" xfId="0">
      <alignment horizontal="general" vertical="top"/>
    </xf>
    <xf numFmtId="166" fontId="13" fillId="0" borderId="6" applyAlignment="1" pivotButton="0" quotePrefix="0" xfId="15">
      <alignment horizontal="general" vertical="top"/>
    </xf>
    <xf numFmtId="0" fontId="8" fillId="0" borderId="3" applyAlignment="1" pivotButton="0" quotePrefix="0" xfId="0">
      <alignment horizontal="general" vertical="bottom"/>
    </xf>
    <xf numFmtId="164" fontId="8" fillId="0" borderId="4" applyAlignment="1" pivotButton="0" quotePrefix="0" xfId="15">
      <alignment horizontal="general" vertical="bottom"/>
    </xf>
    <xf numFmtId="164" fontId="14" fillId="0" borderId="4" applyAlignment="1" pivotButton="0" quotePrefix="0" xfId="15">
      <alignment horizontal="general" vertical="top"/>
    </xf>
    <xf numFmtId="0" fontId="12" fillId="0" borderId="0" applyAlignment="1" pivotButton="0" quotePrefix="0" xfId="0">
      <alignment horizontal="general" vertical="bottom"/>
    </xf>
    <xf numFmtId="164" fontId="12" fillId="0" borderId="0" applyAlignment="1" pivotButton="0" quotePrefix="0" xfId="15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2" fillId="2" borderId="7" applyAlignment="1" pivotButton="0" quotePrefix="0" xfId="0">
      <alignment horizontal="center" vertical="top"/>
    </xf>
    <xf numFmtId="164" fontId="12" fillId="2" borderId="1" applyAlignment="1" pivotButton="0" quotePrefix="0" xfId="15">
      <alignment horizontal="center" vertical="top"/>
    </xf>
    <xf numFmtId="0" fontId="12" fillId="2" borderId="1" applyAlignment="1" pivotButton="0" quotePrefix="0" xfId="0">
      <alignment horizontal="right" vertical="top"/>
    </xf>
    <xf numFmtId="165" fontId="12" fillId="2" borderId="8" applyAlignment="1" pivotButton="0" quotePrefix="0" xfId="0">
      <alignment horizontal="center" vertical="top" wrapText="1"/>
    </xf>
    <xf numFmtId="165" fontId="12" fillId="2" borderId="3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/>
    </xf>
    <xf numFmtId="164" fontId="13" fillId="0" borderId="5" applyAlignment="1" pivotButton="0" quotePrefix="0" xfId="15">
      <alignment horizontal="general" vertical="top"/>
    </xf>
    <xf numFmtId="167" fontId="16" fillId="0" borderId="5" applyAlignment="1" pivotButton="0" quotePrefix="0" xfId="0">
      <alignment horizontal="center" vertical="top" wrapText="1"/>
    </xf>
    <xf numFmtId="164" fontId="14" fillId="0" borderId="5" applyAlignment="1" pivotButton="0" quotePrefix="0" xfId="15">
      <alignment horizontal="general" vertical="top"/>
    </xf>
    <xf numFmtId="0" fontId="14" fillId="0" borderId="0" applyAlignment="1" pivotButton="0" quotePrefix="0" xfId="0">
      <alignment horizontal="general" vertical="top"/>
    </xf>
    <xf numFmtId="166" fontId="13" fillId="0" borderId="5" applyAlignment="1" pivotButton="0" quotePrefix="0" xfId="15">
      <alignment horizontal="general" vertical="top"/>
    </xf>
    <xf numFmtId="164" fontId="11" fillId="0" borderId="5" applyAlignment="1" pivotButton="0" quotePrefix="0" xfId="15">
      <alignment horizontal="left" vertical="top" wrapText="1"/>
    </xf>
    <xf numFmtId="0" fontId="14" fillId="0" borderId="3" applyAlignment="1" pivotButton="0" quotePrefix="0" xfId="0">
      <alignment horizontal="general" vertical="top"/>
    </xf>
    <xf numFmtId="0" fontId="14" fillId="0" borderId="8" applyAlignment="1" pivotButton="0" quotePrefix="0" xfId="0">
      <alignment horizontal="general" vertical="top"/>
    </xf>
    <xf numFmtId="0" fontId="11" fillId="0" borderId="3" applyAlignment="1" pivotButton="0" quotePrefix="0" xfId="0">
      <alignment horizontal="left" vertical="top" wrapText="1"/>
    </xf>
    <xf numFmtId="4" fontId="11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4" fontId="17" fillId="0" borderId="0" applyAlignment="1" pivotButton="0" quotePrefix="0" xfId="2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12" fillId="2" borderId="9" applyAlignment="1" pivotButton="0" quotePrefix="0" xfId="0">
      <alignment horizontal="center" vertical="top"/>
    </xf>
    <xf numFmtId="0" fontId="12" fillId="2" borderId="10" applyAlignment="1" pivotButton="0" quotePrefix="0" xfId="0">
      <alignment horizontal="center" vertical="top" wrapText="1"/>
    </xf>
    <xf numFmtId="0" fontId="13" fillId="0" borderId="11" applyAlignment="1" pivotButton="0" quotePrefix="0" xfId="0">
      <alignment horizontal="general" vertical="top"/>
    </xf>
    <xf numFmtId="0" fontId="8" fillId="0" borderId="1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64" fontId="18" fillId="0" borderId="0" applyAlignment="1" pivotButton="0" quotePrefix="0" xfId="15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0" fillId="0" borderId="12" applyAlignment="1" pivotButton="0" quotePrefix="0" xfId="37">
      <alignment horizontal="general" vertical="bottom"/>
    </xf>
    <xf numFmtId="0" fontId="0" fillId="0" borderId="13" applyAlignment="1" pivotButton="0" quotePrefix="0" xfId="38">
      <alignment horizontal="general" vertical="bottom"/>
    </xf>
    <xf numFmtId="0" fontId="0" fillId="0" borderId="14" applyAlignment="1" pivotButton="0" quotePrefix="0" xfId="37">
      <alignment horizontal="general" vertical="bottom"/>
    </xf>
    <xf numFmtId="0" fontId="0" fillId="0" borderId="15" applyAlignment="1" pivotButton="0" quotePrefix="0" xfId="37">
      <alignment horizontal="general" vertical="bottom"/>
    </xf>
    <xf numFmtId="0" fontId="18" fillId="0" borderId="0" applyAlignment="1" pivotButton="0" quotePrefix="0" xfId="0">
      <alignment horizontal="general" vertical="bottom" wrapText="1"/>
    </xf>
    <xf numFmtId="0" fontId="0" fillId="0" borderId="16" applyAlignment="1" pivotButton="0" quotePrefix="0" xfId="38">
      <alignment horizontal="general" vertical="bottom"/>
    </xf>
    <xf numFmtId="0" fontId="0" fillId="0" borderId="10" applyAlignment="1" pivotButton="0" quotePrefix="0" xfId="36">
      <alignment horizontal="left" vertical="bottom"/>
    </xf>
    <xf numFmtId="0" fontId="0" fillId="0" borderId="8" applyAlignment="1" pivotButton="0" quotePrefix="0" xfId="36">
      <alignment horizontal="left" vertical="bottom"/>
    </xf>
    <xf numFmtId="0" fontId="0" fillId="0" borderId="17" applyAlignment="1" pivotButton="0" quotePrefix="0" xfId="36">
      <alignment horizontal="left" vertical="bottom"/>
    </xf>
    <xf numFmtId="0" fontId="0" fillId="0" borderId="18" applyAlignment="1" pivotButton="0" quotePrefix="0" xfId="36">
      <alignment horizontal="left" vertical="bottom"/>
    </xf>
    <xf numFmtId="164" fontId="0" fillId="0" borderId="9" applyAlignment="1" pivotButton="0" quotePrefix="0" xfId="41">
      <alignment horizontal="general" vertical="bottom"/>
    </xf>
    <xf numFmtId="164" fontId="0" fillId="0" borderId="7" applyAlignment="1" pivotButton="0" quotePrefix="0" xfId="41">
      <alignment horizontal="general" vertical="bottom"/>
    </xf>
    <xf numFmtId="166" fontId="0" fillId="0" borderId="7" applyAlignment="1" pivotButton="0" quotePrefix="0" xfId="41">
      <alignment horizontal="general" vertical="bottom"/>
    </xf>
    <xf numFmtId="0" fontId="0" fillId="0" borderId="19" applyAlignment="1" pivotButton="0" quotePrefix="0" xfId="41">
      <alignment horizontal="general" vertical="bottom"/>
    </xf>
    <xf numFmtId="0" fontId="0" fillId="0" borderId="20" applyAlignment="1" pivotButton="0" quotePrefix="0" xfId="36">
      <alignment horizontal="left" vertical="bottom"/>
    </xf>
    <xf numFmtId="164" fontId="0" fillId="0" borderId="11" applyAlignment="1" pivotButton="0" quotePrefix="0" xfId="41">
      <alignment horizontal="general" vertical="bottom"/>
    </xf>
    <xf numFmtId="164" fontId="0" fillId="0" borderId="0" applyAlignment="1" pivotButton="0" quotePrefix="0" xfId="41">
      <alignment horizontal="general" vertical="bottom"/>
    </xf>
    <xf numFmtId="166" fontId="0" fillId="0" borderId="0" applyAlignment="1" pivotButton="0" quotePrefix="0" xfId="41">
      <alignment horizontal="general" vertical="bottom"/>
    </xf>
    <xf numFmtId="0" fontId="0" fillId="0" borderId="0" applyAlignment="1" pivotButton="0" quotePrefix="0" xfId="41">
      <alignment horizontal="general" vertical="bottom"/>
    </xf>
    <xf numFmtId="0" fontId="0" fillId="0" borderId="21" applyAlignment="1" pivotButton="0" quotePrefix="0" xfId="41">
      <alignment horizontal="general" vertical="bottom"/>
    </xf>
    <xf numFmtId="0" fontId="0" fillId="0" borderId="11" applyAlignment="1" pivotButton="0" quotePrefix="0" xfId="41">
      <alignment horizontal="general" vertical="bottom"/>
    </xf>
    <xf numFmtId="164" fontId="0" fillId="0" borderId="10" applyAlignment="1" pivotButton="0" quotePrefix="0" xfId="41">
      <alignment horizontal="general" vertical="bottom"/>
    </xf>
    <xf numFmtId="164" fontId="0" fillId="0" borderId="8" applyAlignment="1" pivotButton="0" quotePrefix="0" xfId="41">
      <alignment horizontal="general" vertical="bottom"/>
    </xf>
    <xf numFmtId="166" fontId="0" fillId="0" borderId="8" applyAlignment="1" pivotButton="0" quotePrefix="0" xfId="41">
      <alignment horizontal="general" vertical="bottom"/>
    </xf>
    <xf numFmtId="0" fontId="0" fillId="0" borderId="8" applyAlignment="1" pivotButton="0" quotePrefix="0" xfId="41">
      <alignment horizontal="general" vertical="bottom"/>
    </xf>
    <xf numFmtId="0" fontId="0" fillId="0" borderId="17" applyAlignment="1" pivotButton="0" quotePrefix="0" xfId="41">
      <alignment horizontal="general" vertical="bottom"/>
    </xf>
    <xf numFmtId="0" fontId="7" fillId="0" borderId="22" applyAlignment="1" pivotButton="0" quotePrefix="0" xfId="40">
      <alignment horizontal="left" vertical="bottom"/>
    </xf>
    <xf numFmtId="164" fontId="7" fillId="0" borderId="23" applyAlignment="1" pivotButton="0" quotePrefix="0" xfId="39">
      <alignment horizontal="general" vertical="bottom"/>
    </xf>
    <xf numFmtId="164" fontId="7" fillId="0" borderId="24" applyAlignment="1" pivotButton="0" quotePrefix="0" xfId="39">
      <alignment horizontal="general" vertical="bottom"/>
    </xf>
    <xf numFmtId="166" fontId="7" fillId="0" borderId="24" applyAlignment="1" pivotButton="0" quotePrefix="0" xfId="39">
      <alignment horizontal="general" vertical="bottom"/>
    </xf>
    <xf numFmtId="0" fontId="7" fillId="0" borderId="25" applyAlignment="1" pivotButton="0" quotePrefix="0" xfId="39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bottom"/>
    </xf>
    <xf numFmtId="166" fontId="18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general" vertical="bottom"/>
    </xf>
    <xf numFmtId="166" fontId="18" fillId="0" borderId="0" applyAlignment="1" pivotButton="0" quotePrefix="0" xfId="15">
      <alignment horizontal="general" vertical="bottom"/>
    </xf>
    <xf numFmtId="0" fontId="20" fillId="0" borderId="0" applyAlignment="1" pivotButton="0" quotePrefix="0" xfId="0">
      <alignment horizontal="general" vertical="bottom"/>
    </xf>
    <xf numFmtId="166" fontId="20" fillId="0" borderId="0" applyAlignment="1" pivotButton="0" quotePrefix="0" xfId="15">
      <alignment horizontal="general" vertical="bottom"/>
    </xf>
    <xf numFmtId="164" fontId="20" fillId="0" borderId="0" applyAlignment="1" pivotButton="0" quotePrefix="0" xfId="15">
      <alignment horizontal="general" vertical="bottom"/>
    </xf>
    <xf numFmtId="164" fontId="20" fillId="0" borderId="0" applyAlignment="1" pivotButton="0" quotePrefix="0" xfId="0">
      <alignment horizontal="general" vertical="bottom"/>
    </xf>
    <xf numFmtId="2" fontId="20" fillId="0" borderId="0" applyAlignment="1" pivotButton="0" quotePrefix="0" xfId="15">
      <alignment horizontal="general" vertical="bottom"/>
    </xf>
    <xf numFmtId="0" fontId="20" fillId="3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center" vertical="bottom" wrapText="1"/>
    </xf>
    <xf numFmtId="0" fontId="23" fillId="0" borderId="0" applyAlignment="1" pivotButton="0" quotePrefix="0" xfId="0">
      <alignment horizontal="general" vertical="bottom"/>
    </xf>
    <xf numFmtId="168" fontId="22" fillId="0" borderId="1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166" fontId="22" fillId="0" borderId="0" applyAlignment="1" pivotButton="0" quotePrefix="0" xfId="15">
      <alignment horizontal="general" vertical="bottom"/>
    </xf>
    <xf numFmtId="164" fontId="22" fillId="0" borderId="0" applyAlignment="1" pivotButton="0" quotePrefix="0" xfId="15">
      <alignment horizontal="general" vertical="bottom"/>
    </xf>
    <xf numFmtId="166" fontId="22" fillId="0" borderId="0" applyAlignment="1" pivotButton="0" quotePrefix="0" xfId="0">
      <alignment horizontal="general" vertical="bottom"/>
    </xf>
    <xf numFmtId="169" fontId="22" fillId="0" borderId="0" applyAlignment="1" pivotButton="0" quotePrefix="0" xfId="15">
      <alignment horizontal="general" vertical="bottom"/>
    </xf>
    <xf numFmtId="0" fontId="22" fillId="3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left" vertical="bottom"/>
    </xf>
    <xf numFmtId="168" fontId="22" fillId="0" borderId="0" applyAlignment="1" pivotButton="0" quotePrefix="0" xfId="0">
      <alignment horizontal="general" vertical="bottom"/>
    </xf>
    <xf numFmtId="169" fontId="22" fillId="3" borderId="0" applyAlignment="1" pivotButton="0" quotePrefix="0" xfId="0">
      <alignment horizontal="general" vertical="bottom"/>
    </xf>
    <xf numFmtId="0" fontId="24" fillId="0" borderId="26" applyAlignment="1" pivotButton="0" quotePrefix="0" xfId="0">
      <alignment horizontal="center" vertical="bottom" wrapText="1"/>
    </xf>
    <xf numFmtId="0" fontId="24" fillId="0" borderId="26" applyAlignment="1" pivotButton="0" quotePrefix="0" xfId="0">
      <alignment horizontal="center" vertical="bottom"/>
    </xf>
    <xf numFmtId="166" fontId="24" fillId="0" borderId="26" applyAlignment="1" pivotButton="0" quotePrefix="0" xfId="15">
      <alignment horizontal="left" vertical="bottom" wrapText="1"/>
    </xf>
    <xf numFmtId="0" fontId="24" fillId="0" borderId="26" applyAlignment="1" pivotButton="0" quotePrefix="0" xfId="0">
      <alignment horizontal="left" vertical="bottom" wrapText="1"/>
    </xf>
    <xf numFmtId="164" fontId="24" fillId="0" borderId="26" applyAlignment="1" pivotButton="0" quotePrefix="0" xfId="15">
      <alignment horizontal="left" vertical="bottom" wrapText="1"/>
    </xf>
    <xf numFmtId="0" fontId="24" fillId="0" borderId="26" applyAlignment="1" pivotButton="0" quotePrefix="0" xfId="0">
      <alignment horizontal="general" vertical="bottom" wrapText="1"/>
    </xf>
    <xf numFmtId="0" fontId="24" fillId="0" borderId="26" applyAlignment="1" pivotButton="0" quotePrefix="0" xfId="0">
      <alignment horizontal="general" vertical="bottom"/>
    </xf>
    <xf numFmtId="164" fontId="24" fillId="0" borderId="26" applyAlignment="1" pivotButton="0" quotePrefix="0" xfId="15">
      <alignment horizontal="general" vertical="bottom" wrapText="1"/>
    </xf>
    <xf numFmtId="164" fontId="24" fillId="0" borderId="26" applyAlignment="1" pivotButton="0" quotePrefix="0" xfId="15">
      <alignment horizontal="general" vertical="bottom"/>
    </xf>
    <xf numFmtId="2" fontId="24" fillId="0" borderId="26" applyAlignment="1" pivotButton="0" quotePrefix="0" xfId="15">
      <alignment horizontal="general" vertical="bottom" wrapText="1"/>
    </xf>
    <xf numFmtId="0" fontId="24" fillId="3" borderId="26" applyAlignment="1" pivotButton="0" quotePrefix="0" xfId="0">
      <alignment horizontal="general" vertical="bottom" wrapText="1"/>
    </xf>
    <xf numFmtId="2" fontId="24" fillId="3" borderId="26" applyAlignment="1" pivotButton="0" quotePrefix="0" xfId="15">
      <alignment horizontal="general" vertical="bottom" wrapText="1"/>
    </xf>
    <xf numFmtId="164" fontId="24" fillId="3" borderId="26" applyAlignment="1" pivotButton="0" quotePrefix="0" xfId="15">
      <alignment horizontal="general" vertical="bottom" wrapText="1"/>
    </xf>
    <xf numFmtId="0" fontId="24" fillId="0" borderId="0" applyAlignment="1" pivotButton="0" quotePrefix="0" xfId="0">
      <alignment horizontal="general" vertical="bottom"/>
    </xf>
    <xf numFmtId="0" fontId="20" fillId="0" borderId="26" applyAlignment="1" pivotButton="0" quotePrefix="0" xfId="0">
      <alignment horizontal="center" vertical="bottom"/>
    </xf>
    <xf numFmtId="165" fontId="20" fillId="0" borderId="26" applyAlignment="1" pivotButton="0" quotePrefix="0" xfId="0">
      <alignment horizontal="center" vertical="bottom"/>
    </xf>
    <xf numFmtId="0" fontId="20" fillId="0" borderId="26" applyAlignment="1" pivotButton="0" quotePrefix="0" xfId="0">
      <alignment horizontal="general" vertical="bottom"/>
    </xf>
    <xf numFmtId="168" fontId="20" fillId="0" borderId="26" applyAlignment="1" pivotButton="0" quotePrefix="0" xfId="0">
      <alignment horizontal="general" vertical="bottom"/>
    </xf>
    <xf numFmtId="0" fontId="20" fillId="0" borderId="26" applyAlignment="1" pivotButton="0" quotePrefix="0" xfId="0">
      <alignment horizontal="left" vertical="bottom" wrapText="1"/>
    </xf>
    <xf numFmtId="166" fontId="20" fillId="0" borderId="26" applyAlignment="1" pivotButton="0" quotePrefix="0" xfId="15">
      <alignment horizontal="general" vertical="bottom"/>
    </xf>
    <xf numFmtId="164" fontId="20" fillId="0" borderId="26" applyAlignment="1" pivotButton="0" quotePrefix="0" xfId="15">
      <alignment horizontal="general" vertical="bottom"/>
    </xf>
    <xf numFmtId="164" fontId="20" fillId="0" borderId="26" applyAlignment="1" pivotButton="0" quotePrefix="0" xfId="0">
      <alignment horizontal="general" vertical="bottom"/>
    </xf>
    <xf numFmtId="166" fontId="20" fillId="0" borderId="26" applyAlignment="1" pivotButton="0" quotePrefix="0" xfId="0">
      <alignment horizontal="general" vertical="bottom"/>
    </xf>
    <xf numFmtId="2" fontId="20" fillId="0" borderId="26" applyAlignment="1" pivotButton="0" quotePrefix="0" xfId="0">
      <alignment horizontal="general" vertical="bottom"/>
    </xf>
    <xf numFmtId="0" fontId="20" fillId="3" borderId="26" applyAlignment="1" pivotButton="0" quotePrefix="0" xfId="0">
      <alignment horizontal="general" vertical="bottom"/>
    </xf>
    <xf numFmtId="0" fontId="20" fillId="0" borderId="26" applyAlignment="1" pivotButton="0" quotePrefix="0" xfId="0">
      <alignment horizontal="left" vertical="bottom"/>
    </xf>
    <xf numFmtId="1" fontId="20" fillId="3" borderId="26" applyAlignment="1" pivotButton="0" quotePrefix="0" xfId="0">
      <alignment horizontal="general" vertical="bottom"/>
    </xf>
    <xf numFmtId="166" fontId="20" fillId="3" borderId="26" applyAlignment="1" pivotButton="0" quotePrefix="0" xfId="0">
      <alignment horizontal="general" vertical="bottom"/>
    </xf>
    <xf numFmtId="169" fontId="20" fillId="0" borderId="26" applyAlignment="1" pivotButton="0" quotePrefix="0" xfId="0">
      <alignment horizontal="general" vertical="bottom"/>
    </xf>
    <xf numFmtId="0" fontId="20" fillId="0" borderId="26" applyAlignment="1" pivotButton="0" quotePrefix="0" xfId="0">
      <alignment horizontal="left" vertical="center" wrapText="1"/>
    </xf>
    <xf numFmtId="0" fontId="18" fillId="0" borderId="26" applyAlignment="1" pivotButton="0" quotePrefix="0" xfId="0">
      <alignment horizontal="left" vertical="bottom"/>
    </xf>
    <xf numFmtId="0" fontId="20" fillId="0" borderId="26" applyAlignment="1" pivotButton="0" quotePrefix="0" xfId="0">
      <alignment horizontal="general" vertical="bottom" wrapText="1"/>
    </xf>
    <xf numFmtId="166" fontId="20" fillId="0" borderId="26" applyAlignment="1" pivotButton="0" quotePrefix="0" xfId="15">
      <alignment horizontal="right" vertical="bottom"/>
    </xf>
    <xf numFmtId="166" fontId="25" fillId="0" borderId="26" applyAlignment="1" pivotButton="0" quotePrefix="0" xfId="15">
      <alignment horizontal="general" vertical="bottom"/>
    </xf>
    <xf numFmtId="166" fontId="20" fillId="0" borderId="26" applyAlignment="1" pivotButton="0" quotePrefix="0" xfId="15">
      <alignment horizontal="left" vertical="bottom" wrapText="1"/>
    </xf>
    <xf numFmtId="166" fontId="20" fillId="0" borderId="26" applyAlignment="1" pivotButton="0" quotePrefix="0" xfId="15">
      <alignment horizontal="center" vertical="bottom" wrapText="1"/>
    </xf>
    <xf numFmtId="0" fontId="26" fillId="0" borderId="26" applyAlignment="1" pivotButton="0" quotePrefix="0" xfId="0">
      <alignment horizontal="general" vertical="bottom"/>
    </xf>
    <xf numFmtId="0" fontId="22" fillId="0" borderId="26" applyAlignment="1" pivotButton="0" quotePrefix="0" xfId="0">
      <alignment horizontal="general" vertical="bottom"/>
    </xf>
    <xf numFmtId="165" fontId="20" fillId="0" borderId="26" applyAlignment="1" pivotButton="0" quotePrefix="0" xfId="0">
      <alignment horizontal="general" vertical="bottom"/>
    </xf>
    <xf numFmtId="166" fontId="26" fillId="0" borderId="26" applyAlignment="1" pivotButton="0" quotePrefix="0" xfId="15">
      <alignment horizontal="general" vertical="bottom"/>
    </xf>
    <xf numFmtId="4" fontId="20" fillId="0" borderId="26" applyAlignment="1" pivotButton="0" quotePrefix="0" xfId="0">
      <alignment horizontal="general" vertical="bottom"/>
    </xf>
    <xf numFmtId="9" fontId="20" fillId="0" borderId="26" applyAlignment="1" pivotButton="0" quotePrefix="0" xfId="19">
      <alignment horizontal="general" vertical="bottom"/>
    </xf>
    <xf numFmtId="0" fontId="14" fillId="0" borderId="26" applyAlignment="1" pivotButton="0" quotePrefix="0" xfId="0">
      <alignment horizontal="general" vertical="top"/>
    </xf>
    <xf numFmtId="166" fontId="24" fillId="0" borderId="26" applyAlignment="1" pivotButton="0" quotePrefix="0" xfId="0">
      <alignment horizontal="general" vertical="bottom"/>
    </xf>
    <xf numFmtId="2" fontId="24" fillId="0" borderId="26" applyAlignment="1" pivotButton="0" quotePrefix="0" xfId="0">
      <alignment horizontal="general" vertical="bottom"/>
    </xf>
    <xf numFmtId="166" fontId="24" fillId="0" borderId="26" applyAlignment="1" pivotButton="0" quotePrefix="0" xfId="15">
      <alignment horizontal="general" vertical="bottom"/>
    </xf>
    <xf numFmtId="2" fontId="20" fillId="0" borderId="26" applyAlignment="1" pivotButton="0" quotePrefix="0" xfId="15">
      <alignment horizontal="general" vertical="bottom"/>
    </xf>
    <xf numFmtId="165" fontId="2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 wrapText="1"/>
    </xf>
    <xf numFmtId="169" fontId="20" fillId="0" borderId="0" applyAlignment="1" pivotButton="0" quotePrefix="0" xfId="0">
      <alignment horizontal="general" vertical="bottom"/>
    </xf>
    <xf numFmtId="166" fontId="2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6" fontId="26" fillId="0" borderId="0" applyAlignment="1" pivotButton="0" quotePrefix="0" xfId="15">
      <alignment horizontal="general" vertical="bottom"/>
    </xf>
    <xf numFmtId="165" fontId="26" fillId="0" borderId="0" applyAlignment="1" pivotButton="0" quotePrefix="0" xfId="0">
      <alignment horizontal="general" vertical="bottom"/>
    </xf>
    <xf numFmtId="169" fontId="26" fillId="0" borderId="0" applyAlignment="1" pivotButton="0" quotePrefix="0" xfId="0">
      <alignment horizontal="general" vertical="bottom"/>
    </xf>
    <xf numFmtId="0" fontId="7" fillId="0" borderId="27" applyAlignment="1" pivotButton="0" quotePrefix="0" xfId="40">
      <alignment horizontal="left" vertical="bottom"/>
    </xf>
    <xf numFmtId="165" fontId="0" fillId="0" borderId="18" applyAlignment="1" pivotButton="0" quotePrefix="0" xfId="36">
      <alignment horizontal="left" vertical="bottom"/>
    </xf>
    <xf numFmtId="166" fontId="0" fillId="0" borderId="9" applyAlignment="1" pivotButton="0" quotePrefix="0" xfId="41">
      <alignment horizontal="general" vertical="bottom"/>
    </xf>
    <xf numFmtId="0" fontId="0" fillId="0" borderId="2" applyAlignment="1" pivotButton="0" quotePrefix="0" xfId="41">
      <alignment horizontal="general" vertical="bottom"/>
    </xf>
    <xf numFmtId="166" fontId="7" fillId="0" borderId="28" applyAlignment="1" pivotButton="0" quotePrefix="0" xfId="39">
      <alignment horizontal="general" vertical="bottom"/>
    </xf>
    <xf numFmtId="165" fontId="0" fillId="0" borderId="20" applyAlignment="1" pivotButton="0" quotePrefix="0" xfId="36">
      <alignment horizontal="left" vertical="bottom"/>
    </xf>
    <xf numFmtId="166" fontId="0" fillId="0" borderId="11" applyAlignment="1" pivotButton="0" quotePrefix="0" xfId="41">
      <alignment horizontal="general" vertical="bottom"/>
    </xf>
    <xf numFmtId="0" fontId="0" fillId="0" borderId="6" applyAlignment="1" pivotButton="0" quotePrefix="0" xfId="41">
      <alignment horizontal="general" vertical="bottom"/>
    </xf>
    <xf numFmtId="166" fontId="7" fillId="0" borderId="29" applyAlignment="1" pivotButton="0" quotePrefix="0" xfId="39">
      <alignment horizontal="general" vertical="bottom"/>
    </xf>
    <xf numFmtId="0" fontId="7" fillId="0" borderId="29" applyAlignment="1" pivotButton="0" quotePrefix="0" xfId="39">
      <alignment horizontal="general" vertical="bottom"/>
    </xf>
    <xf numFmtId="166" fontId="0" fillId="0" borderId="10" applyAlignment="1" pivotButton="0" quotePrefix="0" xfId="41">
      <alignment horizontal="general" vertical="bottom"/>
    </xf>
    <xf numFmtId="0" fontId="0" fillId="0" borderId="4" applyAlignment="1" pivotButton="0" quotePrefix="0" xfId="41">
      <alignment horizontal="general" vertical="bottom"/>
    </xf>
    <xf numFmtId="166" fontId="7" fillId="0" borderId="30" applyAlignment="1" pivotButton="0" quotePrefix="0" xfId="39">
      <alignment horizontal="general" vertical="bottom"/>
    </xf>
    <xf numFmtId="165" fontId="7" fillId="0" borderId="22" applyAlignment="1" pivotButton="0" quotePrefix="0" xfId="40">
      <alignment horizontal="left" vertical="bottom"/>
    </xf>
    <xf numFmtId="166" fontId="7" fillId="0" borderId="23" applyAlignment="1" pivotButton="0" quotePrefix="0" xfId="39">
      <alignment horizontal="general" vertical="bottom"/>
    </xf>
    <xf numFmtId="0" fontId="7" fillId="0" borderId="31" applyAlignment="1" pivotButton="0" quotePrefix="0" xfId="39">
      <alignment horizontal="general" vertical="bottom"/>
    </xf>
    <xf numFmtId="166" fontId="7" fillId="0" borderId="32" applyAlignment="1" pivotButton="0" quotePrefix="0" xfId="39">
      <alignment horizontal="general" vertical="bottom"/>
    </xf>
    <xf numFmtId="3" fontId="26" fillId="0" borderId="0" applyAlignment="1" pivotButton="0" quotePrefix="0" xfId="0">
      <alignment horizontal="general" vertical="bottom"/>
    </xf>
    <xf numFmtId="0" fontId="6" fillId="0" borderId="0" applyAlignment="1" pivotButton="0" quotePrefix="0" xfId="32">
      <alignment horizontal="general" vertical="bottom"/>
    </xf>
    <xf numFmtId="165" fontId="6" fillId="0" borderId="0" applyAlignment="1" pivotButton="0" quotePrefix="0" xfId="32">
      <alignment horizontal="general" vertical="bottom"/>
    </xf>
    <xf numFmtId="0" fontId="20" fillId="0" borderId="0" applyAlignment="1" pivotButton="0" quotePrefix="0" xfId="32">
      <alignment horizontal="general" vertical="bottom" wrapText="1"/>
    </xf>
    <xf numFmtId="0" fontId="6" fillId="0" borderId="0" applyAlignment="1" pivotButton="0" quotePrefix="0" xfId="32">
      <alignment horizontal="general" vertical="bottom" wrapText="1"/>
    </xf>
    <xf numFmtId="0" fontId="20" fillId="0" borderId="26" applyAlignment="1" pivotButton="0" quotePrefix="0" xfId="32">
      <alignment horizontal="left" vertical="bottom" wrapText="1"/>
    </xf>
    <xf numFmtId="0" fontId="20" fillId="0" borderId="26" applyAlignment="1" pivotButton="0" quotePrefix="0" xfId="32">
      <alignment horizontal="general" vertical="bottom" wrapText="1"/>
    </xf>
    <xf numFmtId="0" fontId="20" fillId="0" borderId="26" applyAlignment="1" pivotButton="0" quotePrefix="0" xfId="32">
      <alignment horizontal="general" vertical="bottom"/>
    </xf>
    <xf numFmtId="0" fontId="20" fillId="4" borderId="26" applyAlignment="1" pivotButton="0" quotePrefix="0" xfId="0">
      <alignment horizontal="general" vertical="bottom"/>
    </xf>
    <xf numFmtId="0" fontId="20" fillId="0" borderId="26" applyAlignment="1" pivotButton="0" quotePrefix="0" xfId="32">
      <alignment horizontal="left" vertical="bottom"/>
    </xf>
    <xf numFmtId="0" fontId="20" fillId="5" borderId="26" applyAlignment="1" pivotButton="0" quotePrefix="0" xfId="0">
      <alignment horizontal="general" vertical="bottom"/>
    </xf>
    <xf numFmtId="0" fontId="20" fillId="4" borderId="26" applyAlignment="1" pivotButton="0" quotePrefix="0" xfId="0">
      <alignment horizontal="general" vertical="bottom" wrapText="1"/>
    </xf>
    <xf numFmtId="0" fontId="20" fillId="0" borderId="0" applyAlignment="1" pivotButton="0" quotePrefix="0" xfId="32">
      <alignment horizontal="left" vertical="bottom" wrapText="1"/>
    </xf>
    <xf numFmtId="0" fontId="20" fillId="0" borderId="0" applyAlignment="1" pivotButton="0" quotePrefix="0" xfId="32">
      <alignment horizontal="general" vertical="bottom"/>
    </xf>
    <xf numFmtId="0" fontId="20" fillId="0" borderId="0" applyAlignment="1" pivotButton="0" quotePrefix="0" xfId="32">
      <alignment horizontal="left" vertical="bottom"/>
    </xf>
    <xf numFmtId="166" fontId="25" fillId="0" borderId="26" applyAlignment="1" pivotButton="0" quotePrefix="0" xfId="23">
      <alignment horizontal="general" vertical="bottom"/>
    </xf>
    <xf numFmtId="166" fontId="25" fillId="0" borderId="26" applyAlignment="1" pivotButton="0" quotePrefix="0" xfId="23">
      <alignment horizontal="general" vertical="bottom" wrapText="1"/>
    </xf>
    <xf numFmtId="0" fontId="20" fillId="6" borderId="26" applyAlignment="1" pivotButton="0" quotePrefix="0" xfId="0">
      <alignment horizontal="general" vertical="bottom"/>
    </xf>
    <xf numFmtId="0" fontId="28" fillId="0" borderId="26" applyAlignment="1" pivotButton="0" quotePrefix="0" xfId="0">
      <alignment horizontal="general" vertical="bottom"/>
    </xf>
    <xf numFmtId="0" fontId="26" fillId="0" borderId="26" applyAlignment="1" pivotButton="0" quotePrefix="0" xfId="32">
      <alignment horizontal="general" vertical="bottom"/>
    </xf>
    <xf numFmtId="0" fontId="19" fillId="0" borderId="26" applyAlignment="1" pivotButton="0" quotePrefix="0" xfId="0">
      <alignment horizontal="center" vertical="bottom"/>
    </xf>
    <xf numFmtId="165" fontId="19" fillId="0" borderId="26" applyAlignment="1" pivotButton="0" quotePrefix="0" xfId="0">
      <alignment horizontal="center" vertical="bottom"/>
    </xf>
    <xf numFmtId="165" fontId="19" fillId="0" borderId="0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0" fontId="18" fillId="0" borderId="26" applyAlignment="1" pivotButton="0" quotePrefix="0" xfId="0">
      <alignment horizontal="center" vertical="bottom"/>
    </xf>
    <xf numFmtId="0" fontId="18" fillId="0" borderId="26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9" fillId="0" borderId="26" applyAlignment="1" pivotButton="0" quotePrefix="0" xfId="0">
      <alignment horizontal="center" vertical="bottom"/>
    </xf>
    <xf numFmtId="165" fontId="29" fillId="0" borderId="26" applyAlignment="1" pivotButton="0" quotePrefix="0" xfId="0">
      <alignment horizontal="center" vertical="bottom"/>
    </xf>
    <xf numFmtId="0" fontId="26" fillId="0" borderId="26" applyAlignment="1" pivotButton="0" quotePrefix="0" xfId="0">
      <alignment horizontal="center" vertical="bottom"/>
    </xf>
    <xf numFmtId="0" fontId="26" fillId="0" borderId="26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center"/>
    </xf>
    <xf numFmtId="0" fontId="30" fillId="7" borderId="0" applyAlignment="1" pivotButton="0" quotePrefix="0" xfId="0">
      <alignment horizontal="general" vertical="bottom"/>
    </xf>
    <xf numFmtId="170" fontId="31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 wrapText="1"/>
    </xf>
    <xf numFmtId="0" fontId="31" fillId="3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center"/>
    </xf>
    <xf numFmtId="0" fontId="6" fillId="0" borderId="0" applyAlignment="1" pivotButton="0" quotePrefix="0" xfId="29">
      <alignment horizontal="general" vertical="bottom"/>
    </xf>
    <xf numFmtId="0" fontId="0" fillId="0" borderId="0" applyAlignment="1" pivotButton="0" quotePrefix="0" xfId="38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0" fillId="0" borderId="33" applyAlignment="1" pivotButton="0" quotePrefix="0" xfId="38">
      <alignment horizontal="general" vertical="bottom"/>
    </xf>
    <xf numFmtId="0" fontId="0" fillId="0" borderId="34" applyAlignment="1" pivotButton="0" quotePrefix="0" xfId="37">
      <alignment horizontal="general" vertical="bottom"/>
    </xf>
    <xf numFmtId="0" fontId="0" fillId="0" borderId="18" applyAlignment="1" pivotButton="0" quotePrefix="0" xfId="36">
      <alignment horizontal="left" vertical="bottom" indent="1"/>
    </xf>
    <xf numFmtId="0" fontId="0" fillId="0" borderId="28" applyAlignment="1" pivotButton="0" quotePrefix="0" xfId="41">
      <alignment horizontal="general" vertical="bottom"/>
    </xf>
    <xf numFmtId="0" fontId="0" fillId="0" borderId="20" applyAlignment="1" pivotButton="0" quotePrefix="0" xfId="36">
      <alignment horizontal="left" vertical="bottom" indent="1"/>
    </xf>
    <xf numFmtId="0" fontId="0" fillId="0" borderId="29" applyAlignment="1" pivotButton="0" quotePrefix="0" xfId="41">
      <alignment horizontal="general" vertical="bottom"/>
    </xf>
    <xf numFmtId="0" fontId="20" fillId="4" borderId="26" applyAlignment="1" pivotButton="0" quotePrefix="0" xfId="0">
      <alignment horizontal="left" vertical="bottom" wrapText="1"/>
    </xf>
    <xf numFmtId="0" fontId="0" fillId="0" borderId="35" applyAlignment="1" pivotButton="0" quotePrefix="0" xfId="36">
      <alignment horizontal="left" vertical="bottom" indent="1"/>
    </xf>
    <xf numFmtId="0" fontId="0" fillId="0" borderId="30" applyAlignment="1" pivotButton="0" quotePrefix="0" xfId="41">
      <alignment horizontal="general" vertical="bottom"/>
    </xf>
    <xf numFmtId="4" fontId="6" fillId="0" borderId="0" applyAlignment="1" pivotButton="0" quotePrefix="0" xfId="29">
      <alignment horizontal="general" vertical="bottom"/>
    </xf>
    <xf numFmtId="166" fontId="6" fillId="0" borderId="0" applyAlignment="1" pivotButton="0" quotePrefix="0" xfId="29">
      <alignment horizontal="general" vertical="bottom"/>
    </xf>
    <xf numFmtId="0" fontId="33" fillId="0" borderId="26" applyAlignment="1" pivotButton="0" quotePrefix="0" xfId="0">
      <alignment horizontal="general" vertical="bottom"/>
    </xf>
    <xf numFmtId="0" fontId="7" fillId="0" borderId="32" applyAlignment="1" pivotButton="0" quotePrefix="0" xfId="39">
      <alignment horizontal="general" vertical="bottom"/>
    </xf>
    <xf numFmtId="166" fontId="22" fillId="0" borderId="26" applyAlignment="1" pivotButton="0" quotePrefix="0" xfId="15">
      <alignment horizontal="general" vertical="bottom"/>
    </xf>
    <xf numFmtId="0" fontId="22" fillId="0" borderId="26" applyAlignment="1" pivotButton="0" quotePrefix="0" xfId="0">
      <alignment horizontal="general" vertical="bottom" wrapText="1"/>
    </xf>
    <xf numFmtId="0" fontId="6" fillId="3" borderId="0" applyAlignment="1" pivotButton="0" quotePrefix="0" xfId="29">
      <alignment horizontal="general" vertical="bottom"/>
    </xf>
    <xf numFmtId="169" fontId="6" fillId="0" borderId="0" applyAlignment="1" pivotButton="0" quotePrefix="0" xfId="29">
      <alignment horizontal="general" vertical="bottom"/>
    </xf>
    <xf numFmtId="0" fontId="6" fillId="0" borderId="0" applyAlignment="1" pivotButton="0" quotePrefix="0" xfId="29">
      <alignment horizontal="general" vertical="bottom"/>
    </xf>
    <xf numFmtId="169" fontId="6" fillId="3" borderId="0" applyAlignment="1" pivotButton="0" quotePrefix="0" xfId="29">
      <alignment horizontal="general" vertical="bottom"/>
    </xf>
    <xf numFmtId="0" fontId="6" fillId="0" borderId="0" applyAlignment="1" pivotButton="0" quotePrefix="0" xfId="30">
      <alignment horizontal="general" vertical="bottom"/>
    </xf>
    <xf numFmtId="169" fontId="6" fillId="0" borderId="0" applyAlignment="1" pivotButton="0" quotePrefix="0" xfId="30">
      <alignment horizontal="general" vertical="bottom"/>
    </xf>
    <xf numFmtId="11" fontId="6" fillId="0" borderId="0" applyAlignment="1" pivotButton="0" quotePrefix="0" xfId="30">
      <alignment horizontal="general" vertical="bottom"/>
    </xf>
    <xf numFmtId="0" fontId="6" fillId="3" borderId="0" applyAlignment="1" pivotButton="0" quotePrefix="0" xfId="30">
      <alignment horizontal="general" vertical="bottom"/>
    </xf>
    <xf numFmtId="164" fontId="6" fillId="0" borderId="0" applyAlignment="1" pivotButton="0" quotePrefix="0" xfId="15">
      <alignment horizontal="general" vertical="bottom"/>
    </xf>
    <xf numFmtId="164" fontId="6" fillId="0" borderId="0" applyAlignment="1" pivotButton="0" quotePrefix="0" xfId="30">
      <alignment horizontal="general" vertical="bottom"/>
    </xf>
    <xf numFmtId="0" fontId="0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15">
      <alignment horizontal="general" vertical="bottom"/>
    </xf>
    <xf numFmtId="0" fontId="0" fillId="0" borderId="0" pivotButton="0" quotePrefix="0" xfId="0"/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15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12" fillId="2" borderId="1" applyAlignment="1" pivotButton="0" quotePrefix="0" xfId="0">
      <alignment horizontal="center" vertical="top"/>
    </xf>
    <xf numFmtId="164" fontId="12" fillId="2" borderId="2" applyAlignment="1" pivotButton="0" quotePrefix="0" xfId="15">
      <alignment horizontal="center" vertical="top"/>
    </xf>
    <xf numFmtId="0" fontId="8" fillId="0" borderId="0" applyAlignment="1" pivotButton="0" quotePrefix="0" xfId="0">
      <alignment horizontal="center" vertical="bottom"/>
    </xf>
    <xf numFmtId="0" fontId="12" fillId="2" borderId="3" applyAlignment="1" pivotButton="0" quotePrefix="0" xfId="0">
      <alignment horizontal="center" vertical="top" wrapText="1"/>
    </xf>
    <xf numFmtId="165" fontId="12" fillId="2" borderId="4" applyAlignment="1" pivotButton="0" quotePrefix="0" xfId="0">
      <alignment horizontal="center" vertical="top" wrapText="1"/>
    </xf>
    <xf numFmtId="0" fontId="13" fillId="0" borderId="5" applyAlignment="1" pivotButton="0" quotePrefix="0" xfId="0">
      <alignment horizontal="general" vertical="top"/>
    </xf>
    <xf numFmtId="164" fontId="13" fillId="0" borderId="6" applyAlignment="1" pivotButton="0" quotePrefix="0" xfId="15">
      <alignment horizontal="general" vertical="top"/>
    </xf>
    <xf numFmtId="164" fontId="14" fillId="0" borderId="6" applyAlignment="1" pivotButton="0" quotePrefix="0" xfId="15">
      <alignment horizontal="general" vertical="top"/>
    </xf>
    <xf numFmtId="0" fontId="14" fillId="0" borderId="5" applyAlignment="1" pivotButton="0" quotePrefix="0" xfId="0">
      <alignment horizontal="general" vertical="top"/>
    </xf>
    <xf numFmtId="166" fontId="13" fillId="0" borderId="6" applyAlignment="1" pivotButton="0" quotePrefix="0" xfId="15">
      <alignment horizontal="general" vertical="top"/>
    </xf>
    <xf numFmtId="0" fontId="8" fillId="0" borderId="3" applyAlignment="1" pivotButton="0" quotePrefix="0" xfId="0">
      <alignment horizontal="general" vertical="bottom"/>
    </xf>
    <xf numFmtId="164" fontId="8" fillId="0" borderId="4" applyAlignment="1" pivotButton="0" quotePrefix="0" xfId="15">
      <alignment horizontal="general" vertical="bottom"/>
    </xf>
    <xf numFmtId="164" fontId="14" fillId="0" borderId="4" applyAlignment="1" pivotButton="0" quotePrefix="0" xfId="15">
      <alignment horizontal="general" vertical="top"/>
    </xf>
    <xf numFmtId="0" fontId="12" fillId="0" borderId="0" applyAlignment="1" pivotButton="0" quotePrefix="0" xfId="0">
      <alignment horizontal="general" vertical="bottom"/>
    </xf>
    <xf numFmtId="164" fontId="12" fillId="0" borderId="0" applyAlignment="1" pivotButton="0" quotePrefix="0" xfId="15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2" fillId="2" borderId="7" applyAlignment="1" pivotButton="0" quotePrefix="0" xfId="0">
      <alignment horizontal="center" vertical="top"/>
    </xf>
    <xf numFmtId="164" fontId="12" fillId="2" borderId="1" applyAlignment="1" pivotButton="0" quotePrefix="0" xfId="15">
      <alignment horizontal="center" vertical="top"/>
    </xf>
    <xf numFmtId="0" fontId="12" fillId="2" borderId="1" applyAlignment="1" pivotButton="0" quotePrefix="0" xfId="0">
      <alignment horizontal="right" vertical="top"/>
    </xf>
    <xf numFmtId="165" fontId="12" fillId="2" borderId="8" applyAlignment="1" pivotButton="0" quotePrefix="0" xfId="0">
      <alignment horizontal="center" vertical="top" wrapText="1"/>
    </xf>
    <xf numFmtId="165" fontId="12" fillId="2" borderId="3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/>
    </xf>
    <xf numFmtId="164" fontId="13" fillId="0" borderId="5" applyAlignment="1" pivotButton="0" quotePrefix="0" xfId="15">
      <alignment horizontal="general" vertical="top"/>
    </xf>
    <xf numFmtId="167" fontId="16" fillId="0" borderId="5" applyAlignment="1" pivotButton="0" quotePrefix="0" xfId="0">
      <alignment horizontal="center" vertical="top" wrapText="1"/>
    </xf>
    <xf numFmtId="164" fontId="14" fillId="0" borderId="5" applyAlignment="1" pivotButton="0" quotePrefix="0" xfId="15">
      <alignment horizontal="general" vertical="top"/>
    </xf>
    <xf numFmtId="0" fontId="14" fillId="0" borderId="0" applyAlignment="1" pivotButton="0" quotePrefix="0" xfId="0">
      <alignment horizontal="general" vertical="top"/>
    </xf>
    <xf numFmtId="166" fontId="13" fillId="0" borderId="5" applyAlignment="1" pivotButton="0" quotePrefix="0" xfId="15">
      <alignment horizontal="general" vertical="top"/>
    </xf>
    <xf numFmtId="164" fontId="11" fillId="0" borderId="5" applyAlignment="1" pivotButton="0" quotePrefix="0" xfId="15">
      <alignment horizontal="left" vertical="top" wrapText="1"/>
    </xf>
    <xf numFmtId="0" fontId="14" fillId="0" borderId="3" applyAlignment="1" pivotButton="0" quotePrefix="0" xfId="0">
      <alignment horizontal="general" vertical="top"/>
    </xf>
    <xf numFmtId="0" fontId="14" fillId="0" borderId="8" applyAlignment="1" pivotButton="0" quotePrefix="0" xfId="0">
      <alignment horizontal="general" vertical="top"/>
    </xf>
    <xf numFmtId="0" fontId="11" fillId="0" borderId="3" applyAlignment="1" pivotButton="0" quotePrefix="0" xfId="0">
      <alignment horizontal="left" vertical="top" wrapText="1"/>
    </xf>
    <xf numFmtId="4" fontId="11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4" fontId="17" fillId="0" borderId="0" applyAlignment="1" pivotButton="0" quotePrefix="0" xfId="2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12" fillId="2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12" fillId="2" borderId="10" applyAlignment="1" pivotButton="0" quotePrefix="0" xfId="0">
      <alignment horizontal="center" vertical="top" wrapText="1"/>
    </xf>
    <xf numFmtId="0" fontId="13" fillId="0" borderId="11" applyAlignment="1" pivotButton="0" quotePrefix="0" xfId="0">
      <alignment horizontal="general" vertical="top"/>
    </xf>
    <xf numFmtId="0" fontId="8" fillId="0" borderId="1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64" fontId="18" fillId="0" borderId="0" applyAlignment="1" pivotButton="0" quotePrefix="0" xfId="15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 wrapText="1"/>
    </xf>
    <xf numFmtId="0" fontId="0" fillId="0" borderId="12" applyAlignment="1" pivotButton="0" quotePrefix="0" xfId="37">
      <alignment horizontal="general" vertical="bottom"/>
    </xf>
    <xf numFmtId="0" fontId="0" fillId="0" borderId="13" applyAlignment="1" pivotButton="0" quotePrefix="0" xfId="38">
      <alignment horizontal="general" vertical="bottom"/>
    </xf>
    <xf numFmtId="0" fontId="0" fillId="0" borderId="14" applyAlignment="1" pivotButton="0" quotePrefix="0" xfId="37">
      <alignment horizontal="general" vertical="bottom"/>
    </xf>
    <xf numFmtId="0" fontId="0" fillId="0" borderId="15" applyAlignment="1" pivotButton="0" quotePrefix="0" xfId="37">
      <alignment horizontal="general" vertical="bottom"/>
    </xf>
    <xf numFmtId="0" fontId="0" fillId="0" borderId="16" applyAlignment="1" pivotButton="0" quotePrefix="0" xfId="38">
      <alignment horizontal="general" vertical="bottom"/>
    </xf>
    <xf numFmtId="0" fontId="0" fillId="0" borderId="10" applyAlignment="1" pivotButton="0" quotePrefix="0" xfId="36">
      <alignment horizontal="left" vertical="bottom"/>
    </xf>
    <xf numFmtId="0" fontId="0" fillId="0" borderId="8" applyAlignment="1" pivotButton="0" quotePrefix="0" xfId="36">
      <alignment horizontal="left" vertical="bottom"/>
    </xf>
    <xf numFmtId="0" fontId="0" fillId="0" borderId="17" applyAlignment="1" pivotButton="0" quotePrefix="0" xfId="36">
      <alignment horizontal="left" vertical="bottom"/>
    </xf>
    <xf numFmtId="0" fontId="0" fillId="0" borderId="18" applyAlignment="1" pivotButton="0" quotePrefix="0" xfId="36">
      <alignment horizontal="left" vertical="bottom"/>
    </xf>
    <xf numFmtId="164" fontId="0" fillId="0" borderId="9" applyAlignment="1" pivotButton="0" quotePrefix="0" xfId="41">
      <alignment horizontal="general" vertical="bottom"/>
    </xf>
    <xf numFmtId="164" fontId="0" fillId="0" borderId="7" applyAlignment="1" pivotButton="0" quotePrefix="0" xfId="41">
      <alignment horizontal="general" vertical="bottom"/>
    </xf>
    <xf numFmtId="166" fontId="0" fillId="0" borderId="7" applyAlignment="1" pivotButton="0" quotePrefix="0" xfId="41">
      <alignment horizontal="general" vertical="bottom"/>
    </xf>
    <xf numFmtId="0" fontId="0" fillId="0" borderId="19" applyAlignment="1" pivotButton="0" quotePrefix="0" xfId="41">
      <alignment horizontal="general" vertical="bottom"/>
    </xf>
    <xf numFmtId="0" fontId="0" fillId="0" borderId="20" applyAlignment="1" pivotButton="0" quotePrefix="0" xfId="36">
      <alignment horizontal="left" vertical="bottom"/>
    </xf>
    <xf numFmtId="164" fontId="0" fillId="0" borderId="11" applyAlignment="1" pivotButton="0" quotePrefix="0" xfId="41">
      <alignment horizontal="general" vertical="bottom"/>
    </xf>
    <xf numFmtId="164" fontId="0" fillId="0" borderId="0" applyAlignment="1" pivotButton="0" quotePrefix="0" xfId="41">
      <alignment horizontal="general" vertical="bottom"/>
    </xf>
    <xf numFmtId="166" fontId="0" fillId="0" borderId="0" applyAlignment="1" pivotButton="0" quotePrefix="0" xfId="41">
      <alignment horizontal="general" vertical="bottom"/>
    </xf>
    <xf numFmtId="0" fontId="0" fillId="0" borderId="0" applyAlignment="1" pivotButton="0" quotePrefix="0" xfId="41">
      <alignment horizontal="general" vertical="bottom"/>
    </xf>
    <xf numFmtId="0" fontId="0" fillId="0" borderId="21" applyAlignment="1" pivotButton="0" quotePrefix="0" xfId="41">
      <alignment horizontal="general" vertical="bottom"/>
    </xf>
    <xf numFmtId="0" fontId="0" fillId="0" borderId="11" applyAlignment="1" pivotButton="0" quotePrefix="0" xfId="41">
      <alignment horizontal="general" vertical="bottom"/>
    </xf>
    <xf numFmtId="164" fontId="0" fillId="0" borderId="10" applyAlignment="1" pivotButton="0" quotePrefix="0" xfId="41">
      <alignment horizontal="general" vertical="bottom"/>
    </xf>
    <xf numFmtId="164" fontId="0" fillId="0" borderId="8" applyAlignment="1" pivotButton="0" quotePrefix="0" xfId="41">
      <alignment horizontal="general" vertical="bottom"/>
    </xf>
    <xf numFmtId="166" fontId="0" fillId="0" borderId="8" applyAlignment="1" pivotButton="0" quotePrefix="0" xfId="41">
      <alignment horizontal="general" vertical="bottom"/>
    </xf>
    <xf numFmtId="0" fontId="0" fillId="0" borderId="8" applyAlignment="1" pivotButton="0" quotePrefix="0" xfId="41">
      <alignment horizontal="general" vertical="bottom"/>
    </xf>
    <xf numFmtId="0" fontId="0" fillId="0" borderId="17" applyAlignment="1" pivotButton="0" quotePrefix="0" xfId="41">
      <alignment horizontal="general" vertical="bottom"/>
    </xf>
    <xf numFmtId="0" fontId="7" fillId="0" borderId="22" applyAlignment="1" pivotButton="0" quotePrefix="0" xfId="40">
      <alignment horizontal="left" vertical="bottom"/>
    </xf>
    <xf numFmtId="164" fontId="7" fillId="0" borderId="23" applyAlignment="1" pivotButton="0" quotePrefix="0" xfId="39">
      <alignment horizontal="general" vertical="bottom"/>
    </xf>
    <xf numFmtId="164" fontId="7" fillId="0" borderId="24" applyAlignment="1" pivotButton="0" quotePrefix="0" xfId="39">
      <alignment horizontal="general" vertical="bottom"/>
    </xf>
    <xf numFmtId="166" fontId="7" fillId="0" borderId="24" applyAlignment="1" pivotButton="0" quotePrefix="0" xfId="39">
      <alignment horizontal="general" vertical="bottom"/>
    </xf>
    <xf numFmtId="0" fontId="7" fillId="0" borderId="25" applyAlignment="1" pivotButton="0" quotePrefix="0" xfId="39">
      <alignment horizontal="general" vertical="bottom"/>
    </xf>
    <xf numFmtId="0" fontId="18" fillId="0" borderId="0" applyAlignment="1" pivotButton="0" quotePrefix="0" xfId="0">
      <alignment horizontal="left" vertical="bottom"/>
    </xf>
    <xf numFmtId="166" fontId="18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general" vertical="bottom"/>
    </xf>
    <xf numFmtId="166" fontId="18" fillId="0" borderId="0" applyAlignment="1" pivotButton="0" quotePrefix="0" xfId="15">
      <alignment horizontal="general" vertical="bottom"/>
    </xf>
    <xf numFmtId="0" fontId="20" fillId="0" borderId="0" applyAlignment="1" pivotButton="0" quotePrefix="0" xfId="0">
      <alignment horizontal="general" vertical="bottom"/>
    </xf>
    <xf numFmtId="166" fontId="20" fillId="0" borderId="0" applyAlignment="1" pivotButton="0" quotePrefix="0" xfId="15">
      <alignment horizontal="general" vertical="bottom"/>
    </xf>
    <xf numFmtId="164" fontId="20" fillId="0" borderId="0" applyAlignment="1" pivotButton="0" quotePrefix="0" xfId="15">
      <alignment horizontal="general" vertical="bottom"/>
    </xf>
    <xf numFmtId="164" fontId="20" fillId="0" borderId="0" applyAlignment="1" pivotButton="0" quotePrefix="0" xfId="0">
      <alignment horizontal="general" vertical="bottom"/>
    </xf>
    <xf numFmtId="2" fontId="20" fillId="0" borderId="0" applyAlignment="1" pivotButton="0" quotePrefix="0" xfId="15">
      <alignment horizontal="general" vertical="bottom"/>
    </xf>
    <xf numFmtId="0" fontId="20" fillId="3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center" vertical="bottom" wrapText="1"/>
    </xf>
    <xf numFmtId="0" fontId="23" fillId="0" borderId="0" applyAlignment="1" pivotButton="0" quotePrefix="0" xfId="0">
      <alignment horizontal="general" vertical="bottom"/>
    </xf>
    <xf numFmtId="168" fontId="22" fillId="0" borderId="1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166" fontId="22" fillId="0" borderId="0" applyAlignment="1" pivotButton="0" quotePrefix="0" xfId="15">
      <alignment horizontal="general" vertical="bottom"/>
    </xf>
    <xf numFmtId="164" fontId="22" fillId="0" borderId="0" applyAlignment="1" pivotButton="0" quotePrefix="0" xfId="15">
      <alignment horizontal="general" vertical="bottom"/>
    </xf>
    <xf numFmtId="166" fontId="22" fillId="0" borderId="0" applyAlignment="1" pivotButton="0" quotePrefix="0" xfId="0">
      <alignment horizontal="general" vertical="bottom"/>
    </xf>
    <xf numFmtId="169" fontId="22" fillId="0" borderId="0" applyAlignment="1" pivotButton="0" quotePrefix="0" xfId="15">
      <alignment horizontal="general" vertical="bottom"/>
    </xf>
    <xf numFmtId="0" fontId="22" fillId="3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left" vertical="bottom"/>
    </xf>
    <xf numFmtId="168" fontId="22" fillId="0" borderId="0" applyAlignment="1" pivotButton="0" quotePrefix="0" xfId="0">
      <alignment horizontal="general" vertical="bottom"/>
    </xf>
    <xf numFmtId="169" fontId="22" fillId="3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4" fillId="0" borderId="26" applyAlignment="1" pivotButton="0" quotePrefix="0" xfId="0">
      <alignment horizontal="center" vertical="bottom" wrapText="1"/>
    </xf>
    <xf numFmtId="0" fontId="24" fillId="0" borderId="26" applyAlignment="1" pivotButton="0" quotePrefix="0" xfId="0">
      <alignment horizontal="center" vertical="bottom"/>
    </xf>
    <xf numFmtId="166" fontId="24" fillId="0" borderId="26" applyAlignment="1" pivotButton="0" quotePrefix="0" xfId="15">
      <alignment horizontal="left" vertical="bottom" wrapText="1"/>
    </xf>
    <xf numFmtId="0" fontId="24" fillId="0" borderId="26" applyAlignment="1" pivotButton="0" quotePrefix="0" xfId="0">
      <alignment horizontal="left" vertical="bottom" wrapText="1"/>
    </xf>
    <xf numFmtId="164" fontId="24" fillId="0" borderId="26" applyAlignment="1" pivotButton="0" quotePrefix="0" xfId="15">
      <alignment horizontal="left" vertical="bottom" wrapText="1"/>
    </xf>
    <xf numFmtId="0" fontId="24" fillId="0" borderId="26" applyAlignment="1" pivotButton="0" quotePrefix="0" xfId="0">
      <alignment horizontal="general" vertical="bottom" wrapText="1"/>
    </xf>
    <xf numFmtId="0" fontId="24" fillId="0" borderId="26" applyAlignment="1" pivotButton="0" quotePrefix="0" xfId="0">
      <alignment horizontal="general" vertical="bottom"/>
    </xf>
    <xf numFmtId="164" fontId="24" fillId="0" borderId="26" applyAlignment="1" pivotButton="0" quotePrefix="0" xfId="15">
      <alignment horizontal="general" vertical="bottom" wrapText="1"/>
    </xf>
    <xf numFmtId="164" fontId="24" fillId="0" borderId="26" applyAlignment="1" pivotButton="0" quotePrefix="0" xfId="15">
      <alignment horizontal="general" vertical="bottom"/>
    </xf>
    <xf numFmtId="2" fontId="24" fillId="0" borderId="26" applyAlignment="1" pivotButton="0" quotePrefix="0" xfId="15">
      <alignment horizontal="general" vertical="bottom" wrapText="1"/>
    </xf>
    <xf numFmtId="0" fontId="24" fillId="3" borderId="26" applyAlignment="1" pivotButton="0" quotePrefix="0" xfId="0">
      <alignment horizontal="general" vertical="bottom" wrapText="1"/>
    </xf>
    <xf numFmtId="2" fontId="24" fillId="3" borderId="26" applyAlignment="1" pivotButton="0" quotePrefix="0" xfId="15">
      <alignment horizontal="general" vertical="bottom" wrapText="1"/>
    </xf>
    <xf numFmtId="164" fontId="24" fillId="3" borderId="26" applyAlignment="1" pivotButton="0" quotePrefix="0" xfId="15">
      <alignment horizontal="general" vertical="bottom" wrapText="1"/>
    </xf>
    <xf numFmtId="0" fontId="20" fillId="0" borderId="26" applyAlignment="1" pivotButton="0" quotePrefix="0" xfId="0">
      <alignment horizontal="center" vertical="bottom"/>
    </xf>
    <xf numFmtId="165" fontId="20" fillId="0" borderId="26" applyAlignment="1" pivotButton="0" quotePrefix="0" xfId="0">
      <alignment horizontal="center" vertical="bottom"/>
    </xf>
    <xf numFmtId="0" fontId="20" fillId="0" borderId="26" applyAlignment="1" pivotButton="0" quotePrefix="0" xfId="0">
      <alignment horizontal="general" vertical="bottom"/>
    </xf>
    <xf numFmtId="168" fontId="20" fillId="0" borderId="26" applyAlignment="1" pivotButton="0" quotePrefix="0" xfId="0">
      <alignment horizontal="general" vertical="bottom"/>
    </xf>
    <xf numFmtId="0" fontId="20" fillId="0" borderId="26" applyAlignment="1" pivotButton="0" quotePrefix="0" xfId="0">
      <alignment horizontal="left" vertical="bottom" wrapText="1"/>
    </xf>
    <xf numFmtId="166" fontId="20" fillId="0" borderId="26" applyAlignment="1" pivotButton="0" quotePrefix="0" xfId="15">
      <alignment horizontal="general" vertical="bottom"/>
    </xf>
    <xf numFmtId="164" fontId="20" fillId="0" borderId="26" applyAlignment="1" pivotButton="0" quotePrefix="0" xfId="15">
      <alignment horizontal="general" vertical="bottom"/>
    </xf>
    <xf numFmtId="164" fontId="20" fillId="0" borderId="26" applyAlignment="1" pivotButton="0" quotePrefix="0" xfId="0">
      <alignment horizontal="general" vertical="bottom"/>
    </xf>
    <xf numFmtId="166" fontId="20" fillId="0" borderId="26" applyAlignment="1" pivotButton="0" quotePrefix="0" xfId="0">
      <alignment horizontal="general" vertical="bottom"/>
    </xf>
    <xf numFmtId="2" fontId="20" fillId="0" borderId="26" applyAlignment="1" pivotButton="0" quotePrefix="0" xfId="0">
      <alignment horizontal="general" vertical="bottom"/>
    </xf>
    <xf numFmtId="0" fontId="20" fillId="3" borderId="26" applyAlignment="1" pivotButton="0" quotePrefix="0" xfId="0">
      <alignment horizontal="general" vertical="bottom"/>
    </xf>
    <xf numFmtId="0" fontId="20" fillId="0" borderId="26" applyAlignment="1" pivotButton="0" quotePrefix="0" xfId="0">
      <alignment horizontal="left" vertical="bottom"/>
    </xf>
    <xf numFmtId="1" fontId="20" fillId="3" borderId="26" applyAlignment="1" pivotButton="0" quotePrefix="0" xfId="0">
      <alignment horizontal="general" vertical="bottom"/>
    </xf>
    <xf numFmtId="166" fontId="20" fillId="3" borderId="26" applyAlignment="1" pivotButton="0" quotePrefix="0" xfId="0">
      <alignment horizontal="general" vertical="bottom"/>
    </xf>
    <xf numFmtId="169" fontId="20" fillId="0" borderId="26" applyAlignment="1" pivotButton="0" quotePrefix="0" xfId="0">
      <alignment horizontal="general" vertical="bottom"/>
    </xf>
    <xf numFmtId="0" fontId="20" fillId="0" borderId="26" applyAlignment="1" pivotButton="0" quotePrefix="0" xfId="0">
      <alignment horizontal="left" vertical="center" wrapText="1"/>
    </xf>
    <xf numFmtId="0" fontId="18" fillId="0" borderId="26" applyAlignment="1" pivotButton="0" quotePrefix="0" xfId="0">
      <alignment horizontal="left" vertical="bottom"/>
    </xf>
    <xf numFmtId="0" fontId="20" fillId="0" borderId="26" applyAlignment="1" pivotButton="0" quotePrefix="0" xfId="0">
      <alignment horizontal="general" vertical="bottom" wrapText="1"/>
    </xf>
    <xf numFmtId="166" fontId="20" fillId="0" borderId="26" applyAlignment="1" pivotButton="0" quotePrefix="0" xfId="15">
      <alignment horizontal="right" vertical="bottom"/>
    </xf>
    <xf numFmtId="166" fontId="25" fillId="0" borderId="26" applyAlignment="1" pivotButton="0" quotePrefix="0" xfId="15">
      <alignment horizontal="general" vertical="bottom"/>
    </xf>
    <xf numFmtId="166" fontId="20" fillId="0" borderId="26" applyAlignment="1" pivotButton="0" quotePrefix="0" xfId="15">
      <alignment horizontal="left" vertical="bottom" wrapText="1"/>
    </xf>
    <xf numFmtId="166" fontId="20" fillId="0" borderId="26" applyAlignment="1" pivotButton="0" quotePrefix="0" xfId="15">
      <alignment horizontal="center" vertical="bottom" wrapText="1"/>
    </xf>
    <xf numFmtId="0" fontId="26" fillId="0" borderId="26" applyAlignment="1" pivotButton="0" quotePrefix="0" xfId="0">
      <alignment horizontal="general" vertical="bottom"/>
    </xf>
    <xf numFmtId="0" fontId="22" fillId="0" borderId="26" applyAlignment="1" pivotButton="0" quotePrefix="0" xfId="0">
      <alignment horizontal="general" vertical="bottom"/>
    </xf>
    <xf numFmtId="165" fontId="20" fillId="0" borderId="26" applyAlignment="1" pivotButton="0" quotePrefix="0" xfId="0">
      <alignment horizontal="general" vertical="bottom"/>
    </xf>
    <xf numFmtId="166" fontId="26" fillId="0" borderId="26" applyAlignment="1" pivotButton="0" quotePrefix="0" xfId="15">
      <alignment horizontal="general" vertical="bottom"/>
    </xf>
    <xf numFmtId="4" fontId="20" fillId="0" borderId="26" applyAlignment="1" pivotButton="0" quotePrefix="0" xfId="0">
      <alignment horizontal="general" vertical="bottom"/>
    </xf>
    <xf numFmtId="9" fontId="20" fillId="0" borderId="26" applyAlignment="1" pivotButton="0" quotePrefix="0" xfId="19">
      <alignment horizontal="general" vertical="bottom"/>
    </xf>
    <xf numFmtId="0" fontId="14" fillId="0" borderId="26" applyAlignment="1" pivotButton="0" quotePrefix="0" xfId="0">
      <alignment horizontal="general" vertical="top"/>
    </xf>
    <xf numFmtId="166" fontId="24" fillId="0" borderId="26" applyAlignment="1" pivotButton="0" quotePrefix="0" xfId="0">
      <alignment horizontal="general" vertical="bottom"/>
    </xf>
    <xf numFmtId="2" fontId="24" fillId="0" borderId="26" applyAlignment="1" pivotButton="0" quotePrefix="0" xfId="0">
      <alignment horizontal="general" vertical="bottom"/>
    </xf>
    <xf numFmtId="166" fontId="24" fillId="0" borderId="26" applyAlignment="1" pivotButton="0" quotePrefix="0" xfId="15">
      <alignment horizontal="general" vertical="bottom"/>
    </xf>
    <xf numFmtId="2" fontId="20" fillId="0" borderId="26" applyAlignment="1" pivotButton="0" quotePrefix="0" xfId="15">
      <alignment horizontal="general" vertical="bottom"/>
    </xf>
    <xf numFmtId="165" fontId="2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 wrapText="1"/>
    </xf>
    <xf numFmtId="169" fontId="20" fillId="0" borderId="0" applyAlignment="1" pivotButton="0" quotePrefix="0" xfId="0">
      <alignment horizontal="general" vertical="bottom"/>
    </xf>
    <xf numFmtId="166" fontId="2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6" fontId="26" fillId="0" borderId="0" applyAlignment="1" pivotButton="0" quotePrefix="0" xfId="15">
      <alignment horizontal="general" vertical="bottom"/>
    </xf>
    <xf numFmtId="165" fontId="26" fillId="0" borderId="0" applyAlignment="1" pivotButton="0" quotePrefix="0" xfId="0">
      <alignment horizontal="general" vertical="bottom"/>
    </xf>
    <xf numFmtId="169" fontId="26" fillId="0" borderId="0" applyAlignment="1" pivotButton="0" quotePrefix="0" xfId="0">
      <alignment horizontal="general" vertical="bottom"/>
    </xf>
    <xf numFmtId="0" fontId="7" fillId="0" borderId="27" applyAlignment="1" pivotButton="0" quotePrefix="0" xfId="40">
      <alignment horizontal="left" vertical="bottom"/>
    </xf>
    <xf numFmtId="165" fontId="0" fillId="0" borderId="18" applyAlignment="1" pivotButton="0" quotePrefix="0" xfId="36">
      <alignment horizontal="left" vertical="bottom"/>
    </xf>
    <xf numFmtId="166" fontId="0" fillId="0" borderId="9" applyAlignment="1" pivotButton="0" quotePrefix="0" xfId="41">
      <alignment horizontal="general" vertical="bottom"/>
    </xf>
    <xf numFmtId="0" fontId="0" fillId="0" borderId="2" applyAlignment="1" pivotButton="0" quotePrefix="0" xfId="41">
      <alignment horizontal="general" vertical="bottom"/>
    </xf>
    <xf numFmtId="166" fontId="7" fillId="0" borderId="28" applyAlignment="1" pivotButton="0" quotePrefix="0" xfId="39">
      <alignment horizontal="general" vertical="bottom"/>
    </xf>
    <xf numFmtId="165" fontId="0" fillId="0" borderId="20" applyAlignment="1" pivotButton="0" quotePrefix="0" xfId="36">
      <alignment horizontal="left" vertical="bottom"/>
    </xf>
    <xf numFmtId="166" fontId="0" fillId="0" borderId="11" applyAlignment="1" pivotButton="0" quotePrefix="0" xfId="41">
      <alignment horizontal="general" vertical="bottom"/>
    </xf>
    <xf numFmtId="0" fontId="0" fillId="0" borderId="6" applyAlignment="1" pivotButton="0" quotePrefix="0" xfId="41">
      <alignment horizontal="general" vertical="bottom"/>
    </xf>
    <xf numFmtId="166" fontId="7" fillId="0" borderId="29" applyAlignment="1" pivotButton="0" quotePrefix="0" xfId="39">
      <alignment horizontal="general" vertical="bottom"/>
    </xf>
    <xf numFmtId="0" fontId="7" fillId="0" borderId="29" applyAlignment="1" pivotButton="0" quotePrefix="0" xfId="39">
      <alignment horizontal="general" vertical="bottom"/>
    </xf>
    <xf numFmtId="166" fontId="0" fillId="0" borderId="10" applyAlignment="1" pivotButton="0" quotePrefix="0" xfId="41">
      <alignment horizontal="general" vertical="bottom"/>
    </xf>
    <xf numFmtId="0" fontId="0" fillId="0" borderId="4" applyAlignment="1" pivotButton="0" quotePrefix="0" xfId="41">
      <alignment horizontal="general" vertical="bottom"/>
    </xf>
    <xf numFmtId="166" fontId="7" fillId="0" borderId="30" applyAlignment="1" pivotButton="0" quotePrefix="0" xfId="39">
      <alignment horizontal="general" vertical="bottom"/>
    </xf>
    <xf numFmtId="165" fontId="7" fillId="0" borderId="22" applyAlignment="1" pivotButton="0" quotePrefix="0" xfId="40">
      <alignment horizontal="left" vertical="bottom"/>
    </xf>
    <xf numFmtId="166" fontId="7" fillId="0" borderId="23" applyAlignment="1" pivotButton="0" quotePrefix="0" xfId="39">
      <alignment horizontal="general" vertical="bottom"/>
    </xf>
    <xf numFmtId="0" fontId="7" fillId="0" borderId="31" applyAlignment="1" pivotButton="0" quotePrefix="0" xfId="39">
      <alignment horizontal="general" vertical="bottom"/>
    </xf>
    <xf numFmtId="166" fontId="7" fillId="0" borderId="32" applyAlignment="1" pivotButton="0" quotePrefix="0" xfId="39">
      <alignment horizontal="general" vertical="bottom"/>
    </xf>
    <xf numFmtId="3" fontId="26" fillId="0" borderId="0" applyAlignment="1" pivotButton="0" quotePrefix="0" xfId="0">
      <alignment horizontal="general" vertical="bottom"/>
    </xf>
    <xf numFmtId="0" fontId="6" fillId="0" borderId="0" applyAlignment="1" pivotButton="0" quotePrefix="0" xfId="32">
      <alignment horizontal="general" vertical="bottom"/>
    </xf>
    <xf numFmtId="165" fontId="6" fillId="0" borderId="0" applyAlignment="1" pivotButton="0" quotePrefix="0" xfId="32">
      <alignment horizontal="general" vertical="bottom"/>
    </xf>
    <xf numFmtId="0" fontId="20" fillId="0" borderId="0" applyAlignment="1" pivotButton="0" quotePrefix="0" xfId="32">
      <alignment horizontal="general" vertical="bottom" wrapText="1"/>
    </xf>
    <xf numFmtId="0" fontId="6" fillId="0" borderId="0" applyAlignment="1" pivotButton="0" quotePrefix="0" xfId="32">
      <alignment horizontal="general" vertical="bottom" wrapText="1"/>
    </xf>
    <xf numFmtId="0" fontId="20" fillId="0" borderId="26" applyAlignment="1" pivotButton="0" quotePrefix="0" xfId="32">
      <alignment horizontal="left" vertical="bottom" wrapText="1"/>
    </xf>
    <xf numFmtId="0" fontId="20" fillId="0" borderId="26" applyAlignment="1" pivotButton="0" quotePrefix="0" xfId="32">
      <alignment horizontal="general" vertical="bottom" wrapText="1"/>
    </xf>
    <xf numFmtId="0" fontId="20" fillId="0" borderId="26" applyAlignment="1" pivotButton="0" quotePrefix="0" xfId="32">
      <alignment horizontal="general" vertical="bottom"/>
    </xf>
    <xf numFmtId="0" fontId="20" fillId="4" borderId="26" applyAlignment="1" pivotButton="0" quotePrefix="0" xfId="0">
      <alignment horizontal="general" vertical="bottom"/>
    </xf>
    <xf numFmtId="0" fontId="20" fillId="0" borderId="26" applyAlignment="1" pivotButton="0" quotePrefix="0" xfId="32">
      <alignment horizontal="left" vertical="bottom"/>
    </xf>
    <xf numFmtId="0" fontId="20" fillId="5" borderId="26" applyAlignment="1" pivotButton="0" quotePrefix="0" xfId="0">
      <alignment horizontal="general" vertical="bottom"/>
    </xf>
    <xf numFmtId="0" fontId="20" fillId="4" borderId="26" applyAlignment="1" pivotButton="0" quotePrefix="0" xfId="0">
      <alignment horizontal="general" vertical="bottom" wrapText="1"/>
    </xf>
    <xf numFmtId="0" fontId="20" fillId="0" borderId="0" applyAlignment="1" pivotButton="0" quotePrefix="0" xfId="32">
      <alignment horizontal="left" vertical="bottom" wrapText="1"/>
    </xf>
    <xf numFmtId="0" fontId="20" fillId="0" borderId="0" applyAlignment="1" pivotButton="0" quotePrefix="0" xfId="32">
      <alignment horizontal="general" vertical="bottom"/>
    </xf>
    <xf numFmtId="0" fontId="20" fillId="0" borderId="0" applyAlignment="1" pivotButton="0" quotePrefix="0" xfId="32">
      <alignment horizontal="left" vertical="bottom"/>
    </xf>
    <xf numFmtId="166" fontId="25" fillId="0" borderId="26" applyAlignment="1" pivotButton="0" quotePrefix="0" xfId="23">
      <alignment horizontal="general" vertical="bottom"/>
    </xf>
    <xf numFmtId="166" fontId="25" fillId="0" borderId="26" applyAlignment="1" pivotButton="0" quotePrefix="0" xfId="23">
      <alignment horizontal="general" vertical="bottom" wrapText="1"/>
    </xf>
    <xf numFmtId="0" fontId="20" fillId="6" borderId="26" applyAlignment="1" pivotButton="0" quotePrefix="0" xfId="0">
      <alignment horizontal="general" vertical="bottom"/>
    </xf>
    <xf numFmtId="0" fontId="28" fillId="0" borderId="26" applyAlignment="1" pivotButton="0" quotePrefix="0" xfId="0">
      <alignment horizontal="general" vertical="bottom"/>
    </xf>
    <xf numFmtId="0" fontId="26" fillId="0" borderId="26" applyAlignment="1" pivotButton="0" quotePrefix="0" xfId="32">
      <alignment horizontal="general" vertical="bottom"/>
    </xf>
    <xf numFmtId="0" fontId="19" fillId="0" borderId="26" applyAlignment="1" pivotButton="0" quotePrefix="0" xfId="0">
      <alignment horizontal="center" vertical="bottom"/>
    </xf>
    <xf numFmtId="165" fontId="19" fillId="0" borderId="26" applyAlignment="1" pivotButton="0" quotePrefix="0" xfId="0">
      <alignment horizontal="center" vertical="bottom"/>
    </xf>
    <xf numFmtId="165" fontId="19" fillId="0" borderId="0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0" fontId="18" fillId="0" borderId="26" applyAlignment="1" pivotButton="0" quotePrefix="0" xfId="0">
      <alignment horizontal="center" vertical="bottom"/>
    </xf>
    <xf numFmtId="0" fontId="18" fillId="0" borderId="26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9" fillId="0" borderId="26" applyAlignment="1" pivotButton="0" quotePrefix="0" xfId="0">
      <alignment horizontal="center" vertical="bottom"/>
    </xf>
    <xf numFmtId="165" fontId="29" fillId="0" borderId="26" applyAlignment="1" pivotButton="0" quotePrefix="0" xfId="0">
      <alignment horizontal="center" vertical="bottom"/>
    </xf>
    <xf numFmtId="0" fontId="26" fillId="0" borderId="26" applyAlignment="1" pivotButton="0" quotePrefix="0" xfId="0">
      <alignment horizontal="center" vertical="bottom"/>
    </xf>
    <xf numFmtId="0" fontId="26" fillId="0" borderId="26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center"/>
    </xf>
    <xf numFmtId="0" fontId="30" fillId="7" borderId="0" applyAlignment="1" pivotButton="0" quotePrefix="0" xfId="0">
      <alignment horizontal="general" vertical="bottom"/>
    </xf>
    <xf numFmtId="170" fontId="31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 wrapText="1"/>
    </xf>
    <xf numFmtId="0" fontId="31" fillId="3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center"/>
    </xf>
    <xf numFmtId="0" fontId="6" fillId="0" borderId="0" applyAlignment="1" pivotButton="0" quotePrefix="0" xfId="29">
      <alignment horizontal="general" vertical="bottom"/>
    </xf>
    <xf numFmtId="0" fontId="0" fillId="0" borderId="0" applyAlignment="1" pivotButton="0" quotePrefix="0" xfId="38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0" fillId="0" borderId="33" applyAlignment="1" pivotButton="0" quotePrefix="0" xfId="38">
      <alignment horizontal="general" vertical="bottom"/>
    </xf>
    <xf numFmtId="0" fontId="0" fillId="0" borderId="34" applyAlignment="1" pivotButton="0" quotePrefix="0" xfId="37">
      <alignment horizontal="general" vertical="bottom"/>
    </xf>
    <xf numFmtId="0" fontId="0" fillId="0" borderId="18" applyAlignment="1" pivotButton="0" quotePrefix="0" xfId="36">
      <alignment horizontal="left" vertical="bottom" indent="1"/>
    </xf>
    <xf numFmtId="0" fontId="0" fillId="0" borderId="28" applyAlignment="1" pivotButton="0" quotePrefix="0" xfId="41">
      <alignment horizontal="general" vertical="bottom"/>
    </xf>
    <xf numFmtId="0" fontId="0" fillId="0" borderId="20" applyAlignment="1" pivotButton="0" quotePrefix="0" xfId="36">
      <alignment horizontal="left" vertical="bottom" indent="1"/>
    </xf>
    <xf numFmtId="0" fontId="0" fillId="0" borderId="29" applyAlignment="1" pivotButton="0" quotePrefix="0" xfId="41">
      <alignment horizontal="general" vertical="bottom"/>
    </xf>
    <xf numFmtId="0" fontId="20" fillId="4" borderId="26" applyAlignment="1" pivotButton="0" quotePrefix="0" xfId="0">
      <alignment horizontal="left" vertical="bottom" wrapText="1"/>
    </xf>
    <xf numFmtId="0" fontId="0" fillId="0" borderId="35" applyAlignment="1" pivotButton="0" quotePrefix="0" xfId="36">
      <alignment horizontal="left" vertical="bottom" indent="1"/>
    </xf>
    <xf numFmtId="0" fontId="0" fillId="0" borderId="30" applyAlignment="1" pivotButton="0" quotePrefix="0" xfId="41">
      <alignment horizontal="general" vertical="bottom"/>
    </xf>
    <xf numFmtId="4" fontId="6" fillId="0" borderId="0" applyAlignment="1" pivotButton="0" quotePrefix="0" xfId="29">
      <alignment horizontal="general" vertical="bottom"/>
    </xf>
    <xf numFmtId="166" fontId="6" fillId="0" borderId="0" applyAlignment="1" pivotButton="0" quotePrefix="0" xfId="29">
      <alignment horizontal="general" vertical="bottom"/>
    </xf>
    <xf numFmtId="0" fontId="33" fillId="0" borderId="26" applyAlignment="1" pivotButton="0" quotePrefix="0" xfId="0">
      <alignment horizontal="general" vertical="bottom"/>
    </xf>
    <xf numFmtId="0" fontId="7" fillId="0" borderId="32" applyAlignment="1" pivotButton="0" quotePrefix="0" xfId="39">
      <alignment horizontal="general" vertical="bottom"/>
    </xf>
    <xf numFmtId="166" fontId="22" fillId="0" borderId="26" applyAlignment="1" pivotButton="0" quotePrefix="0" xfId="15">
      <alignment horizontal="general" vertical="bottom"/>
    </xf>
    <xf numFmtId="0" fontId="22" fillId="0" borderId="26" applyAlignment="1" pivotButton="0" quotePrefix="0" xfId="0">
      <alignment horizontal="general" vertical="bottom" wrapText="1"/>
    </xf>
    <xf numFmtId="0" fontId="6" fillId="3" borderId="0" applyAlignment="1" pivotButton="0" quotePrefix="0" xfId="29">
      <alignment horizontal="general" vertical="bottom"/>
    </xf>
    <xf numFmtId="169" fontId="6" fillId="0" borderId="0" applyAlignment="1" pivotButton="0" quotePrefix="0" xfId="29">
      <alignment horizontal="general" vertical="bottom"/>
    </xf>
    <xf numFmtId="169" fontId="6" fillId="3" borderId="0" applyAlignment="1" pivotButton="0" quotePrefix="0" xfId="29">
      <alignment horizontal="general" vertical="bottom"/>
    </xf>
    <xf numFmtId="0" fontId="6" fillId="0" borderId="0" applyAlignment="1" pivotButton="0" quotePrefix="0" xfId="30">
      <alignment horizontal="general" vertical="bottom"/>
    </xf>
    <xf numFmtId="169" fontId="6" fillId="0" borderId="0" applyAlignment="1" pivotButton="0" quotePrefix="0" xfId="30">
      <alignment horizontal="general" vertical="bottom"/>
    </xf>
    <xf numFmtId="11" fontId="6" fillId="0" borderId="0" applyAlignment="1" pivotButton="0" quotePrefix="0" xfId="30">
      <alignment horizontal="general" vertical="bottom"/>
    </xf>
    <xf numFmtId="0" fontId="6" fillId="3" borderId="0" applyAlignment="1" pivotButton="0" quotePrefix="0" xfId="30">
      <alignment horizontal="general" vertical="bottom"/>
    </xf>
    <xf numFmtId="164" fontId="6" fillId="0" borderId="0" applyAlignment="1" pivotButton="0" quotePrefix="0" xfId="15">
      <alignment horizontal="general" vertical="bottom"/>
    </xf>
    <xf numFmtId="164" fontId="6" fillId="0" borderId="0" applyAlignment="1" pivotButton="0" quotePrefix="0" xfId="3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34" fillId="0" borderId="36" applyAlignment="1" pivotButton="0" quotePrefix="0" xfId="0">
      <alignment horizontal="center" vertical="top"/>
    </xf>
    <xf numFmtId="174" fontId="34" fillId="0" borderId="36" applyAlignment="1" pivotButton="0" quotePrefix="0" xfId="0">
      <alignment horizontal="center" vertical="top"/>
    </xf>
    <xf numFmtId="174" fontId="0" fillId="0" borderId="0" pivotButton="0" quotePrefix="0" xfId="0"/>
  </cellXfs>
  <cellStyles count="2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Comma 2" xfId="7"/>
    <cellStyle name="Comma 3" xfId="8"/>
    <cellStyle name="Comma 4" xfId="9"/>
    <cellStyle name="Comma 5" xfId="10"/>
    <cellStyle name="Normal 2" xfId="11"/>
    <cellStyle name="Normal 2 2" xfId="12"/>
    <cellStyle name="Normal 2 3" xfId="13"/>
    <cellStyle name="Normal 3" xfId="14"/>
    <cellStyle name="Normal 4" xfId="15"/>
    <cellStyle name="Normal 5" xfId="16"/>
    <cellStyle name="Normal 6" xfId="17"/>
    <cellStyle name="Normal 7" xfId="18"/>
    <cellStyle name="Normal 8" xfId="19"/>
    <cellStyle name="Normal 9" xfId="20"/>
    <cellStyle name="Percent 2" xfId="21"/>
    <cellStyle name="Pivot Table Category" xfId="22"/>
    <cellStyle name="Pivot Table Corner" xfId="23"/>
    <cellStyle name="Pivot Table Field" xfId="24"/>
    <cellStyle name="Pivot Table Result" xfId="25"/>
    <cellStyle name="Pivot Table Title" xfId="26"/>
    <cellStyle name="Pivot Table Value" xfId="27"/>
  </cellStyles>
  <dxfs count="182"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28E85"/>
          <bgColor rgb="FF000000"/>
        </patternFill>
      </fill>
    </dxf>
    <dxf>
      <fill>
        <patternFill patternType="solid">
          <fgColor rgb="FFF2AA8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theme="5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28E85"/>
        </patternFill>
      </fill>
    </dxf>
    <dxf>
      <fill>
        <patternFill>
          <bgColor rgb="FFF28E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96DCF8"/>
          <bgColor rgb="FF000000"/>
        </patternFill>
      </fill>
    </dxf>
    <dxf>
      <fill>
        <patternFill patternType="solid">
          <fgColor rgb="FF83CBEB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9F0F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E9F0FE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83CBEB"/>
      <rgbColor rgb="FF808080"/>
      <rgbColor rgb="FF9999FF"/>
      <rgbColor rgb="FF993366"/>
      <rgbColor rgb="FFFFFFCC"/>
      <rgbColor rgb="FFDCEAF7"/>
      <rgbColor rgb="FF660066"/>
      <rgbColor rgb="FFF28E85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6DCF8"/>
      <rgbColor rgb="FFF2AA84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pivotCacheDefinition" Target="/xl/pivotCache/pivotCacheDefinition1.xml" Id="rId15" /><Relationship Type="http://schemas.openxmlformats.org/officeDocument/2006/relationships/externalLink" Target="/xl/externalLinks/externalLink1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Unknown Author</author>
  </authors>
  <commentList>
    <comment ref="G17" authorId="0" shapeId="0">
      <text>
        <t>======
ID#AAABf6p9SI8
om    (2025-04-17 11:07:41)
6 months contract</t>
      </text>
    </comment>
    <comment ref="C143" authorId="0" shapeId="0">
      <text>
        <t>======
ID#AAABhgB9rF8
Esha Soni    (2025-03-29 11:27:49)
10% TDS deducted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../D:/Jalaj%20Jain/15%20MW%20Solar%20PV/15%20MW%20Solar%20Project_Greece_v17_New%20-%20avg%201.6%20DSCR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Output&gt;"/>
      <sheetName val="Summary"/>
      <sheetName val="IRR"/>
      <sheetName val="Sensitivities"/>
      <sheetName val="Input&gt;"/>
      <sheetName val="Project Inputs"/>
      <sheetName val="Inputs Summary"/>
      <sheetName val="Calculations&gt;"/>
      <sheetName val="Timline"/>
      <sheetName val="Revenue"/>
      <sheetName val="Capex Calculation"/>
      <sheetName val="Opex Calculation"/>
      <sheetName val="Debt"/>
      <sheetName val="Depreciation"/>
      <sheetName val="FS (semi-annual)"/>
      <sheetName val="T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createdVersion="3" recordCount="742" r:id="rId1">
  <cacheSource type="worksheet">
    <worksheetSource ref="A3:I11470" sheet="Invoices"/>
  </cacheSource>
  <cacheFields count="9">
    <cacheField name="Months" uniqueList="1" numFmtId="0" sqlType="0" hierarchy="0" level="0" databaseField="1">
      <sharedItems count="15" containsBlank="1" containsDate="1" containsNonDate="0" containsString="0" minDate="2024-09-01T00:00:00" maxDate="2025-10-01T00:00:00"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m/>
      </sharedItems>
    </cacheField>
    <cacheField name="Invoice Date" uniqueList="1" numFmtId="0" sqlType="0" hierarchy="0" level="0" databaseField="1">
      <sharedItems count="264" containsBlank="1" containsDate="1" containsNonDate="0" containsString="0" minDate="2024-09-22T00:00:00" maxDate="2025-10-31T00:00:00">
        <d v="2024-09-22T00:00:00"/>
        <d v="2024-09-30T00:00:00"/>
        <d v="2024-10-19T00:00:00"/>
        <d v="2024-10-21T00:00:00"/>
        <d v="2024-10-22T00:00:00"/>
        <d v="2024-10-29T00:00:00"/>
        <d v="2024-10-30T00:00:00"/>
        <d v="2024-11-07T00:00:00"/>
        <d v="2024-11-09T00:00:00"/>
        <d v="2024-11-19T00:00:00"/>
        <d v="2024-11-21T00:00:00"/>
        <d v="2024-11-22T00:00:00"/>
        <d v="2024-11-28T00:00:00"/>
        <d v="2024-11-29T00:00:00"/>
        <d v="2024-11-30T00:00:00"/>
        <d v="2024-12-02T00:00:00"/>
        <d v="2024-12-09T00:00:00"/>
        <d v="2024-12-12T00:00:00"/>
        <d v="2024-12-13T00:00:00"/>
        <d v="2024-12-14T00:00:00"/>
        <d v="2024-12-18T00:00:00"/>
        <d v="2024-12-19T00:00:00"/>
        <d v="2024-12-22T00:00:00"/>
        <d v="2024-12-25T00:00:00"/>
        <d v="2024-12-29T00:00:00"/>
        <d v="2024-12-31T00:00:00"/>
        <d v="2025-01-01T00:00:00"/>
        <d v="2025-01-05T00:00:00"/>
        <d v="2025-01-08T00:00:00"/>
        <d v="2025-01-09T00:00:00"/>
        <d v="2025-01-11T00:00:00"/>
        <d v="2025-01-14T00:00:00"/>
        <d v="2025-01-17T00:00:00"/>
        <d v="2025-01-18T00:00:00"/>
        <d v="2025-01-20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7T00:00:00"/>
        <d v="2025-02-09T00:00:00"/>
        <d v="2025-02-10T00:00:00"/>
        <d v="2025-02-11T00:00:00"/>
        <d v="2025-02-17T00:00:00"/>
        <d v="2025-02-23T00:00:00"/>
        <d v="2025-02-24T00:00:00"/>
        <d v="2025-02-25T00:00:00"/>
        <d v="2025-02-26T00:00:00"/>
        <d v="2025-02-27T00:00:00"/>
        <d v="2025-02-28T00:00:00"/>
        <d v="2025-03-03T00:00:00"/>
        <d v="2025-03-05T00:00:00"/>
        <d v="2025-03-08T00:00:00"/>
        <d v="2025-03-09T00:00:00"/>
        <d v="2025-03-11T00:00:00"/>
        <d v="2025-03-12T00:00:00"/>
        <d v="2025-03-14T00:00:00"/>
        <d v="2025-03-17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1T00:00:00"/>
        <d v="2025-04-01T00:00:00"/>
        <d v="2025-04-02T00:00:00"/>
        <d v="2025-04-03T00:00:00"/>
        <d v="2025-04-05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8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29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3T00:00:00"/>
        <d v="2025-05-26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6T00:00:00"/>
        <d v="2025-07-28T00:00:00"/>
        <d v="2025-07-29T00:00:00"/>
        <d v="2025-07-30T00:00:00"/>
        <d v="2025-07-31T00:00:00"/>
        <d v="2025-08-01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5T00:00:00"/>
        <d v="2025-08-26T00:00:00"/>
        <d v="2025-08-27T00:00:00"/>
        <d v="2025-08-28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5T00:00:00"/>
        <d v="2025-09-26T00:00:00"/>
        <d v="2025-09-28T00:00:00"/>
        <d v="2025-09-29T00:00:00"/>
        <d v="2025-09-30T00:00:00"/>
        <d v="2025-10-01T00:00:00"/>
        <d v="2025-10-02T00:00:00"/>
        <d v="2025-10-03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m/>
      </sharedItems>
    </cacheField>
    <cacheField name="Invoice Number" uniqueList="1" numFmtId="0" sqlType="0" hierarchy="0" level="0" databaseField="1">
      <sharedItems count="741" containsBlank="1">
        <s v="CN-00001"/>
        <s v="CN-00002"/>
        <s v="CN-00003"/>
        <s v="CN-00004"/>
        <s v="CN-00007"/>
        <s v="CN-00008"/>
        <s v="CN-00009"/>
        <s v="CN-00010"/>
        <s v="CN-00012"/>
        <s v="CN-00013"/>
        <s v="CN-00023"/>
        <s v="CN-00025"/>
        <s v="CN-00027"/>
        <s v="CN-00028"/>
        <s v="CN-00029"/>
        <s v="CN-00030"/>
        <s v="CN-00031"/>
        <s v="CN-00032"/>
        <s v="CN-00033"/>
        <s v="CN-00034"/>
        <s v="CN-00035"/>
        <s v="CN-00036"/>
        <s v="CN-00037"/>
        <s v="INV-000001"/>
        <s v="INV-000002"/>
        <s v="INV-000003"/>
        <s v="INV-000004"/>
        <s v="INV-000005"/>
        <s v="INV-000006"/>
        <s v="INV-000007"/>
        <s v="INV-000008"/>
        <s v="INV-000009"/>
        <s v="INV-000010"/>
        <s v="INV-000011"/>
        <s v="INV-000012"/>
        <s v="INV-000013"/>
        <s v="INV-000014"/>
        <s v="INV-000015"/>
        <s v="INV-000016"/>
        <s v="INV-000017"/>
        <s v="INV-000018"/>
        <s v="INV-000019"/>
        <s v="INV-000020"/>
        <s v="INV-000021"/>
        <s v="INV-000022"/>
        <s v="INV-000023"/>
        <s v="INV-000024"/>
        <s v="INV-000025"/>
        <s v="INV-000026"/>
        <s v="INV-000027"/>
        <s v="INV-000028"/>
        <s v="INV-000029"/>
        <s v="INV-000030"/>
        <s v="INV-000031"/>
        <s v="INV-000032"/>
        <s v="INV-000033"/>
        <s v="INV-000034"/>
        <s v="INV-000035"/>
        <s v="INV-000036"/>
        <s v="INV-000037"/>
        <s v="INV-000038"/>
        <s v="INV-000039"/>
        <s v="INV-000040"/>
        <s v="INV-000041"/>
        <s v="INV-000042"/>
        <s v="INV-000043"/>
        <s v="INV-000044"/>
        <s v="INV-000045"/>
        <s v="INV-000046"/>
        <s v="INV-000047"/>
        <s v="INV-000048"/>
        <s v="INV-000049"/>
        <s v="INV-000050"/>
        <s v="INV-000051"/>
        <s v="INV-000052"/>
        <s v="INV-000053"/>
        <s v="INV-000054"/>
        <s v="INV-000055"/>
        <s v="INV-000056"/>
        <s v="INV-000057"/>
        <s v="INV-000058"/>
        <s v="INV-000059"/>
        <s v="INV-000060"/>
        <s v="INV-000061"/>
        <s v="INV-000062"/>
        <s v="INV-000063"/>
        <s v="INV-000064"/>
        <s v="INV-000065"/>
        <s v="INV-000066"/>
        <s v="INV-000067"/>
        <s v="INV-000068"/>
        <s v="INV-000069"/>
        <s v="INV-000070"/>
        <s v="INV-000071"/>
        <s v="INV-000072"/>
        <s v="INV-000073"/>
        <s v="INV-000074"/>
        <s v="INV-000075"/>
        <s v="INV-000076"/>
        <s v="INV-000077"/>
        <s v="INV-000078"/>
        <s v="INV-000079"/>
        <s v="INV-000080"/>
        <s v="INV-000081"/>
        <s v="INV-000082"/>
        <s v="INV-000083"/>
        <s v="INV-000084"/>
        <s v="INV-000085"/>
        <s v="INV-000086"/>
        <s v="INV-000087"/>
        <s v="INV-000088"/>
        <s v="INV-000089"/>
        <s v="INV-000090"/>
        <s v="INV-000091"/>
        <s v="INV-000092"/>
        <s v="INV-000093"/>
        <s v="INV-000094"/>
        <s v="INV-000095"/>
        <s v="INV-000096"/>
        <s v="INV-000097"/>
        <s v="INV-000098"/>
        <s v="INV-000099"/>
        <s v="INV-000100"/>
        <s v="INV-000101"/>
        <s v="INV-000102"/>
        <s v="INV-000103"/>
        <s v="INV-000104"/>
        <s v="INV-000105"/>
        <s v="INV-000106"/>
        <s v="INV-000107"/>
        <s v="INV-000108"/>
        <s v="INV-000109"/>
        <s v="INV-000110"/>
        <s v="INV-000111"/>
        <s v="INV-000112"/>
        <s v="INV-000113"/>
        <s v="INV-000114"/>
        <s v="INV-000115"/>
        <s v="INV-000116"/>
        <s v="INV-000117"/>
        <s v="INV-000118"/>
        <s v="INV-000119"/>
        <s v="INV-000120"/>
        <s v="INV-000121"/>
        <s v="INV-000122"/>
        <s v="INV-000123"/>
        <s v="INV-000124"/>
        <s v="INV-000125"/>
        <s v="INV-000126"/>
        <s v="INV-000127"/>
        <s v="INV-000128"/>
        <s v="INV-000129"/>
        <s v="INV-000130"/>
        <s v="INV-000131"/>
        <s v="INV-000132"/>
        <s v="INV-000133"/>
        <s v="INV-000134"/>
        <s v="INV-000135"/>
        <s v="INV-000136"/>
        <s v="INV-000137"/>
        <s v="INV-000138"/>
        <s v="INV-000139"/>
        <s v="INV-000140"/>
        <s v="INV-000141"/>
        <s v="INV-000142"/>
        <s v="INV-000143"/>
        <s v="INV-000144"/>
        <s v="INV-000145"/>
        <s v="INV-000146"/>
        <s v="INV-000147"/>
        <s v="INV-000148"/>
        <s v="INV-000149"/>
        <s v="INV-000150"/>
        <s v="INV-25-26-000001"/>
        <s v="INV-25-26-000002"/>
        <s v="INV-25-26-000003"/>
        <s v="INV-25-26-000004"/>
        <s v="INV-25-26-000005"/>
        <s v="INV-25-26-000006"/>
        <s v="INV-25-26-000007"/>
        <s v="INV-25-26-000008"/>
        <s v="INV-25-26-000009"/>
        <s v="INV-25-26-000010"/>
        <s v="INV-25-26-000011"/>
        <s v="INV-25-26-000012"/>
        <s v="INV-25-26-000013"/>
        <s v="INV-25-26-000014"/>
        <s v="INV-25-26-000015"/>
        <s v="INV-25-26-000016"/>
        <s v="INV-25-26-000017"/>
        <s v="INV-25-26-000019"/>
        <s v="INV-25-26-000020"/>
        <s v="INV-25-26-000021"/>
        <s v="INV-25-26-000022"/>
        <s v="INV-25-26-000023"/>
        <s v="INV-25-26-000024"/>
        <s v="INV-25-26-000025"/>
        <s v="INV-25-26-000026"/>
        <s v="INV-25-26-000028"/>
        <s v="INV-25-26-000029"/>
        <s v="INV-25-26-000030"/>
        <s v="INV-25-26-000031"/>
        <s v="INV-25-26-000032"/>
        <s v="INV-25-26-000033"/>
        <s v="INV-25-26-000034"/>
        <s v="INV-25-26-000035"/>
        <s v="INV-25-26-000036"/>
        <s v="INV-25-26-000037"/>
        <s v="INV-25-26-000038"/>
        <s v="INV-25-26-000039"/>
        <s v="INV-25-26-000040"/>
        <s v="INV-25-26-000041"/>
        <s v="INV-25-26-000042"/>
        <s v="INV-25-26-000043"/>
        <s v="INV-25-26-000044"/>
        <s v="INV-25-26-000045"/>
        <s v="INV-25-26-000046"/>
        <s v="INV-25-26-000047"/>
        <s v="INV-25-26-000048"/>
        <s v="INV-25-26-000049"/>
        <s v="INV-25-26-000050"/>
        <s v="INV-25-26-000051"/>
        <s v="INV-25-26-000052"/>
        <s v="INV-25-26-000053"/>
        <s v="INV-25-26-000054"/>
        <s v="INV-25-26-000055"/>
        <s v="INV-25-26-000056"/>
        <s v="INV-25-26-000057"/>
        <s v="INV-25-26-000058"/>
        <s v="INV-25-26-000059"/>
        <s v="INV-25-26-000060"/>
        <s v="INV-25-26-000061"/>
        <s v="INV-25-26-000062"/>
        <s v="INV-25-26-000063"/>
        <s v="INV-25-26-000064"/>
        <s v="INV-25-26-000065"/>
        <s v="INV-25-26-000066"/>
        <s v="INV-25-26-000067"/>
        <s v="INV-25-26-000068"/>
        <s v="INV-25-26-000069"/>
        <s v="INV-25-26-000070"/>
        <s v="INV-25-26-000071"/>
        <s v="INV-25-26-000072"/>
        <s v="INV-25-26-000073"/>
        <s v="INV-25-26-000074"/>
        <s v="INV-25-26-000075"/>
        <s v="INV-25-26-000076"/>
        <s v="INV-25-26-000077"/>
        <s v="INV-25-26-000078"/>
        <s v="INV-25-26-000079"/>
        <s v="INV-25-26-000080"/>
        <s v="INV-25-26-000081"/>
        <s v="INV-25-26-000082"/>
        <s v="INV-25-26-000089"/>
        <s v="INV-25-26-000090"/>
        <s v="INV-25-26-000091"/>
        <s v="INV-25-26-000092"/>
        <s v="INV-25-26-000093"/>
        <s v="INV-25-26-000094"/>
        <s v="INV-25-26-000095"/>
        <s v="INV-25-26-000096"/>
        <s v="INV-25-26-000097"/>
        <s v="INV-25-26-000098"/>
        <s v="INV-25-26-000099"/>
        <s v="INV-25-26-000100"/>
        <s v="INV-25-26-000101"/>
        <s v="INV-25-26-000102"/>
        <s v="INV-25-26-000103"/>
        <s v="INV-25-26-000104"/>
        <s v="INV-25-26-000105"/>
        <s v="INV-25-26-000106"/>
        <s v="INV-25-26-000107"/>
        <s v="INV-25-26-000108"/>
        <s v="INV-25-26-000109"/>
        <s v="INV-25-26-000110"/>
        <s v="INV-25-26-000111"/>
        <s v="INV-25-26-000112"/>
        <s v="INV-25-26-000113"/>
        <s v="INV-25-26-000114"/>
        <s v="INV-25-26-000115"/>
        <s v="INV-25-26-000116"/>
        <s v="INV-25-26-000117"/>
        <s v="INV-25-26-000118"/>
        <s v="INV-25-26-000119"/>
        <s v="INV-25-26-000120"/>
        <s v="INV-25-26-000121"/>
        <s v="INV-25-26-000122"/>
        <s v="INV-25-26-000123"/>
        <s v="INV-25-26-000124"/>
        <s v="INV-25-26-000125"/>
        <s v="INV-25-26-000126"/>
        <s v="INV-25-26-000127"/>
        <s v="INV-25-26-000128"/>
        <s v="INV-25-26-000129"/>
        <s v="INV-25-26-000130"/>
        <s v="INV-25-26-000131"/>
        <s v="INV-25-26-000132"/>
        <s v="INV-25-26-000133"/>
        <s v="INV-25-26-000134"/>
        <s v="INV-25-26-000135"/>
        <s v="INV-25-26-000136"/>
        <s v="INV-25-26-000137"/>
        <s v="INV-25-26-000138"/>
        <s v="INV-25-26-000139"/>
        <s v="INV-25-26-000140"/>
        <s v="INV-25-26-000141"/>
        <s v="INV-25-26-000142"/>
        <s v="INV-25-26-000143"/>
        <s v="INV-25-26-000144"/>
        <s v="INV-25-26-000145"/>
        <s v="INV-25-26-000146"/>
        <s v="INV-25-26-000147"/>
        <s v="INV-25-26-000148"/>
        <s v="INV-25-26-000149"/>
        <s v="INV-25-26-000150"/>
        <s v="INV-25-26-000151"/>
        <s v="INV-25-26-000152"/>
        <s v="INV-25-26-000153"/>
        <s v="INV-25-26-000154"/>
        <s v="INV-25-26-000155"/>
        <s v="INV-25-26-000156"/>
        <s v="INV-25-26-000157"/>
        <s v="INV-25-26-000158"/>
        <s v="INV-25-26-000159"/>
        <s v="INV-25-26-000160"/>
        <s v="INV-25-26-000161"/>
        <s v="INV-25-26-000162"/>
        <s v="INV-25-26-000163"/>
        <s v="INV-25-26-000164"/>
        <s v="INV-25-26-000165"/>
        <s v="INV-25-26-000166"/>
        <s v="INV-25-26-000167"/>
        <s v="INV-25-26-000168"/>
        <s v="INV-25-26-000169"/>
        <s v="INV-25-26-000170"/>
        <s v="INV-25-26-000171"/>
        <s v="INV-25-26-000172"/>
        <s v="INV-25-26-000173"/>
        <s v="INV-25-26-000174"/>
        <s v="INV-25-26-000175"/>
        <s v="INV-25-26-000176"/>
        <s v="INV-25-26-000177"/>
        <s v="INV-25-26-000178"/>
        <s v="INV-25-26-000179"/>
        <s v="INV-25-26-000180"/>
        <s v="INV-25-26-000181"/>
        <s v="INV-25-26-000182"/>
        <s v="INV-25-26-000183"/>
        <s v="INV-25-26-000184"/>
        <s v="INV-25-26-000185"/>
        <s v="INV-25-26-000186"/>
        <s v="INV-25-26-000187"/>
        <s v="INV-25-26-000188"/>
        <s v="INV-25-26-000189"/>
        <s v="INV-25-26-000190"/>
        <s v="INV-25-26-000191"/>
        <s v="INV-25-26-000192"/>
        <s v="INV-25-26-000193"/>
        <s v="INV-25-26-000194"/>
        <s v="INV-25-26-000195"/>
        <s v="INV-25-26-000196"/>
        <s v="INV-25-26-000197"/>
        <s v="INV-25-26-000198"/>
        <s v="INV-25-26-000199"/>
        <s v="INV-25-26-000200"/>
        <s v="INV-25-26-000201"/>
        <s v="INV-25-26-000202"/>
        <s v="INV-25-26-000203"/>
        <s v="INV-25-26-000204"/>
        <s v="INV-25-26-000205"/>
        <s v="INV-25-26-000206"/>
        <s v="INV-25-26-000207"/>
        <s v="INV-25-26-000208"/>
        <s v="INV-25-26-000209"/>
        <s v="INV-25-26-000210"/>
        <s v="INV-25-26-000211"/>
        <s v="INV-25-26-000212"/>
        <s v="INV-25-26-000213"/>
        <s v="INV-25-26-000214"/>
        <s v="INV-25-26-000215"/>
        <s v="INV-25-26-000216"/>
        <s v="INV-25-26-000217"/>
        <s v="INV-25-26-000218"/>
        <s v="INV-25-26-000219"/>
        <s v="INV-25-26-000220"/>
        <s v="INV-25-26-000221"/>
        <s v="INV-25-26-000222"/>
        <s v="INV-25-26-000223"/>
        <s v="INV-25-26-000224"/>
        <s v="INV-25-26-000225"/>
        <s v="INV-25-26-000226"/>
        <s v="INV-25-26-000227"/>
        <s v="INV-25-26-000228"/>
        <s v="INV-25-26-000229"/>
        <s v="INV-25-26-000230"/>
        <s v="INV-25-26-000231"/>
        <s v="INV-25-26-000232"/>
        <s v="INV-25-26-000233"/>
        <s v="INV-25-26-000234"/>
        <s v="INV-25-26-000235"/>
        <s v="INV-25-26-000236"/>
        <s v="INV-25-26-000237"/>
        <s v="INV-25-26-000238"/>
        <s v="INV-25-26-000239"/>
        <s v="INV-25-26-000240"/>
        <s v="INV-25-26-000241"/>
        <s v="INV-25-26-000242"/>
        <s v="INV-25-26-000243"/>
        <s v="INV-25-26-000244"/>
        <s v="INV-25-26-000245"/>
        <s v="INV-25-26-000246"/>
        <s v="INV-25-26-000248"/>
        <s v="INV-25-26-000249"/>
        <s v="INV-25-26-000250"/>
        <s v="INV-25-26-000251"/>
        <s v="INV-25-26-000252"/>
        <s v="INV-25-26-000253"/>
        <s v="INV-25-26-000254"/>
        <s v="INV-25-26-000255"/>
        <s v="INV-25-26-000256"/>
        <s v="INV-25-26-000257"/>
        <s v="INV-25-26-000258"/>
        <s v="INV-25-26-000259"/>
        <s v="INV-25-26-000260"/>
        <s v="INV-25-26-000261"/>
        <s v="INV-25-26-000262"/>
        <s v="INV-25-26-000263"/>
        <s v="INV-25-26-000264"/>
        <s v="INV-25-26-000265"/>
        <s v="INV-25-26-000266"/>
        <s v="INV-25-26-000267"/>
        <s v="INV-25-26-000268"/>
        <s v="INV-25-26-000269"/>
        <s v="INV-25-26-000270"/>
        <s v="INV-25-26-000271"/>
        <s v="INV-25-26-000272"/>
        <s v="INV-25-26-000273"/>
        <s v="INV-25-26-000274"/>
        <s v="INV-25-26-000275"/>
        <s v="INV-25-26-000276"/>
        <s v="INV-25-26-000277"/>
        <s v="INV-25-26-000278"/>
        <s v="INV-25-26-000279"/>
        <s v="INV-25-26-000280"/>
        <s v="INV-25-26-000281"/>
        <s v="INV-25-26-000282"/>
        <s v="INV-25-26-000283"/>
        <s v="INV-25-26-000284"/>
        <s v="INV-25-26-000285"/>
        <s v="INV-25-26-000286"/>
        <s v="INV-25-26-000287"/>
        <s v="INV-25-26-000288"/>
        <s v="INV-25-26-000289"/>
        <s v="INV-25-26-000290"/>
        <s v="INV-25-26-000291"/>
        <s v="INV-25-26-000292"/>
        <s v="INV-25-26-000293"/>
        <s v="INV-25-26-000294"/>
        <s v="INV-25-26-000295"/>
        <s v="INV-25-26-000296"/>
        <s v="INV-25-26-000297"/>
        <s v="INV-25-26-000298"/>
        <s v="INV-25-26-000299"/>
        <s v="INV-25-26-000300"/>
        <s v="INV-25-26-000301"/>
        <s v="INV-25-26-000302"/>
        <s v="INV-25-26-000303"/>
        <s v="INV-25-26-000304"/>
        <s v="INV-25-26-000305"/>
        <s v="INV-25-26-000306"/>
        <s v="INV-25-26-000307"/>
        <s v="INV-25-26-000308"/>
        <s v="INV-25-26-000309"/>
        <s v="INV-25-26-000310"/>
        <s v="INV-25-26-000311"/>
        <s v="INV-25-26-000312"/>
        <s v="INV-25-26-000313"/>
        <s v="INV-25-26-000314"/>
        <s v="INV-25-26-000315"/>
        <s v="INV-25-26-000316"/>
        <s v="INV-25-26-000317"/>
        <s v="INV-25-26-000318"/>
        <s v="INV-25-26-000319"/>
        <s v="INV-25-26-000320"/>
        <s v="INV-25-26-000321"/>
        <s v="INV-25-26-000322"/>
        <s v="INV-25-26-000323"/>
        <s v="INV-25-26-000324"/>
        <s v="INV-25-26-000325"/>
        <s v="INV-25-26-000326"/>
        <s v="INV-25-26-000327"/>
        <s v="INV-25-26-000328"/>
        <s v="INV-25-26-000329"/>
        <s v="INV-25-26-000330"/>
        <s v="INV-25-26-000331"/>
        <s v="INV-25-26-000332"/>
        <s v="INV-25-26-000333"/>
        <s v="INV-25-26-000334"/>
        <s v="INV-25-26-000335"/>
        <s v="INV-25-26-000336"/>
        <s v="INV-25-26-000337"/>
        <s v="INV-25-26-000338"/>
        <s v="INV-25-26-000339"/>
        <s v="INV-25-26-000340"/>
        <s v="INV-25-26-000341"/>
        <s v="INV-25-26-000342"/>
        <s v="INV-25-26-000343"/>
        <s v="INV-25-26-000344"/>
        <s v="INV-25-26-000345"/>
        <s v="INV-25-26-000346"/>
        <s v="INV-25-26-000347"/>
        <s v="INV-25-26-000348"/>
        <s v="INV-25-26-000349"/>
        <s v="INV-25-26-000350"/>
        <s v="INV-25-26-000351"/>
        <s v="INV-25-26-000352"/>
        <s v="INV-25-26-000353"/>
        <s v="INV-25-26-000354"/>
        <s v="INV-25-26-000355"/>
        <s v="INV-25-26-000356"/>
        <s v="INV-25-26-000357"/>
        <s v="INV-25-26-000358"/>
        <s v="INV-25-26-000359"/>
        <s v="INV-25-26-000360"/>
        <s v="INV-25-26-000361"/>
        <s v="INV-25-26-000362"/>
        <s v="INV-25-26-000363"/>
        <s v="INV-25-26-000364"/>
        <s v="INV-25-26-000365"/>
        <s v="INV-25-26-000366"/>
        <s v="INV-25-26-000367"/>
        <s v="INV-25-26-000368"/>
        <s v="INV-25-26-000369"/>
        <s v="INV-25-26-000370"/>
        <s v="INV-25-26-000371"/>
        <s v="INV-25-26-000372"/>
        <s v="INV-25-26-000373"/>
        <s v="INV-25-26-000374"/>
        <s v="INV-25-26-000375"/>
        <s v="INV-25-26-000376"/>
        <s v="INV-25-26-000377"/>
        <s v="INV-25-26-000378"/>
        <s v="INV-25-26-000379"/>
        <s v="INV-25-26-000380"/>
        <s v="INV-25-26-000381"/>
        <s v="INV-25-26-000382"/>
        <s v="INV-25-26-000383"/>
        <s v="INV-25-26-000384"/>
        <s v="INV-25-26-000385"/>
        <s v="INV-25-26-000386"/>
        <s v="INV-25-26-000387"/>
        <s v="INV-25-26-000388"/>
        <s v="INV-25-26-000389"/>
        <s v="INV-25-26-000390"/>
        <s v="INV-25-26-000391"/>
        <s v="INV-25-26-000392"/>
        <s v="INV-25-26-000393"/>
        <s v="INV-25-26-000394"/>
        <s v="INV-25-26-000395"/>
        <s v="INV-25-26-000396"/>
        <s v="INV-25-26-000397"/>
        <s v="INV-25-26-000398"/>
        <s v="INV-25-26-000399"/>
        <s v="INV-25-26-000400"/>
        <s v="INV-25-26-000401"/>
        <s v="INV-25-26-000402"/>
        <s v="INV-25-26-000403"/>
        <s v="INV-25-26-000404"/>
        <s v="INV-25-26-000405"/>
        <s v="INV-25-26-000406"/>
        <s v="INV-25-26-000407"/>
        <s v="INV-25-26-000408"/>
        <s v="INV-25-26-000409"/>
        <s v="INV-25-26-000410"/>
        <s v="INV-25-26-000411"/>
        <s v="INV-25-26-000412"/>
        <s v="INV-25-26-000413"/>
        <s v="INV-25-26-000414"/>
        <s v="INV-25-26-000415"/>
        <s v="INV-25-26-000416"/>
        <s v="INV-25-26-000417"/>
        <s v="INV-25-26-000418"/>
        <s v="INV-25-26-000419"/>
        <s v="INV-25-26-000420"/>
        <s v="INV-25-26-000421"/>
        <s v="INV-25-26-000422"/>
        <s v="INV-25-26-000423"/>
        <s v="INV-25-26-000424"/>
        <s v="INV-25-26-000425"/>
        <s v="INV-25-26-000426"/>
        <s v="INV-25-26-000427"/>
        <s v="INV-25-26-000428"/>
        <s v="INV-25-26-000429"/>
        <s v="INV-25-26-000430"/>
        <s v="INV-25-26-000431"/>
        <s v="INV-25-26-000432"/>
        <s v="INV-25-26-000433"/>
        <s v="INV-25-26-000434"/>
        <s v="INV-25-26-000435"/>
        <s v="INV-25-26-000436"/>
        <s v="INV-25-26-000437"/>
        <s v="INV-25-26-000438"/>
        <s v="INV-25-26-000439"/>
        <s v="INV-25-26-000440"/>
        <s v="INV-25-26-000441"/>
        <s v="INV-25-26-000442"/>
        <s v="INV-25-26-000443"/>
        <s v="INV-25-26-000444"/>
        <s v="INV-25-26-000445"/>
        <s v="INV-25-26-000446"/>
        <s v="INV-25-26-000447"/>
        <s v="INV-25-26-000448"/>
        <s v="INV-25-26-000449"/>
        <s v="INV-25-26-000450"/>
        <s v="INV-25-26-000451"/>
        <s v="INV-25-26-000452"/>
        <s v="INV-25-26-000453"/>
        <s v="INV-25-26-000454"/>
        <s v="INV-25-26-000455"/>
        <s v="INV-25-26-000456"/>
        <s v="INV-25-26-000457"/>
        <s v="INV-25-26-000458"/>
        <s v="INV-25-26-000459"/>
        <s v="INV-25-26-000460"/>
        <s v="INV-25-26-000461"/>
        <s v="INV-25-26-000462"/>
        <s v="INV-25-26-000463"/>
        <s v="INV-25-26-000464"/>
        <s v="INV-25-26-000465"/>
        <s v="INV-25-26-000466"/>
        <s v="INV-25-26-000467"/>
        <s v="INV-25-26-000468"/>
        <s v="INV-25-26-000469"/>
        <s v="INV-25-26-000470"/>
        <s v="INV-25-26-000471"/>
        <s v="INV-25-26-000472"/>
        <s v="INV-25-26-000473"/>
        <s v="INV-25-26-000474"/>
        <s v="INV-25-26-000475"/>
        <s v="INV-25-26-000476"/>
        <s v="INV-25-26-000477"/>
        <s v="INV-25-26-000478"/>
        <s v="INV-25-26-000479"/>
        <s v="INV-25-26-000480"/>
        <s v="INV-25-26-000481"/>
        <s v="INV-25-26-000482"/>
        <s v="INV-25-26-000483"/>
        <s v="INV-25-26-000484"/>
        <s v="INV-25-26-000485"/>
        <s v="INV-25-26-000486"/>
        <s v="INV-25-26-000487"/>
        <s v="INV-25-26-000488"/>
        <s v="INV-25-26-000489"/>
        <s v="INV-25-26-000490"/>
        <s v="INV-25-26-000491"/>
        <s v="INV-25-26-000492"/>
        <s v="INV-25-26-000493"/>
        <s v="INV-25-26-000494"/>
        <s v="INV-25-26-000495"/>
        <s v="INV-25-26-000496"/>
        <s v="INV-25-26-000497"/>
        <s v="INV-25-26-000498"/>
        <s v="INV-25-26-000499"/>
        <s v="INV-25-26-000500"/>
        <s v="INV-25-26-000501"/>
        <s v="INV-25-26-000502"/>
        <s v="INV-25-26-000503"/>
        <s v="INV-25-26-000504"/>
        <s v="INV-25-26-000505"/>
        <s v="INV-25-26-000506"/>
        <s v="INV-25-26-000507"/>
        <s v="INV-25-26-000508"/>
        <s v="INV-25-26-000509"/>
        <s v="INV-25-26-000510"/>
        <s v="INV-25-26-000511"/>
        <s v="INV-25-26-000512"/>
        <s v="INV-25-26-000513"/>
        <s v="INV-25-26-000514"/>
        <s v="INV-25-26-000515"/>
        <s v="INV-25-26-000516"/>
        <s v="INV-25-26-000517"/>
        <s v="INV-25-26-000518"/>
        <s v="INV-25-26-000519"/>
        <s v="INV-25-26-000520"/>
        <s v="INV-25-26-000521"/>
        <s v="INV-25-26-000522"/>
        <s v="INV-25-26-000523"/>
        <s v="INV-25-26-000524"/>
        <s v="INV-25-26-000525"/>
        <s v="INV-25-26-000526"/>
        <s v="INV-25-26-000528"/>
        <s v="INV-25-26-000529"/>
        <s v="INV-25-26-000530"/>
        <s v="INV-25-26-000531"/>
        <s v="INV-25-26-000532"/>
        <s v="INV-25-26-000533"/>
        <s v="INV-25-26-000534"/>
        <s v="INV-25-26-000535"/>
        <s v="INV-25-26-000536"/>
        <s v="INV-25-26-000537"/>
        <s v="INV-25-26-000538"/>
        <s v="INV-25-26-000539"/>
        <s v="INV-25-26-000540"/>
        <s v="INV-25-26-000541"/>
        <s v="INV-25-26-000542"/>
        <s v="INV-25-26-000543"/>
        <s v="INV-25-26-000544"/>
        <s v="INV-25-26-000545"/>
        <s v="INV-25-26-000546"/>
        <s v="INV-25-26-000547"/>
        <s v="INV-25-26-000548"/>
        <s v="INV-25-26-000549"/>
        <s v="INV-25-26-000550"/>
        <s v="INV-25-26-000551"/>
        <s v="INV-25-26-000552"/>
        <s v="INV-25-26-000553"/>
        <s v="INV-25-26-000554"/>
        <s v="INV-25-26-000555"/>
        <s v="INV-25-26-000556"/>
        <s v="INV-25-26-000557"/>
        <s v="INV-25-26-000558"/>
        <s v="INV-25-26-000559"/>
        <s v="INV-25-26-000560"/>
        <s v="INV-25-26-000561"/>
        <s v="INV-25-26-000562"/>
        <s v="INV-25-26-000563"/>
        <s v="INV-25-26-000564"/>
        <s v="INV-25-26-000565"/>
        <s v="INV-25-26-000566"/>
        <s v="INV-25-26-000567"/>
        <s v="INV-25-26-000568"/>
        <s v="INV-25-26-000569"/>
        <s v="INV-25-26-000570"/>
        <s v="INV-25-26-000571"/>
        <s v="INV-25-26-000572"/>
        <s v="INV-25-26-000573"/>
        <s v="INV-25-26-000574"/>
        <s v="INV-25-26-000575"/>
        <s v="INV-25-26-000576"/>
        <s v="INV-25-26-000577"/>
        <m/>
      </sharedItems>
    </cacheField>
    <cacheField name="Invoice Status" uniqueList="1" numFmtId="0" sqlType="0" hierarchy="0" level="0" databaseField="1">
      <sharedItems count="3" containsBlank="1">
        <s v="Closed"/>
        <s v="Overdue"/>
        <m/>
      </sharedItems>
    </cacheField>
    <cacheField name="Customer Name" uniqueList="1" numFmtId="0" sqlType="0" hierarchy="0" level="0" databaseField="1">
      <sharedItems count="361" containsBlank="1">
        <s v="Aakash Sharma"/>
        <s v="Aanchal Basur"/>
        <s v="Aarna Law LLP"/>
        <s v="Abel Tom Benny // Thomas and Thomas Advocates"/>
        <s v="Abhimanyu Garg / Methodica Legal"/>
        <s v="Acuity Law LLP"/>
        <s v="Adarsh Ramakrishnan"/>
        <s v="Aditya Narayan Mahajan"/>
        <s v="Aditya S Puar"/>
        <s v="Aditya Sikka / Tvashta Law"/>
        <s v="Advocate Rohit Jaiswal"/>
        <s v="Agama Law Associates"/>
        <s v="Agraa Legal"/>
        <s v="Ahan Gadkari"/>
        <s v="AHUJA VALECHA &amp; ASSOCIATES LLP"/>
        <s v="Ajinkya Kurdukar"/>
        <s v="AJNM LAW INDIA LLP"/>
        <s v="Akkash Bhadana"/>
        <s v="Akriti Chaubey"/>
        <s v="AKS Advocates"/>
        <s v="AKS LAW ASSOCIATES"/>
        <s v="Akshat Vachher"/>
        <s v="AL- Fanar Closed Joint Stock Company"/>
        <s v="Alankrit Bajpai"/>
        <s v="Amicus Lex &amp; Associates"/>
        <s v="Amit Bhagat"/>
        <s v="Amrit Grewal"/>
        <s v="Amrita Panda / Chambers of Amrita Panda"/>
        <s v="Amrut Joshi"/>
        <s v="AMS Legal"/>
        <s v="Anand and Anand"/>
        <s v="ANG Partners"/>
        <s v="Anirban Bhattacharya"/>
        <s v="Ankit Talsania"/>
        <s v="Ankita Sharma"/>
        <s v="Ankur Mahindro"/>
        <s v="ANM Global Inc"/>
        <s v="Anush Raajan"/>
        <s v="AP &amp; Partners Advocates"/>
        <s v="AP &amp; Partners, Advocates"/>
        <s v="Apoorv Kurup"/>
        <s v="Aquilaw"/>
        <s v="Aravindakshan Nair"/>
        <s v="Argus Partners"/>
        <s v="Arpit Gupta"/>
        <s v="Arun Kumar P"/>
        <s v="Arvind Menon"/>
        <s v="Asahi Legal LLP"/>
        <s v="ASREC India Ltd"/>
        <s v="Astik Vaid"/>
        <s v="ASV Legal LLP"/>
        <s v="Athena Legal"/>
        <s v="Aurtus Consulting LLP"/>
        <s v="B2C"/>
        <s v="Badar Durrez"/>
        <s v="Balbir Singh"/>
        <s v="Bathiya Legal"/>
        <s v="Bharat Chugh"/>
        <s v="Bimal Rajasekhar"/>
        <s v="Birendra Saraf"/>
        <s v="Bishwajit Dubey"/>
        <s v="Brijesh Oberoi"/>
        <s v="Burgeon Law LLP"/>
        <s v="C&amp;S Partners"/>
        <s v="Centre for Law and Policy Research Trust"/>
        <s v="Chambers of Aman Vachher"/>
        <s v="Chambers of Justice Mohit S Shah (Retd.) Former Chief Justice of Bombay and Calcutta High Courts"/>
        <s v="Chambers of Moazzam Khan"/>
        <s v="Chambers of Ninad Laud"/>
        <s v="Chambers of Pujari"/>
        <s v="Chavi V Jain"/>
        <s v="Chetan Dedhia"/>
        <s v="Chetan shah"/>
        <s v="Chirag shah, Advocate"/>
        <s v="Clavius Legal"/>
        <s v="Consera Legal LLP"/>
        <s v="Darius J. Khambata"/>
        <s v="Darshit Jain"/>
        <s v="Daswani &amp; Daswani"/>
        <s v="Debopriyo Moulik"/>
        <s v="Deep Cover Law- Chirag Narasimiah"/>
        <s v="Devina Sehgal"/>
        <s v="Dewani Associates"/>
        <s v="Dharma Law Partners"/>
        <s v="Dhru &amp; Co"/>
        <s v="Dhruve Liladhar &amp; Co"/>
        <s v="Dileep Poolakkot"/>
        <s v="Dipankar Majumdar"/>
        <s v="Divyanshu Rai"/>
        <s v="Diwan Law Associates"/>
        <s v="Diya Kapur"/>
        <s v="Dr Sanjay Jain"/>
        <s v="DSK Legal"/>
        <s v="Dua Associates"/>
        <s v="Ecclesia Advocates and Solicitors"/>
        <s v="Elixir Legal Services"/>
        <s v="Eternity Legal"/>
        <s v="Farhan Dubash"/>
        <s v="Federal &amp; Company"/>
        <s v="Feroze Patel"/>
        <s v="Foresight Law Offices"/>
        <s v="Ganesh &amp; Co."/>
        <s v="Gaurav Gupta"/>
        <s v="Gaurav Joshi"/>
        <s v="Gaurav Mehta"/>
        <s v="Gaurav Ray, Advocate on Record"/>
        <s v="Gauri Puri"/>
        <s v="GC Legal"/>
        <s v="Gera Developments Pvt. Ltd."/>
        <s v="Giriraj Subramanium"/>
        <s v="GM Legal"/>
        <s v="Gourab Banerji"/>
        <s v="Gourab Banreji"/>
        <s v="Gunjan Mangla"/>
        <s v="Gupta Law Associates"/>
        <s v="Hammurabi &amp; Solomon Partner"/>
        <s v="Hamsaanandini Nanduri"/>
        <s v="Hamza mir"/>
        <s v="Harshit Malik"/>
        <s v="Hiren Kamod"/>
        <s v="IC Legal"/>
        <s v="ICL CORPORATE ADVISORY PRIVATE LIMITED"/>
        <s v="Incanus Technologies Private Limited"/>
        <s v="IndusLaw"/>
        <s v="IndusLaw-ISD"/>
        <s v="Innovatus Law"/>
        <s v="IRIS LEGAL"/>
        <s v="Ish Jain / Regius Partners LLP"/>
        <s v="J INFRATECH LIMITED"/>
        <s v="J.R. LADDHA FINANCIAL SERVICES PRIVATE LIMITED"/>
        <s v="Jade Lex Partners"/>
        <s v="Jain and Talukdar"/>
        <s v="Jaiveer Shergil"/>
        <s v="Jani &amp; Parikh, Advocates and Solicitors"/>
        <s v="Jayakar and Partners"/>
        <s v="Jayant Mehta"/>
        <s v="Jehangir Jeejeebhoy"/>
        <s v="Jehangir Jejeebhoy"/>
        <s v="Jennifer Michael"/>
        <s v="Joy Baxi &amp; Associates"/>
        <s v="JSM Law Partners"/>
        <s v="Justice (Retd.) AK Sikri"/>
        <s v="Justice (Retd.) Kurian Joseph"/>
        <s v="Justice Ravindra Bhat"/>
        <s v="JYOT-A Public Trust"/>
        <s v="K R Prasad Advocates"/>
        <s v="Kachwaha &amp; Partners"/>
        <s v="Kaizen Law"/>
        <s v="Kajol Punjabi"/>
        <s v="Kamaljeet Singh"/>
        <s v="Kanungo &amp; Co."/>
        <s v="Karan Butalia"/>
        <s v="Karanjawala &amp; Company Advocates"/>
        <s v="Karthik Sundar"/>
        <s v="KATARIYA CONSULTANCY INDIA LLP"/>
        <s v="Kazan Shroff"/>
        <s v="Kevic Setalvad"/>
        <s v="Keystone Partners Advocates &amp; Solicitors"/>
        <s v="Khaitan Legal Asscoiates"/>
        <s v="Khaitan Legal Associates"/>
        <s v="KINJAL CIVILCON LLP"/>
        <s v="KK &amp; Co"/>
        <s v="Kochhar &amp; Co."/>
        <s v="Krati Gupta"/>
        <s v="KRISH HOMES"/>
        <s v="Krishna Dev Jagarlamudi"/>
        <s v="Krishnan Venugopal"/>
        <s v="KUAJ LEGAL"/>
        <s v="Kunal Kunango"/>
        <s v="Kunal Vaishnav"/>
        <s v="Kushagra Shah"/>
        <s v="Laksha Kalappa B"/>
        <s v="Law office of Amrita Sarkar"/>
        <s v="LegaLogic Consulting"/>
        <s v="LEGALOGIC CONSULTING LLP"/>
        <s v="Lighthouse Legal"/>
        <s v="Lzafeer Ahmad B F"/>
        <s v="Mahadeshwara. D"/>
        <s v="Mahek Bookwala"/>
        <s v="Major Nirvikar Singh (Retd.)"/>
        <s v="Malak Bhatt"/>
        <s v="Manaswi Agrawal"/>
        <s v="Manini Brar"/>
        <s v="Manish kelker"/>
        <s v="Manjari Shah"/>
        <s v="MD&amp;T Partners"/>
        <s v="MDP Legal"/>
        <s v="MEESHO LIMITED"/>
        <s v="Megha Chandra"/>
        <s v="Meghav Gupta"/>
        <s v="Meghna Talwar"/>
        <s v="MG Ramachandran"/>
        <s v="Miglani Varma &amp; Co."/>
        <s v="Mihir Desai"/>
        <s v="Mohammed Moin"/>
        <s v="Monalisa Kosaria"/>
        <s v="Mukul Sharma and Company"/>
        <s v="Mustafa S. Doctor"/>
        <s v="MV Law Partners"/>
        <s v="MZM Legal LLP"/>
        <s v="Narottam  Sharma"/>
        <s v="Naushad Engineer"/>
        <s v="Nayana Tara BG"/>
        <s v="NC Legal"/>
        <s v="Neeta Jain"/>
        <s v="NIKHIL DEELIP P"/>
        <s v="Nikhil Pai"/>
        <s v="NINE PILLARS INFRATECH LLP"/>
        <s v="Nitish Raj"/>
        <s v="NKR Law Offices"/>
        <s v="Nora Legal Consultants LLP"/>
        <s v="Nyayosh Bharucha"/>
        <s v="OASIS REALTY"/>
        <s v="Office of ASG (N. Venkatraman)"/>
        <s v="Optimus Legal"/>
        <s v="Parakram Legal"/>
        <s v="Parekh Legal Proprieter Ami Parekh"/>
        <s v="Parinam Law Associates"/>
        <s v="Parul Sharma"/>
        <s v="Philips India Limited"/>
        <s v="Phoenix Legal"/>
        <s v="Pioneer Legal"/>
        <s v="Piyush Raheja"/>
        <s v="Poovayya &amp; CO"/>
        <s v="Pradeep Sancheti"/>
        <s v="Pragati Law Chambers"/>
        <s v="Pramit Mohanty"/>
        <s v="Pranav Badheka"/>
        <s v="Pranay Chitale"/>
        <s v="Prantar"/>
        <s v="Pratap Venugopal, Senior Advocate"/>
        <s v="Prateek Rath"/>
        <s v="Pratik Patnaik"/>
        <s v="Pravah Law"/>
        <s v="Precinct Legal"/>
        <s v="Prerit Goyal"/>
        <s v="Priyanshi Kholia"/>
        <s v="Prompt Legal"/>
        <s v="PSN Legal Advocates and Legal Consultants"/>
        <s v="PSP Legal"/>
        <s v="Puneet Rathsharma"/>
        <s v="R. Ginodia &amp; Co. LLP"/>
        <s v="R. Vishnu Kumar Advocate"/>
        <s v="R. Vishnu Kumar, Advocate"/>
        <s v="Rahul Saboo, Advocate"/>
        <s v="RAJANI ASSOCIATES"/>
        <s v="Rajdeep Panda"/>
        <s v="Rajeev K. Virmani"/>
        <s v="Rashmikant and Partners"/>
        <s v="Ratan Kumar Singh"/>
        <s v="Reliance Corporate Advisors (R)"/>
        <s v="REMFRY &amp; SAGAR CONSULTANT PVT LTD"/>
        <s v="RHP Partners"/>
        <s v="Rithin Rai"/>
        <s v="Rohan Shah"/>
        <s v="Rohan Talwar"/>
        <s v="Rohit Gupta"/>
        <s v="Rohit Sharma"/>
        <s v="Roshan Santhalia"/>
        <s v="RPV LEGAL"/>
        <s v="RRG &amp; Associates"/>
        <s v="RUNWAL ENTERPRISES LIMITED"/>
        <s v="S Arjun Suresh"/>
        <s v="S C Sharada &amp; Associates| Company Secretaries"/>
        <s v="S Priya"/>
        <s v="SACH &amp; THARAAS ADVOCATES"/>
        <s v="SAGA LEGAL"/>
        <s v="Sagar Ghogre"/>
        <s v="Sagar Sheth"/>
        <s v="Sahil Singh"/>
        <s v="Sajal Awasthi"/>
        <s v="Sajan Poovayya"/>
        <s v="Samar Bansal"/>
        <s v="Samya Law Chambers"/>
        <s v="Sandip Agarwal and Co."/>
        <s v="Sanjay Udeshi &amp; Co"/>
        <s v="Santosh"/>
        <s v="Saqeb Mahbub"/>
        <s v="Saraf and Partners"/>
        <s v="Sarthak Advocates &amp; Solicitors"/>
        <s v="Sarvottam Law Offices"/>
        <s v="Saswat Mohanty"/>
        <s v="Saurabh Prakash"/>
        <s v="Shamik Sanjanwala"/>
        <s v="Shashwat Bajpai"/>
        <s v="Shiraz Rustomjee"/>
        <s v="Shobit Phutela"/>
        <s v="Shreeyash Lalit"/>
        <s v="Shrey Lodha"/>
        <s v="Shreya Desai"/>
        <s v="Shri Venkatesh SKV law offices"/>
        <s v="Shyam Kapadia"/>
        <s v="Siddhant Makkar"/>
        <s v="Singularity Legal LLP"/>
        <s v="SINHA &amp; COMPANY"/>
        <s v="Sir Sobha Singh &amp; Sons Pvt Ltd"/>
        <s v="SK Singhi and Partners"/>
        <s v="SKR &amp; associates"/>
        <s v="Sneha Phene"/>
        <s v="Solaris Legal"/>
        <s v="Solicitors India Law Offices"/>
        <s v="SomÂ Sinha &amp; Associates"/>
        <s v="Sourish Roy"/>
        <s v="Spark Legal"/>
        <s v="SRCO Legal / Salvador Raghav &amp; Co."/>
        <s v="Srivastava &amp; Company"/>
        <s v="Stride Legal"/>
        <s v="Sudhanshu Kumar"/>
        <s v="Sundeep Karnik"/>
        <s v="Surel Shah"/>
        <s v="Svarniti Law Offices"/>
        <s v="Swapna Sheshadri"/>
        <s v="Swapnil Wagh"/>
        <s v="Talha Abdul Rahman"/>
        <s v="Tarun G Reddy"/>
        <s v="Tatva Legal Hyderabad"/>
        <s v="Tejas Bhide"/>
        <s v="Tejeshwar Singh"/>
        <s v="The Guild | Advocates &amp; Associate Counsel"/>
        <s v="Tipping Mr Pink Private Limited"/>
        <s v="TLH, Advocates &amp; Solicitors"/>
        <s v="Touchstone Partners"/>
        <s v="TREELIFE VENTURES SERVICES PRIVATE LIMITED"/>
        <s v="TRILOK POWER AND CABLES PRIVATE LIMITED"/>
        <s v="Trust Law Advocate &amp; Solicitors"/>
        <s v="Tuli &amp; Co."/>
        <s v="Tushar Jarwal"/>
        <s v="Tvashta Law"/>
        <s v="U. S. GANDHI &amp; CO."/>
        <s v="Udai V. S. Rathore"/>
        <s v="Udyam Law Practice"/>
        <s v="Ujjwal Sharma"/>
        <s v="Utkarsh Joshi"/>
        <s v="VACUITAS COUNSELLOR LLP"/>
        <s v="Vaish Associates"/>
        <s v="Vardharma Chambers"/>
        <s v="Venkatesh Dhond"/>
        <s v="Venkatesh Mohanraj"/>
        <s v="Veritas Legal Advocates and Solicitors"/>
        <s v="Vesta Legal"/>
        <s v="Vidhii Partners"/>
        <s v="Vidhittas Legal"/>
        <s v="Vijay Manjreka"/>
        <s v="Vikas Mehta"/>
        <s v="Vinayak Sharma"/>
        <s v="Virmani &amp; Virmani"/>
        <s v="Vis Legis Law Practice"/>
        <s v="Vishal Kanade"/>
        <s v="Vivek Anand Anthony Britto"/>
        <s v="Vrinda Taneja"/>
        <s v="Vritti Law Partners"/>
        <s v="Vutts &amp; AssociatesÂ LLP"/>
        <s v="Vyom Shah"/>
        <s v="Wadia Ghandy &amp; Co."/>
        <s v="Yakshay Chheda"/>
        <s v="Yash Momaya"/>
        <s v="ZEUS Law Associates"/>
        <s v="Zoheb Hossain"/>
        <s v="Zubin Behramkamdin"/>
        <s v="Zulfiqar Jariwala"/>
        <m/>
      </sharedItems>
    </cacheField>
    <cacheField name="Taxable Value" uniqueList="1" numFmtId="0" sqlType="0" hierarchy="0" level="0" databaseField="1">
      <sharedItems count="289" containsBlank="1" containsNumber="1" containsString="0" minValue="-209576" maxValue="2592000">
        <n v="-209576"/>
        <n v="-129600"/>
        <n v="-92540"/>
        <n v="-84000"/>
        <n v="-25000"/>
        <n v="-22881"/>
        <n v="-21600"/>
        <n v="-20000"/>
        <n v="-15000"/>
        <n v="-10000"/>
        <n v="-5833.9"/>
        <n v="-5516"/>
        <n v="-5000"/>
        <n v="-1400"/>
        <n v="1"/>
        <n v="200"/>
        <n v="422.88"/>
        <n v="423"/>
        <n v="796"/>
        <n v="842"/>
        <n v="846"/>
        <n v="850"/>
        <n v="1264"/>
        <n v="1295"/>
        <n v="1394"/>
        <n v="1489"/>
        <n v="1493"/>
        <n v="1675"/>
        <n v="1684"/>
        <n v="1685"/>
        <n v="1691"/>
        <n v="1889"/>
        <n v="2000"/>
        <n v="2095"/>
        <n v="2106"/>
        <n v="2114"/>
        <n v="2114.4"/>
        <n v="2117.8"/>
        <n v="2118"/>
        <n v="2293"/>
        <n v="2392"/>
        <n v="2447"/>
        <n v="2491"/>
        <n v="2499"/>
        <n v="2500"/>
        <n v="2537"/>
        <n v="2541"/>
        <n v="2586"/>
        <n v="2708"/>
        <n v="2964"/>
        <n v="3000"/>
        <n v="3039"/>
        <n v="3378"/>
        <n v="3379"/>
        <n v="3386"/>
        <n v="3388.98"/>
        <n v="3389"/>
        <n v="3389.83"/>
        <n v="3687"/>
        <n v="3786"/>
        <n v="3999"/>
        <n v="4000"/>
        <n v="4237"/>
        <n v="4237.29"/>
        <n v="4487"/>
        <n v="4500"/>
        <n v="4652"/>
        <n v="4990"/>
        <n v="4999"/>
        <n v="5000"/>
        <n v="5084.75"/>
        <n v="5085"/>
        <n v="5481"/>
        <n v="5497"/>
        <n v="5501"/>
        <n v="5683"/>
        <n v="6000"/>
        <n v="6250"/>
        <n v="6347"/>
        <n v="6692"/>
        <n v="6753"/>
        <n v="6772.88"/>
        <n v="6773"/>
        <n v="6779.66"/>
        <n v="6780"/>
        <n v="7000"/>
        <n v="7199"/>
        <n v="7199.16"/>
        <n v="7374"/>
        <n v="7473"/>
        <n v="7500"/>
        <n v="7846"/>
        <n v="8000"/>
        <n v="8474.58"/>
        <n v="8475"/>
        <n v="8657"/>
        <n v="8729"/>
        <n v="9000"/>
        <n v="9069"/>
        <n v="9164"/>
        <n v="9267"/>
        <n v="9739.84"/>
        <n v="9999"/>
        <n v="10000"/>
        <n v="10970.69"/>
        <n v="11032"/>
        <n v="11032.26"/>
        <n v="11086.47"/>
        <n v="11400"/>
        <n v="11431"/>
        <n v="12000"/>
        <n v="12277"/>
        <n v="12500"/>
        <n v="12712"/>
        <n v="13000"/>
        <n v="13200"/>
        <n v="14000"/>
        <n v="15000"/>
        <n v="16000"/>
        <n v="16200"/>
        <n v="16258.06"/>
        <n v="16336"/>
        <n v="16949"/>
        <n v="16949.15"/>
        <n v="16950"/>
        <n v="17500"/>
        <n v="17781"/>
        <n v="17781.4"/>
        <n v="18000"/>
        <n v="19068"/>
        <n v="19236"/>
        <n v="19330"/>
        <n v="20000"/>
        <n v="21000"/>
        <n v="21186.44"/>
        <n v="21600"/>
        <n v="22034"/>
        <n v="22881"/>
        <n v="24000"/>
        <n v="25000"/>
        <n v="25423.73"/>
        <n v="25424"/>
        <n v="26193.55"/>
        <n v="27000"/>
        <n v="27119"/>
        <n v="28000"/>
        <n v="29166.1"/>
        <n v="29661"/>
        <n v="29661.02"/>
        <n v="30000"/>
        <n v="31144"/>
        <n v="31271.19"/>
        <n v="31500"/>
        <n v="32000"/>
        <n v="32500"/>
        <n v="33864"/>
        <n v="33898"/>
        <n v="33898.4"/>
        <n v="35000"/>
        <n v="35003"/>
        <n v="35313.85"/>
        <n v="36000"/>
        <n v="36450"/>
        <n v="36900"/>
        <n v="37500"/>
        <n v="37800"/>
        <n v="38000"/>
        <n v="40000"/>
        <n v="40500"/>
        <n v="40668"/>
        <n v="42372.88"/>
        <n v="42373"/>
        <n v="42500"/>
        <n v="44068"/>
        <n v="44916"/>
        <n v="45000"/>
        <n v="45762.71"/>
        <n v="45763"/>
        <n v="49998"/>
        <n v="50000"/>
        <n v="50847.46"/>
        <n v="54000"/>
        <n v="55000"/>
        <n v="55085"/>
        <n v="56000"/>
        <n v="59322"/>
        <n v="59322.03"/>
        <n v="59500"/>
        <n v="60000"/>
        <n v="60004"/>
        <n v="60169.49"/>
        <n v="63000"/>
        <n v="63559"/>
        <n v="64800"/>
        <n v="67000"/>
        <n v="67500"/>
        <n v="67796.61"/>
        <n v="67797"/>
        <n v="68000"/>
        <n v="69281"/>
        <n v="69492"/>
        <n v="70000"/>
        <n v="72033.89999999999"/>
        <n v="75000"/>
        <n v="76271"/>
        <n v="80000"/>
        <n v="80400"/>
        <n v="81000"/>
        <n v="84000"/>
        <n v="85000"/>
        <n v="85500"/>
        <n v="86987"/>
        <n v="90000"/>
        <n v="91525"/>
        <n v="92540"/>
        <n v="96522"/>
        <n v="99000"/>
        <n v="100000"/>
        <n v="100002"/>
        <n v="103500"/>
        <n v="108000"/>
        <n v="110169"/>
        <n v="110169.5"/>
        <n v="118750"/>
        <n v="120000"/>
        <n v="122034"/>
        <n v="124200"/>
        <n v="126000"/>
        <n v="129600"/>
        <n v="133650"/>
        <n v="137288"/>
        <n v="138000"/>
        <n v="140000"/>
        <n v="142373"/>
        <n v="144000"/>
        <n v="146994"/>
        <n v="148305"/>
        <n v="150000"/>
        <n v="150012"/>
        <n v="150720"/>
        <n v="151200"/>
        <n v="152000"/>
        <n v="153116.13"/>
        <n v="160000"/>
        <n v="161017"/>
        <n v="162000"/>
        <n v="169491.53"/>
        <n v="171000"/>
        <n v="172800"/>
        <n v="180000"/>
        <n v="184593"/>
        <n v="195000"/>
        <n v="202500"/>
        <n v="205000"/>
        <n v="209576"/>
        <n v="211864.41"/>
        <n v="216000"/>
        <n v="240000"/>
        <n v="255000"/>
        <n v="259207"/>
        <n v="270000"/>
        <n v="299988"/>
        <n v="300000"/>
        <n v="302400"/>
        <n v="315000"/>
        <n v="343328"/>
        <n v="360819"/>
        <n v="405000"/>
        <n v="407440.8"/>
        <n v="415254.24"/>
        <n v="420000"/>
        <n v="486000"/>
        <n v="493220"/>
        <n v="538909"/>
        <n v="600000"/>
        <n v="720000"/>
        <n v="729000"/>
        <n v="826200"/>
        <n v="831384"/>
        <n v="993600"/>
        <n v="1008000"/>
        <n v="1015200"/>
        <n v="1050000"/>
        <n v="1101600"/>
        <n v="1263600"/>
        <n v="1266000"/>
        <n v="1458000"/>
        <n v="2592000"/>
        <m/>
      </sharedItems>
    </cacheField>
    <cacheField name="Total Tax" uniqueList="1" numFmtId="0" sqlType="0" hierarchy="0" level="0" databaseField="1">
      <sharedItems count="249" containsBlank="1" containsNumber="1" containsString="0" minValue="-37723.68" maxValue="466560">
        <n v="-37723.68"/>
        <n v="-23328"/>
        <n v="-16657.2"/>
        <n v="-15120"/>
        <n v="-4500"/>
        <n v="-4119"/>
        <n v="-3888"/>
        <n v="-3600"/>
        <n v="-2700"/>
        <n v="-1800"/>
        <n v="-1050.102"/>
        <n v="-993"/>
        <n v="-900"/>
        <n v="-252"/>
        <n v="0"/>
        <n v="36"/>
        <n v="76"/>
        <n v="76.11839999999999"/>
        <n v="152"/>
        <n v="154"/>
        <n v="228"/>
        <n v="302"/>
        <n v="304"/>
        <n v="360"/>
        <n v="380"/>
        <n v="380.592"/>
        <n v="381"/>
        <n v="381.204"/>
        <n v="382"/>
        <n v="440"/>
        <n v="450"/>
        <n v="456"/>
        <n v="458"/>
        <n v="487.44"/>
        <n v="533"/>
        <n v="534"/>
        <n v="540"/>
        <n v="548"/>
        <n v="608"/>
        <n v="610"/>
        <n v="610.0164"/>
        <n v="610.1694"/>
        <n v="720"/>
        <n v="762"/>
        <n v="762.7122000000001"/>
        <n v="763"/>
        <n v="810"/>
        <n v="838"/>
        <n v="900"/>
        <n v="915"/>
        <n v="915.255"/>
        <n v="990"/>
        <n v="1080"/>
        <n v="1125"/>
        <n v="1142"/>
        <n v="1204"/>
        <n v="1216"/>
        <n v="1219.1184"/>
        <n v="1220"/>
        <n v="1220.3388"/>
        <n v="1260"/>
        <n v="1295.8488"/>
        <n v="1296"/>
        <n v="1350"/>
        <n v="1412"/>
        <n v="1440"/>
        <n v="1525"/>
        <n v="1525.4244"/>
        <n v="1526"/>
        <n v="1571"/>
        <n v="1571.22"/>
        <n v="1620"/>
        <n v="1753.1712"/>
        <n v="1800"/>
        <n v="1974.7242"/>
        <n v="1985.8068"/>
        <n v="1986"/>
        <n v="1995.5646"/>
        <n v="2052"/>
        <n v="2058"/>
        <n v="2160"/>
        <n v="2210"/>
        <n v="2250"/>
        <n v="2288"/>
        <n v="2340"/>
        <n v="2376"/>
        <n v="2520"/>
        <n v="2700"/>
        <n v="2880"/>
        <n v="2916"/>
        <n v="2926.4508"/>
        <n v="3050.847"/>
        <n v="3051"/>
        <n v="3150"/>
        <n v="3200"/>
        <n v="3200.652"/>
        <n v="3240"/>
        <n v="3432"/>
        <n v="3462"/>
        <n v="3600"/>
        <n v="3780"/>
        <n v="3813.5592"/>
        <n v="3888"/>
        <n v="3966"/>
        <n v="4119"/>
        <n v="4320"/>
        <n v="4500"/>
        <n v="4576"/>
        <n v="4576.2714"/>
        <n v="4714.839"/>
        <n v="4860"/>
        <n v="4881"/>
        <n v="5040"/>
        <n v="5249.898"/>
        <n v="5338.9836"/>
        <n v="5339"/>
        <n v="5400"/>
        <n v="5606"/>
        <n v="5628.8142"/>
        <n v="5670"/>
        <n v="5760"/>
        <n v="5850"/>
        <n v="6096"/>
        <n v="6101.712"/>
        <n v="6102"/>
        <n v="6300"/>
        <n v="6301"/>
        <n v="6356.493"/>
        <n v="6480"/>
        <n v="6561"/>
        <n v="6750"/>
        <n v="6804"/>
        <n v="6840"/>
        <n v="7200"/>
        <n v="7290"/>
        <n v="7320"/>
        <n v="7627"/>
        <n v="7627.1184"/>
        <n v="7650"/>
        <n v="7932"/>
        <n v="8085"/>
        <n v="8100"/>
        <n v="8237"/>
        <n v="8237.2878"/>
        <n v="9000"/>
        <n v="9152.542799999999"/>
        <n v="9720"/>
        <n v="9900"/>
        <n v="9915"/>
        <n v="10080"/>
        <n v="10677.9654"/>
        <n v="10678"/>
        <n v="10710"/>
        <n v="10800"/>
        <n v="10801"/>
        <n v="10830.5082"/>
        <n v="11340"/>
        <n v="11441"/>
        <n v="11664"/>
        <n v="12060"/>
        <n v="12150"/>
        <n v="12203"/>
        <n v="12203.3898"/>
        <n v="12240"/>
        <n v="12471"/>
        <n v="12508"/>
        <n v="12600"/>
        <n v="12966.102"/>
        <n v="13500"/>
        <n v="13729"/>
        <n v="14400"/>
        <n v="14472"/>
        <n v="14580"/>
        <n v="15120"/>
        <n v="15300"/>
        <n v="15390"/>
        <n v="16200"/>
        <n v="16475"/>
        <n v="16657"/>
        <n v="17374"/>
        <n v="17820"/>
        <n v="18000"/>
        <n v="18000.36"/>
        <n v="18630"/>
        <n v="19440"/>
        <n v="19830.51"/>
        <n v="19831"/>
        <n v="21375"/>
        <n v="21600"/>
        <n v="21966"/>
        <n v="22356"/>
        <n v="22680"/>
        <n v="23328"/>
        <n v="24057"/>
        <n v="24712"/>
        <n v="24840"/>
        <n v="25200"/>
        <n v="25627"/>
        <n v="25920"/>
        <n v="26695"/>
        <n v="27000"/>
        <n v="27002"/>
        <n v="27130"/>
        <n v="27216"/>
        <n v="27360"/>
        <n v="27560.9034"/>
        <n v="28800"/>
        <n v="28983"/>
        <n v="29160"/>
        <n v="30508.4754"/>
        <n v="30780"/>
        <n v="31104"/>
        <n v="32400"/>
        <n v="33227"/>
        <n v="36450"/>
        <n v="36900"/>
        <n v="37723.68"/>
        <n v="38135.5938"/>
        <n v="38880"/>
        <n v="43200"/>
        <n v="45900"/>
        <n v="46657"/>
        <n v="48600"/>
        <n v="53998"/>
        <n v="54000"/>
        <n v="54432"/>
        <n v="56700"/>
        <n v="61799.04"/>
        <n v="72900"/>
        <n v="73339.344"/>
        <n v="74745.7632"/>
        <n v="75600"/>
        <n v="87480"/>
        <n v="88780"/>
        <n v="108000"/>
        <n v="129600"/>
        <n v="131220"/>
        <n v="148716"/>
        <n v="149649"/>
        <n v="178848"/>
        <n v="181440"/>
        <n v="182736"/>
        <n v="189000"/>
        <n v="198288"/>
        <n v="227448"/>
        <n v="227880"/>
        <n v="262440"/>
        <n v="466560"/>
        <m/>
      </sharedItems>
    </cacheField>
    <cacheField name="Total" uniqueList="1" numFmtId="0" sqlType="0" hierarchy="0" level="0" databaseField="1">
      <sharedItems count="293" containsBlank="1" containsNumber="1" containsString="0" minValue="-247299.68" maxValue="3058560">
        <n v="-247299.68"/>
        <n v="-152928"/>
        <n v="-109197.2"/>
        <n v="-99120"/>
        <n v="-29500"/>
        <n v="-27000"/>
        <n v="-25488"/>
        <n v="-23600"/>
        <n v="-17700"/>
        <n v="-11800"/>
        <n v="-6884.002"/>
        <n v="-6509"/>
        <n v="-5900"/>
        <n v="-1652"/>
        <n v="236"/>
        <n v="498.9984"/>
        <n v="499"/>
        <n v="796"/>
        <n v="993"/>
        <n v="994"/>
        <n v="998"/>
        <n v="1003"/>
        <n v="1295"/>
        <n v="1394"/>
        <n v="1489"/>
        <n v="1492"/>
        <n v="1493"/>
        <n v="1688"/>
        <n v="1691"/>
        <n v="1889"/>
        <n v="1976"/>
        <n v="1987"/>
        <n v="1988"/>
        <n v="2095"/>
        <n v="2293"/>
        <n v="2360"/>
        <n v="2392"/>
        <n v="2485"/>
        <n v="2491"/>
        <n v="2494.992"/>
        <n v="2495"/>
        <n v="2499"/>
        <n v="2499.004"/>
        <n v="2586"/>
        <n v="2887"/>
        <n v="2950"/>
        <n v="2994"/>
        <n v="2998"/>
        <n v="3195.44"/>
        <n v="3497"/>
        <n v="3540"/>
        <n v="3586"/>
        <n v="3687"/>
        <n v="3786"/>
        <n v="3986"/>
        <n v="3987"/>
        <n v="3996"/>
        <n v="3998.9964"/>
        <n v="3999"/>
        <n v="3999.9994"/>
        <n v="4487"/>
        <n v="4720"/>
        <n v="4990"/>
        <n v="4999"/>
        <n v="5000"/>
        <n v="5000.0022"/>
        <n v="5310"/>
        <n v="5481"/>
        <n v="5489"/>
        <n v="5683"/>
        <n v="5900"/>
        <n v="6000"/>
        <n v="6000.005"/>
        <n v="6487"/>
        <n v="6491"/>
        <n v="6780"/>
        <n v="7080"/>
        <n v="7374"/>
        <n v="7375"/>
        <n v="7473"/>
        <n v="7489"/>
        <n v="7896"/>
        <n v="7969"/>
        <n v="7991.9984"/>
        <n v="7992"/>
        <n v="7999.9988"/>
        <n v="8000"/>
        <n v="8260"/>
        <n v="8495"/>
        <n v="8495.0088"/>
        <n v="8657"/>
        <n v="8850"/>
        <n v="9069"/>
        <n v="9164"/>
        <n v="9258"/>
        <n v="9267"/>
        <n v="9440"/>
        <n v="10000"/>
        <n v="10000.0044"/>
        <n v="10300"/>
        <n v="10300.22"/>
        <n v="10620"/>
        <n v="11493.0112"/>
        <n v="11799"/>
        <n v="11800"/>
        <n v="12945.4142"/>
        <n v="13018"/>
        <n v="13018.0668"/>
        <n v="13082.0346"/>
        <n v="13452"/>
        <n v="13489"/>
        <n v="14160"/>
        <n v="14487"/>
        <n v="14750"/>
        <n v="15000"/>
        <n v="15340"/>
        <n v="15576"/>
        <n v="16336"/>
        <n v="16520"/>
        <n v="17700"/>
        <n v="18880"/>
        <n v="19116"/>
        <n v="19184.5108"/>
        <n v="19330"/>
        <n v="19999.997"/>
        <n v="20000"/>
        <n v="20001"/>
        <n v="20650"/>
        <n v="20982"/>
        <n v="20982.052"/>
        <n v="21240"/>
        <n v="22500"/>
        <n v="22698"/>
        <n v="23600"/>
        <n v="24780"/>
        <n v="24999.9992"/>
        <n v="25488"/>
        <n v="26000"/>
        <n v="27000"/>
        <n v="28320"/>
        <n v="29500"/>
        <n v="30000"/>
        <n v="30000.0014"/>
        <n v="30908.389"/>
        <n v="31860"/>
        <n v="32000"/>
        <n v="33040"/>
        <n v="34415.998"/>
        <n v="35000"/>
        <n v="35000.0036"/>
        <n v="35400"/>
        <n v="36750"/>
        <n v="36900"/>
        <n v="36900.0042"/>
        <n v="37170"/>
        <n v="37760"/>
        <n v="38350"/>
        <n v="39960"/>
        <n v="40000"/>
        <n v="40000.112"/>
        <n v="41300"/>
        <n v="41303"/>
        <n v="41670.343"/>
        <n v="42480"/>
        <n v="43011"/>
        <n v="44250"/>
        <n v="44604"/>
        <n v="44840"/>
        <n v="45000"/>
        <n v="47200"/>
        <n v="47790"/>
        <n v="47988"/>
        <n v="49998"/>
        <n v="49999.9984"/>
        <n v="50000"/>
        <n v="50150"/>
        <n v="52000"/>
        <n v="53000"/>
        <n v="53100"/>
        <n v="53999.9978"/>
        <n v="54000"/>
        <n v="59000"/>
        <n v="60000"/>
        <n v="60000.0028"/>
        <n v="63720"/>
        <n v="64900"/>
        <n v="65000"/>
        <n v="66080"/>
        <n v="69999.9954"/>
        <n v="70000"/>
        <n v="70210"/>
        <n v="70800"/>
        <n v="70805"/>
        <n v="70999.9982"/>
        <n v="74340"/>
        <n v="75000"/>
        <n v="76464"/>
        <n v="79060"/>
        <n v="79650"/>
        <n v="79999.99980000001"/>
        <n v="80000"/>
        <n v="80240"/>
        <n v="81752"/>
        <n v="82000"/>
        <n v="82600"/>
        <n v="85000.00199999999"/>
        <n v="86987"/>
        <n v="88500"/>
        <n v="90000"/>
        <n v="94400"/>
        <n v="94872"/>
        <n v="95580"/>
        <n v="99120"/>
        <n v="100300"/>
        <n v="100890"/>
        <n v="106200"/>
        <n v="108000"/>
        <n v="109197"/>
        <n v="113896"/>
        <n v="116820"/>
        <n v="118000"/>
        <n v="118002.36"/>
        <n v="120000"/>
        <n v="122130"/>
        <n v="127440"/>
        <n v="130000"/>
        <n v="130000.01"/>
        <n v="140125"/>
        <n v="141600"/>
        <n v="144000"/>
        <n v="146556"/>
        <n v="146994"/>
        <n v="148680"/>
        <n v="152928"/>
        <n v="157707"/>
        <n v="162000"/>
        <n v="162840"/>
        <n v="165200"/>
        <n v="168000"/>
        <n v="169920"/>
        <n v="175000"/>
        <n v="177000"/>
        <n v="177014"/>
        <n v="177850"/>
        <n v="178416"/>
        <n v="179360"/>
        <n v="180677.0334"/>
        <n v="188800"/>
        <n v="190000"/>
        <n v="191160"/>
        <n v="195000"/>
        <n v="200000.0054"/>
        <n v="201780"/>
        <n v="203904"/>
        <n v="212400"/>
        <n v="217819"/>
        <n v="238950"/>
        <n v="241900"/>
        <n v="247299.68"/>
        <n v="250000.0038"/>
        <n v="254880"/>
        <n v="283200"/>
        <n v="300900"/>
        <n v="305864"/>
        <n v="318600"/>
        <n v="353986"/>
        <n v="354000"/>
        <n v="356832"/>
        <n v="360819"/>
        <n v="371700"/>
        <n v="405127.04"/>
        <n v="477900"/>
        <n v="480780.144"/>
        <n v="490000.0032"/>
        <n v="495600"/>
        <n v="538909"/>
        <n v="573480"/>
        <n v="582000"/>
        <n v="708000"/>
        <n v="849600"/>
        <n v="860220"/>
        <n v="974916"/>
        <n v="981033"/>
        <n v="1172448"/>
        <n v="1189440"/>
        <n v="1197936"/>
        <n v="1239000"/>
        <n v="1299888"/>
        <n v="1491048"/>
        <n v="1493880"/>
        <n v="1720440"/>
        <n v="3058560"/>
        <m/>
      </sharedItems>
    </cacheField>
    <cacheField name="Nature" uniqueList="1" numFmtId="0" sqlType="0" hierarchy="0" level="0" databaseField="1">
      <sharedItems count="3" containsBlank="1">
        <s v="B2B"/>
        <s v="B2C"/>
        <m/>
      </sharedItems>
    </cacheField>
  </cacheFields>
</pivotCacheDefinition>
</file>

<file path=xl/pivotCache/pivotCacheRecords1.xml><?xml version="1.0" encoding="utf-8"?>
<pivotCacheRecords xmlns="http://schemas.openxmlformats.org/spreadsheetml/2006/main" count="409">
  <r>
    <x v="0"/>
    <x v="6"/>
    <x v="276"/>
    <x v="71"/>
    <x v="2"/>
    <x v="55"/>
    <x v="51"/>
    <x v="13"/>
    <x v="76"/>
    <x v="39"/>
    <x v="52"/>
    <x v="17"/>
    <x v="26"/>
    <x v="88"/>
    <x v="27"/>
    <x v="109"/>
    <x v="55"/>
    <x v="26"/>
    <x v="120"/>
    <x v="99"/>
    <x v="27"/>
    <x v="171"/>
    <x v="0"/>
    <x v="0"/>
    <x v="0"/>
    <x v="25"/>
    <x v="127"/>
    <x v="175"/>
    <x v="0"/>
    <x v="0"/>
    <x v="0"/>
  </r>
  <r>
    <x v="6"/>
    <x v="6"/>
    <x v="46"/>
    <x v="72"/>
    <x v="2"/>
    <x v="55"/>
    <x v="35"/>
    <x v="10"/>
    <x v="47"/>
    <x v="35"/>
    <x v="47"/>
    <x v="12"/>
    <x v="26"/>
    <x v="81"/>
    <x v="27"/>
    <x v="100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6"/>
    <x v="292"/>
    <x v="73"/>
    <x v="2"/>
    <x v="56"/>
    <x v="95"/>
    <x v="18"/>
    <x v="175"/>
    <x v="52"/>
    <x v="66"/>
    <x v="27"/>
    <x v="25"/>
    <x v="102"/>
    <x v="27"/>
    <x v="124"/>
    <x v="72"/>
    <x v="26"/>
    <x v="135"/>
    <x v="96"/>
    <x v="27"/>
    <x v="168"/>
    <x v="27"/>
    <x v="104"/>
    <x v="164"/>
    <x v="23"/>
    <x v="122"/>
    <x v="169"/>
    <x v="0"/>
    <x v="0"/>
    <x v="0"/>
  </r>
  <r>
    <x v="0"/>
    <x v="13"/>
    <x v="151"/>
    <x v="74"/>
    <x v="2"/>
    <x v="55"/>
    <x v="35"/>
    <x v="9"/>
    <x v="76"/>
    <x v="47"/>
    <x v="60"/>
    <x v="12"/>
    <x v="26"/>
    <x v="97"/>
    <x v="27"/>
    <x v="118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6"/>
    <x v="287"/>
    <x v="75"/>
    <x v="2"/>
    <x v="57"/>
    <x v="151"/>
    <x v="24"/>
    <x v="103"/>
    <x v="18"/>
    <x v="25"/>
    <x v="38"/>
    <x v="24"/>
    <x v="53"/>
    <x v="27"/>
    <x v="63"/>
    <x v="26"/>
    <x v="26"/>
    <x v="72"/>
    <x v="36"/>
    <x v="27"/>
    <x v="96"/>
    <x v="27"/>
    <x v="40"/>
    <x v="86"/>
    <x v="23"/>
    <x v="46"/>
    <x v="85"/>
    <x v="0"/>
    <x v="0"/>
    <x v="0"/>
  </r>
  <r>
    <x v="7"/>
    <x v="6"/>
    <x v="282"/>
    <x v="76"/>
    <x v="1"/>
    <x v="55"/>
    <x v="20"/>
    <x v="0"/>
    <x v="1"/>
    <x v="3"/>
    <x v="69"/>
    <x v="6"/>
    <x v="26"/>
    <x v="13"/>
    <x v="0"/>
    <x v="0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6"/>
    <x v="283"/>
    <x v="77"/>
    <x v="2"/>
    <x v="58"/>
    <x v="38"/>
    <x v="10"/>
    <x v="15"/>
    <x v="8"/>
    <x v="10"/>
    <x v="12"/>
    <x v="21"/>
    <x v="26"/>
    <x v="27"/>
    <x v="33"/>
    <x v="75"/>
    <x v="5"/>
    <x v="7"/>
    <x v="99"/>
    <x v="27"/>
    <x v="171"/>
    <x v="0"/>
    <x v="0"/>
    <x v="0"/>
    <x v="25"/>
    <x v="127"/>
    <x v="175"/>
    <x v="0"/>
    <x v="0"/>
    <x v="0"/>
  </r>
  <r>
    <x v="8"/>
    <x v="6"/>
    <x v="10"/>
    <x v="78"/>
    <x v="2"/>
    <x v="65"/>
    <x v="26"/>
    <x v="0"/>
    <x v="7"/>
    <x v="10"/>
    <x v="1"/>
    <x v="6"/>
    <x v="13"/>
    <x v="22"/>
    <x v="11"/>
    <x v="19"/>
    <x v="75"/>
    <x v="27"/>
    <x v="0"/>
    <x v="99"/>
    <x v="29"/>
    <x v="0"/>
    <x v="0"/>
    <x v="0"/>
    <x v="0"/>
    <x v="25"/>
    <x v="127"/>
    <x v="175"/>
    <x v="0"/>
    <x v="0"/>
    <x v="0"/>
  </r>
  <r>
    <x v="0"/>
    <x v="6"/>
    <x v="73"/>
    <x v="79"/>
    <x v="2"/>
    <x v="59"/>
    <x v="153"/>
    <x v="24"/>
    <x v="76"/>
    <x v="10"/>
    <x v="14"/>
    <x v="38"/>
    <x v="20"/>
    <x v="33"/>
    <x v="27"/>
    <x v="40"/>
    <x v="12"/>
    <x v="26"/>
    <x v="45"/>
    <x v="16"/>
    <x v="27"/>
    <x v="60"/>
    <x v="27"/>
    <x v="20"/>
    <x v="54"/>
    <x v="23"/>
    <x v="24"/>
    <x v="53"/>
    <x v="0"/>
    <x v="0"/>
    <x v="0"/>
  </r>
  <r>
    <x v="0"/>
    <x v="6"/>
    <x v="286"/>
    <x v="80"/>
    <x v="2"/>
    <x v="59"/>
    <x v="39"/>
    <x v="10"/>
    <x v="9"/>
    <x v="5"/>
    <x v="6"/>
    <x v="12"/>
    <x v="20"/>
    <x v="18"/>
    <x v="27"/>
    <x v="24"/>
    <x v="75"/>
    <x v="6"/>
    <x v="6"/>
    <x v="99"/>
    <x v="27"/>
    <x v="171"/>
    <x v="0"/>
    <x v="0"/>
    <x v="0"/>
    <x v="25"/>
    <x v="127"/>
    <x v="175"/>
    <x v="0"/>
    <x v="0"/>
    <x v="0"/>
  </r>
  <r>
    <x v="0"/>
    <x v="6"/>
    <x v="130"/>
    <x v="81"/>
    <x v="2"/>
    <x v="59"/>
    <x v="39"/>
    <x v="10"/>
    <x v="4"/>
    <x v="3"/>
    <x v="4"/>
    <x v="12"/>
    <x v="20"/>
    <x v="7"/>
    <x v="27"/>
    <x v="16"/>
    <x v="75"/>
    <x v="6"/>
    <x v="3"/>
    <x v="99"/>
    <x v="27"/>
    <x v="171"/>
    <x v="0"/>
    <x v="0"/>
    <x v="0"/>
    <x v="25"/>
    <x v="127"/>
    <x v="175"/>
    <x v="0"/>
    <x v="0"/>
    <x v="0"/>
  </r>
  <r>
    <x v="0"/>
    <x v="25"/>
    <x v="11"/>
    <x v="0"/>
    <x v="2"/>
    <x v="15"/>
    <x v="117"/>
    <x v="23"/>
    <x v="152"/>
    <x v="44"/>
    <x v="57"/>
    <x v="38"/>
    <x v="26"/>
    <x v="95"/>
    <x v="27"/>
    <x v="114"/>
    <x v="59"/>
    <x v="26"/>
    <x v="124"/>
    <x v="78"/>
    <x v="27"/>
    <x v="151"/>
    <x v="27"/>
    <x v="83"/>
    <x v="143"/>
    <x v="23"/>
    <x v="92"/>
    <x v="143"/>
    <x v="0"/>
    <x v="0"/>
    <x v="0"/>
  </r>
  <r>
    <x v="6"/>
    <x v="6"/>
    <x v="211"/>
    <x v="82"/>
    <x v="2"/>
    <x v="60"/>
    <x v="23"/>
    <x v="0"/>
    <x v="37"/>
    <x v="41"/>
    <x v="69"/>
    <x v="6"/>
    <x v="18"/>
    <x v="80"/>
    <x v="7"/>
    <x v="47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6"/>
    <x v="290"/>
    <x v="83"/>
    <x v="2"/>
    <x v="37"/>
    <x v="82"/>
    <x v="18"/>
    <x v="99"/>
    <x v="33"/>
    <x v="45"/>
    <x v="24"/>
    <x v="26"/>
    <x v="77"/>
    <x v="27"/>
    <x v="96"/>
    <x v="47"/>
    <x v="26"/>
    <x v="104"/>
    <x v="63"/>
    <x v="27"/>
    <x v="132"/>
    <x v="23"/>
    <x v="0"/>
    <x v="115"/>
    <x v="25"/>
    <x v="127"/>
    <x v="175"/>
    <x v="0"/>
    <x v="0"/>
    <x v="0"/>
  </r>
  <r>
    <x v="0"/>
    <x v="40"/>
    <x v="103"/>
    <x v="42"/>
    <x v="2"/>
    <x v="40"/>
    <x v="23"/>
    <x v="9"/>
    <x v="36"/>
    <x v="22"/>
    <x v="69"/>
    <x v="13"/>
    <x v="26"/>
    <x v="62"/>
    <x v="7"/>
    <x v="23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6"/>
    <x v="206"/>
    <x v="84"/>
    <x v="2"/>
    <x v="60"/>
    <x v="154"/>
    <x v="24"/>
    <x v="129"/>
    <x v="30"/>
    <x v="39"/>
    <x v="38"/>
    <x v="18"/>
    <x v="58"/>
    <x v="27"/>
    <x v="89"/>
    <x v="41"/>
    <x v="26"/>
    <x v="97"/>
    <x v="56"/>
    <x v="27"/>
    <x v="123"/>
    <x v="27"/>
    <x v="62"/>
    <x v="114"/>
    <x v="23"/>
    <x v="68"/>
    <x v="115"/>
    <x v="0"/>
    <x v="0"/>
    <x v="0"/>
  </r>
  <r>
    <x v="0"/>
    <x v="16"/>
    <x v="268"/>
    <x v="85"/>
    <x v="2"/>
    <x v="60"/>
    <x v="75"/>
    <x v="15"/>
    <x v="59"/>
    <x v="22"/>
    <x v="30"/>
    <x v="21"/>
    <x v="18"/>
    <x v="49"/>
    <x v="27"/>
    <x v="73"/>
    <x v="31"/>
    <x v="26"/>
    <x v="79"/>
    <x v="43"/>
    <x v="27"/>
    <x v="104"/>
    <x v="9"/>
    <x v="109"/>
    <x v="24"/>
    <x v="25"/>
    <x v="127"/>
    <x v="175"/>
    <x v="0"/>
    <x v="0"/>
    <x v="0"/>
  </r>
  <r>
    <x v="0"/>
    <x v="6"/>
    <x v="303"/>
    <x v="86"/>
    <x v="2"/>
    <x v="61"/>
    <x v="57"/>
    <x v="13"/>
    <x v="47"/>
    <x v="22"/>
    <x v="30"/>
    <x v="17"/>
    <x v="17"/>
    <x v="47"/>
    <x v="27"/>
    <x v="74"/>
    <x v="31"/>
    <x v="26"/>
    <x v="81"/>
    <x v="99"/>
    <x v="9"/>
    <x v="37"/>
    <x v="0"/>
    <x v="0"/>
    <x v="0"/>
    <x v="25"/>
    <x v="127"/>
    <x v="175"/>
    <x v="0"/>
    <x v="0"/>
    <x v="0"/>
  </r>
  <r>
    <x v="0"/>
    <x v="24"/>
    <x v="63"/>
    <x v="29"/>
    <x v="2"/>
    <x v="30"/>
    <x v="130"/>
    <x v="26"/>
    <x v="141"/>
    <x v="37"/>
    <x v="49"/>
    <x v="38"/>
    <x v="26"/>
    <x v="84"/>
    <x v="27"/>
    <x v="105"/>
    <x v="51"/>
    <x v="26"/>
    <x v="112"/>
    <x v="68"/>
    <x v="27"/>
    <x v="140"/>
    <x v="27"/>
    <x v="74"/>
    <x v="132"/>
    <x v="23"/>
    <x v="81"/>
    <x v="133"/>
    <x v="0"/>
    <x v="0"/>
    <x v="0"/>
  </r>
  <r>
    <x v="0"/>
    <x v="6"/>
    <x v="164"/>
    <x v="87"/>
    <x v="2"/>
    <x v="61"/>
    <x v="57"/>
    <x v="13"/>
    <x v="27"/>
    <x v="10"/>
    <x v="14"/>
    <x v="17"/>
    <x v="17"/>
    <x v="28"/>
    <x v="27"/>
    <x v="41"/>
    <x v="12"/>
    <x v="26"/>
    <x v="46"/>
    <x v="99"/>
    <x v="9"/>
    <x v="17"/>
    <x v="0"/>
    <x v="0"/>
    <x v="0"/>
    <x v="25"/>
    <x v="127"/>
    <x v="175"/>
    <x v="0"/>
    <x v="0"/>
    <x v="0"/>
  </r>
  <r>
    <x v="6"/>
    <x v="6"/>
    <x v="291"/>
    <x v="88"/>
    <x v="2"/>
    <x v="62"/>
    <x v="24"/>
    <x v="0"/>
    <x v="7"/>
    <x v="10"/>
    <x v="69"/>
    <x v="6"/>
    <x v="16"/>
    <x v="27"/>
    <x v="9"/>
    <x v="11"/>
    <x v="75"/>
    <x v="26"/>
    <x v="138"/>
    <x v="99"/>
    <x v="27"/>
    <x v="171"/>
    <x v="0"/>
    <x v="0"/>
    <x v="0"/>
    <x v="25"/>
    <x v="127"/>
    <x v="175"/>
    <x v="0"/>
    <x v="0"/>
    <x v="0"/>
  </r>
  <r>
    <x v="6"/>
    <x v="6"/>
    <x v="113"/>
    <x v="89"/>
    <x v="2"/>
    <x v="62"/>
    <x v="24"/>
    <x v="0"/>
    <x v="9"/>
    <x v="13"/>
    <x v="69"/>
    <x v="6"/>
    <x v="16"/>
    <x v="34"/>
    <x v="9"/>
    <x v="17"/>
    <x v="75"/>
    <x v="26"/>
    <x v="138"/>
    <x v="99"/>
    <x v="27"/>
    <x v="171"/>
    <x v="0"/>
    <x v="0"/>
    <x v="0"/>
    <x v="25"/>
    <x v="127"/>
    <x v="175"/>
    <x v="0"/>
    <x v="0"/>
    <x v="0"/>
  </r>
  <r>
    <x v="6"/>
    <x v="6"/>
    <x v="20"/>
    <x v="90"/>
    <x v="2"/>
    <x v="62"/>
    <x v="24"/>
    <x v="0"/>
    <x v="7"/>
    <x v="10"/>
    <x v="69"/>
    <x v="6"/>
    <x v="16"/>
    <x v="27"/>
    <x v="9"/>
    <x v="11"/>
    <x v="75"/>
    <x v="26"/>
    <x v="138"/>
    <x v="99"/>
    <x v="27"/>
    <x v="171"/>
    <x v="0"/>
    <x v="0"/>
    <x v="0"/>
    <x v="25"/>
    <x v="127"/>
    <x v="175"/>
    <x v="0"/>
    <x v="0"/>
    <x v="0"/>
  </r>
  <r>
    <x v="6"/>
    <x v="6"/>
    <x v="42"/>
    <x v="91"/>
    <x v="2"/>
    <x v="63"/>
    <x v="25"/>
    <x v="0"/>
    <x v="7"/>
    <x v="10"/>
    <x v="69"/>
    <x v="6"/>
    <x v="15"/>
    <x v="25"/>
    <x v="10"/>
    <x v="15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6"/>
    <x v="214"/>
    <x v="92"/>
    <x v="2"/>
    <x v="64"/>
    <x v="156"/>
    <x v="24"/>
    <x v="145"/>
    <x v="38"/>
    <x v="51"/>
    <x v="38"/>
    <x v="14"/>
    <x v="65"/>
    <x v="27"/>
    <x v="106"/>
    <x v="54"/>
    <x v="26"/>
    <x v="116"/>
    <x v="71"/>
    <x v="27"/>
    <x v="145"/>
    <x v="27"/>
    <x v="77"/>
    <x v="136"/>
    <x v="23"/>
    <x v="85"/>
    <x v="136"/>
    <x v="0"/>
    <x v="0"/>
    <x v="0"/>
  </r>
  <r>
    <x v="0"/>
    <x v="17"/>
    <x v="275"/>
    <x v="93"/>
    <x v="2"/>
    <x v="65"/>
    <x v="60"/>
    <x v="12"/>
    <x v="165"/>
    <x v="51"/>
    <x v="65"/>
    <x v="17"/>
    <x v="13"/>
    <x v="101"/>
    <x v="27"/>
    <x v="123"/>
    <x v="71"/>
    <x v="26"/>
    <x v="134"/>
    <x v="99"/>
    <x v="13"/>
    <x v="164"/>
    <x v="0"/>
    <x v="0"/>
    <x v="0"/>
    <x v="25"/>
    <x v="127"/>
    <x v="175"/>
    <x v="0"/>
    <x v="0"/>
    <x v="0"/>
  </r>
  <r>
    <x v="0"/>
    <x v="6"/>
    <x v="249"/>
    <x v="94"/>
    <x v="2"/>
    <x v="65"/>
    <x v="97"/>
    <x v="18"/>
    <x v="54"/>
    <x v="13"/>
    <x v="19"/>
    <x v="26"/>
    <x v="13"/>
    <x v="26"/>
    <x v="27"/>
    <x v="46"/>
    <x v="18"/>
    <x v="26"/>
    <x v="55"/>
    <x v="24"/>
    <x v="27"/>
    <x v="76"/>
    <x v="27"/>
    <x v="28"/>
    <x v="71"/>
    <x v="23"/>
    <x v="35"/>
    <x v="68"/>
    <x v="0"/>
    <x v="0"/>
    <x v="0"/>
  </r>
  <r>
    <x v="0"/>
    <x v="6"/>
    <x v="69"/>
    <x v="95"/>
    <x v="2"/>
    <x v="65"/>
    <x v="43"/>
    <x v="10"/>
    <x v="36"/>
    <x v="22"/>
    <x v="30"/>
    <x v="13"/>
    <x v="13"/>
    <x v="42"/>
    <x v="27"/>
    <x v="70"/>
    <x v="75"/>
    <x v="14"/>
    <x v="42"/>
    <x v="99"/>
    <x v="27"/>
    <x v="171"/>
    <x v="0"/>
    <x v="0"/>
    <x v="0"/>
    <x v="25"/>
    <x v="127"/>
    <x v="175"/>
    <x v="0"/>
    <x v="0"/>
    <x v="0"/>
  </r>
  <r>
    <x v="0"/>
    <x v="18"/>
    <x v="209"/>
    <x v="96"/>
    <x v="2"/>
    <x v="65"/>
    <x v="157"/>
    <x v="26"/>
    <x v="141"/>
    <x v="37"/>
    <x v="49"/>
    <x v="38"/>
    <x v="13"/>
    <x v="59"/>
    <x v="27"/>
    <x v="105"/>
    <x v="51"/>
    <x v="26"/>
    <x v="112"/>
    <x v="68"/>
    <x v="27"/>
    <x v="140"/>
    <x v="27"/>
    <x v="74"/>
    <x v="132"/>
    <x v="23"/>
    <x v="81"/>
    <x v="133"/>
    <x v="0"/>
    <x v="0"/>
    <x v="0"/>
  </r>
  <r>
    <x v="0"/>
    <x v="39"/>
    <x v="307"/>
    <x v="97"/>
    <x v="2"/>
    <x v="66"/>
    <x v="27"/>
    <x v="0"/>
    <x v="20"/>
    <x v="22"/>
    <x v="69"/>
    <x v="6"/>
    <x v="12"/>
    <x v="41"/>
    <x v="12"/>
    <x v="38"/>
    <x v="0"/>
    <x v="26"/>
    <x v="0"/>
    <x v="0"/>
    <x v="27"/>
    <x v="0"/>
    <x v="0"/>
    <x v="0"/>
    <x v="0"/>
    <x v="25"/>
    <x v="127"/>
    <x v="175"/>
    <x v="0"/>
    <x v="0"/>
    <x v="0"/>
  </r>
  <r>
    <x v="6"/>
    <x v="6"/>
    <x v="58"/>
    <x v="98"/>
    <x v="2"/>
    <x v="66"/>
    <x v="27"/>
    <x v="0"/>
    <x v="27"/>
    <x v="35"/>
    <x v="69"/>
    <x v="6"/>
    <x v="12"/>
    <x v="51"/>
    <x v="12"/>
    <x v="52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6"/>
    <x v="177"/>
    <x v="99"/>
    <x v="2"/>
    <x v="76"/>
    <x v="163"/>
    <x v="24"/>
    <x v="86"/>
    <x v="54"/>
    <x v="17"/>
    <x v="38"/>
    <x v="0"/>
    <x v="0"/>
    <x v="27"/>
    <x v="44"/>
    <x v="16"/>
    <x v="26"/>
    <x v="51"/>
    <x v="22"/>
    <x v="27"/>
    <x v="67"/>
    <x v="27"/>
    <x v="25"/>
    <x v="62"/>
    <x v="23"/>
    <x v="32"/>
    <x v="60"/>
    <x v="0"/>
    <x v="0"/>
    <x v="0"/>
  </r>
  <r>
    <x v="6"/>
    <x v="6"/>
    <x v="1"/>
    <x v="100"/>
    <x v="2"/>
    <x v="67"/>
    <x v="28"/>
    <x v="0"/>
    <x v="7"/>
    <x v="10"/>
    <x v="69"/>
    <x v="7"/>
    <x v="11"/>
    <x v="15"/>
    <x v="14"/>
    <x v="23"/>
    <x v="75"/>
    <x v="26"/>
    <x v="138"/>
    <x v="99"/>
    <x v="27"/>
    <x v="171"/>
    <x v="0"/>
    <x v="0"/>
    <x v="0"/>
    <x v="25"/>
    <x v="127"/>
    <x v="175"/>
    <x v="0"/>
    <x v="0"/>
    <x v="0"/>
  </r>
  <r>
    <x v="6"/>
    <x v="6"/>
    <x v="231"/>
    <x v="101"/>
    <x v="2"/>
    <x v="64"/>
    <x v="26"/>
    <x v="0"/>
    <x v="36"/>
    <x v="39"/>
    <x v="69"/>
    <x v="7"/>
    <x v="14"/>
    <x v="68"/>
    <x v="11"/>
    <x v="68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6"/>
    <x v="225"/>
    <x v="102"/>
    <x v="2"/>
    <x v="68"/>
    <x v="158"/>
    <x v="24"/>
    <x v="127"/>
    <x v="28"/>
    <x v="37"/>
    <x v="38"/>
    <x v="8"/>
    <x v="30"/>
    <x v="27"/>
    <x v="86"/>
    <x v="39"/>
    <x v="26"/>
    <x v="94"/>
    <x v="54"/>
    <x v="27"/>
    <x v="120"/>
    <x v="27"/>
    <x v="60"/>
    <x v="111"/>
    <x v="23"/>
    <x v="66"/>
    <x v="112"/>
    <x v="0"/>
    <x v="0"/>
    <x v="0"/>
  </r>
  <r>
    <x v="0"/>
    <x v="6"/>
    <x v="34"/>
    <x v="103"/>
    <x v="2"/>
    <x v="70"/>
    <x v="64"/>
    <x v="13"/>
    <x v="40"/>
    <x v="17"/>
    <x v="24"/>
    <x v="16"/>
    <x v="6"/>
    <x v="11"/>
    <x v="27"/>
    <x v="57"/>
    <x v="25"/>
    <x v="26"/>
    <x v="69"/>
    <x v="99"/>
    <x v="20"/>
    <x v="69"/>
    <x v="0"/>
    <x v="0"/>
    <x v="0"/>
    <x v="25"/>
    <x v="127"/>
    <x v="175"/>
    <x v="0"/>
    <x v="0"/>
    <x v="0"/>
  </r>
  <r>
    <x v="8"/>
    <x v="17"/>
    <x v="198"/>
    <x v="104"/>
    <x v="2"/>
    <x v="69"/>
    <x v="30"/>
    <x v="0"/>
    <x v="27"/>
    <x v="35"/>
    <x v="69"/>
    <x v="6"/>
    <x v="7"/>
    <x v="36"/>
    <x v="18"/>
    <x v="79"/>
    <x v="75"/>
    <x v="27"/>
    <x v="138"/>
    <x v="99"/>
    <x v="29"/>
    <x v="171"/>
    <x v="0"/>
    <x v="0"/>
    <x v="0"/>
    <x v="25"/>
    <x v="127"/>
    <x v="175"/>
    <x v="0"/>
    <x v="0"/>
    <x v="0"/>
  </r>
  <r>
    <x v="6"/>
    <x v="6"/>
    <x v="261"/>
    <x v="105"/>
    <x v="2"/>
    <x v="70"/>
    <x v="31"/>
    <x v="0"/>
    <x v="20"/>
    <x v="22"/>
    <x v="69"/>
    <x v="6"/>
    <x v="6"/>
    <x v="20"/>
    <x v="19"/>
    <x v="53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6"/>
    <x v="44"/>
    <x v="106"/>
    <x v="2"/>
    <x v="70"/>
    <x v="65"/>
    <x v="13"/>
    <x v="47"/>
    <x v="22"/>
    <x v="30"/>
    <x v="18"/>
    <x v="6"/>
    <x v="19"/>
    <x v="27"/>
    <x v="71"/>
    <x v="31"/>
    <x v="26"/>
    <x v="76"/>
    <x v="99"/>
    <x v="22"/>
    <x v="91"/>
    <x v="0"/>
    <x v="0"/>
    <x v="0"/>
    <x v="25"/>
    <x v="127"/>
    <x v="175"/>
    <x v="0"/>
    <x v="0"/>
    <x v="0"/>
  </r>
  <r>
    <x v="0"/>
    <x v="6"/>
    <x v="123"/>
    <x v="107"/>
    <x v="2"/>
    <x v="73"/>
    <x v="161"/>
    <x v="24"/>
    <x v="128"/>
    <x v="29"/>
    <x v="38"/>
    <x v="38"/>
    <x v="3"/>
    <x v="9"/>
    <x v="27"/>
    <x v="88"/>
    <x v="40"/>
    <x v="26"/>
    <x v="96"/>
    <x v="55"/>
    <x v="27"/>
    <x v="122"/>
    <x v="27"/>
    <x v="61"/>
    <x v="113"/>
    <x v="23"/>
    <x v="67"/>
    <x v="114"/>
    <x v="0"/>
    <x v="0"/>
    <x v="0"/>
  </r>
  <r>
    <x v="0"/>
    <x v="6"/>
    <x v="254"/>
    <x v="108"/>
    <x v="2"/>
    <x v="71"/>
    <x v="159"/>
    <x v="24"/>
    <x v="137"/>
    <x v="34"/>
    <x v="46"/>
    <x v="38"/>
    <x v="5"/>
    <x v="24"/>
    <x v="27"/>
    <x v="97"/>
    <x v="48"/>
    <x v="26"/>
    <x v="105"/>
    <x v="64"/>
    <x v="27"/>
    <x v="133"/>
    <x v="27"/>
    <x v="70"/>
    <x v="126"/>
    <x v="23"/>
    <x v="77"/>
    <x v="126"/>
    <x v="0"/>
    <x v="0"/>
    <x v="0"/>
  </r>
  <r>
    <x v="0"/>
    <x v="6"/>
    <x v="64"/>
    <x v="109"/>
    <x v="2"/>
    <x v="71"/>
    <x v="159"/>
    <x v="24"/>
    <x v="38"/>
    <x v="1"/>
    <x v="2"/>
    <x v="38"/>
    <x v="5"/>
    <x v="3"/>
    <x v="27"/>
    <x v="12"/>
    <x v="1"/>
    <x v="26"/>
    <x v="14"/>
    <x v="3"/>
    <x v="27"/>
    <x v="20"/>
    <x v="27"/>
    <x v="4"/>
    <x v="12"/>
    <x v="23"/>
    <x v="4"/>
    <x v="14"/>
    <x v="0"/>
    <x v="0"/>
    <x v="0"/>
  </r>
  <r>
    <x v="0"/>
    <x v="6"/>
    <x v="232"/>
    <x v="110"/>
    <x v="2"/>
    <x v="71"/>
    <x v="159"/>
    <x v="24"/>
    <x v="38"/>
    <x v="1"/>
    <x v="2"/>
    <x v="38"/>
    <x v="5"/>
    <x v="3"/>
    <x v="27"/>
    <x v="12"/>
    <x v="1"/>
    <x v="26"/>
    <x v="14"/>
    <x v="3"/>
    <x v="27"/>
    <x v="20"/>
    <x v="27"/>
    <x v="4"/>
    <x v="12"/>
    <x v="23"/>
    <x v="4"/>
    <x v="14"/>
    <x v="0"/>
    <x v="0"/>
    <x v="0"/>
  </r>
  <r>
    <x v="0"/>
    <x v="6"/>
    <x v="59"/>
    <x v="111"/>
    <x v="2"/>
    <x v="71"/>
    <x v="159"/>
    <x v="24"/>
    <x v="38"/>
    <x v="1"/>
    <x v="2"/>
    <x v="38"/>
    <x v="5"/>
    <x v="3"/>
    <x v="27"/>
    <x v="12"/>
    <x v="1"/>
    <x v="26"/>
    <x v="14"/>
    <x v="3"/>
    <x v="27"/>
    <x v="20"/>
    <x v="27"/>
    <x v="4"/>
    <x v="12"/>
    <x v="23"/>
    <x v="4"/>
    <x v="14"/>
    <x v="0"/>
    <x v="0"/>
    <x v="0"/>
  </r>
  <r>
    <x v="0"/>
    <x v="6"/>
    <x v="257"/>
    <x v="112"/>
    <x v="2"/>
    <x v="71"/>
    <x v="159"/>
    <x v="24"/>
    <x v="38"/>
    <x v="1"/>
    <x v="2"/>
    <x v="38"/>
    <x v="5"/>
    <x v="3"/>
    <x v="27"/>
    <x v="12"/>
    <x v="1"/>
    <x v="26"/>
    <x v="14"/>
    <x v="3"/>
    <x v="27"/>
    <x v="20"/>
    <x v="27"/>
    <x v="4"/>
    <x v="12"/>
    <x v="23"/>
    <x v="4"/>
    <x v="14"/>
    <x v="0"/>
    <x v="0"/>
    <x v="0"/>
  </r>
  <r>
    <x v="0"/>
    <x v="6"/>
    <x v="98"/>
    <x v="113"/>
    <x v="2"/>
    <x v="71"/>
    <x v="159"/>
    <x v="24"/>
    <x v="38"/>
    <x v="1"/>
    <x v="2"/>
    <x v="38"/>
    <x v="5"/>
    <x v="3"/>
    <x v="27"/>
    <x v="12"/>
    <x v="1"/>
    <x v="26"/>
    <x v="14"/>
    <x v="3"/>
    <x v="27"/>
    <x v="20"/>
    <x v="27"/>
    <x v="4"/>
    <x v="12"/>
    <x v="23"/>
    <x v="4"/>
    <x v="14"/>
    <x v="0"/>
    <x v="0"/>
    <x v="0"/>
  </r>
  <r>
    <x v="0"/>
    <x v="6"/>
    <x v="311"/>
    <x v="114"/>
    <x v="2"/>
    <x v="71"/>
    <x v="159"/>
    <x v="24"/>
    <x v="38"/>
    <x v="1"/>
    <x v="2"/>
    <x v="38"/>
    <x v="5"/>
    <x v="3"/>
    <x v="27"/>
    <x v="12"/>
    <x v="1"/>
    <x v="26"/>
    <x v="14"/>
    <x v="3"/>
    <x v="27"/>
    <x v="20"/>
    <x v="27"/>
    <x v="4"/>
    <x v="12"/>
    <x v="23"/>
    <x v="4"/>
    <x v="14"/>
    <x v="0"/>
    <x v="0"/>
    <x v="0"/>
  </r>
  <r>
    <x v="0"/>
    <x v="6"/>
    <x v="156"/>
    <x v="115"/>
    <x v="2"/>
    <x v="71"/>
    <x v="159"/>
    <x v="24"/>
    <x v="38"/>
    <x v="1"/>
    <x v="2"/>
    <x v="38"/>
    <x v="5"/>
    <x v="3"/>
    <x v="27"/>
    <x v="12"/>
    <x v="1"/>
    <x v="26"/>
    <x v="14"/>
    <x v="3"/>
    <x v="27"/>
    <x v="20"/>
    <x v="27"/>
    <x v="4"/>
    <x v="12"/>
    <x v="23"/>
    <x v="4"/>
    <x v="14"/>
    <x v="0"/>
    <x v="0"/>
    <x v="0"/>
  </r>
  <r>
    <x v="0"/>
    <x v="6"/>
    <x v="233"/>
    <x v="116"/>
    <x v="2"/>
    <x v="71"/>
    <x v="159"/>
    <x v="24"/>
    <x v="38"/>
    <x v="1"/>
    <x v="2"/>
    <x v="38"/>
    <x v="5"/>
    <x v="3"/>
    <x v="27"/>
    <x v="12"/>
    <x v="1"/>
    <x v="26"/>
    <x v="14"/>
    <x v="3"/>
    <x v="27"/>
    <x v="20"/>
    <x v="27"/>
    <x v="4"/>
    <x v="12"/>
    <x v="23"/>
    <x v="4"/>
    <x v="14"/>
    <x v="0"/>
    <x v="0"/>
    <x v="0"/>
  </r>
  <r>
    <x v="0"/>
    <x v="6"/>
    <x v="152"/>
    <x v="117"/>
    <x v="2"/>
    <x v="71"/>
    <x v="159"/>
    <x v="24"/>
    <x v="38"/>
    <x v="1"/>
    <x v="2"/>
    <x v="38"/>
    <x v="5"/>
    <x v="3"/>
    <x v="27"/>
    <x v="12"/>
    <x v="1"/>
    <x v="26"/>
    <x v="14"/>
    <x v="3"/>
    <x v="27"/>
    <x v="20"/>
    <x v="27"/>
    <x v="4"/>
    <x v="12"/>
    <x v="23"/>
    <x v="4"/>
    <x v="14"/>
    <x v="0"/>
    <x v="0"/>
    <x v="0"/>
  </r>
  <r>
    <x v="0"/>
    <x v="15"/>
    <x v="195"/>
    <x v="118"/>
    <x v="2"/>
    <x v="71"/>
    <x v="159"/>
    <x v="24"/>
    <x v="0"/>
    <x v="0"/>
    <x v="1"/>
    <x v="38"/>
    <x v="5"/>
    <x v="0"/>
    <x v="27"/>
    <x v="0"/>
    <x v="0"/>
    <x v="26"/>
    <x v="0"/>
    <x v="0"/>
    <x v="27"/>
    <x v="0"/>
    <x v="27"/>
    <x v="0"/>
    <x v="0"/>
    <x v="23"/>
    <x v="0"/>
    <x v="0"/>
    <x v="0"/>
    <x v="0"/>
    <x v="0"/>
  </r>
  <r>
    <x v="0"/>
    <x v="6"/>
    <x v="13"/>
    <x v="119"/>
    <x v="2"/>
    <x v="74"/>
    <x v="67"/>
    <x v="13"/>
    <x v="92"/>
    <x v="45"/>
    <x v="58"/>
    <x v="17"/>
    <x v="2"/>
    <x v="21"/>
    <x v="27"/>
    <x v="115"/>
    <x v="60"/>
    <x v="26"/>
    <x v="125"/>
    <x v="99"/>
    <x v="25"/>
    <x v="149"/>
    <x v="0"/>
    <x v="0"/>
    <x v="0"/>
    <x v="25"/>
    <x v="127"/>
    <x v="175"/>
    <x v="0"/>
    <x v="0"/>
    <x v="0"/>
  </r>
  <r>
    <x v="0"/>
    <x v="6"/>
    <x v="106"/>
    <x v="120"/>
    <x v="2"/>
    <x v="71"/>
    <x v="47"/>
    <x v="10"/>
    <x v="59"/>
    <x v="39"/>
    <x v="52"/>
    <x v="12"/>
    <x v="5"/>
    <x v="35"/>
    <x v="27"/>
    <x v="108"/>
    <x v="75"/>
    <x v="21"/>
    <x v="108"/>
    <x v="99"/>
    <x v="29"/>
    <x v="171"/>
    <x v="28"/>
    <x v="109"/>
    <x v="168"/>
    <x v="25"/>
    <x v="127"/>
    <x v="175"/>
    <x v="0"/>
    <x v="0"/>
    <x v="0"/>
  </r>
  <r>
    <x v="6"/>
    <x v="6"/>
    <x v="37"/>
    <x v="121"/>
    <x v="2"/>
    <x v="72"/>
    <x v="33"/>
    <x v="0"/>
    <x v="20"/>
    <x v="22"/>
    <x v="69"/>
    <x v="7"/>
    <x v="4"/>
    <x v="8"/>
    <x v="22"/>
    <x v="62"/>
    <x v="75"/>
    <x v="26"/>
    <x v="138"/>
    <x v="99"/>
    <x v="27"/>
    <x v="171"/>
    <x v="0"/>
    <x v="0"/>
    <x v="0"/>
    <x v="25"/>
    <x v="127"/>
    <x v="175"/>
    <x v="0"/>
    <x v="0"/>
    <x v="0"/>
  </r>
  <r>
    <x v="9"/>
    <x v="18"/>
    <x v="201"/>
    <x v="122"/>
    <x v="2"/>
    <x v="72"/>
    <x v="160"/>
    <x v="26"/>
    <x v="126"/>
    <x v="27"/>
    <x v="36"/>
    <x v="38"/>
    <x v="4"/>
    <x v="12"/>
    <x v="28"/>
    <x v="122"/>
    <x v="38"/>
    <x v="26"/>
    <x v="93"/>
    <x v="53"/>
    <x v="27"/>
    <x v="119"/>
    <x v="27"/>
    <x v="59"/>
    <x v="109"/>
    <x v="23"/>
    <x v="65"/>
    <x v="110"/>
    <x v="0"/>
    <x v="0"/>
    <x v="0"/>
  </r>
  <r>
    <x v="0"/>
    <x v="28"/>
    <x v="243"/>
    <x v="123"/>
    <x v="2"/>
    <x v="26"/>
    <x v="128"/>
    <x v="27"/>
    <x v="120"/>
    <x v="25"/>
    <x v="34"/>
    <x v="39"/>
    <x v="26"/>
    <x v="69"/>
    <x v="27"/>
    <x v="81"/>
    <x v="36"/>
    <x v="26"/>
    <x v="88"/>
    <x v="49"/>
    <x v="27"/>
    <x v="114"/>
    <x v="27"/>
    <x v="54"/>
    <x v="103"/>
    <x v="23"/>
    <x v="60"/>
    <x v="104"/>
    <x v="0"/>
    <x v="0"/>
    <x v="0"/>
  </r>
  <r>
    <x v="0"/>
    <x v="6"/>
    <x v="53"/>
    <x v="124"/>
    <x v="2"/>
    <x v="52"/>
    <x v="150"/>
    <x v="24"/>
    <x v="137"/>
    <x v="34"/>
    <x v="46"/>
    <x v="39"/>
    <x v="26"/>
    <x v="76"/>
    <x v="27"/>
    <x v="95"/>
    <x v="48"/>
    <x v="26"/>
    <x v="103"/>
    <x v="64"/>
    <x v="27"/>
    <x v="131"/>
    <x v="27"/>
    <x v="70"/>
    <x v="125"/>
    <x v="23"/>
    <x v="77"/>
    <x v="125"/>
    <x v="0"/>
    <x v="0"/>
    <x v="0"/>
  </r>
  <r>
    <x v="0"/>
    <x v="6"/>
    <x v="255"/>
    <x v="125"/>
    <x v="2"/>
    <x v="52"/>
    <x v="150"/>
    <x v="24"/>
    <x v="151"/>
    <x v="43"/>
    <x v="56"/>
    <x v="39"/>
    <x v="26"/>
    <x v="94"/>
    <x v="27"/>
    <x v="113"/>
    <x v="58"/>
    <x v="26"/>
    <x v="123"/>
    <x v="77"/>
    <x v="27"/>
    <x v="150"/>
    <x v="27"/>
    <x v="82"/>
    <x v="142"/>
    <x v="23"/>
    <x v="91"/>
    <x v="142"/>
    <x v="0"/>
    <x v="0"/>
    <x v="0"/>
  </r>
  <r>
    <x v="6"/>
    <x v="6"/>
    <x v="52"/>
    <x v="126"/>
    <x v="2"/>
    <x v="75"/>
    <x v="34"/>
    <x v="0"/>
    <x v="4"/>
    <x v="8"/>
    <x v="69"/>
    <x v="6"/>
    <x v="1"/>
    <x v="2"/>
    <x v="24"/>
    <x v="30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18"/>
    <x v="256"/>
    <x v="127"/>
    <x v="2"/>
    <x v="60"/>
    <x v="154"/>
    <x v="26"/>
    <x v="106"/>
    <x v="20"/>
    <x v="28"/>
    <x v="38"/>
    <x v="18"/>
    <x v="44"/>
    <x v="27"/>
    <x v="67"/>
    <x v="28"/>
    <x v="26"/>
    <x v="73"/>
    <x v="38"/>
    <x v="27"/>
    <x v="98"/>
    <x v="27"/>
    <x v="42"/>
    <x v="89"/>
    <x v="23"/>
    <x v="48"/>
    <x v="87"/>
    <x v="0"/>
    <x v="0"/>
    <x v="0"/>
  </r>
  <r>
    <x v="0"/>
    <x v="14"/>
    <x v="263"/>
    <x v="128"/>
    <x v="2"/>
    <x v="75"/>
    <x v="162"/>
    <x v="25"/>
    <x v="85"/>
    <x v="11"/>
    <x v="16"/>
    <x v="38"/>
    <x v="1"/>
    <x v="4"/>
    <x v="27"/>
    <x v="43"/>
    <x v="15"/>
    <x v="26"/>
    <x v="50"/>
    <x v="21"/>
    <x v="27"/>
    <x v="66"/>
    <x v="27"/>
    <x v="24"/>
    <x v="61"/>
    <x v="23"/>
    <x v="31"/>
    <x v="59"/>
    <x v="0"/>
    <x v="0"/>
    <x v="0"/>
  </r>
  <r>
    <x v="0"/>
    <x v="6"/>
    <x v="193"/>
    <x v="129"/>
    <x v="2"/>
    <x v="75"/>
    <x v="162"/>
    <x v="24"/>
    <x v="39"/>
    <x v="2"/>
    <x v="3"/>
    <x v="38"/>
    <x v="1"/>
    <x v="1"/>
    <x v="27"/>
    <x v="13"/>
    <x v="2"/>
    <x v="26"/>
    <x v="15"/>
    <x v="4"/>
    <x v="27"/>
    <x v="21"/>
    <x v="27"/>
    <x v="5"/>
    <x v="13"/>
    <x v="23"/>
    <x v="5"/>
    <x v="15"/>
    <x v="0"/>
    <x v="0"/>
    <x v="0"/>
  </r>
  <r>
    <x v="0"/>
    <x v="6"/>
    <x v="84"/>
    <x v="130"/>
    <x v="2"/>
    <x v="75"/>
    <x v="162"/>
    <x v="24"/>
    <x v="39"/>
    <x v="2"/>
    <x v="3"/>
    <x v="38"/>
    <x v="1"/>
    <x v="1"/>
    <x v="27"/>
    <x v="13"/>
    <x v="2"/>
    <x v="26"/>
    <x v="15"/>
    <x v="4"/>
    <x v="27"/>
    <x v="21"/>
    <x v="27"/>
    <x v="5"/>
    <x v="13"/>
    <x v="23"/>
    <x v="5"/>
    <x v="15"/>
    <x v="0"/>
    <x v="0"/>
    <x v="0"/>
  </r>
  <r>
    <x v="0"/>
    <x v="6"/>
    <x v="134"/>
    <x v="131"/>
    <x v="2"/>
    <x v="75"/>
    <x v="162"/>
    <x v="24"/>
    <x v="39"/>
    <x v="2"/>
    <x v="3"/>
    <x v="38"/>
    <x v="1"/>
    <x v="1"/>
    <x v="27"/>
    <x v="13"/>
    <x v="2"/>
    <x v="26"/>
    <x v="15"/>
    <x v="4"/>
    <x v="27"/>
    <x v="21"/>
    <x v="27"/>
    <x v="5"/>
    <x v="13"/>
    <x v="23"/>
    <x v="5"/>
    <x v="15"/>
    <x v="0"/>
    <x v="0"/>
    <x v="0"/>
  </r>
  <r>
    <x v="0"/>
    <x v="6"/>
    <x v="127"/>
    <x v="132"/>
    <x v="2"/>
    <x v="75"/>
    <x v="162"/>
    <x v="24"/>
    <x v="39"/>
    <x v="2"/>
    <x v="3"/>
    <x v="38"/>
    <x v="1"/>
    <x v="1"/>
    <x v="27"/>
    <x v="13"/>
    <x v="2"/>
    <x v="26"/>
    <x v="15"/>
    <x v="4"/>
    <x v="27"/>
    <x v="21"/>
    <x v="27"/>
    <x v="5"/>
    <x v="13"/>
    <x v="23"/>
    <x v="5"/>
    <x v="15"/>
    <x v="0"/>
    <x v="0"/>
    <x v="0"/>
  </r>
  <r>
    <x v="0"/>
    <x v="6"/>
    <x v="178"/>
    <x v="133"/>
    <x v="2"/>
    <x v="75"/>
    <x v="162"/>
    <x v="24"/>
    <x v="39"/>
    <x v="2"/>
    <x v="3"/>
    <x v="38"/>
    <x v="1"/>
    <x v="1"/>
    <x v="27"/>
    <x v="13"/>
    <x v="2"/>
    <x v="26"/>
    <x v="15"/>
    <x v="4"/>
    <x v="27"/>
    <x v="21"/>
    <x v="27"/>
    <x v="5"/>
    <x v="13"/>
    <x v="23"/>
    <x v="5"/>
    <x v="15"/>
    <x v="0"/>
    <x v="0"/>
    <x v="0"/>
  </r>
  <r>
    <x v="0"/>
    <x v="6"/>
    <x v="25"/>
    <x v="134"/>
    <x v="2"/>
    <x v="75"/>
    <x v="162"/>
    <x v="24"/>
    <x v="39"/>
    <x v="2"/>
    <x v="3"/>
    <x v="38"/>
    <x v="1"/>
    <x v="1"/>
    <x v="27"/>
    <x v="13"/>
    <x v="2"/>
    <x v="26"/>
    <x v="15"/>
    <x v="4"/>
    <x v="27"/>
    <x v="21"/>
    <x v="27"/>
    <x v="5"/>
    <x v="13"/>
    <x v="23"/>
    <x v="5"/>
    <x v="15"/>
    <x v="0"/>
    <x v="0"/>
    <x v="0"/>
  </r>
  <r>
    <x v="0"/>
    <x v="26"/>
    <x v="88"/>
    <x v="135"/>
    <x v="2"/>
    <x v="75"/>
    <x v="162"/>
    <x v="23"/>
    <x v="139"/>
    <x v="36"/>
    <x v="48"/>
    <x v="38"/>
    <x v="26"/>
    <x v="82"/>
    <x v="27"/>
    <x v="101"/>
    <x v="50"/>
    <x v="26"/>
    <x v="107"/>
    <x v="66"/>
    <x v="27"/>
    <x v="136"/>
    <x v="27"/>
    <x v="72"/>
    <x v="129"/>
    <x v="23"/>
    <x v="79"/>
    <x v="129"/>
    <x v="0"/>
    <x v="0"/>
    <x v="0"/>
  </r>
  <r>
    <x v="0"/>
    <x v="6"/>
    <x v="128"/>
    <x v="136"/>
    <x v="2"/>
    <x v="75"/>
    <x v="104"/>
    <x v="18"/>
    <x v="54"/>
    <x v="13"/>
    <x v="19"/>
    <x v="26"/>
    <x v="1"/>
    <x v="5"/>
    <x v="27"/>
    <x v="46"/>
    <x v="18"/>
    <x v="26"/>
    <x v="55"/>
    <x v="24"/>
    <x v="27"/>
    <x v="76"/>
    <x v="27"/>
    <x v="28"/>
    <x v="71"/>
    <x v="23"/>
    <x v="35"/>
    <x v="68"/>
    <x v="0"/>
    <x v="0"/>
    <x v="0"/>
  </r>
  <r>
    <x v="6"/>
    <x v="6"/>
    <x v="240"/>
    <x v="137"/>
    <x v="2"/>
    <x v="76"/>
    <x v="35"/>
    <x v="0"/>
    <x v="64"/>
    <x v="54"/>
    <x v="63"/>
    <x v="7"/>
    <x v="0"/>
    <x v="0"/>
    <x v="27"/>
    <x v="121"/>
    <x v="75"/>
    <x v="26"/>
    <x v="138"/>
    <x v="99"/>
    <x v="27"/>
    <x v="171"/>
    <x v="0"/>
    <x v="0"/>
    <x v="0"/>
    <x v="25"/>
    <x v="127"/>
    <x v="175"/>
    <x v="0"/>
    <x v="0"/>
    <x v="0"/>
  </r>
  <r>
    <x v="6"/>
    <x v="6"/>
    <x v="192"/>
    <x v="138"/>
    <x v="2"/>
    <x v="75"/>
    <x v="35"/>
    <x v="0"/>
    <x v="27"/>
    <x v="35"/>
    <x v="69"/>
    <x v="9"/>
    <x v="1"/>
    <x v="6"/>
    <x v="27"/>
    <x v="93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6"/>
    <x v="78"/>
    <x v="139"/>
    <x v="2"/>
    <x v="76"/>
    <x v="51"/>
    <x v="10"/>
    <x v="28"/>
    <x v="54"/>
    <x v="24"/>
    <x v="12"/>
    <x v="0"/>
    <x v="0"/>
    <x v="27"/>
    <x v="56"/>
    <x v="25"/>
    <x v="26"/>
    <x v="68"/>
    <x v="99"/>
    <x v="27"/>
    <x v="171"/>
    <x v="0"/>
    <x v="0"/>
    <x v="0"/>
    <x v="25"/>
    <x v="127"/>
    <x v="175"/>
    <x v="0"/>
    <x v="0"/>
    <x v="0"/>
  </r>
  <r>
    <x v="0"/>
    <x v="46"/>
    <x v="155"/>
    <x v="1"/>
    <x v="2"/>
    <x v="4"/>
    <x v="108"/>
    <x v="26"/>
    <x v="60"/>
    <x v="6"/>
    <x v="8"/>
    <x v="39"/>
    <x v="26"/>
    <x v="29"/>
    <x v="27"/>
    <x v="28"/>
    <x v="5"/>
    <x v="26"/>
    <x v="29"/>
    <x v="7"/>
    <x v="27"/>
    <x v="39"/>
    <x v="27"/>
    <x v="8"/>
    <x v="30"/>
    <x v="23"/>
    <x v="9"/>
    <x v="31"/>
    <x v="0"/>
    <x v="0"/>
    <x v="0"/>
  </r>
  <r>
    <x v="0"/>
    <x v="21"/>
    <x v="76"/>
    <x v="31"/>
    <x v="2"/>
    <x v="9"/>
    <x v="112"/>
    <x v="26"/>
    <x v="68"/>
    <x v="9"/>
    <x v="11"/>
    <x v="39"/>
    <x v="26"/>
    <x v="38"/>
    <x v="27"/>
    <x v="36"/>
    <x v="7"/>
    <x v="26"/>
    <x v="36"/>
    <x v="12"/>
    <x v="27"/>
    <x v="49"/>
    <x v="27"/>
    <x v="13"/>
    <x v="41"/>
    <x v="23"/>
    <x v="16"/>
    <x v="42"/>
    <x v="0"/>
    <x v="0"/>
    <x v="0"/>
  </r>
  <r>
    <x v="0"/>
    <x v="52"/>
    <x v="262"/>
    <x v="65"/>
    <x v="2"/>
    <x v="3"/>
    <x v="105"/>
    <x v="26"/>
    <x v="97"/>
    <x v="15"/>
    <x v="22"/>
    <x v="39"/>
    <x v="26"/>
    <x v="48"/>
    <x v="27"/>
    <x v="50"/>
    <x v="22"/>
    <x v="26"/>
    <x v="62"/>
    <x v="29"/>
    <x v="27"/>
    <x v="85"/>
    <x v="27"/>
    <x v="34"/>
    <x v="77"/>
    <x v="23"/>
    <x v="41"/>
    <x v="75"/>
    <x v="0"/>
    <x v="0"/>
    <x v="0"/>
  </r>
  <r>
    <x v="0"/>
    <x v="7"/>
    <x v="241"/>
    <x v="140"/>
    <x v="1"/>
    <x v="77"/>
    <x v="36"/>
    <x v="0"/>
    <x v="20"/>
    <x v="54"/>
    <x v="30"/>
    <x v="7"/>
    <x v="27"/>
    <x v="104"/>
    <x v="26"/>
    <x v="69"/>
    <x v="75"/>
    <x v="1"/>
    <x v="2"/>
    <x v="99"/>
    <x v="27"/>
    <x v="171"/>
    <x v="0"/>
    <x v="0"/>
    <x v="0"/>
    <x v="25"/>
    <x v="127"/>
    <x v="175"/>
    <x v="0"/>
    <x v="0"/>
    <x v="0"/>
  </r>
  <r>
    <x v="0"/>
    <x v="7"/>
    <x v="99"/>
    <x v="141"/>
    <x v="1"/>
    <x v="77"/>
    <x v="36"/>
    <x v="0"/>
    <x v="27"/>
    <x v="54"/>
    <x v="47"/>
    <x v="7"/>
    <x v="27"/>
    <x v="104"/>
    <x v="26"/>
    <x v="94"/>
    <x v="75"/>
    <x v="1"/>
    <x v="4"/>
    <x v="99"/>
    <x v="27"/>
    <x v="171"/>
    <x v="0"/>
    <x v="0"/>
    <x v="0"/>
    <x v="25"/>
    <x v="127"/>
    <x v="175"/>
    <x v="0"/>
    <x v="0"/>
    <x v="0"/>
  </r>
  <r>
    <x v="6"/>
    <x v="7"/>
    <x v="240"/>
    <x v="142"/>
    <x v="1"/>
    <x v="76"/>
    <x v="35"/>
    <x v="0"/>
    <x v="20"/>
    <x v="54"/>
    <x v="30"/>
    <x v="7"/>
    <x v="27"/>
    <x v="104"/>
    <x v="27"/>
    <x v="70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7"/>
    <x v="146"/>
    <x v="143"/>
    <x v="2"/>
    <x v="78"/>
    <x v="164"/>
    <x v="24"/>
    <x v="60"/>
    <x v="54"/>
    <x v="8"/>
    <x v="38"/>
    <x v="27"/>
    <x v="104"/>
    <x v="25"/>
    <x v="27"/>
    <x v="5"/>
    <x v="26"/>
    <x v="30"/>
    <x v="7"/>
    <x v="27"/>
    <x v="41"/>
    <x v="27"/>
    <x v="8"/>
    <x v="31"/>
    <x v="23"/>
    <x v="9"/>
    <x v="32"/>
    <x v="0"/>
    <x v="0"/>
    <x v="0"/>
  </r>
  <r>
    <x v="0"/>
    <x v="7"/>
    <x v="75"/>
    <x v="144"/>
    <x v="2"/>
    <x v="80"/>
    <x v="165"/>
    <x v="24"/>
    <x v="80"/>
    <x v="54"/>
    <x v="15"/>
    <x v="38"/>
    <x v="27"/>
    <x v="104"/>
    <x v="23"/>
    <x v="37"/>
    <x v="14"/>
    <x v="26"/>
    <x v="48"/>
    <x v="20"/>
    <x v="27"/>
    <x v="63"/>
    <x v="27"/>
    <x v="23"/>
    <x v="58"/>
    <x v="23"/>
    <x v="28"/>
    <x v="56"/>
    <x v="0"/>
    <x v="0"/>
    <x v="0"/>
  </r>
  <r>
    <x v="9"/>
    <x v="42"/>
    <x v="102"/>
    <x v="145"/>
    <x v="1"/>
    <x v="41"/>
    <x v="87"/>
    <x v="19"/>
    <x v="47"/>
    <x v="10"/>
    <x v="14"/>
    <x v="27"/>
    <x v="26"/>
    <x v="40"/>
    <x v="27"/>
    <x v="39"/>
    <x v="12"/>
    <x v="26"/>
    <x v="44"/>
    <x v="16"/>
    <x v="27"/>
    <x v="59"/>
    <x v="27"/>
    <x v="20"/>
    <x v="53"/>
    <x v="7"/>
    <x v="127"/>
    <x v="12"/>
    <x v="0"/>
    <x v="0"/>
    <x v="0"/>
  </r>
  <r>
    <x v="0"/>
    <x v="44"/>
    <x v="56"/>
    <x v="146"/>
    <x v="2"/>
    <x v="81"/>
    <x v="152"/>
    <x v="26"/>
    <x v="109"/>
    <x v="54"/>
    <x v="29"/>
    <x v="33"/>
    <x v="27"/>
    <x v="104"/>
    <x v="22"/>
    <x v="65"/>
    <x v="30"/>
    <x v="26"/>
    <x v="80"/>
    <x v="40"/>
    <x v="27"/>
    <x v="105"/>
    <x v="27"/>
    <x v="44"/>
    <x v="96"/>
    <x v="23"/>
    <x v="50"/>
    <x v="95"/>
    <x v="0"/>
    <x v="0"/>
    <x v="0"/>
  </r>
  <r>
    <x v="0"/>
    <x v="7"/>
    <x v="93"/>
    <x v="147"/>
    <x v="2"/>
    <x v="81"/>
    <x v="37"/>
    <x v="0"/>
    <x v="26"/>
    <x v="54"/>
    <x v="44"/>
    <x v="7"/>
    <x v="27"/>
    <x v="104"/>
    <x v="22"/>
    <x v="84"/>
    <x v="75"/>
    <x v="4"/>
    <x v="19"/>
    <x v="99"/>
    <x v="27"/>
    <x v="171"/>
    <x v="0"/>
    <x v="0"/>
    <x v="0"/>
    <x v="25"/>
    <x v="127"/>
    <x v="175"/>
    <x v="0"/>
    <x v="0"/>
    <x v="0"/>
  </r>
  <r>
    <x v="0"/>
    <x v="7"/>
    <x v="89"/>
    <x v="148"/>
    <x v="2"/>
    <x v="82"/>
    <x v="73"/>
    <x v="13"/>
    <x v="49"/>
    <x v="54"/>
    <x v="33"/>
    <x v="18"/>
    <x v="27"/>
    <x v="104"/>
    <x v="21"/>
    <x v="66"/>
    <x v="35"/>
    <x v="26"/>
    <x v="86"/>
    <x v="48"/>
    <x v="27"/>
    <x v="112"/>
    <x v="6"/>
    <x v="0"/>
    <x v="17"/>
    <x v="25"/>
    <x v="127"/>
    <x v="175"/>
    <x v="0"/>
    <x v="0"/>
    <x v="0"/>
  </r>
  <r>
    <x v="0"/>
    <x v="7"/>
    <x v="157"/>
    <x v="149"/>
    <x v="1"/>
    <x v="83"/>
    <x v="39"/>
    <x v="0"/>
    <x v="4"/>
    <x v="54"/>
    <x v="10"/>
    <x v="7"/>
    <x v="27"/>
    <x v="104"/>
    <x v="20"/>
    <x v="25"/>
    <x v="75"/>
    <x v="6"/>
    <x v="9"/>
    <x v="99"/>
    <x v="27"/>
    <x v="171"/>
    <x v="0"/>
    <x v="0"/>
    <x v="0"/>
    <x v="25"/>
    <x v="127"/>
    <x v="175"/>
    <x v="0"/>
    <x v="0"/>
    <x v="0"/>
  </r>
  <r>
    <x v="0"/>
    <x v="7"/>
    <x v="126"/>
    <x v="150"/>
    <x v="2"/>
    <x v="85"/>
    <x v="166"/>
    <x v="24"/>
    <x v="144"/>
    <x v="54"/>
    <x v="50"/>
    <x v="38"/>
    <x v="27"/>
    <x v="104"/>
    <x v="16"/>
    <x v="85"/>
    <x v="53"/>
    <x v="26"/>
    <x v="114"/>
    <x v="70"/>
    <x v="27"/>
    <x v="144"/>
    <x v="27"/>
    <x v="76"/>
    <x v="135"/>
    <x v="23"/>
    <x v="84"/>
    <x v="135"/>
    <x v="0"/>
    <x v="0"/>
    <x v="0"/>
  </r>
  <r>
    <x v="6"/>
    <x v="7"/>
    <x v="309"/>
    <x v="151"/>
    <x v="1"/>
    <x v="72"/>
    <x v="32"/>
    <x v="0"/>
    <x v="24"/>
    <x v="31"/>
    <x v="69"/>
    <x v="6"/>
    <x v="4"/>
    <x v="16"/>
    <x v="21"/>
    <x v="76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7"/>
    <x v="300"/>
    <x v="152"/>
    <x v="2"/>
    <x v="88"/>
    <x v="43"/>
    <x v="0"/>
    <x v="24"/>
    <x v="54"/>
    <x v="41"/>
    <x v="7"/>
    <x v="27"/>
    <x v="104"/>
    <x v="13"/>
    <x v="49"/>
    <x v="75"/>
    <x v="14"/>
    <x v="57"/>
    <x v="99"/>
    <x v="27"/>
    <x v="171"/>
    <x v="0"/>
    <x v="0"/>
    <x v="0"/>
    <x v="25"/>
    <x v="127"/>
    <x v="175"/>
    <x v="0"/>
    <x v="0"/>
    <x v="0"/>
  </r>
  <r>
    <x v="0"/>
    <x v="7"/>
    <x v="302"/>
    <x v="153"/>
    <x v="1"/>
    <x v="85"/>
    <x v="41"/>
    <x v="0"/>
    <x v="9"/>
    <x v="54"/>
    <x v="19"/>
    <x v="7"/>
    <x v="27"/>
    <x v="104"/>
    <x v="16"/>
    <x v="32"/>
    <x v="75"/>
    <x v="10"/>
    <x v="18"/>
    <x v="99"/>
    <x v="27"/>
    <x v="171"/>
    <x v="0"/>
    <x v="0"/>
    <x v="0"/>
    <x v="25"/>
    <x v="127"/>
    <x v="175"/>
    <x v="0"/>
    <x v="0"/>
    <x v="0"/>
  </r>
  <r>
    <x v="0"/>
    <x v="7"/>
    <x v="254"/>
    <x v="154"/>
    <x v="2"/>
    <x v="86"/>
    <x v="167"/>
    <x v="24"/>
    <x v="128"/>
    <x v="54"/>
    <x v="38"/>
    <x v="38"/>
    <x v="27"/>
    <x v="104"/>
    <x v="15"/>
    <x v="55"/>
    <x v="40"/>
    <x v="26"/>
    <x v="96"/>
    <x v="55"/>
    <x v="27"/>
    <x v="122"/>
    <x v="27"/>
    <x v="61"/>
    <x v="113"/>
    <x v="23"/>
    <x v="67"/>
    <x v="114"/>
    <x v="0"/>
    <x v="0"/>
    <x v="0"/>
  </r>
  <r>
    <x v="0"/>
    <x v="7"/>
    <x v="51"/>
    <x v="155"/>
    <x v="1"/>
    <x v="87"/>
    <x v="42"/>
    <x v="0"/>
    <x v="22"/>
    <x v="54"/>
    <x v="36"/>
    <x v="7"/>
    <x v="27"/>
    <x v="104"/>
    <x v="14"/>
    <x v="51"/>
    <x v="75"/>
    <x v="12"/>
    <x v="47"/>
    <x v="99"/>
    <x v="27"/>
    <x v="171"/>
    <x v="0"/>
    <x v="0"/>
    <x v="0"/>
    <x v="25"/>
    <x v="127"/>
    <x v="175"/>
    <x v="0"/>
    <x v="0"/>
    <x v="0"/>
  </r>
  <r>
    <x v="0"/>
    <x v="7"/>
    <x v="39"/>
    <x v="156"/>
    <x v="2"/>
    <x v="79"/>
    <x v="71"/>
    <x v="13"/>
    <x v="34"/>
    <x v="54"/>
    <x v="21"/>
    <x v="19"/>
    <x v="27"/>
    <x v="104"/>
    <x v="24"/>
    <x v="42"/>
    <x v="20"/>
    <x v="26"/>
    <x v="57"/>
    <x v="27"/>
    <x v="27"/>
    <x v="79"/>
    <x v="4"/>
    <x v="0"/>
    <x v="6"/>
    <x v="25"/>
    <x v="127"/>
    <x v="175"/>
    <x v="0"/>
    <x v="0"/>
    <x v="0"/>
  </r>
  <r>
    <x v="0"/>
    <x v="7"/>
    <x v="55"/>
    <x v="157"/>
    <x v="2"/>
    <x v="86"/>
    <x v="109"/>
    <x v="18"/>
    <x v="96"/>
    <x v="54"/>
    <x v="43"/>
    <x v="27"/>
    <x v="27"/>
    <x v="104"/>
    <x v="15"/>
    <x v="59"/>
    <x v="45"/>
    <x v="26"/>
    <x v="100"/>
    <x v="61"/>
    <x v="27"/>
    <x v="127"/>
    <x v="27"/>
    <x v="67"/>
    <x v="120"/>
    <x v="23"/>
    <x v="73"/>
    <x v="119"/>
    <x v="0"/>
    <x v="0"/>
    <x v="0"/>
  </r>
  <r>
    <x v="0"/>
    <x v="7"/>
    <x v="299"/>
    <x v="158"/>
    <x v="2"/>
    <x v="80"/>
    <x v="37"/>
    <x v="0"/>
    <x v="36"/>
    <x v="54"/>
    <x v="52"/>
    <x v="8"/>
    <x v="27"/>
    <x v="104"/>
    <x v="23"/>
    <x v="103"/>
    <x v="75"/>
    <x v="4"/>
    <x v="26"/>
    <x v="99"/>
    <x v="27"/>
    <x v="171"/>
    <x v="0"/>
    <x v="0"/>
    <x v="0"/>
    <x v="25"/>
    <x v="127"/>
    <x v="175"/>
    <x v="0"/>
    <x v="0"/>
    <x v="0"/>
  </r>
  <r>
    <x v="0"/>
    <x v="7"/>
    <x v="191"/>
    <x v="159"/>
    <x v="2"/>
    <x v="88"/>
    <x v="61"/>
    <x v="10"/>
    <x v="104"/>
    <x v="54"/>
    <x v="64"/>
    <x v="13"/>
    <x v="27"/>
    <x v="104"/>
    <x v="13"/>
    <x v="117"/>
    <x v="68"/>
    <x v="26"/>
    <x v="132"/>
    <x v="99"/>
    <x v="15"/>
    <x v="153"/>
    <x v="0"/>
    <x v="0"/>
    <x v="0"/>
    <x v="25"/>
    <x v="127"/>
    <x v="175"/>
    <x v="0"/>
    <x v="0"/>
    <x v="0"/>
  </r>
  <r>
    <x v="0"/>
    <x v="7"/>
    <x v="181"/>
    <x v="160"/>
    <x v="2"/>
    <x v="88"/>
    <x v="168"/>
    <x v="24"/>
    <x v="71"/>
    <x v="54"/>
    <x v="12"/>
    <x v="38"/>
    <x v="27"/>
    <x v="104"/>
    <x v="13"/>
    <x v="20"/>
    <x v="8"/>
    <x v="26"/>
    <x v="40"/>
    <x v="13"/>
    <x v="27"/>
    <x v="52"/>
    <x v="27"/>
    <x v="15"/>
    <x v="46"/>
    <x v="23"/>
    <x v="19"/>
    <x v="45"/>
    <x v="0"/>
    <x v="0"/>
    <x v="0"/>
  </r>
  <r>
    <x v="0"/>
    <x v="7"/>
    <x v="111"/>
    <x v="161"/>
    <x v="1"/>
    <x v="88"/>
    <x v="44"/>
    <x v="0"/>
    <x v="4"/>
    <x v="54"/>
    <x v="10"/>
    <x v="8"/>
    <x v="27"/>
    <x v="104"/>
    <x v="13"/>
    <x v="15"/>
    <x v="75"/>
    <x v="15"/>
    <x v="17"/>
    <x v="99"/>
    <x v="27"/>
    <x v="171"/>
    <x v="0"/>
    <x v="0"/>
    <x v="0"/>
    <x v="25"/>
    <x v="127"/>
    <x v="175"/>
    <x v="0"/>
    <x v="0"/>
    <x v="0"/>
  </r>
  <r>
    <x v="0"/>
    <x v="23"/>
    <x v="293"/>
    <x v="162"/>
    <x v="2"/>
    <x v="28"/>
    <x v="208"/>
    <x v="20"/>
    <x v="140"/>
    <x v="48"/>
    <x v="61"/>
    <x v="46"/>
    <x v="26"/>
    <x v="64"/>
    <x v="27"/>
    <x v="75"/>
    <x v="63"/>
    <x v="26"/>
    <x v="82"/>
    <x v="83"/>
    <x v="27"/>
    <x v="106"/>
    <x v="2"/>
    <x v="109"/>
    <x v="3"/>
    <x v="25"/>
    <x v="127"/>
    <x v="175"/>
    <x v="0"/>
    <x v="0"/>
    <x v="0"/>
  </r>
  <r>
    <x v="0"/>
    <x v="7"/>
    <x v="304"/>
    <x v="163"/>
    <x v="2"/>
    <x v="89"/>
    <x v="169"/>
    <x v="24"/>
    <x v="55"/>
    <x v="54"/>
    <x v="7"/>
    <x v="38"/>
    <x v="27"/>
    <x v="104"/>
    <x v="10"/>
    <x v="8"/>
    <x v="4"/>
    <x v="26"/>
    <x v="24"/>
    <x v="6"/>
    <x v="27"/>
    <x v="34"/>
    <x v="27"/>
    <x v="7"/>
    <x v="25"/>
    <x v="23"/>
    <x v="8"/>
    <x v="29"/>
    <x v="0"/>
    <x v="0"/>
    <x v="0"/>
  </r>
  <r>
    <x v="0"/>
    <x v="7"/>
    <x v="310"/>
    <x v="164"/>
    <x v="2"/>
    <x v="89"/>
    <x v="169"/>
    <x v="24"/>
    <x v="55"/>
    <x v="54"/>
    <x v="7"/>
    <x v="38"/>
    <x v="27"/>
    <x v="104"/>
    <x v="10"/>
    <x v="8"/>
    <x v="4"/>
    <x v="26"/>
    <x v="24"/>
    <x v="6"/>
    <x v="27"/>
    <x v="34"/>
    <x v="27"/>
    <x v="7"/>
    <x v="25"/>
    <x v="23"/>
    <x v="8"/>
    <x v="29"/>
    <x v="0"/>
    <x v="0"/>
    <x v="0"/>
  </r>
  <r>
    <x v="0"/>
    <x v="7"/>
    <x v="119"/>
    <x v="165"/>
    <x v="2"/>
    <x v="89"/>
    <x v="169"/>
    <x v="24"/>
    <x v="55"/>
    <x v="54"/>
    <x v="7"/>
    <x v="38"/>
    <x v="27"/>
    <x v="104"/>
    <x v="10"/>
    <x v="8"/>
    <x v="4"/>
    <x v="26"/>
    <x v="24"/>
    <x v="6"/>
    <x v="27"/>
    <x v="34"/>
    <x v="27"/>
    <x v="7"/>
    <x v="25"/>
    <x v="23"/>
    <x v="8"/>
    <x v="29"/>
    <x v="0"/>
    <x v="0"/>
    <x v="0"/>
  </r>
  <r>
    <x v="0"/>
    <x v="7"/>
    <x v="259"/>
    <x v="166"/>
    <x v="2"/>
    <x v="89"/>
    <x v="169"/>
    <x v="24"/>
    <x v="55"/>
    <x v="54"/>
    <x v="7"/>
    <x v="38"/>
    <x v="27"/>
    <x v="104"/>
    <x v="10"/>
    <x v="8"/>
    <x v="4"/>
    <x v="26"/>
    <x v="24"/>
    <x v="6"/>
    <x v="27"/>
    <x v="34"/>
    <x v="27"/>
    <x v="7"/>
    <x v="25"/>
    <x v="23"/>
    <x v="8"/>
    <x v="29"/>
    <x v="0"/>
    <x v="0"/>
    <x v="0"/>
  </r>
  <r>
    <x v="0"/>
    <x v="7"/>
    <x v="173"/>
    <x v="167"/>
    <x v="2"/>
    <x v="89"/>
    <x v="169"/>
    <x v="24"/>
    <x v="149"/>
    <x v="54"/>
    <x v="55"/>
    <x v="38"/>
    <x v="27"/>
    <x v="104"/>
    <x v="10"/>
    <x v="60"/>
    <x v="57"/>
    <x v="26"/>
    <x v="122"/>
    <x v="75"/>
    <x v="27"/>
    <x v="148"/>
    <x v="27"/>
    <x v="80"/>
    <x v="140"/>
    <x v="23"/>
    <x v="89"/>
    <x v="140"/>
    <x v="0"/>
    <x v="0"/>
    <x v="0"/>
  </r>
  <r>
    <x v="0"/>
    <x v="45"/>
    <x v="264"/>
    <x v="168"/>
    <x v="2"/>
    <x v="90"/>
    <x v="45"/>
    <x v="0"/>
    <x v="20"/>
    <x v="54"/>
    <x v="30"/>
    <x v="7"/>
    <x v="27"/>
    <x v="104"/>
    <x v="8"/>
    <x v="26"/>
    <x v="75"/>
    <x v="18"/>
    <x v="63"/>
    <x v="99"/>
    <x v="29"/>
    <x v="171"/>
    <x v="28"/>
    <x v="109"/>
    <x v="168"/>
    <x v="25"/>
    <x v="127"/>
    <x v="175"/>
    <x v="0"/>
    <x v="0"/>
    <x v="0"/>
  </r>
  <r>
    <x v="0"/>
    <x v="7"/>
    <x v="219"/>
    <x v="169"/>
    <x v="1"/>
    <x v="81"/>
    <x v="37"/>
    <x v="0"/>
    <x v="7"/>
    <x v="54"/>
    <x v="14"/>
    <x v="7"/>
    <x v="27"/>
    <x v="104"/>
    <x v="22"/>
    <x v="34"/>
    <x v="75"/>
    <x v="4"/>
    <x v="8"/>
    <x v="99"/>
    <x v="27"/>
    <x v="171"/>
    <x v="0"/>
    <x v="0"/>
    <x v="0"/>
    <x v="25"/>
    <x v="127"/>
    <x v="175"/>
    <x v="0"/>
    <x v="0"/>
    <x v="0"/>
  </r>
  <r>
    <x v="0"/>
    <x v="7"/>
    <x v="58"/>
    <x v="170"/>
    <x v="2"/>
    <x v="91"/>
    <x v="170"/>
    <x v="24"/>
    <x v="126"/>
    <x v="54"/>
    <x v="36"/>
    <x v="38"/>
    <x v="27"/>
    <x v="104"/>
    <x v="7"/>
    <x v="29"/>
    <x v="38"/>
    <x v="26"/>
    <x v="93"/>
    <x v="53"/>
    <x v="27"/>
    <x v="119"/>
    <x v="27"/>
    <x v="59"/>
    <x v="109"/>
    <x v="23"/>
    <x v="65"/>
    <x v="110"/>
    <x v="0"/>
    <x v="0"/>
    <x v="0"/>
  </r>
  <r>
    <x v="0"/>
    <x v="7"/>
    <x v="309"/>
    <x v="171"/>
    <x v="2"/>
    <x v="92"/>
    <x v="171"/>
    <x v="24"/>
    <x v="122"/>
    <x v="54"/>
    <x v="35"/>
    <x v="38"/>
    <x v="27"/>
    <x v="104"/>
    <x v="6"/>
    <x v="18"/>
    <x v="37"/>
    <x v="26"/>
    <x v="92"/>
    <x v="50"/>
    <x v="27"/>
    <x v="117"/>
    <x v="27"/>
    <x v="55"/>
    <x v="106"/>
    <x v="23"/>
    <x v="61"/>
    <x v="106"/>
    <x v="0"/>
    <x v="0"/>
    <x v="0"/>
  </r>
  <r>
    <x v="0"/>
    <x v="7"/>
    <x v="161"/>
    <x v="172"/>
    <x v="2"/>
    <x v="92"/>
    <x v="111"/>
    <x v="18"/>
    <x v="56"/>
    <x v="54"/>
    <x v="20"/>
    <x v="27"/>
    <x v="27"/>
    <x v="104"/>
    <x v="6"/>
    <x v="9"/>
    <x v="19"/>
    <x v="26"/>
    <x v="58"/>
    <x v="26"/>
    <x v="27"/>
    <x v="80"/>
    <x v="27"/>
    <x v="30"/>
    <x v="74"/>
    <x v="23"/>
    <x v="37"/>
    <x v="71"/>
    <x v="0"/>
    <x v="0"/>
    <x v="0"/>
  </r>
  <r>
    <x v="0"/>
    <x v="7"/>
    <x v="246"/>
    <x v="173"/>
    <x v="2"/>
    <x v="93"/>
    <x v="172"/>
    <x v="24"/>
    <x v="89"/>
    <x v="54"/>
    <x v="18"/>
    <x v="38"/>
    <x v="27"/>
    <x v="104"/>
    <x v="5"/>
    <x v="6"/>
    <x v="17"/>
    <x v="26"/>
    <x v="53"/>
    <x v="23"/>
    <x v="27"/>
    <x v="75"/>
    <x v="27"/>
    <x v="27"/>
    <x v="69"/>
    <x v="23"/>
    <x v="34"/>
    <x v="66"/>
    <x v="0"/>
    <x v="0"/>
    <x v="0"/>
  </r>
  <r>
    <x v="0"/>
    <x v="7"/>
    <x v="154"/>
    <x v="174"/>
    <x v="2"/>
    <x v="119"/>
    <x v="69"/>
    <x v="0"/>
    <x v="20"/>
    <x v="54"/>
    <x v="69"/>
    <x v="7"/>
    <x v="27"/>
    <x v="104"/>
    <x v="0"/>
    <x v="0"/>
    <x v="75"/>
    <x v="0"/>
    <x v="138"/>
    <x v="43"/>
    <x v="27"/>
    <x v="102"/>
    <x v="0"/>
    <x v="0"/>
    <x v="0"/>
    <x v="25"/>
    <x v="127"/>
    <x v="175"/>
    <x v="0"/>
    <x v="0"/>
    <x v="0"/>
  </r>
  <r>
    <x v="0"/>
    <x v="7"/>
    <x v="182"/>
    <x v="175"/>
    <x v="2"/>
    <x v="93"/>
    <x v="173"/>
    <x v="24"/>
    <x v="74"/>
    <x v="54"/>
    <x v="13"/>
    <x v="39"/>
    <x v="27"/>
    <x v="104"/>
    <x v="5"/>
    <x v="5"/>
    <x v="11"/>
    <x v="26"/>
    <x v="43"/>
    <x v="15"/>
    <x v="27"/>
    <x v="58"/>
    <x v="27"/>
    <x v="18"/>
    <x v="52"/>
    <x v="23"/>
    <x v="22"/>
    <x v="50"/>
    <x v="0"/>
    <x v="0"/>
    <x v="0"/>
  </r>
  <r>
    <x v="0"/>
    <x v="7"/>
    <x v="36"/>
    <x v="176"/>
    <x v="2"/>
    <x v="94"/>
    <x v="49"/>
    <x v="0"/>
    <x v="36"/>
    <x v="54"/>
    <x v="52"/>
    <x v="7"/>
    <x v="27"/>
    <x v="104"/>
    <x v="4"/>
    <x v="21"/>
    <x v="75"/>
    <x v="23"/>
    <x v="113"/>
    <x v="99"/>
    <x v="27"/>
    <x v="171"/>
    <x v="0"/>
    <x v="0"/>
    <x v="0"/>
    <x v="25"/>
    <x v="127"/>
    <x v="175"/>
    <x v="0"/>
    <x v="0"/>
    <x v="0"/>
  </r>
  <r>
    <x v="0"/>
    <x v="7"/>
    <x v="267"/>
    <x v="177"/>
    <x v="2"/>
    <x v="95"/>
    <x v="50"/>
    <x v="0"/>
    <x v="7"/>
    <x v="54"/>
    <x v="14"/>
    <x v="7"/>
    <x v="27"/>
    <x v="104"/>
    <x v="3"/>
    <x v="3"/>
    <x v="75"/>
    <x v="24"/>
    <x v="39"/>
    <x v="99"/>
    <x v="27"/>
    <x v="171"/>
    <x v="0"/>
    <x v="0"/>
    <x v="0"/>
    <x v="25"/>
    <x v="127"/>
    <x v="175"/>
    <x v="0"/>
    <x v="0"/>
    <x v="0"/>
  </r>
  <r>
    <x v="0"/>
    <x v="7"/>
    <x v="65"/>
    <x v="178"/>
    <x v="2"/>
    <x v="98"/>
    <x v="176"/>
    <x v="24"/>
    <x v="89"/>
    <x v="54"/>
    <x v="69"/>
    <x v="38"/>
    <x v="27"/>
    <x v="104"/>
    <x v="0"/>
    <x v="0"/>
    <x v="17"/>
    <x v="26"/>
    <x v="53"/>
    <x v="23"/>
    <x v="27"/>
    <x v="75"/>
    <x v="27"/>
    <x v="27"/>
    <x v="69"/>
    <x v="23"/>
    <x v="34"/>
    <x v="66"/>
    <x v="0"/>
    <x v="0"/>
    <x v="0"/>
  </r>
  <r>
    <x v="0"/>
    <x v="7"/>
    <x v="137"/>
    <x v="179"/>
    <x v="2"/>
    <x v="95"/>
    <x v="50"/>
    <x v="0"/>
    <x v="36"/>
    <x v="54"/>
    <x v="52"/>
    <x v="7"/>
    <x v="27"/>
    <x v="104"/>
    <x v="3"/>
    <x v="14"/>
    <x v="75"/>
    <x v="24"/>
    <x v="115"/>
    <x v="99"/>
    <x v="27"/>
    <x v="171"/>
    <x v="0"/>
    <x v="0"/>
    <x v="0"/>
    <x v="25"/>
    <x v="127"/>
    <x v="175"/>
    <x v="0"/>
    <x v="0"/>
    <x v="0"/>
  </r>
  <r>
    <x v="0"/>
    <x v="7"/>
    <x v="236"/>
    <x v="180"/>
    <x v="2"/>
    <x v="95"/>
    <x v="174"/>
    <x v="24"/>
    <x v="115"/>
    <x v="54"/>
    <x v="31"/>
    <x v="38"/>
    <x v="27"/>
    <x v="104"/>
    <x v="3"/>
    <x v="7"/>
    <x v="32"/>
    <x v="26"/>
    <x v="83"/>
    <x v="45"/>
    <x v="27"/>
    <x v="108"/>
    <x v="27"/>
    <x v="49"/>
    <x v="98"/>
    <x v="23"/>
    <x v="56"/>
    <x v="100"/>
    <x v="0"/>
    <x v="0"/>
    <x v="0"/>
  </r>
  <r>
    <x v="0"/>
    <x v="7"/>
    <x v="252"/>
    <x v="181"/>
    <x v="2"/>
    <x v="98"/>
    <x v="176"/>
    <x v="24"/>
    <x v="173"/>
    <x v="54"/>
    <x v="69"/>
    <x v="38"/>
    <x v="27"/>
    <x v="104"/>
    <x v="0"/>
    <x v="0"/>
    <x v="69"/>
    <x v="26"/>
    <x v="133"/>
    <x v="92"/>
    <x v="27"/>
    <x v="165"/>
    <x v="27"/>
    <x v="96"/>
    <x v="158"/>
    <x v="23"/>
    <x v="113"/>
    <x v="160"/>
    <x v="0"/>
    <x v="0"/>
    <x v="0"/>
  </r>
  <r>
    <x v="0"/>
    <x v="7"/>
    <x v="187"/>
    <x v="182"/>
    <x v="2"/>
    <x v="96"/>
    <x v="83"/>
    <x v="13"/>
    <x v="27"/>
    <x v="54"/>
    <x v="14"/>
    <x v="18"/>
    <x v="27"/>
    <x v="104"/>
    <x v="2"/>
    <x v="1"/>
    <x v="12"/>
    <x v="26"/>
    <x v="44"/>
    <x v="16"/>
    <x v="27"/>
    <x v="59"/>
    <x v="25"/>
    <x v="0"/>
    <x v="47"/>
    <x v="25"/>
    <x v="127"/>
    <x v="175"/>
    <x v="0"/>
    <x v="0"/>
    <x v="0"/>
  </r>
  <r>
    <x v="0"/>
    <x v="7"/>
    <x v="107"/>
    <x v="183"/>
    <x v="2"/>
    <x v="96"/>
    <x v="175"/>
    <x v="25"/>
    <x v="185"/>
    <x v="54"/>
    <x v="68"/>
    <x v="38"/>
    <x v="27"/>
    <x v="104"/>
    <x v="2"/>
    <x v="102"/>
    <x v="74"/>
    <x v="26"/>
    <x v="137"/>
    <x v="98"/>
    <x v="27"/>
    <x v="170"/>
    <x v="27"/>
    <x v="108"/>
    <x v="167"/>
    <x v="23"/>
    <x v="126"/>
    <x v="174"/>
    <x v="0"/>
    <x v="0"/>
    <x v="0"/>
  </r>
  <r>
    <x v="9"/>
    <x v="32"/>
    <x v="67"/>
    <x v="293"/>
    <x v="3"/>
    <x v="141"/>
    <x v="76"/>
    <x v="4"/>
    <x v="3"/>
    <x v="54"/>
    <x v="69"/>
    <x v="1"/>
    <x v="27"/>
    <x v="104"/>
    <x v="29"/>
    <x v="126"/>
    <x v="75"/>
    <x v="27"/>
    <x v="138"/>
    <x v="99"/>
    <x v="29"/>
    <x v="171"/>
    <x v="11"/>
    <x v="9"/>
    <x v="32"/>
    <x v="24"/>
    <x v="127"/>
    <x v="175"/>
    <x v="0"/>
    <x v="0"/>
    <x v="0"/>
  </r>
  <r>
    <x v="0"/>
    <x v="43"/>
    <x v="67"/>
    <x v="184"/>
    <x v="2"/>
    <x v="98"/>
    <x v="69"/>
    <x v="9"/>
    <x v="33"/>
    <x v="54"/>
    <x v="69"/>
    <x v="12"/>
    <x v="27"/>
    <x v="104"/>
    <x v="0"/>
    <x v="0"/>
    <x v="29"/>
    <x v="26"/>
    <x v="74"/>
    <x v="39"/>
    <x v="27"/>
    <x v="99"/>
    <x v="0"/>
    <x v="0"/>
    <x v="0"/>
    <x v="25"/>
    <x v="127"/>
    <x v="175"/>
    <x v="0"/>
    <x v="0"/>
    <x v="0"/>
  </r>
  <r>
    <x v="0"/>
    <x v="7"/>
    <x v="52"/>
    <x v="185"/>
    <x v="2"/>
    <x v="97"/>
    <x v="69"/>
    <x v="10"/>
    <x v="44"/>
    <x v="54"/>
    <x v="43"/>
    <x v="13"/>
    <x v="27"/>
    <x v="104"/>
    <x v="1"/>
    <x v="2"/>
    <x v="45"/>
    <x v="26"/>
    <x v="98"/>
    <x v="99"/>
    <x v="27"/>
    <x v="125"/>
    <x v="0"/>
    <x v="0"/>
    <x v="0"/>
    <x v="25"/>
    <x v="127"/>
    <x v="175"/>
    <x v="0"/>
    <x v="0"/>
    <x v="0"/>
  </r>
  <r>
    <x v="0"/>
    <x v="7"/>
    <x v="183"/>
    <x v="186"/>
    <x v="1"/>
    <x v="98"/>
    <x v="51"/>
    <x v="0"/>
    <x v="42"/>
    <x v="54"/>
    <x v="69"/>
    <x v="6"/>
    <x v="27"/>
    <x v="104"/>
    <x v="0"/>
    <x v="0"/>
    <x v="60"/>
    <x v="26"/>
    <x v="127"/>
    <x v="99"/>
    <x v="28"/>
    <x v="171"/>
    <x v="0"/>
    <x v="0"/>
    <x v="0"/>
    <x v="25"/>
    <x v="127"/>
    <x v="175"/>
    <x v="0"/>
    <x v="0"/>
    <x v="0"/>
  </r>
  <r>
    <x v="0"/>
    <x v="3"/>
    <x v="136"/>
    <x v="17"/>
    <x v="3"/>
    <x v="20"/>
    <x v="122"/>
    <x v="24"/>
    <x v="166"/>
    <x v="49"/>
    <x v="62"/>
    <x v="38"/>
    <x v="26"/>
    <x v="98"/>
    <x v="27"/>
    <x v="120"/>
    <x v="66"/>
    <x v="26"/>
    <x v="130"/>
    <x v="87"/>
    <x v="27"/>
    <x v="159"/>
    <x v="27"/>
    <x v="90"/>
    <x v="151"/>
    <x v="23"/>
    <x v="106"/>
    <x v="154"/>
    <x v="0"/>
    <x v="0"/>
    <x v="0"/>
  </r>
  <r>
    <x v="0"/>
    <x v="4"/>
    <x v="173"/>
    <x v="32"/>
    <x v="3"/>
    <x v="32"/>
    <x v="133"/>
    <x v="24"/>
    <x v="149"/>
    <x v="42"/>
    <x v="55"/>
    <x v="38"/>
    <x v="26"/>
    <x v="92"/>
    <x v="27"/>
    <x v="111"/>
    <x v="57"/>
    <x v="26"/>
    <x v="122"/>
    <x v="75"/>
    <x v="27"/>
    <x v="148"/>
    <x v="27"/>
    <x v="80"/>
    <x v="140"/>
    <x v="23"/>
    <x v="89"/>
    <x v="140"/>
    <x v="0"/>
    <x v="0"/>
    <x v="0"/>
  </r>
  <r>
    <x v="0"/>
    <x v="4"/>
    <x v="205"/>
    <x v="33"/>
    <x v="3"/>
    <x v="33"/>
    <x v="136"/>
    <x v="24"/>
    <x v="122"/>
    <x v="26"/>
    <x v="35"/>
    <x v="39"/>
    <x v="26"/>
    <x v="70"/>
    <x v="27"/>
    <x v="82"/>
    <x v="37"/>
    <x v="26"/>
    <x v="91"/>
    <x v="50"/>
    <x v="27"/>
    <x v="116"/>
    <x v="27"/>
    <x v="55"/>
    <x v="105"/>
    <x v="23"/>
    <x v="61"/>
    <x v="105"/>
    <x v="0"/>
    <x v="0"/>
    <x v="0"/>
  </r>
  <r>
    <x v="0"/>
    <x v="5"/>
    <x v="122"/>
    <x v="57"/>
    <x v="3"/>
    <x v="50"/>
    <x v="147"/>
    <x v="24"/>
    <x v="117"/>
    <x v="29"/>
    <x v="27"/>
    <x v="39"/>
    <x v="26"/>
    <x v="67"/>
    <x v="27"/>
    <x v="78"/>
    <x v="34"/>
    <x v="26"/>
    <x v="85"/>
    <x v="47"/>
    <x v="27"/>
    <x v="111"/>
    <x v="27"/>
    <x v="51"/>
    <x v="100"/>
    <x v="23"/>
    <x v="58"/>
    <x v="102"/>
    <x v="0"/>
    <x v="0"/>
    <x v="0"/>
  </r>
  <r>
    <x v="4"/>
    <x v="2"/>
    <x v="23"/>
    <x v="10"/>
    <x v="3"/>
    <x v="11"/>
    <x v="5"/>
    <x v="10"/>
    <x v="17"/>
    <x v="54"/>
    <x v="69"/>
    <x v="14"/>
    <x v="27"/>
    <x v="104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5"/>
    <x v="24"/>
    <x v="53"/>
    <x v="3"/>
    <x v="47"/>
    <x v="144"/>
    <x v="24"/>
    <x v="128"/>
    <x v="29"/>
    <x v="38"/>
    <x v="39"/>
    <x v="26"/>
    <x v="73"/>
    <x v="27"/>
    <x v="87"/>
    <x v="40"/>
    <x v="26"/>
    <x v="95"/>
    <x v="55"/>
    <x v="27"/>
    <x v="121"/>
    <x v="27"/>
    <x v="61"/>
    <x v="112"/>
    <x v="23"/>
    <x v="67"/>
    <x v="113"/>
    <x v="0"/>
    <x v="0"/>
    <x v="0"/>
  </r>
  <r>
    <x v="6"/>
    <x v="4"/>
    <x v="37"/>
    <x v="36"/>
    <x v="3"/>
    <x v="34"/>
    <x v="31"/>
    <x v="13"/>
    <x v="119"/>
    <x v="50"/>
    <x v="69"/>
    <x v="15"/>
    <x v="26"/>
    <x v="100"/>
    <x v="19"/>
    <x v="119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5"/>
    <x v="19"/>
    <x v="407"/>
    <x v="3"/>
    <x v="52"/>
    <x v="149"/>
    <x v="24"/>
    <x v="0"/>
    <x v="24"/>
    <x v="0"/>
    <x v="38"/>
    <x v="26"/>
    <x v="0"/>
    <x v="27"/>
    <x v="0"/>
    <x v="0"/>
    <x v="26"/>
    <x v="0"/>
    <x v="0"/>
    <x v="27"/>
    <x v="0"/>
    <x v="27"/>
    <x v="0"/>
    <x v="0"/>
    <x v="23"/>
    <x v="0"/>
    <x v="0"/>
    <x v="0"/>
    <x v="0"/>
    <x v="0"/>
  </r>
  <r>
    <x v="0"/>
    <x v="5"/>
    <x v="54"/>
    <x v="62"/>
    <x v="3"/>
    <x v="52"/>
    <x v="149"/>
    <x v="24"/>
    <x v="65"/>
    <x v="7"/>
    <x v="9"/>
    <x v="38"/>
    <x v="26"/>
    <x v="31"/>
    <x v="27"/>
    <x v="31"/>
    <x v="6"/>
    <x v="26"/>
    <x v="32"/>
    <x v="8"/>
    <x v="27"/>
    <x v="43"/>
    <x v="27"/>
    <x v="10"/>
    <x v="36"/>
    <x v="23"/>
    <x v="12"/>
    <x v="37"/>
    <x v="0"/>
    <x v="0"/>
    <x v="0"/>
  </r>
  <r>
    <x v="0"/>
    <x v="5"/>
    <x v="305"/>
    <x v="64"/>
    <x v="3"/>
    <x v="53"/>
    <x v="150"/>
    <x v="24"/>
    <x v="184"/>
    <x v="53"/>
    <x v="67"/>
    <x v="38"/>
    <x v="26"/>
    <x v="103"/>
    <x v="27"/>
    <x v="125"/>
    <x v="73"/>
    <x v="26"/>
    <x v="136"/>
    <x v="97"/>
    <x v="27"/>
    <x v="169"/>
    <x v="27"/>
    <x v="107"/>
    <x v="166"/>
    <x v="23"/>
    <x v="125"/>
    <x v="173"/>
    <x v="0"/>
    <x v="0"/>
    <x v="0"/>
  </r>
  <r>
    <x v="0"/>
    <x v="5"/>
    <x v="50"/>
    <x v="58"/>
    <x v="3"/>
    <x v="51"/>
    <x v="48"/>
    <x v="13"/>
    <x v="84"/>
    <x v="43"/>
    <x v="56"/>
    <x v="18"/>
    <x v="26"/>
    <x v="93"/>
    <x v="27"/>
    <x v="112"/>
    <x v="0"/>
    <x v="22"/>
    <x v="117"/>
    <x v="99"/>
    <x v="27"/>
    <x v="171"/>
    <x v="0"/>
    <x v="0"/>
    <x v="0"/>
    <x v="25"/>
    <x v="127"/>
    <x v="175"/>
    <x v="0"/>
    <x v="0"/>
    <x v="0"/>
  </r>
  <r>
    <x v="0"/>
    <x v="5"/>
    <x v="81"/>
    <x v="50"/>
    <x v="3"/>
    <x v="45"/>
    <x v="143"/>
    <x v="24"/>
    <x v="103"/>
    <x v="18"/>
    <x v="25"/>
    <x v="39"/>
    <x v="26"/>
    <x v="55"/>
    <x v="27"/>
    <x v="61"/>
    <x v="26"/>
    <x v="26"/>
    <x v="71"/>
    <x v="36"/>
    <x v="27"/>
    <x v="95"/>
    <x v="27"/>
    <x v="40"/>
    <x v="85"/>
    <x v="23"/>
    <x v="46"/>
    <x v="84"/>
    <x v="0"/>
    <x v="0"/>
    <x v="0"/>
  </r>
  <r>
    <x v="0"/>
    <x v="5"/>
    <x v="184"/>
    <x v="61"/>
    <x v="3"/>
    <x v="51"/>
    <x v="148"/>
    <x v="24"/>
    <x v="133"/>
    <x v="32"/>
    <x v="42"/>
    <x v="39"/>
    <x v="26"/>
    <x v="74"/>
    <x v="27"/>
    <x v="91"/>
    <x v="44"/>
    <x v="26"/>
    <x v="99"/>
    <x v="60"/>
    <x v="27"/>
    <x v="126"/>
    <x v="27"/>
    <x v="66"/>
    <x v="119"/>
    <x v="23"/>
    <x v="72"/>
    <x v="118"/>
    <x v="0"/>
    <x v="0"/>
    <x v="0"/>
  </r>
  <r>
    <x v="0"/>
    <x v="5"/>
    <x v="173"/>
    <x v="46"/>
    <x v="3"/>
    <x v="43"/>
    <x v="140"/>
    <x v="24"/>
    <x v="149"/>
    <x v="42"/>
    <x v="55"/>
    <x v="38"/>
    <x v="26"/>
    <x v="92"/>
    <x v="27"/>
    <x v="111"/>
    <x v="57"/>
    <x v="26"/>
    <x v="122"/>
    <x v="75"/>
    <x v="27"/>
    <x v="148"/>
    <x v="27"/>
    <x v="80"/>
    <x v="140"/>
    <x v="23"/>
    <x v="89"/>
    <x v="140"/>
    <x v="0"/>
    <x v="0"/>
    <x v="0"/>
  </r>
  <r>
    <x v="0"/>
    <x v="5"/>
    <x v="108"/>
    <x v="49"/>
    <x v="3"/>
    <x v="45"/>
    <x v="142"/>
    <x v="24"/>
    <x v="154"/>
    <x v="46"/>
    <x v="59"/>
    <x v="38"/>
    <x v="26"/>
    <x v="96"/>
    <x v="27"/>
    <x v="116"/>
    <x v="61"/>
    <x v="26"/>
    <x v="126"/>
    <x v="80"/>
    <x v="27"/>
    <x v="152"/>
    <x v="27"/>
    <x v="85"/>
    <x v="145"/>
    <x v="23"/>
    <x v="95"/>
    <x v="146"/>
    <x v="0"/>
    <x v="0"/>
    <x v="0"/>
  </r>
  <r>
    <x v="0"/>
    <x v="5"/>
    <x v="97"/>
    <x v="55"/>
    <x v="3"/>
    <x v="49"/>
    <x v="145"/>
    <x v="24"/>
    <x v="149"/>
    <x v="42"/>
    <x v="55"/>
    <x v="38"/>
    <x v="26"/>
    <x v="92"/>
    <x v="27"/>
    <x v="111"/>
    <x v="57"/>
    <x v="26"/>
    <x v="122"/>
    <x v="75"/>
    <x v="27"/>
    <x v="148"/>
    <x v="27"/>
    <x v="80"/>
    <x v="140"/>
    <x v="23"/>
    <x v="89"/>
    <x v="140"/>
    <x v="0"/>
    <x v="0"/>
    <x v="0"/>
  </r>
  <r>
    <x v="6"/>
    <x v="5"/>
    <x v="258"/>
    <x v="51"/>
    <x v="3"/>
    <x v="46"/>
    <x v="29"/>
    <x v="10"/>
    <x v="59"/>
    <x v="39"/>
    <x v="69"/>
    <x v="13"/>
    <x v="26"/>
    <x v="86"/>
    <x v="17"/>
    <x v="90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4"/>
    <x v="172"/>
    <x v="40"/>
    <x v="3"/>
    <x v="36"/>
    <x v="84"/>
    <x v="18"/>
    <x v="76"/>
    <x v="22"/>
    <x v="30"/>
    <x v="29"/>
    <x v="26"/>
    <x v="62"/>
    <x v="27"/>
    <x v="70"/>
    <x v="31"/>
    <x v="26"/>
    <x v="75"/>
    <x v="43"/>
    <x v="27"/>
    <x v="102"/>
    <x v="27"/>
    <x v="0"/>
    <x v="93"/>
    <x v="25"/>
    <x v="127"/>
    <x v="175"/>
    <x v="0"/>
    <x v="0"/>
    <x v="0"/>
  </r>
  <r>
    <x v="0"/>
    <x v="1"/>
    <x v="215"/>
    <x v="6"/>
    <x v="3"/>
    <x v="5"/>
    <x v="110"/>
    <x v="25"/>
    <x v="141"/>
    <x v="37"/>
    <x v="49"/>
    <x v="39"/>
    <x v="26"/>
    <x v="83"/>
    <x v="27"/>
    <x v="104"/>
    <x v="51"/>
    <x v="26"/>
    <x v="111"/>
    <x v="68"/>
    <x v="27"/>
    <x v="139"/>
    <x v="27"/>
    <x v="74"/>
    <x v="131"/>
    <x v="23"/>
    <x v="81"/>
    <x v="132"/>
    <x v="0"/>
    <x v="0"/>
    <x v="0"/>
  </r>
  <r>
    <x v="7"/>
    <x v="5"/>
    <x v="43"/>
    <x v="59"/>
    <x v="1"/>
    <x v="51"/>
    <x v="18"/>
    <x v="0"/>
    <x v="27"/>
    <x v="54"/>
    <x v="69"/>
    <x v="8"/>
    <x v="22"/>
    <x v="72"/>
    <x v="27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5"/>
    <x v="167"/>
    <x v="66"/>
    <x v="3"/>
    <x v="55"/>
    <x v="237"/>
    <x v="7"/>
    <x v="107"/>
    <x v="12"/>
    <x v="18"/>
    <x v="47"/>
    <x v="26"/>
    <x v="43"/>
    <x v="27"/>
    <x v="45"/>
    <x v="17"/>
    <x v="26"/>
    <x v="52"/>
    <x v="23"/>
    <x v="27"/>
    <x v="74"/>
    <x v="27"/>
    <x v="27"/>
    <x v="68"/>
    <x v="23"/>
    <x v="34"/>
    <x v="65"/>
    <x v="0"/>
    <x v="0"/>
    <x v="0"/>
  </r>
  <r>
    <x v="7"/>
    <x v="5"/>
    <x v="123"/>
    <x v="52"/>
    <x v="3"/>
    <x v="47"/>
    <x v="16"/>
    <x v="0"/>
    <x v="23"/>
    <x v="54"/>
    <x v="69"/>
    <x v="8"/>
    <x v="19"/>
    <x v="57"/>
    <x v="27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7"/>
    <x v="5"/>
    <x v="83"/>
    <x v="43"/>
    <x v="3"/>
    <x v="42"/>
    <x v="14"/>
    <x v="0"/>
    <x v="42"/>
    <x v="54"/>
    <x v="69"/>
    <x v="8"/>
    <x v="10"/>
    <x v="61"/>
    <x v="27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4"/>
    <x v="237"/>
    <x v="38"/>
    <x v="3"/>
    <x v="35"/>
    <x v="138"/>
    <x v="24"/>
    <x v="146"/>
    <x v="39"/>
    <x v="52"/>
    <x v="40"/>
    <x v="26"/>
    <x v="87"/>
    <x v="27"/>
    <x v="107"/>
    <x v="55"/>
    <x v="26"/>
    <x v="119"/>
    <x v="73"/>
    <x v="27"/>
    <x v="146"/>
    <x v="27"/>
    <x v="78"/>
    <x v="138"/>
    <x v="23"/>
    <x v="86"/>
    <x v="138"/>
    <x v="0"/>
    <x v="0"/>
    <x v="0"/>
  </r>
  <r>
    <x v="0"/>
    <x v="4"/>
    <x v="3"/>
    <x v="30"/>
    <x v="3"/>
    <x v="31"/>
    <x v="131"/>
    <x v="24"/>
    <x v="101"/>
    <x v="16"/>
    <x v="23"/>
    <x v="39"/>
    <x v="26"/>
    <x v="52"/>
    <x v="27"/>
    <x v="54"/>
    <x v="24"/>
    <x v="26"/>
    <x v="65"/>
    <x v="34"/>
    <x v="27"/>
    <x v="90"/>
    <x v="27"/>
    <x v="38"/>
    <x v="82"/>
    <x v="23"/>
    <x v="45"/>
    <x v="80"/>
    <x v="0"/>
    <x v="0"/>
    <x v="0"/>
  </r>
  <r>
    <x v="0"/>
    <x v="3"/>
    <x v="82"/>
    <x v="19"/>
    <x v="3"/>
    <x v="18"/>
    <x v="119"/>
    <x v="24"/>
    <x v="93"/>
    <x v="14"/>
    <x v="21"/>
    <x v="38"/>
    <x v="26"/>
    <x v="45"/>
    <x v="27"/>
    <x v="48"/>
    <x v="20"/>
    <x v="26"/>
    <x v="59"/>
    <x v="27"/>
    <x v="27"/>
    <x v="82"/>
    <x v="27"/>
    <x v="31"/>
    <x v="75"/>
    <x v="23"/>
    <x v="38"/>
    <x v="72"/>
    <x v="0"/>
    <x v="0"/>
    <x v="0"/>
  </r>
  <r>
    <x v="0"/>
    <x v="3"/>
    <x v="171"/>
    <x v="16"/>
    <x v="3"/>
    <x v="18"/>
    <x v="119"/>
    <x v="24"/>
    <x v="122"/>
    <x v="26"/>
    <x v="35"/>
    <x v="38"/>
    <x v="26"/>
    <x v="71"/>
    <x v="27"/>
    <x v="83"/>
    <x v="37"/>
    <x v="26"/>
    <x v="92"/>
    <x v="50"/>
    <x v="27"/>
    <x v="117"/>
    <x v="27"/>
    <x v="55"/>
    <x v="106"/>
    <x v="23"/>
    <x v="61"/>
    <x v="106"/>
    <x v="0"/>
    <x v="0"/>
    <x v="0"/>
  </r>
  <r>
    <x v="4"/>
    <x v="3"/>
    <x v="187"/>
    <x v="15"/>
    <x v="3"/>
    <x v="17"/>
    <x v="2"/>
    <x v="0"/>
    <x v="6"/>
    <x v="0"/>
    <x v="69"/>
    <x v="7"/>
    <x v="27"/>
    <x v="104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3"/>
    <x v="175"/>
    <x v="18"/>
    <x v="3"/>
    <x v="19"/>
    <x v="120"/>
    <x v="24"/>
    <x v="122"/>
    <x v="26"/>
    <x v="35"/>
    <x v="38"/>
    <x v="26"/>
    <x v="71"/>
    <x v="27"/>
    <x v="83"/>
    <x v="37"/>
    <x v="26"/>
    <x v="92"/>
    <x v="50"/>
    <x v="27"/>
    <x v="117"/>
    <x v="27"/>
    <x v="55"/>
    <x v="106"/>
    <x v="23"/>
    <x v="61"/>
    <x v="106"/>
    <x v="0"/>
    <x v="0"/>
    <x v="0"/>
  </r>
  <r>
    <x v="0"/>
    <x v="3"/>
    <x v="253"/>
    <x v="21"/>
    <x v="3"/>
    <x v="21"/>
    <x v="124"/>
    <x v="24"/>
    <x v="93"/>
    <x v="14"/>
    <x v="21"/>
    <x v="38"/>
    <x v="26"/>
    <x v="45"/>
    <x v="27"/>
    <x v="48"/>
    <x v="20"/>
    <x v="26"/>
    <x v="59"/>
    <x v="27"/>
    <x v="27"/>
    <x v="82"/>
    <x v="27"/>
    <x v="31"/>
    <x v="75"/>
    <x v="23"/>
    <x v="38"/>
    <x v="72"/>
    <x v="0"/>
    <x v="0"/>
    <x v="0"/>
  </r>
  <r>
    <x v="5"/>
    <x v="2"/>
    <x v="9"/>
    <x v="9"/>
    <x v="3"/>
    <x v="10"/>
    <x v="8"/>
    <x v="13"/>
    <x v="58"/>
    <x v="54"/>
    <x v="69"/>
    <x v="17"/>
    <x v="27"/>
    <x v="104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5"/>
    <x v="282"/>
    <x v="48"/>
    <x v="3"/>
    <x v="49"/>
    <x v="46"/>
    <x v="13"/>
    <x v="65"/>
    <x v="35"/>
    <x v="47"/>
    <x v="18"/>
    <x v="26"/>
    <x v="79"/>
    <x v="27"/>
    <x v="99"/>
    <x v="0"/>
    <x v="20"/>
    <x v="90"/>
    <x v="99"/>
    <x v="27"/>
    <x v="171"/>
    <x v="0"/>
    <x v="0"/>
    <x v="0"/>
    <x v="25"/>
    <x v="127"/>
    <x v="175"/>
    <x v="0"/>
    <x v="0"/>
    <x v="0"/>
  </r>
  <r>
    <x v="0"/>
    <x v="2"/>
    <x v="110"/>
    <x v="11"/>
    <x v="3"/>
    <x v="12"/>
    <x v="114"/>
    <x v="25"/>
    <x v="147"/>
    <x v="40"/>
    <x v="53"/>
    <x v="38"/>
    <x v="26"/>
    <x v="91"/>
    <x v="27"/>
    <x v="110"/>
    <x v="56"/>
    <x v="26"/>
    <x v="121"/>
    <x v="74"/>
    <x v="27"/>
    <x v="147"/>
    <x v="27"/>
    <x v="79"/>
    <x v="139"/>
    <x v="23"/>
    <x v="87"/>
    <x v="139"/>
    <x v="0"/>
    <x v="0"/>
    <x v="0"/>
  </r>
  <r>
    <x v="9"/>
    <x v="20"/>
    <x v="0"/>
    <x v="12"/>
    <x v="3"/>
    <x v="13"/>
    <x v="117"/>
    <x v="25"/>
    <x v="105"/>
    <x v="19"/>
    <x v="26"/>
    <x v="42"/>
    <x v="26"/>
    <x v="54"/>
    <x v="27"/>
    <x v="58"/>
    <x v="27"/>
    <x v="26"/>
    <x v="70"/>
    <x v="37"/>
    <x v="27"/>
    <x v="94"/>
    <x v="27"/>
    <x v="41"/>
    <x v="84"/>
    <x v="23"/>
    <x v="47"/>
    <x v="83"/>
    <x v="0"/>
    <x v="0"/>
    <x v="0"/>
  </r>
  <r>
    <x v="0"/>
    <x v="22"/>
    <x v="4"/>
    <x v="13"/>
    <x v="3"/>
    <x v="14"/>
    <x v="116"/>
    <x v="23"/>
    <x v="116"/>
    <x v="23"/>
    <x v="32"/>
    <x v="39"/>
    <x v="26"/>
    <x v="66"/>
    <x v="27"/>
    <x v="77"/>
    <x v="33"/>
    <x v="26"/>
    <x v="84"/>
    <x v="46"/>
    <x v="27"/>
    <x v="109"/>
    <x v="27"/>
    <x v="50"/>
    <x v="99"/>
    <x v="23"/>
    <x v="57"/>
    <x v="101"/>
    <x v="0"/>
    <x v="0"/>
    <x v="0"/>
  </r>
  <r>
    <x v="0"/>
    <x v="41"/>
    <x v="160"/>
    <x v="44"/>
    <x v="3"/>
    <x v="42"/>
    <x v="155"/>
    <x v="1"/>
    <x v="118"/>
    <x v="22"/>
    <x v="30"/>
    <x v="45"/>
    <x v="26"/>
    <x v="63"/>
    <x v="27"/>
    <x v="72"/>
    <x v="31"/>
    <x v="26"/>
    <x v="78"/>
    <x v="43"/>
    <x v="27"/>
    <x v="103"/>
    <x v="27"/>
    <x v="47"/>
    <x v="95"/>
    <x v="23"/>
    <x v="54"/>
    <x v="94"/>
    <x v="0"/>
    <x v="0"/>
    <x v="0"/>
  </r>
  <r>
    <x v="7"/>
    <x v="5"/>
    <x v="307"/>
    <x v="45"/>
    <x v="3"/>
    <x v="41"/>
    <x v="13"/>
    <x v="0"/>
    <x v="7"/>
    <x v="54"/>
    <x v="69"/>
    <x v="8"/>
    <x v="9"/>
    <x v="10"/>
    <x v="27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6"/>
    <x v="4"/>
    <x v="39"/>
    <x v="27"/>
    <x v="3"/>
    <x v="27"/>
    <x v="21"/>
    <x v="13"/>
    <x v="34"/>
    <x v="14"/>
    <x v="69"/>
    <x v="16"/>
    <x v="26"/>
    <x v="46"/>
    <x v="3"/>
    <x v="4"/>
    <x v="75"/>
    <x v="26"/>
    <x v="138"/>
    <x v="99"/>
    <x v="27"/>
    <x v="171"/>
    <x v="0"/>
    <x v="0"/>
    <x v="0"/>
    <x v="25"/>
    <x v="127"/>
    <x v="175"/>
    <x v="0"/>
    <x v="0"/>
    <x v="0"/>
  </r>
  <r>
    <x v="6"/>
    <x v="4"/>
    <x v="169"/>
    <x v="28"/>
    <x v="3"/>
    <x v="29"/>
    <x v="22"/>
    <x v="13"/>
    <x v="45"/>
    <x v="21"/>
    <x v="69"/>
    <x v="16"/>
    <x v="26"/>
    <x v="60"/>
    <x v="5"/>
    <x v="10"/>
    <x v="75"/>
    <x v="26"/>
    <x v="138"/>
    <x v="99"/>
    <x v="27"/>
    <x v="171"/>
    <x v="0"/>
    <x v="0"/>
    <x v="0"/>
    <x v="25"/>
    <x v="127"/>
    <x v="175"/>
    <x v="0"/>
    <x v="0"/>
    <x v="0"/>
  </r>
  <r>
    <x v="4"/>
    <x v="3"/>
    <x v="290"/>
    <x v="20"/>
    <x v="3"/>
    <x v="21"/>
    <x v="3"/>
    <x v="0"/>
    <x v="24"/>
    <x v="0"/>
    <x v="69"/>
    <x v="7"/>
    <x v="27"/>
    <x v="104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0"/>
    <x v="3"/>
    <x v="247"/>
    <x v="24"/>
    <x v="3"/>
    <x v="25"/>
    <x v="126"/>
    <x v="24"/>
    <x v="122"/>
    <x v="26"/>
    <x v="35"/>
    <x v="38"/>
    <x v="26"/>
    <x v="71"/>
    <x v="27"/>
    <x v="83"/>
    <x v="37"/>
    <x v="26"/>
    <x v="92"/>
    <x v="50"/>
    <x v="27"/>
    <x v="117"/>
    <x v="27"/>
    <x v="55"/>
    <x v="106"/>
    <x v="23"/>
    <x v="61"/>
    <x v="106"/>
    <x v="0"/>
    <x v="0"/>
    <x v="0"/>
  </r>
  <r>
    <x v="0"/>
    <x v="4"/>
    <x v="74"/>
    <x v="37"/>
    <x v="3"/>
    <x v="23"/>
    <x v="125"/>
    <x v="24"/>
    <x v="51"/>
    <x v="4"/>
    <x v="5"/>
    <x v="39"/>
    <x v="26"/>
    <x v="23"/>
    <x v="27"/>
    <x v="22"/>
    <x v="3"/>
    <x v="26"/>
    <x v="22"/>
    <x v="5"/>
    <x v="27"/>
    <x v="29"/>
    <x v="27"/>
    <x v="6"/>
    <x v="22"/>
    <x v="23"/>
    <x v="7"/>
    <x v="27"/>
    <x v="0"/>
    <x v="0"/>
    <x v="0"/>
  </r>
  <r>
    <x v="0"/>
    <x v="2"/>
    <x v="186"/>
    <x v="8"/>
    <x v="3"/>
    <x v="8"/>
    <x v="106"/>
    <x v="24"/>
    <x v="131"/>
    <x v="31"/>
    <x v="40"/>
    <x v="34"/>
    <x v="26"/>
    <x v="75"/>
    <x v="27"/>
    <x v="92"/>
    <x v="42"/>
    <x v="26"/>
    <x v="102"/>
    <x v="58"/>
    <x v="27"/>
    <x v="129"/>
    <x v="27"/>
    <x v="64"/>
    <x v="122"/>
    <x v="23"/>
    <x v="70"/>
    <x v="122"/>
    <x v="0"/>
    <x v="0"/>
    <x v="0"/>
  </r>
  <r>
    <x v="5"/>
    <x v="4"/>
    <x v="58"/>
    <x v="39"/>
    <x v="3"/>
    <x v="35"/>
    <x v="10"/>
    <x v="0"/>
    <x v="27"/>
    <x v="54"/>
    <x v="69"/>
    <x v="5"/>
    <x v="27"/>
    <x v="104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7"/>
    <x v="5"/>
    <x v="37"/>
    <x v="56"/>
    <x v="3"/>
    <x v="49"/>
    <x v="17"/>
    <x v="0"/>
    <x v="2"/>
    <x v="54"/>
    <x v="69"/>
    <x v="7"/>
    <x v="20"/>
    <x v="17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7"/>
    <x v="5"/>
    <x v="17"/>
    <x v="63"/>
    <x v="3"/>
    <x v="52"/>
    <x v="19"/>
    <x v="0"/>
    <x v="67"/>
    <x v="54"/>
    <x v="69"/>
    <x v="7"/>
    <x v="23"/>
    <x v="99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7"/>
    <x v="5"/>
    <x v="95"/>
    <x v="41"/>
    <x v="3"/>
    <x v="39"/>
    <x v="12"/>
    <x v="0"/>
    <x v="28"/>
    <x v="54"/>
    <x v="69"/>
    <x v="7"/>
    <x v="3"/>
    <x v="14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4"/>
    <x v="3"/>
    <x v="199"/>
    <x v="22"/>
    <x v="3"/>
    <x v="22"/>
    <x v="4"/>
    <x v="0"/>
    <x v="17"/>
    <x v="0"/>
    <x v="69"/>
    <x v="9"/>
    <x v="27"/>
    <x v="104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7"/>
    <x v="5"/>
    <x v="199"/>
    <x v="47"/>
    <x v="3"/>
    <x v="44"/>
    <x v="15"/>
    <x v="0"/>
    <x v="48"/>
    <x v="54"/>
    <x v="69"/>
    <x v="7"/>
    <x v="15"/>
    <x v="85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5"/>
    <x v="3"/>
    <x v="96"/>
    <x v="14"/>
    <x v="3"/>
    <x v="16"/>
    <x v="7"/>
    <x v="9"/>
    <x v="62"/>
    <x v="0"/>
    <x v="69"/>
    <x v="11"/>
    <x v="27"/>
    <x v="104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4"/>
    <x v="50"/>
    <x v="129"/>
    <x v="2"/>
    <x v="3"/>
    <x v="0"/>
    <x v="3"/>
    <x v="17"/>
    <x v="30"/>
    <x v="54"/>
    <x v="69"/>
    <x v="23"/>
    <x v="27"/>
    <x v="104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4"/>
    <x v="3"/>
    <x v="272"/>
    <x v="25"/>
    <x v="3"/>
    <x v="25"/>
    <x v="5"/>
    <x v="0"/>
    <x v="17"/>
    <x v="0"/>
    <x v="69"/>
    <x v="8"/>
    <x v="27"/>
    <x v="104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5"/>
    <x v="47"/>
    <x v="27"/>
    <x v="26"/>
    <x v="3"/>
    <x v="7"/>
    <x v="9"/>
    <x v="15"/>
    <x v="16"/>
    <x v="54"/>
    <x v="69"/>
    <x v="20"/>
    <x v="27"/>
    <x v="104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5"/>
    <x v="4"/>
    <x v="166"/>
    <x v="34"/>
    <x v="3"/>
    <x v="29"/>
    <x v="6"/>
    <x v="0"/>
    <x v="34"/>
    <x v="54"/>
    <x v="69"/>
    <x v="5"/>
    <x v="27"/>
    <x v="104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5"/>
    <x v="4"/>
    <x v="81"/>
    <x v="35"/>
    <x v="3"/>
    <x v="35"/>
    <x v="11"/>
    <x v="0"/>
    <x v="19"/>
    <x v="54"/>
    <x v="69"/>
    <x v="6"/>
    <x v="27"/>
    <x v="104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7"/>
    <x v="5"/>
    <x v="223"/>
    <x v="54"/>
    <x v="3"/>
    <x v="48"/>
    <x v="17"/>
    <x v="0"/>
    <x v="20"/>
    <x v="54"/>
    <x v="69"/>
    <x v="8"/>
    <x v="20"/>
    <x v="50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7"/>
    <x v="5"/>
    <x v="168"/>
    <x v="60"/>
    <x v="3"/>
    <x v="49"/>
    <x v="17"/>
    <x v="0"/>
    <x v="7"/>
    <x v="54"/>
    <x v="69"/>
    <x v="7"/>
    <x v="20"/>
    <x v="32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7"/>
    <x v="5"/>
    <x v="238"/>
    <x v="67"/>
    <x v="3"/>
    <x v="54"/>
    <x v="20"/>
    <x v="0"/>
    <x v="17"/>
    <x v="54"/>
    <x v="69"/>
    <x v="7"/>
    <x v="26"/>
    <x v="56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7"/>
    <x v="5"/>
    <x v="180"/>
    <x v="68"/>
    <x v="3"/>
    <x v="54"/>
    <x v="20"/>
    <x v="0"/>
    <x v="7"/>
    <x v="54"/>
    <x v="69"/>
    <x v="7"/>
    <x v="26"/>
    <x v="39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3"/>
    <x v="0"/>
    <x v="258"/>
    <x v="3"/>
    <x v="3"/>
    <x v="1"/>
    <x v="0"/>
    <x v="10"/>
    <x v="12"/>
    <x v="54"/>
    <x v="69"/>
    <x v="13"/>
    <x v="27"/>
    <x v="104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3"/>
    <x v="0"/>
    <x v="179"/>
    <x v="4"/>
    <x v="3"/>
    <x v="2"/>
    <x v="1"/>
    <x v="10"/>
    <x v="24"/>
    <x v="54"/>
    <x v="69"/>
    <x v="13"/>
    <x v="27"/>
    <x v="104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3"/>
    <x v="1"/>
    <x v="270"/>
    <x v="7"/>
    <x v="3"/>
    <x v="6"/>
    <x v="0"/>
    <x v="0"/>
    <x v="5"/>
    <x v="54"/>
    <x v="69"/>
    <x v="6"/>
    <x v="27"/>
    <x v="104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3"/>
    <x v="48"/>
    <x v="57"/>
    <x v="5"/>
    <x v="3"/>
    <x v="2"/>
    <x v="0"/>
    <x v="9"/>
    <x v="43"/>
    <x v="54"/>
    <x v="69"/>
    <x v="11"/>
    <x v="27"/>
    <x v="104"/>
    <x v="29"/>
    <x v="126"/>
    <x v="75"/>
    <x v="26"/>
    <x v="138"/>
    <x v="99"/>
    <x v="27"/>
    <x v="171"/>
    <x v="0"/>
    <x v="0"/>
    <x v="0"/>
    <x v="25"/>
    <x v="127"/>
    <x v="175"/>
    <x v="0"/>
    <x v="0"/>
    <x v="0"/>
  </r>
  <r>
    <x v="5"/>
    <x v="5"/>
    <x v="105"/>
    <x v="69"/>
    <x v="3"/>
    <x v="55"/>
    <x v="20"/>
    <x v="0"/>
    <x v="36"/>
    <x v="39"/>
    <x v="69"/>
    <x v="6"/>
    <x v="26"/>
    <x v="89"/>
    <x v="29"/>
    <x v="126"/>
    <x v="75"/>
    <x v="27"/>
    <x v="138"/>
    <x v="99"/>
    <x v="27"/>
    <x v="171"/>
    <x v="0"/>
    <x v="0"/>
    <x v="0"/>
    <x v="25"/>
    <x v="127"/>
    <x v="175"/>
    <x v="0"/>
    <x v="0"/>
    <x v="0"/>
  </r>
  <r>
    <x v="7"/>
    <x v="27"/>
    <x v="294"/>
    <x v="23"/>
    <x v="3"/>
    <x v="24"/>
    <x v="19"/>
    <x v="12"/>
    <x v="87"/>
    <x v="0"/>
    <x v="69"/>
    <x v="17"/>
    <x v="23"/>
    <x v="90"/>
    <x v="29"/>
    <x v="0"/>
    <x v="75"/>
    <x v="26"/>
    <x v="138"/>
    <x v="99"/>
    <x v="27"/>
    <x v="171"/>
    <x v="0"/>
    <x v="0"/>
    <x v="0"/>
    <x v="25"/>
    <x v="127"/>
    <x v="175"/>
    <x v="0"/>
    <x v="0"/>
    <x v="0"/>
  </r>
  <r>
    <x v="9"/>
    <x v="8"/>
    <x v="151"/>
    <x v="187"/>
    <x v="3"/>
    <x v="98"/>
    <x v="51"/>
    <x v="0"/>
    <x v="57"/>
    <x v="54"/>
    <x v="69"/>
    <x v="6"/>
    <x v="27"/>
    <x v="104"/>
    <x v="29"/>
    <x v="126"/>
    <x v="65"/>
    <x v="26"/>
    <x v="131"/>
    <x v="99"/>
    <x v="27"/>
    <x v="171"/>
    <x v="0"/>
    <x v="0"/>
    <x v="0"/>
    <x v="25"/>
    <x v="127"/>
    <x v="175"/>
    <x v="0"/>
    <x v="0"/>
    <x v="0"/>
  </r>
  <r>
    <x v="9"/>
    <x v="8"/>
    <x v="194"/>
    <x v="188"/>
    <x v="3"/>
    <x v="99"/>
    <x v="52"/>
    <x v="0"/>
    <x v="36"/>
    <x v="54"/>
    <x v="69"/>
    <x v="6"/>
    <x v="27"/>
    <x v="104"/>
    <x v="29"/>
    <x v="126"/>
    <x v="55"/>
    <x v="25"/>
    <x v="118"/>
    <x v="99"/>
    <x v="1"/>
    <x v="7"/>
    <x v="0"/>
    <x v="0"/>
    <x v="0"/>
    <x v="25"/>
    <x v="127"/>
    <x v="175"/>
    <x v="0"/>
    <x v="0"/>
    <x v="0"/>
  </r>
  <r>
    <x v="9"/>
    <x v="8"/>
    <x v="234"/>
    <x v="189"/>
    <x v="3"/>
    <x v="99"/>
    <x v="52"/>
    <x v="0"/>
    <x v="36"/>
    <x v="54"/>
    <x v="69"/>
    <x v="6"/>
    <x v="27"/>
    <x v="104"/>
    <x v="29"/>
    <x v="126"/>
    <x v="55"/>
    <x v="25"/>
    <x v="118"/>
    <x v="99"/>
    <x v="1"/>
    <x v="7"/>
    <x v="0"/>
    <x v="0"/>
    <x v="0"/>
    <x v="25"/>
    <x v="127"/>
    <x v="175"/>
    <x v="0"/>
    <x v="0"/>
    <x v="0"/>
  </r>
  <r>
    <x v="9"/>
    <x v="8"/>
    <x v="99"/>
    <x v="191"/>
    <x v="3"/>
    <x v="99"/>
    <x v="52"/>
    <x v="0"/>
    <x v="27"/>
    <x v="54"/>
    <x v="69"/>
    <x v="6"/>
    <x v="27"/>
    <x v="104"/>
    <x v="29"/>
    <x v="126"/>
    <x v="49"/>
    <x v="25"/>
    <x v="106"/>
    <x v="99"/>
    <x v="1"/>
    <x v="6"/>
    <x v="0"/>
    <x v="0"/>
    <x v="0"/>
    <x v="25"/>
    <x v="127"/>
    <x v="175"/>
    <x v="0"/>
    <x v="0"/>
    <x v="0"/>
  </r>
  <r>
    <x v="9"/>
    <x v="8"/>
    <x v="289"/>
    <x v="192"/>
    <x v="3"/>
    <x v="100"/>
    <x v="53"/>
    <x v="0"/>
    <x v="13"/>
    <x v="54"/>
    <x v="69"/>
    <x v="6"/>
    <x v="27"/>
    <x v="104"/>
    <x v="29"/>
    <x v="126"/>
    <x v="23"/>
    <x v="23"/>
    <x v="60"/>
    <x v="99"/>
    <x v="3"/>
    <x v="8"/>
    <x v="0"/>
    <x v="0"/>
    <x v="0"/>
    <x v="25"/>
    <x v="127"/>
    <x v="175"/>
    <x v="0"/>
    <x v="0"/>
    <x v="0"/>
  </r>
  <r>
    <x v="9"/>
    <x v="8"/>
    <x v="47"/>
    <x v="193"/>
    <x v="3"/>
    <x v="100"/>
    <x v="177"/>
    <x v="24"/>
    <x v="144"/>
    <x v="54"/>
    <x v="69"/>
    <x v="38"/>
    <x v="27"/>
    <x v="104"/>
    <x v="29"/>
    <x v="126"/>
    <x v="53"/>
    <x v="23"/>
    <x v="109"/>
    <x v="70"/>
    <x v="27"/>
    <x v="144"/>
    <x v="27"/>
    <x v="76"/>
    <x v="135"/>
    <x v="23"/>
    <x v="84"/>
    <x v="135"/>
    <x v="0"/>
    <x v="0"/>
    <x v="0"/>
  </r>
  <r>
    <x v="9"/>
    <x v="8"/>
    <x v="109"/>
    <x v="194"/>
    <x v="3"/>
    <x v="100"/>
    <x v="53"/>
    <x v="0"/>
    <x v="17"/>
    <x v="54"/>
    <x v="69"/>
    <x v="6"/>
    <x v="27"/>
    <x v="104"/>
    <x v="29"/>
    <x v="126"/>
    <x v="27"/>
    <x v="23"/>
    <x v="66"/>
    <x v="99"/>
    <x v="3"/>
    <x v="9"/>
    <x v="0"/>
    <x v="0"/>
    <x v="0"/>
    <x v="25"/>
    <x v="127"/>
    <x v="175"/>
    <x v="0"/>
    <x v="0"/>
    <x v="0"/>
  </r>
  <r>
    <x v="9"/>
    <x v="8"/>
    <x v="125"/>
    <x v="195"/>
    <x v="3"/>
    <x v="101"/>
    <x v="178"/>
    <x v="24"/>
    <x v="78"/>
    <x v="54"/>
    <x v="69"/>
    <x v="38"/>
    <x v="27"/>
    <x v="104"/>
    <x v="29"/>
    <x v="126"/>
    <x v="13"/>
    <x v="22"/>
    <x v="37"/>
    <x v="18"/>
    <x v="27"/>
    <x v="61"/>
    <x v="27"/>
    <x v="21"/>
    <x v="55"/>
    <x v="23"/>
    <x v="26"/>
    <x v="54"/>
    <x v="0"/>
    <x v="0"/>
    <x v="0"/>
  </r>
  <r>
    <x v="9"/>
    <x v="8"/>
    <x v="306"/>
    <x v="196"/>
    <x v="3"/>
    <x v="101"/>
    <x v="54"/>
    <x v="0"/>
    <x v="17"/>
    <x v="54"/>
    <x v="69"/>
    <x v="6"/>
    <x v="27"/>
    <x v="104"/>
    <x v="29"/>
    <x v="126"/>
    <x v="27"/>
    <x v="22"/>
    <x v="64"/>
    <x v="99"/>
    <x v="5"/>
    <x v="14"/>
    <x v="0"/>
    <x v="0"/>
    <x v="0"/>
    <x v="25"/>
    <x v="127"/>
    <x v="175"/>
    <x v="0"/>
    <x v="0"/>
    <x v="0"/>
  </r>
  <r>
    <x v="9"/>
    <x v="8"/>
    <x v="274"/>
    <x v="197"/>
    <x v="3"/>
    <x v="101"/>
    <x v="54"/>
    <x v="0"/>
    <x v="13"/>
    <x v="54"/>
    <x v="69"/>
    <x v="6"/>
    <x v="27"/>
    <x v="104"/>
    <x v="29"/>
    <x v="126"/>
    <x v="23"/>
    <x v="22"/>
    <x v="54"/>
    <x v="99"/>
    <x v="5"/>
    <x v="10"/>
    <x v="0"/>
    <x v="0"/>
    <x v="0"/>
    <x v="25"/>
    <x v="127"/>
    <x v="175"/>
    <x v="0"/>
    <x v="0"/>
    <x v="0"/>
  </r>
  <r>
    <x v="9"/>
    <x v="8"/>
    <x v="145"/>
    <x v="198"/>
    <x v="3"/>
    <x v="101"/>
    <x v="178"/>
    <x v="24"/>
    <x v="94"/>
    <x v="54"/>
    <x v="69"/>
    <x v="38"/>
    <x v="27"/>
    <x v="104"/>
    <x v="29"/>
    <x v="126"/>
    <x v="21"/>
    <x v="22"/>
    <x v="49"/>
    <x v="28"/>
    <x v="27"/>
    <x v="84"/>
    <x v="27"/>
    <x v="32"/>
    <x v="76"/>
    <x v="23"/>
    <x v="39"/>
    <x v="73"/>
    <x v="0"/>
    <x v="0"/>
    <x v="0"/>
  </r>
  <r>
    <x v="9"/>
    <x v="8"/>
    <x v="15"/>
    <x v="199"/>
    <x v="3"/>
    <x v="101"/>
    <x v="54"/>
    <x v="0"/>
    <x v="36"/>
    <x v="54"/>
    <x v="69"/>
    <x v="6"/>
    <x v="27"/>
    <x v="104"/>
    <x v="29"/>
    <x v="126"/>
    <x v="55"/>
    <x v="22"/>
    <x v="110"/>
    <x v="99"/>
    <x v="5"/>
    <x v="38"/>
    <x v="0"/>
    <x v="0"/>
    <x v="0"/>
    <x v="25"/>
    <x v="127"/>
    <x v="175"/>
    <x v="0"/>
    <x v="0"/>
    <x v="0"/>
  </r>
  <r>
    <x v="9"/>
    <x v="8"/>
    <x v="12"/>
    <x v="200"/>
    <x v="3"/>
    <x v="104"/>
    <x v="179"/>
    <x v="24"/>
    <x v="164"/>
    <x v="54"/>
    <x v="69"/>
    <x v="38"/>
    <x v="27"/>
    <x v="104"/>
    <x v="29"/>
    <x v="126"/>
    <x v="64"/>
    <x v="19"/>
    <x v="128"/>
    <x v="86"/>
    <x v="27"/>
    <x v="156"/>
    <x v="27"/>
    <x v="89"/>
    <x v="150"/>
    <x v="23"/>
    <x v="105"/>
    <x v="153"/>
    <x v="0"/>
    <x v="0"/>
    <x v="0"/>
  </r>
  <r>
    <x v="9"/>
    <x v="8"/>
    <x v="139"/>
    <x v="201"/>
    <x v="3"/>
    <x v="104"/>
    <x v="55"/>
    <x v="0"/>
    <x v="27"/>
    <x v="54"/>
    <x v="69"/>
    <x v="6"/>
    <x v="27"/>
    <x v="104"/>
    <x v="29"/>
    <x v="126"/>
    <x v="49"/>
    <x v="19"/>
    <x v="87"/>
    <x v="99"/>
    <x v="7"/>
    <x v="46"/>
    <x v="0"/>
    <x v="0"/>
    <x v="0"/>
    <x v="25"/>
    <x v="127"/>
    <x v="175"/>
    <x v="0"/>
    <x v="0"/>
    <x v="0"/>
  </r>
  <r>
    <x v="9"/>
    <x v="8"/>
    <x v="248"/>
    <x v="202"/>
    <x v="3"/>
    <x v="104"/>
    <x v="179"/>
    <x v="24"/>
    <x v="108"/>
    <x v="54"/>
    <x v="69"/>
    <x v="38"/>
    <x v="27"/>
    <x v="104"/>
    <x v="29"/>
    <x v="126"/>
    <x v="29"/>
    <x v="19"/>
    <x v="61"/>
    <x v="39"/>
    <x v="27"/>
    <x v="100"/>
    <x v="27"/>
    <x v="43"/>
    <x v="90"/>
    <x v="23"/>
    <x v="49"/>
    <x v="88"/>
    <x v="0"/>
    <x v="0"/>
    <x v="0"/>
  </r>
  <r>
    <x v="9"/>
    <x v="8"/>
    <x v="174"/>
    <x v="203"/>
    <x v="3"/>
    <x v="104"/>
    <x v="179"/>
    <x v="24"/>
    <x v="108"/>
    <x v="54"/>
    <x v="69"/>
    <x v="38"/>
    <x v="27"/>
    <x v="104"/>
    <x v="29"/>
    <x v="126"/>
    <x v="29"/>
    <x v="19"/>
    <x v="61"/>
    <x v="39"/>
    <x v="27"/>
    <x v="100"/>
    <x v="27"/>
    <x v="43"/>
    <x v="90"/>
    <x v="23"/>
    <x v="49"/>
    <x v="88"/>
    <x v="0"/>
    <x v="0"/>
    <x v="0"/>
  </r>
  <r>
    <x v="9"/>
    <x v="8"/>
    <x v="166"/>
    <x v="204"/>
    <x v="3"/>
    <x v="48"/>
    <x v="31"/>
    <x v="10"/>
    <x v="47"/>
    <x v="35"/>
    <x v="69"/>
    <x v="13"/>
    <x v="26"/>
    <x v="78"/>
    <x v="19"/>
    <x v="80"/>
    <x v="75"/>
    <x v="26"/>
    <x v="138"/>
    <x v="99"/>
    <x v="27"/>
    <x v="171"/>
    <x v="0"/>
    <x v="0"/>
    <x v="0"/>
    <x v="25"/>
    <x v="127"/>
    <x v="175"/>
    <x v="0"/>
    <x v="0"/>
    <x v="0"/>
  </r>
  <r>
    <x v="9"/>
    <x v="36"/>
    <x v="210"/>
    <x v="205"/>
    <x v="3"/>
    <x v="106"/>
    <x v="180"/>
    <x v="26"/>
    <x v="105"/>
    <x v="54"/>
    <x v="69"/>
    <x v="38"/>
    <x v="27"/>
    <x v="104"/>
    <x v="29"/>
    <x v="126"/>
    <x v="27"/>
    <x v="17"/>
    <x v="50"/>
    <x v="37"/>
    <x v="27"/>
    <x v="97"/>
    <x v="27"/>
    <x v="41"/>
    <x v="87"/>
    <x v="23"/>
    <x v="47"/>
    <x v="86"/>
    <x v="0"/>
    <x v="0"/>
    <x v="0"/>
  </r>
  <r>
    <x v="9"/>
    <x v="8"/>
    <x v="77"/>
    <x v="206"/>
    <x v="3"/>
    <x v="106"/>
    <x v="58"/>
    <x v="0"/>
    <x v="67"/>
    <x v="54"/>
    <x v="69"/>
    <x v="7"/>
    <x v="27"/>
    <x v="104"/>
    <x v="29"/>
    <x v="126"/>
    <x v="68"/>
    <x v="17"/>
    <x v="129"/>
    <x v="99"/>
    <x v="10"/>
    <x v="142"/>
    <x v="0"/>
    <x v="0"/>
    <x v="0"/>
    <x v="25"/>
    <x v="127"/>
    <x v="175"/>
    <x v="0"/>
    <x v="0"/>
    <x v="0"/>
  </r>
  <r>
    <x v="9"/>
    <x v="8"/>
    <x v="211"/>
    <x v="207"/>
    <x v="3"/>
    <x v="84"/>
    <x v="40"/>
    <x v="0"/>
    <x v="37"/>
    <x v="54"/>
    <x v="54"/>
    <x v="7"/>
    <x v="27"/>
    <x v="104"/>
    <x v="18"/>
    <x v="98"/>
    <x v="75"/>
    <x v="8"/>
    <x v="56"/>
    <x v="99"/>
    <x v="27"/>
    <x v="171"/>
    <x v="0"/>
    <x v="0"/>
    <x v="0"/>
    <x v="25"/>
    <x v="127"/>
    <x v="175"/>
    <x v="0"/>
    <x v="0"/>
    <x v="0"/>
  </r>
  <r>
    <x v="9"/>
    <x v="8"/>
    <x v="211"/>
    <x v="208"/>
    <x v="3"/>
    <x v="105"/>
    <x v="56"/>
    <x v="0"/>
    <x v="26"/>
    <x v="54"/>
    <x v="69"/>
    <x v="6"/>
    <x v="27"/>
    <x v="104"/>
    <x v="29"/>
    <x v="126"/>
    <x v="46"/>
    <x v="18"/>
    <x v="77"/>
    <x v="99"/>
    <x v="8"/>
    <x v="47"/>
    <x v="0"/>
    <x v="0"/>
    <x v="0"/>
    <x v="25"/>
    <x v="127"/>
    <x v="175"/>
    <x v="0"/>
    <x v="0"/>
    <x v="0"/>
  </r>
  <r>
    <x v="9"/>
    <x v="8"/>
    <x v="162"/>
    <x v="209"/>
    <x v="3"/>
    <x v="109"/>
    <x v="181"/>
    <x v="24"/>
    <x v="76"/>
    <x v="54"/>
    <x v="69"/>
    <x v="38"/>
    <x v="27"/>
    <x v="104"/>
    <x v="29"/>
    <x v="126"/>
    <x v="12"/>
    <x v="14"/>
    <x v="21"/>
    <x v="16"/>
    <x v="27"/>
    <x v="60"/>
    <x v="27"/>
    <x v="20"/>
    <x v="54"/>
    <x v="23"/>
    <x v="24"/>
    <x v="53"/>
    <x v="0"/>
    <x v="0"/>
    <x v="0"/>
  </r>
  <r>
    <x v="9"/>
    <x v="8"/>
    <x v="164"/>
    <x v="210"/>
    <x v="3"/>
    <x v="109"/>
    <x v="181"/>
    <x v="24"/>
    <x v="89"/>
    <x v="54"/>
    <x v="69"/>
    <x v="38"/>
    <x v="27"/>
    <x v="104"/>
    <x v="29"/>
    <x v="126"/>
    <x v="17"/>
    <x v="14"/>
    <x v="23"/>
    <x v="23"/>
    <x v="27"/>
    <x v="75"/>
    <x v="27"/>
    <x v="27"/>
    <x v="69"/>
    <x v="23"/>
    <x v="34"/>
    <x v="66"/>
    <x v="0"/>
    <x v="0"/>
    <x v="0"/>
  </r>
  <r>
    <x v="9"/>
    <x v="8"/>
    <x v="230"/>
    <x v="211"/>
    <x v="3"/>
    <x v="107"/>
    <x v="59"/>
    <x v="0"/>
    <x v="15"/>
    <x v="54"/>
    <x v="69"/>
    <x v="6"/>
    <x v="27"/>
    <x v="104"/>
    <x v="29"/>
    <x v="126"/>
    <x v="25"/>
    <x v="16"/>
    <x v="41"/>
    <x v="99"/>
    <x v="11"/>
    <x v="35"/>
    <x v="0"/>
    <x v="0"/>
    <x v="0"/>
    <x v="25"/>
    <x v="127"/>
    <x v="175"/>
    <x v="0"/>
    <x v="0"/>
    <x v="0"/>
  </r>
  <r>
    <x v="9"/>
    <x v="8"/>
    <x v="120"/>
    <x v="212"/>
    <x v="3"/>
    <x v="108"/>
    <x v="113"/>
    <x v="18"/>
    <x v="54"/>
    <x v="54"/>
    <x v="69"/>
    <x v="26"/>
    <x v="27"/>
    <x v="104"/>
    <x v="29"/>
    <x v="126"/>
    <x v="18"/>
    <x v="15"/>
    <x v="27"/>
    <x v="24"/>
    <x v="27"/>
    <x v="76"/>
    <x v="27"/>
    <x v="28"/>
    <x v="71"/>
    <x v="23"/>
    <x v="35"/>
    <x v="68"/>
    <x v="0"/>
    <x v="0"/>
    <x v="0"/>
  </r>
  <r>
    <x v="9"/>
    <x v="8"/>
    <x v="69"/>
    <x v="213"/>
    <x v="3"/>
    <x v="110"/>
    <x v="182"/>
    <x v="24"/>
    <x v="108"/>
    <x v="54"/>
    <x v="69"/>
    <x v="38"/>
    <x v="27"/>
    <x v="104"/>
    <x v="29"/>
    <x v="126"/>
    <x v="29"/>
    <x v="13"/>
    <x v="34"/>
    <x v="39"/>
    <x v="27"/>
    <x v="100"/>
    <x v="27"/>
    <x v="43"/>
    <x v="90"/>
    <x v="23"/>
    <x v="49"/>
    <x v="88"/>
    <x v="0"/>
    <x v="0"/>
    <x v="0"/>
  </r>
  <r>
    <x v="9"/>
    <x v="8"/>
    <x v="86"/>
    <x v="214"/>
    <x v="3"/>
    <x v="110"/>
    <x v="182"/>
    <x v="24"/>
    <x v="142"/>
    <x v="54"/>
    <x v="69"/>
    <x v="38"/>
    <x v="27"/>
    <x v="104"/>
    <x v="29"/>
    <x v="126"/>
    <x v="52"/>
    <x v="13"/>
    <x v="67"/>
    <x v="69"/>
    <x v="27"/>
    <x v="141"/>
    <x v="27"/>
    <x v="75"/>
    <x v="133"/>
    <x v="23"/>
    <x v="82"/>
    <x v="134"/>
    <x v="0"/>
    <x v="0"/>
    <x v="0"/>
  </r>
  <r>
    <x v="9"/>
    <x v="8"/>
    <x v="26"/>
    <x v="215"/>
    <x v="3"/>
    <x v="111"/>
    <x v="62"/>
    <x v="0"/>
    <x v="13"/>
    <x v="54"/>
    <x v="69"/>
    <x v="6"/>
    <x v="27"/>
    <x v="104"/>
    <x v="29"/>
    <x v="126"/>
    <x v="23"/>
    <x v="12"/>
    <x v="25"/>
    <x v="99"/>
    <x v="16"/>
    <x v="45"/>
    <x v="0"/>
    <x v="0"/>
    <x v="0"/>
    <x v="25"/>
    <x v="127"/>
    <x v="175"/>
    <x v="0"/>
    <x v="0"/>
    <x v="0"/>
  </r>
  <r>
    <x v="9"/>
    <x v="37"/>
    <x v="299"/>
    <x v="216"/>
    <x v="3"/>
    <x v="114"/>
    <x v="185"/>
    <x v="23"/>
    <x v="169"/>
    <x v="54"/>
    <x v="69"/>
    <x v="38"/>
    <x v="27"/>
    <x v="104"/>
    <x v="29"/>
    <x v="126"/>
    <x v="67"/>
    <x v="7"/>
    <x v="89"/>
    <x v="89"/>
    <x v="27"/>
    <x v="162"/>
    <x v="27"/>
    <x v="92"/>
    <x v="153"/>
    <x v="23"/>
    <x v="108"/>
    <x v="156"/>
    <x v="0"/>
    <x v="0"/>
    <x v="0"/>
  </r>
  <r>
    <x v="1"/>
    <x v="37"/>
    <x v="283"/>
    <x v="217"/>
    <x v="3"/>
    <x v="103"/>
    <x v="183"/>
    <x v="23"/>
    <x v="90"/>
    <x v="54"/>
    <x v="69"/>
    <x v="41"/>
    <x v="27"/>
    <x v="104"/>
    <x v="29"/>
    <x v="126"/>
    <x v="18"/>
    <x v="20"/>
    <x v="38"/>
    <x v="24"/>
    <x v="27"/>
    <x v="73"/>
    <x v="27"/>
    <x v="28"/>
    <x v="67"/>
    <x v="23"/>
    <x v="35"/>
    <x v="64"/>
    <x v="0"/>
    <x v="0"/>
    <x v="0"/>
  </r>
  <r>
    <x v="9"/>
    <x v="30"/>
    <x v="91"/>
    <x v="272"/>
    <x v="3"/>
    <x v="133"/>
    <x v="183"/>
    <x v="3"/>
    <x v="81"/>
    <x v="54"/>
    <x v="69"/>
    <x v="33"/>
    <x v="27"/>
    <x v="104"/>
    <x v="29"/>
    <x v="126"/>
    <x v="0"/>
    <x v="0"/>
    <x v="0"/>
    <x v="24"/>
    <x v="27"/>
    <x v="77"/>
    <x v="27"/>
    <x v="28"/>
    <x v="72"/>
    <x v="23"/>
    <x v="35"/>
    <x v="69"/>
    <x v="0"/>
    <x v="0"/>
    <x v="0"/>
  </r>
  <r>
    <x v="9"/>
    <x v="38"/>
    <x v="21"/>
    <x v="219"/>
    <x v="3"/>
    <x v="112"/>
    <x v="183"/>
    <x v="26"/>
    <x v="76"/>
    <x v="54"/>
    <x v="69"/>
    <x v="38"/>
    <x v="27"/>
    <x v="104"/>
    <x v="29"/>
    <x v="126"/>
    <x v="12"/>
    <x v="11"/>
    <x v="16"/>
    <x v="16"/>
    <x v="27"/>
    <x v="60"/>
    <x v="27"/>
    <x v="20"/>
    <x v="54"/>
    <x v="23"/>
    <x v="24"/>
    <x v="53"/>
    <x v="0"/>
    <x v="0"/>
    <x v="0"/>
  </r>
  <r>
    <x v="9"/>
    <x v="8"/>
    <x v="300"/>
    <x v="220"/>
    <x v="3"/>
    <x v="85"/>
    <x v="166"/>
    <x v="24"/>
    <x v="134"/>
    <x v="54"/>
    <x v="43"/>
    <x v="38"/>
    <x v="27"/>
    <x v="104"/>
    <x v="15"/>
    <x v="64"/>
    <x v="45"/>
    <x v="26"/>
    <x v="101"/>
    <x v="61"/>
    <x v="27"/>
    <x v="128"/>
    <x v="27"/>
    <x v="67"/>
    <x v="121"/>
    <x v="23"/>
    <x v="73"/>
    <x v="120"/>
    <x v="0"/>
    <x v="0"/>
    <x v="0"/>
  </r>
  <r>
    <x v="9"/>
    <x v="8"/>
    <x v="265"/>
    <x v="221"/>
    <x v="3"/>
    <x v="113"/>
    <x v="184"/>
    <x v="24"/>
    <x v="73"/>
    <x v="54"/>
    <x v="69"/>
    <x v="39"/>
    <x v="27"/>
    <x v="104"/>
    <x v="29"/>
    <x v="126"/>
    <x v="9"/>
    <x v="9"/>
    <x v="13"/>
    <x v="14"/>
    <x v="27"/>
    <x v="54"/>
    <x v="27"/>
    <x v="17"/>
    <x v="48"/>
    <x v="23"/>
    <x v="21"/>
    <x v="47"/>
    <x v="0"/>
    <x v="0"/>
    <x v="0"/>
  </r>
  <r>
    <x v="9"/>
    <x v="8"/>
    <x v="221"/>
    <x v="222"/>
    <x v="3"/>
    <x v="115"/>
    <x v="115"/>
    <x v="18"/>
    <x v="53"/>
    <x v="54"/>
    <x v="69"/>
    <x v="26"/>
    <x v="27"/>
    <x v="104"/>
    <x v="29"/>
    <x v="126"/>
    <x v="17"/>
    <x v="6"/>
    <x v="12"/>
    <x v="23"/>
    <x v="27"/>
    <x v="72"/>
    <x v="27"/>
    <x v="27"/>
    <x v="66"/>
    <x v="23"/>
    <x v="34"/>
    <x v="63"/>
    <x v="0"/>
    <x v="0"/>
    <x v="0"/>
  </r>
  <r>
    <x v="9"/>
    <x v="8"/>
    <x v="308"/>
    <x v="223"/>
    <x v="3"/>
    <x v="119"/>
    <x v="69"/>
    <x v="0"/>
    <x v="59"/>
    <x v="54"/>
    <x v="69"/>
    <x v="7"/>
    <x v="27"/>
    <x v="104"/>
    <x v="29"/>
    <x v="126"/>
    <x v="75"/>
    <x v="0"/>
    <x v="138"/>
    <x v="88"/>
    <x v="27"/>
    <x v="160"/>
    <x v="0"/>
    <x v="0"/>
    <x v="0"/>
    <x v="25"/>
    <x v="127"/>
    <x v="175"/>
    <x v="0"/>
    <x v="0"/>
    <x v="0"/>
  </r>
  <r>
    <x v="9"/>
    <x v="8"/>
    <x v="41"/>
    <x v="224"/>
    <x v="3"/>
    <x v="116"/>
    <x v="93"/>
    <x v="13"/>
    <x v="70"/>
    <x v="54"/>
    <x v="69"/>
    <x v="18"/>
    <x v="27"/>
    <x v="104"/>
    <x v="29"/>
    <x v="126"/>
    <x v="53"/>
    <x v="3"/>
    <x v="20"/>
    <x v="70"/>
    <x v="27"/>
    <x v="143"/>
    <x v="27"/>
    <x v="76"/>
    <x v="134"/>
    <x v="19"/>
    <x v="127"/>
    <x v="130"/>
    <x v="0"/>
    <x v="0"/>
    <x v="0"/>
  </r>
  <r>
    <x v="9"/>
    <x v="8"/>
    <x v="282"/>
    <x v="225"/>
    <x v="3"/>
    <x v="115"/>
    <x v="186"/>
    <x v="24"/>
    <x v="138"/>
    <x v="54"/>
    <x v="69"/>
    <x v="38"/>
    <x v="27"/>
    <x v="104"/>
    <x v="29"/>
    <x v="126"/>
    <x v="49"/>
    <x v="6"/>
    <x v="31"/>
    <x v="65"/>
    <x v="27"/>
    <x v="135"/>
    <x v="27"/>
    <x v="71"/>
    <x v="128"/>
    <x v="23"/>
    <x v="78"/>
    <x v="128"/>
    <x v="0"/>
    <x v="0"/>
    <x v="0"/>
  </r>
  <r>
    <x v="9"/>
    <x v="34"/>
    <x v="273"/>
    <x v="226"/>
    <x v="3"/>
    <x v="118"/>
    <x v="68"/>
    <x v="0"/>
    <x v="47"/>
    <x v="54"/>
    <x v="69"/>
    <x v="6"/>
    <x v="27"/>
    <x v="104"/>
    <x v="29"/>
    <x v="126"/>
    <x v="62"/>
    <x v="1"/>
    <x v="10"/>
    <x v="99"/>
    <x v="26"/>
    <x v="155"/>
    <x v="0"/>
    <x v="0"/>
    <x v="0"/>
    <x v="24"/>
    <x v="127"/>
    <x v="175"/>
    <x v="0"/>
    <x v="0"/>
    <x v="0"/>
  </r>
  <r>
    <x v="9"/>
    <x v="8"/>
    <x v="35"/>
    <x v="227"/>
    <x v="3"/>
    <x v="119"/>
    <x v="117"/>
    <x v="18"/>
    <x v="53"/>
    <x v="54"/>
    <x v="69"/>
    <x v="27"/>
    <x v="27"/>
    <x v="104"/>
    <x v="29"/>
    <x v="126"/>
    <x v="0"/>
    <x v="0"/>
    <x v="138"/>
    <x v="23"/>
    <x v="27"/>
    <x v="71"/>
    <x v="27"/>
    <x v="27"/>
    <x v="64"/>
    <x v="23"/>
    <x v="34"/>
    <x v="61"/>
    <x v="0"/>
    <x v="0"/>
    <x v="0"/>
  </r>
  <r>
    <x v="9"/>
    <x v="8"/>
    <x v="80"/>
    <x v="228"/>
    <x v="3"/>
    <x v="118"/>
    <x v="188"/>
    <x v="24"/>
    <x v="78"/>
    <x v="54"/>
    <x v="69"/>
    <x v="38"/>
    <x v="27"/>
    <x v="104"/>
    <x v="29"/>
    <x v="126"/>
    <x v="13"/>
    <x v="1"/>
    <x v="1"/>
    <x v="18"/>
    <x v="27"/>
    <x v="61"/>
    <x v="27"/>
    <x v="21"/>
    <x v="55"/>
    <x v="23"/>
    <x v="26"/>
    <x v="54"/>
    <x v="0"/>
    <x v="0"/>
    <x v="0"/>
  </r>
  <r>
    <x v="9"/>
    <x v="8"/>
    <x v="103"/>
    <x v="229"/>
    <x v="3"/>
    <x v="117"/>
    <x v="187"/>
    <x v="24"/>
    <x v="76"/>
    <x v="54"/>
    <x v="69"/>
    <x v="38"/>
    <x v="27"/>
    <x v="104"/>
    <x v="29"/>
    <x v="126"/>
    <x v="12"/>
    <x v="2"/>
    <x v="5"/>
    <x v="16"/>
    <x v="27"/>
    <x v="60"/>
    <x v="27"/>
    <x v="20"/>
    <x v="54"/>
    <x v="23"/>
    <x v="24"/>
    <x v="53"/>
    <x v="0"/>
    <x v="0"/>
    <x v="0"/>
  </r>
  <r>
    <x v="9"/>
    <x v="35"/>
    <x v="250"/>
    <x v="190"/>
    <x v="3"/>
    <x v="78"/>
    <x v="164"/>
    <x v="26"/>
    <x v="0"/>
    <x v="54"/>
    <x v="1"/>
    <x v="38"/>
    <x v="27"/>
    <x v="104"/>
    <x v="24"/>
    <x v="0"/>
    <x v="0"/>
    <x v="26"/>
    <x v="0"/>
    <x v="0"/>
    <x v="27"/>
    <x v="0"/>
    <x v="27"/>
    <x v="109"/>
    <x v="0"/>
    <x v="23"/>
    <x v="0"/>
    <x v="0"/>
    <x v="0"/>
    <x v="0"/>
    <x v="0"/>
  </r>
  <r>
    <x v="9"/>
    <x v="31"/>
    <x v="258"/>
    <x v="230"/>
    <x v="3"/>
    <x v="119"/>
    <x v="189"/>
    <x v="23"/>
    <x v="167"/>
    <x v="54"/>
    <x v="69"/>
    <x v="38"/>
    <x v="27"/>
    <x v="104"/>
    <x v="29"/>
    <x v="126"/>
    <x v="75"/>
    <x v="27"/>
    <x v="138"/>
    <x v="88"/>
    <x v="27"/>
    <x v="161"/>
    <x v="27"/>
    <x v="91"/>
    <x v="152"/>
    <x v="23"/>
    <x v="107"/>
    <x v="155"/>
    <x v="0"/>
    <x v="0"/>
    <x v="0"/>
  </r>
  <r>
    <x v="9"/>
    <x v="9"/>
    <x v="266"/>
    <x v="231"/>
    <x v="3"/>
    <x v="119"/>
    <x v="189"/>
    <x v="24"/>
    <x v="89"/>
    <x v="54"/>
    <x v="69"/>
    <x v="38"/>
    <x v="27"/>
    <x v="104"/>
    <x v="29"/>
    <x v="126"/>
    <x v="75"/>
    <x v="27"/>
    <x v="138"/>
    <x v="23"/>
    <x v="27"/>
    <x v="75"/>
    <x v="27"/>
    <x v="27"/>
    <x v="69"/>
    <x v="23"/>
    <x v="34"/>
    <x v="66"/>
    <x v="0"/>
    <x v="0"/>
    <x v="0"/>
  </r>
  <r>
    <x v="9"/>
    <x v="31"/>
    <x v="163"/>
    <x v="232"/>
    <x v="3"/>
    <x v="119"/>
    <x v="189"/>
    <x v="23"/>
    <x v="113"/>
    <x v="54"/>
    <x v="69"/>
    <x v="38"/>
    <x v="27"/>
    <x v="104"/>
    <x v="29"/>
    <x v="126"/>
    <x v="75"/>
    <x v="27"/>
    <x v="138"/>
    <x v="43"/>
    <x v="27"/>
    <x v="105"/>
    <x v="27"/>
    <x v="47"/>
    <x v="96"/>
    <x v="23"/>
    <x v="54"/>
    <x v="96"/>
    <x v="0"/>
    <x v="0"/>
    <x v="0"/>
  </r>
  <r>
    <x v="9"/>
    <x v="9"/>
    <x v="113"/>
    <x v="233"/>
    <x v="3"/>
    <x v="123"/>
    <x v="192"/>
    <x v="25"/>
    <x v="89"/>
    <x v="54"/>
    <x v="69"/>
    <x v="38"/>
    <x v="27"/>
    <x v="104"/>
    <x v="29"/>
    <x v="126"/>
    <x v="75"/>
    <x v="27"/>
    <x v="138"/>
    <x v="23"/>
    <x v="23"/>
    <x v="55"/>
    <x v="27"/>
    <x v="27"/>
    <x v="69"/>
    <x v="23"/>
    <x v="34"/>
    <x v="66"/>
    <x v="0"/>
    <x v="0"/>
    <x v="0"/>
  </r>
  <r>
    <x v="9"/>
    <x v="31"/>
    <x v="2"/>
    <x v="234"/>
    <x v="3"/>
    <x v="119"/>
    <x v="189"/>
    <x v="23"/>
    <x v="66"/>
    <x v="54"/>
    <x v="69"/>
    <x v="38"/>
    <x v="27"/>
    <x v="104"/>
    <x v="29"/>
    <x v="126"/>
    <x v="75"/>
    <x v="27"/>
    <x v="138"/>
    <x v="9"/>
    <x v="27"/>
    <x v="44"/>
    <x v="27"/>
    <x v="11"/>
    <x v="37"/>
    <x v="23"/>
    <x v="13"/>
    <x v="38"/>
    <x v="0"/>
    <x v="0"/>
    <x v="0"/>
  </r>
  <r>
    <x v="9"/>
    <x v="9"/>
    <x v="227"/>
    <x v="235"/>
    <x v="3"/>
    <x v="123"/>
    <x v="72"/>
    <x v="0"/>
    <x v="35"/>
    <x v="54"/>
    <x v="69"/>
    <x v="6"/>
    <x v="27"/>
    <x v="104"/>
    <x v="29"/>
    <x v="126"/>
    <x v="75"/>
    <x v="27"/>
    <x v="138"/>
    <x v="72"/>
    <x v="23"/>
    <x v="137"/>
    <x v="5"/>
    <x v="0"/>
    <x v="28"/>
    <x v="25"/>
    <x v="127"/>
    <x v="175"/>
    <x v="0"/>
    <x v="0"/>
    <x v="0"/>
  </r>
  <r>
    <x v="9"/>
    <x v="9"/>
    <x v="32"/>
    <x v="236"/>
    <x v="3"/>
    <x v="120"/>
    <x v="70"/>
    <x v="0"/>
    <x v="22"/>
    <x v="54"/>
    <x v="69"/>
    <x v="7"/>
    <x v="27"/>
    <x v="104"/>
    <x v="29"/>
    <x v="126"/>
    <x v="75"/>
    <x v="27"/>
    <x v="138"/>
    <x v="53"/>
    <x v="26"/>
    <x v="113"/>
    <x v="2"/>
    <x v="0"/>
    <x v="4"/>
    <x v="25"/>
    <x v="127"/>
    <x v="175"/>
    <x v="0"/>
    <x v="0"/>
    <x v="0"/>
  </r>
  <r>
    <x v="9"/>
    <x v="9"/>
    <x v="183"/>
    <x v="237"/>
    <x v="3"/>
    <x v="122"/>
    <x v="191"/>
    <x v="24"/>
    <x v="162"/>
    <x v="54"/>
    <x v="69"/>
    <x v="38"/>
    <x v="27"/>
    <x v="104"/>
    <x v="29"/>
    <x v="126"/>
    <x v="75"/>
    <x v="27"/>
    <x v="138"/>
    <x v="84"/>
    <x v="24"/>
    <x v="154"/>
    <x v="27"/>
    <x v="88"/>
    <x v="149"/>
    <x v="23"/>
    <x v="103"/>
    <x v="152"/>
    <x v="0"/>
    <x v="0"/>
    <x v="0"/>
  </r>
  <r>
    <x v="9"/>
    <x v="9"/>
    <x v="173"/>
    <x v="238"/>
    <x v="3"/>
    <x v="123"/>
    <x v="193"/>
    <x v="24"/>
    <x v="112"/>
    <x v="54"/>
    <x v="69"/>
    <x v="39"/>
    <x v="27"/>
    <x v="104"/>
    <x v="29"/>
    <x v="126"/>
    <x v="75"/>
    <x v="27"/>
    <x v="138"/>
    <x v="42"/>
    <x v="23"/>
    <x v="93"/>
    <x v="27"/>
    <x v="46"/>
    <x v="94"/>
    <x v="23"/>
    <x v="53"/>
    <x v="92"/>
    <x v="0"/>
    <x v="0"/>
    <x v="0"/>
  </r>
  <r>
    <x v="9"/>
    <x v="9"/>
    <x v="51"/>
    <x v="239"/>
    <x v="3"/>
    <x v="117"/>
    <x v="67"/>
    <x v="0"/>
    <x v="25"/>
    <x v="54"/>
    <x v="69"/>
    <x v="6"/>
    <x v="27"/>
    <x v="104"/>
    <x v="29"/>
    <x v="126"/>
    <x v="43"/>
    <x v="2"/>
    <x v="11"/>
    <x v="99"/>
    <x v="25"/>
    <x v="118"/>
    <x v="0"/>
    <x v="0"/>
    <x v="0"/>
    <x v="25"/>
    <x v="127"/>
    <x v="175"/>
    <x v="0"/>
    <x v="0"/>
    <x v="0"/>
  </r>
  <r>
    <x v="9"/>
    <x v="9"/>
    <x v="297"/>
    <x v="240"/>
    <x v="3"/>
    <x v="123"/>
    <x v="73"/>
    <x v="0"/>
    <x v="15"/>
    <x v="54"/>
    <x v="69"/>
    <x v="7"/>
    <x v="27"/>
    <x v="104"/>
    <x v="29"/>
    <x v="126"/>
    <x v="75"/>
    <x v="27"/>
    <x v="138"/>
    <x v="35"/>
    <x v="23"/>
    <x v="81"/>
    <x v="6"/>
    <x v="0"/>
    <x v="11"/>
    <x v="25"/>
    <x v="127"/>
    <x v="175"/>
    <x v="0"/>
    <x v="0"/>
    <x v="0"/>
  </r>
  <r>
    <x v="9"/>
    <x v="9"/>
    <x v="274"/>
    <x v="241"/>
    <x v="3"/>
    <x v="122"/>
    <x v="72"/>
    <x v="0"/>
    <x v="13"/>
    <x v="54"/>
    <x v="69"/>
    <x v="7"/>
    <x v="27"/>
    <x v="104"/>
    <x v="29"/>
    <x v="126"/>
    <x v="75"/>
    <x v="27"/>
    <x v="138"/>
    <x v="30"/>
    <x v="24"/>
    <x v="70"/>
    <x v="5"/>
    <x v="0"/>
    <x v="7"/>
    <x v="25"/>
    <x v="127"/>
    <x v="175"/>
    <x v="0"/>
    <x v="0"/>
    <x v="0"/>
  </r>
  <r>
    <x v="9"/>
    <x v="9"/>
    <x v="269"/>
    <x v="242"/>
    <x v="3"/>
    <x v="121"/>
    <x v="190"/>
    <x v="24"/>
    <x v="79"/>
    <x v="54"/>
    <x v="69"/>
    <x v="38"/>
    <x v="27"/>
    <x v="104"/>
    <x v="29"/>
    <x v="126"/>
    <x v="75"/>
    <x v="27"/>
    <x v="138"/>
    <x v="19"/>
    <x v="25"/>
    <x v="53"/>
    <x v="27"/>
    <x v="22"/>
    <x v="57"/>
    <x v="23"/>
    <x v="27"/>
    <x v="55"/>
    <x v="0"/>
    <x v="0"/>
    <x v="0"/>
  </r>
  <r>
    <x v="9"/>
    <x v="9"/>
    <x v="38"/>
    <x v="243"/>
    <x v="3"/>
    <x v="121"/>
    <x v="190"/>
    <x v="25"/>
    <x v="78"/>
    <x v="54"/>
    <x v="69"/>
    <x v="38"/>
    <x v="27"/>
    <x v="104"/>
    <x v="29"/>
    <x v="126"/>
    <x v="75"/>
    <x v="27"/>
    <x v="138"/>
    <x v="18"/>
    <x v="25"/>
    <x v="51"/>
    <x v="27"/>
    <x v="21"/>
    <x v="55"/>
    <x v="23"/>
    <x v="26"/>
    <x v="54"/>
    <x v="0"/>
    <x v="0"/>
    <x v="0"/>
  </r>
  <r>
    <x v="9"/>
    <x v="9"/>
    <x v="116"/>
    <x v="244"/>
    <x v="3"/>
    <x v="121"/>
    <x v="71"/>
    <x v="0"/>
    <x v="0"/>
    <x v="54"/>
    <x v="69"/>
    <x v="7"/>
    <x v="27"/>
    <x v="104"/>
    <x v="29"/>
    <x v="126"/>
    <x v="75"/>
    <x v="27"/>
    <x v="138"/>
    <x v="0"/>
    <x v="25"/>
    <x v="0"/>
    <x v="4"/>
    <x v="0"/>
    <x v="0"/>
    <x v="25"/>
    <x v="127"/>
    <x v="175"/>
    <x v="0"/>
    <x v="0"/>
    <x v="0"/>
  </r>
  <r>
    <x v="9"/>
    <x v="9"/>
    <x v="194"/>
    <x v="245"/>
    <x v="3"/>
    <x v="123"/>
    <x v="192"/>
    <x v="24"/>
    <x v="171"/>
    <x v="54"/>
    <x v="69"/>
    <x v="38"/>
    <x v="27"/>
    <x v="104"/>
    <x v="29"/>
    <x v="126"/>
    <x v="75"/>
    <x v="27"/>
    <x v="138"/>
    <x v="91"/>
    <x v="23"/>
    <x v="163"/>
    <x v="27"/>
    <x v="95"/>
    <x v="156"/>
    <x v="23"/>
    <x v="111"/>
    <x v="158"/>
    <x v="0"/>
    <x v="0"/>
    <x v="0"/>
  </r>
  <r>
    <x v="9"/>
    <x v="9"/>
    <x v="111"/>
    <x v="246"/>
    <x v="3"/>
    <x v="123"/>
    <x v="192"/>
    <x v="24"/>
    <x v="99"/>
    <x v="54"/>
    <x v="69"/>
    <x v="38"/>
    <x v="27"/>
    <x v="104"/>
    <x v="29"/>
    <x v="126"/>
    <x v="75"/>
    <x v="27"/>
    <x v="138"/>
    <x v="31"/>
    <x v="23"/>
    <x v="68"/>
    <x v="27"/>
    <x v="36"/>
    <x v="81"/>
    <x v="23"/>
    <x v="43"/>
    <x v="79"/>
    <x v="0"/>
    <x v="0"/>
    <x v="0"/>
  </r>
  <r>
    <x v="9"/>
    <x v="9"/>
    <x v="220"/>
    <x v="247"/>
    <x v="3"/>
    <x v="124"/>
    <x v="193"/>
    <x v="24"/>
    <x v="89"/>
    <x v="54"/>
    <x v="69"/>
    <x v="38"/>
    <x v="27"/>
    <x v="104"/>
    <x v="29"/>
    <x v="126"/>
    <x v="75"/>
    <x v="27"/>
    <x v="138"/>
    <x v="23"/>
    <x v="22"/>
    <x v="50"/>
    <x v="27"/>
    <x v="27"/>
    <x v="69"/>
    <x v="23"/>
    <x v="34"/>
    <x v="66"/>
    <x v="0"/>
    <x v="0"/>
    <x v="0"/>
  </r>
  <r>
    <x v="9"/>
    <x v="9"/>
    <x v="95"/>
    <x v="248"/>
    <x v="3"/>
    <x v="124"/>
    <x v="193"/>
    <x v="25"/>
    <x v="89"/>
    <x v="54"/>
    <x v="69"/>
    <x v="38"/>
    <x v="27"/>
    <x v="104"/>
    <x v="29"/>
    <x v="126"/>
    <x v="75"/>
    <x v="27"/>
    <x v="138"/>
    <x v="23"/>
    <x v="22"/>
    <x v="50"/>
    <x v="27"/>
    <x v="27"/>
    <x v="69"/>
    <x v="23"/>
    <x v="34"/>
    <x v="66"/>
    <x v="0"/>
    <x v="0"/>
    <x v="0"/>
  </r>
  <r>
    <x v="9"/>
    <x v="9"/>
    <x v="230"/>
    <x v="249"/>
    <x v="3"/>
    <x v="127"/>
    <x v="194"/>
    <x v="24"/>
    <x v="89"/>
    <x v="54"/>
    <x v="69"/>
    <x v="38"/>
    <x v="27"/>
    <x v="104"/>
    <x v="29"/>
    <x v="126"/>
    <x v="75"/>
    <x v="27"/>
    <x v="138"/>
    <x v="23"/>
    <x v="18"/>
    <x v="42"/>
    <x v="27"/>
    <x v="27"/>
    <x v="69"/>
    <x v="23"/>
    <x v="34"/>
    <x v="66"/>
    <x v="0"/>
    <x v="0"/>
    <x v="0"/>
  </r>
  <r>
    <x v="9"/>
    <x v="9"/>
    <x v="213"/>
    <x v="250"/>
    <x v="3"/>
    <x v="125"/>
    <x v="74"/>
    <x v="0"/>
    <x v="14"/>
    <x v="54"/>
    <x v="69"/>
    <x v="7"/>
    <x v="27"/>
    <x v="104"/>
    <x v="29"/>
    <x v="126"/>
    <x v="75"/>
    <x v="27"/>
    <x v="138"/>
    <x v="33"/>
    <x v="21"/>
    <x v="64"/>
    <x v="8"/>
    <x v="0"/>
    <x v="15"/>
    <x v="25"/>
    <x v="127"/>
    <x v="175"/>
    <x v="0"/>
    <x v="0"/>
    <x v="0"/>
  </r>
  <r>
    <x v="9"/>
    <x v="9"/>
    <x v="288"/>
    <x v="251"/>
    <x v="3"/>
    <x v="126"/>
    <x v="75"/>
    <x v="0"/>
    <x v="36"/>
    <x v="54"/>
    <x v="69"/>
    <x v="7"/>
    <x v="27"/>
    <x v="104"/>
    <x v="29"/>
    <x v="126"/>
    <x v="75"/>
    <x v="27"/>
    <x v="138"/>
    <x v="73"/>
    <x v="20"/>
    <x v="130"/>
    <x v="9"/>
    <x v="0"/>
    <x v="63"/>
    <x v="25"/>
    <x v="127"/>
    <x v="175"/>
    <x v="0"/>
    <x v="0"/>
    <x v="0"/>
  </r>
  <r>
    <x v="9"/>
    <x v="9"/>
    <x v="5"/>
    <x v="252"/>
    <x v="3"/>
    <x v="125"/>
    <x v="74"/>
    <x v="0"/>
    <x v="67"/>
    <x v="54"/>
    <x v="69"/>
    <x v="7"/>
    <x v="27"/>
    <x v="104"/>
    <x v="29"/>
    <x v="126"/>
    <x v="75"/>
    <x v="27"/>
    <x v="138"/>
    <x v="90"/>
    <x v="21"/>
    <x v="157"/>
    <x v="8"/>
    <x v="0"/>
    <x v="117"/>
    <x v="25"/>
    <x v="127"/>
    <x v="175"/>
    <x v="0"/>
    <x v="0"/>
    <x v="0"/>
  </r>
  <r>
    <x v="9"/>
    <x v="9"/>
    <x v="285"/>
    <x v="253"/>
    <x v="3"/>
    <x v="141"/>
    <x v="206"/>
    <x v="24"/>
    <x v="78"/>
    <x v="54"/>
    <x v="69"/>
    <x v="38"/>
    <x v="27"/>
    <x v="104"/>
    <x v="29"/>
    <x v="126"/>
    <x v="75"/>
    <x v="27"/>
    <x v="138"/>
    <x v="99"/>
    <x v="0"/>
    <x v="171"/>
    <x v="27"/>
    <x v="21"/>
    <x v="55"/>
    <x v="23"/>
    <x v="26"/>
    <x v="54"/>
    <x v="0"/>
    <x v="0"/>
    <x v="0"/>
  </r>
  <r>
    <x v="9"/>
    <x v="9"/>
    <x v="279"/>
    <x v="254"/>
    <x v="3"/>
    <x v="130"/>
    <x v="197"/>
    <x v="24"/>
    <x v="130"/>
    <x v="54"/>
    <x v="69"/>
    <x v="38"/>
    <x v="27"/>
    <x v="104"/>
    <x v="29"/>
    <x v="126"/>
    <x v="75"/>
    <x v="27"/>
    <x v="138"/>
    <x v="57"/>
    <x v="15"/>
    <x v="83"/>
    <x v="27"/>
    <x v="63"/>
    <x v="116"/>
    <x v="23"/>
    <x v="69"/>
    <x v="116"/>
    <x v="0"/>
    <x v="0"/>
    <x v="0"/>
  </r>
  <r>
    <x v="9"/>
    <x v="9"/>
    <x v="204"/>
    <x v="255"/>
    <x v="3"/>
    <x v="129"/>
    <x v="196"/>
    <x v="25"/>
    <x v="76"/>
    <x v="54"/>
    <x v="69"/>
    <x v="38"/>
    <x v="27"/>
    <x v="104"/>
    <x v="29"/>
    <x v="126"/>
    <x v="75"/>
    <x v="27"/>
    <x v="138"/>
    <x v="16"/>
    <x v="16"/>
    <x v="28"/>
    <x v="27"/>
    <x v="20"/>
    <x v="54"/>
    <x v="23"/>
    <x v="24"/>
    <x v="53"/>
    <x v="0"/>
    <x v="0"/>
    <x v="0"/>
  </r>
  <r>
    <x v="9"/>
    <x v="9"/>
    <x v="138"/>
    <x v="256"/>
    <x v="3"/>
    <x v="119"/>
    <x v="69"/>
    <x v="0"/>
    <x v="31"/>
    <x v="54"/>
    <x v="69"/>
    <x v="7"/>
    <x v="27"/>
    <x v="104"/>
    <x v="29"/>
    <x v="126"/>
    <x v="75"/>
    <x v="27"/>
    <x v="138"/>
    <x v="68"/>
    <x v="27"/>
    <x v="138"/>
    <x v="0"/>
    <x v="0"/>
    <x v="0"/>
    <x v="25"/>
    <x v="127"/>
    <x v="175"/>
    <x v="0"/>
    <x v="0"/>
    <x v="0"/>
  </r>
  <r>
    <x v="9"/>
    <x v="9"/>
    <x v="219"/>
    <x v="257"/>
    <x v="3"/>
    <x v="102"/>
    <x v="60"/>
    <x v="14"/>
    <x v="11"/>
    <x v="54"/>
    <x v="69"/>
    <x v="10"/>
    <x v="27"/>
    <x v="104"/>
    <x v="29"/>
    <x v="126"/>
    <x v="10"/>
    <x v="21"/>
    <x v="33"/>
    <x v="99"/>
    <x v="13"/>
    <x v="22"/>
    <x v="0"/>
    <x v="0"/>
    <x v="0"/>
    <x v="25"/>
    <x v="127"/>
    <x v="175"/>
    <x v="0"/>
    <x v="0"/>
    <x v="0"/>
  </r>
  <r>
    <x v="9"/>
    <x v="9"/>
    <x v="219"/>
    <x v="258"/>
    <x v="3"/>
    <x v="129"/>
    <x v="78"/>
    <x v="0"/>
    <x v="36"/>
    <x v="54"/>
    <x v="69"/>
    <x v="8"/>
    <x v="27"/>
    <x v="104"/>
    <x v="29"/>
    <x v="126"/>
    <x v="75"/>
    <x v="27"/>
    <x v="138"/>
    <x v="73"/>
    <x v="16"/>
    <x v="110"/>
    <x v="14"/>
    <x v="0"/>
    <x v="92"/>
    <x v="25"/>
    <x v="127"/>
    <x v="175"/>
    <x v="0"/>
    <x v="0"/>
    <x v="0"/>
  </r>
  <r>
    <x v="9"/>
    <x v="9"/>
    <x v="48"/>
    <x v="260"/>
    <x v="3"/>
    <x v="129"/>
    <x v="196"/>
    <x v="23"/>
    <x v="134"/>
    <x v="54"/>
    <x v="69"/>
    <x v="38"/>
    <x v="27"/>
    <x v="104"/>
    <x v="29"/>
    <x v="126"/>
    <x v="75"/>
    <x v="27"/>
    <x v="138"/>
    <x v="61"/>
    <x v="16"/>
    <x v="88"/>
    <x v="27"/>
    <x v="67"/>
    <x v="121"/>
    <x v="23"/>
    <x v="73"/>
    <x v="120"/>
    <x v="0"/>
    <x v="0"/>
    <x v="0"/>
  </r>
  <r>
    <x v="9"/>
    <x v="9"/>
    <x v="141"/>
    <x v="261"/>
    <x v="3"/>
    <x v="129"/>
    <x v="196"/>
    <x v="23"/>
    <x v="113"/>
    <x v="54"/>
    <x v="69"/>
    <x v="38"/>
    <x v="27"/>
    <x v="104"/>
    <x v="29"/>
    <x v="126"/>
    <x v="75"/>
    <x v="27"/>
    <x v="138"/>
    <x v="43"/>
    <x v="16"/>
    <x v="65"/>
    <x v="27"/>
    <x v="47"/>
    <x v="96"/>
    <x v="23"/>
    <x v="54"/>
    <x v="96"/>
    <x v="0"/>
    <x v="0"/>
    <x v="0"/>
  </r>
  <r>
    <x v="9"/>
    <x v="9"/>
    <x v="229"/>
    <x v="262"/>
    <x v="3"/>
    <x v="131"/>
    <x v="66"/>
    <x v="2"/>
    <x v="15"/>
    <x v="54"/>
    <x v="69"/>
    <x v="0"/>
    <x v="27"/>
    <x v="104"/>
    <x v="29"/>
    <x v="126"/>
    <x v="75"/>
    <x v="27"/>
    <x v="138"/>
    <x v="35"/>
    <x v="9"/>
    <x v="92"/>
    <x v="0"/>
    <x v="0"/>
    <x v="0"/>
    <x v="25"/>
    <x v="127"/>
    <x v="175"/>
    <x v="0"/>
    <x v="0"/>
    <x v="0"/>
  </r>
  <r>
    <x v="2"/>
    <x v="9"/>
    <x v="101"/>
    <x v="263"/>
    <x v="3"/>
    <x v="119"/>
    <x v="197"/>
    <x v="23"/>
    <x v="100"/>
    <x v="54"/>
    <x v="69"/>
    <x v="43"/>
    <x v="27"/>
    <x v="104"/>
    <x v="29"/>
    <x v="126"/>
    <x v="75"/>
    <x v="27"/>
    <x v="138"/>
    <x v="32"/>
    <x v="27"/>
    <x v="86"/>
    <x v="27"/>
    <x v="37"/>
    <x v="79"/>
    <x v="23"/>
    <x v="44"/>
    <x v="77"/>
    <x v="0"/>
    <x v="0"/>
    <x v="0"/>
  </r>
  <r>
    <x v="9"/>
    <x v="9"/>
    <x v="166"/>
    <x v="264"/>
    <x v="3"/>
    <x v="130"/>
    <x v="197"/>
    <x v="24"/>
    <x v="89"/>
    <x v="54"/>
    <x v="69"/>
    <x v="38"/>
    <x v="27"/>
    <x v="104"/>
    <x v="29"/>
    <x v="126"/>
    <x v="75"/>
    <x v="27"/>
    <x v="138"/>
    <x v="23"/>
    <x v="15"/>
    <x v="33"/>
    <x v="27"/>
    <x v="27"/>
    <x v="69"/>
    <x v="23"/>
    <x v="34"/>
    <x v="66"/>
    <x v="0"/>
    <x v="0"/>
    <x v="0"/>
  </r>
  <r>
    <x v="9"/>
    <x v="9"/>
    <x v="99"/>
    <x v="265"/>
    <x v="3"/>
    <x v="130"/>
    <x v="197"/>
    <x v="24"/>
    <x v="125"/>
    <x v="54"/>
    <x v="69"/>
    <x v="38"/>
    <x v="27"/>
    <x v="104"/>
    <x v="29"/>
    <x v="126"/>
    <x v="75"/>
    <x v="27"/>
    <x v="138"/>
    <x v="52"/>
    <x v="15"/>
    <x v="78"/>
    <x v="27"/>
    <x v="58"/>
    <x v="108"/>
    <x v="23"/>
    <x v="64"/>
    <x v="109"/>
    <x v="0"/>
    <x v="0"/>
    <x v="0"/>
  </r>
  <r>
    <x v="9"/>
    <x v="9"/>
    <x v="306"/>
    <x v="266"/>
    <x v="3"/>
    <x v="130"/>
    <x v="121"/>
    <x v="18"/>
    <x v="53"/>
    <x v="54"/>
    <x v="69"/>
    <x v="27"/>
    <x v="27"/>
    <x v="104"/>
    <x v="29"/>
    <x v="126"/>
    <x v="75"/>
    <x v="27"/>
    <x v="138"/>
    <x v="23"/>
    <x v="15"/>
    <x v="32"/>
    <x v="27"/>
    <x v="27"/>
    <x v="64"/>
    <x v="23"/>
    <x v="34"/>
    <x v="61"/>
    <x v="0"/>
    <x v="0"/>
    <x v="0"/>
  </r>
  <r>
    <x v="9"/>
    <x v="9"/>
    <x v="144"/>
    <x v="267"/>
    <x v="3"/>
    <x v="132"/>
    <x v="199"/>
    <x v="24"/>
    <x v="89"/>
    <x v="54"/>
    <x v="69"/>
    <x v="38"/>
    <x v="27"/>
    <x v="104"/>
    <x v="29"/>
    <x v="126"/>
    <x v="75"/>
    <x v="27"/>
    <x v="138"/>
    <x v="23"/>
    <x v="13"/>
    <x v="27"/>
    <x v="27"/>
    <x v="27"/>
    <x v="69"/>
    <x v="23"/>
    <x v="34"/>
    <x v="66"/>
    <x v="0"/>
    <x v="0"/>
    <x v="0"/>
  </r>
  <r>
    <x v="9"/>
    <x v="33"/>
    <x v="289"/>
    <x v="268"/>
    <x v="3"/>
    <x v="131"/>
    <x v="198"/>
    <x v="26"/>
    <x v="161"/>
    <x v="54"/>
    <x v="69"/>
    <x v="38"/>
    <x v="27"/>
    <x v="104"/>
    <x v="29"/>
    <x v="126"/>
    <x v="75"/>
    <x v="27"/>
    <x v="138"/>
    <x v="82"/>
    <x v="14"/>
    <x v="134"/>
    <x v="27"/>
    <x v="87"/>
    <x v="148"/>
    <x v="23"/>
    <x v="101"/>
    <x v="150"/>
    <x v="0"/>
    <x v="0"/>
    <x v="0"/>
  </r>
  <r>
    <x v="9"/>
    <x v="31"/>
    <x v="92"/>
    <x v="269"/>
    <x v="3"/>
    <x v="131"/>
    <x v="198"/>
    <x v="26"/>
    <x v="98"/>
    <x v="54"/>
    <x v="69"/>
    <x v="38"/>
    <x v="27"/>
    <x v="104"/>
    <x v="29"/>
    <x v="126"/>
    <x v="75"/>
    <x v="27"/>
    <x v="138"/>
    <x v="30"/>
    <x v="14"/>
    <x v="40"/>
    <x v="27"/>
    <x v="35"/>
    <x v="80"/>
    <x v="23"/>
    <x v="42"/>
    <x v="78"/>
    <x v="0"/>
    <x v="0"/>
    <x v="0"/>
  </r>
  <r>
    <x v="9"/>
    <x v="9"/>
    <x v="33"/>
    <x v="270"/>
    <x v="3"/>
    <x v="133"/>
    <x v="200"/>
    <x v="24"/>
    <x v="89"/>
    <x v="54"/>
    <x v="69"/>
    <x v="38"/>
    <x v="27"/>
    <x v="104"/>
    <x v="29"/>
    <x v="126"/>
    <x v="75"/>
    <x v="27"/>
    <x v="138"/>
    <x v="23"/>
    <x v="12"/>
    <x v="26"/>
    <x v="27"/>
    <x v="27"/>
    <x v="69"/>
    <x v="23"/>
    <x v="34"/>
    <x v="66"/>
    <x v="0"/>
    <x v="0"/>
    <x v="0"/>
  </r>
  <r>
    <x v="9"/>
    <x v="9"/>
    <x v="190"/>
    <x v="271"/>
    <x v="3"/>
    <x v="128"/>
    <x v="195"/>
    <x v="24"/>
    <x v="150"/>
    <x v="54"/>
    <x v="69"/>
    <x v="38"/>
    <x v="27"/>
    <x v="104"/>
    <x v="29"/>
    <x v="126"/>
    <x v="75"/>
    <x v="27"/>
    <x v="138"/>
    <x v="76"/>
    <x v="17"/>
    <x v="124"/>
    <x v="27"/>
    <x v="81"/>
    <x v="141"/>
    <x v="23"/>
    <x v="90"/>
    <x v="141"/>
    <x v="0"/>
    <x v="0"/>
    <x v="0"/>
  </r>
  <r>
    <x v="9"/>
    <x v="8"/>
    <x v="91"/>
    <x v="218"/>
    <x v="3"/>
    <x v="112"/>
    <x v="63"/>
    <x v="0"/>
    <x v="7"/>
    <x v="54"/>
    <x v="69"/>
    <x v="6"/>
    <x v="27"/>
    <x v="104"/>
    <x v="29"/>
    <x v="126"/>
    <x v="12"/>
    <x v="11"/>
    <x v="17"/>
    <x v="99"/>
    <x v="17"/>
    <x v="30"/>
    <x v="0"/>
    <x v="0"/>
    <x v="0"/>
    <x v="25"/>
    <x v="127"/>
    <x v="175"/>
    <x v="0"/>
    <x v="0"/>
    <x v="0"/>
  </r>
  <r>
    <x v="9"/>
    <x v="9"/>
    <x v="176"/>
    <x v="273"/>
    <x v="3"/>
    <x v="133"/>
    <x v="123"/>
    <x v="18"/>
    <x v="53"/>
    <x v="54"/>
    <x v="69"/>
    <x v="27"/>
    <x v="27"/>
    <x v="104"/>
    <x v="29"/>
    <x v="126"/>
    <x v="75"/>
    <x v="27"/>
    <x v="138"/>
    <x v="23"/>
    <x v="12"/>
    <x v="25"/>
    <x v="27"/>
    <x v="27"/>
    <x v="64"/>
    <x v="23"/>
    <x v="34"/>
    <x v="61"/>
    <x v="0"/>
    <x v="0"/>
    <x v="0"/>
  </r>
  <r>
    <x v="9"/>
    <x v="9"/>
    <x v="207"/>
    <x v="274"/>
    <x v="3"/>
    <x v="133"/>
    <x v="200"/>
    <x v="24"/>
    <x v="123"/>
    <x v="54"/>
    <x v="69"/>
    <x v="38"/>
    <x v="27"/>
    <x v="104"/>
    <x v="29"/>
    <x v="126"/>
    <x v="75"/>
    <x v="27"/>
    <x v="138"/>
    <x v="51"/>
    <x v="12"/>
    <x v="56"/>
    <x v="27"/>
    <x v="56"/>
    <x v="107"/>
    <x v="23"/>
    <x v="62"/>
    <x v="107"/>
    <x v="0"/>
    <x v="0"/>
    <x v="0"/>
  </r>
  <r>
    <x v="9"/>
    <x v="9"/>
    <x v="106"/>
    <x v="275"/>
    <x v="3"/>
    <x v="135"/>
    <x v="201"/>
    <x v="24"/>
    <x v="177"/>
    <x v="54"/>
    <x v="69"/>
    <x v="38"/>
    <x v="27"/>
    <x v="104"/>
    <x v="29"/>
    <x v="126"/>
    <x v="75"/>
    <x v="27"/>
    <x v="138"/>
    <x v="94"/>
    <x v="10"/>
    <x v="158"/>
    <x v="27"/>
    <x v="100"/>
    <x v="161"/>
    <x v="23"/>
    <x v="117"/>
    <x v="164"/>
    <x v="0"/>
    <x v="0"/>
    <x v="0"/>
  </r>
  <r>
    <x v="9"/>
    <x v="9"/>
    <x v="301"/>
    <x v="276"/>
    <x v="3"/>
    <x v="137"/>
    <x v="240"/>
    <x v="11"/>
    <x v="102"/>
    <x v="54"/>
    <x v="69"/>
    <x v="48"/>
    <x v="27"/>
    <x v="104"/>
    <x v="29"/>
    <x v="126"/>
    <x v="75"/>
    <x v="27"/>
    <x v="138"/>
    <x v="10"/>
    <x v="8"/>
    <x v="11"/>
    <x v="27"/>
    <x v="12"/>
    <x v="38"/>
    <x v="23"/>
    <x v="15"/>
    <x v="39"/>
    <x v="0"/>
    <x v="0"/>
    <x v="0"/>
  </r>
  <r>
    <x v="9"/>
    <x v="9"/>
    <x v="188"/>
    <x v="277"/>
    <x v="3"/>
    <x v="135"/>
    <x v="80"/>
    <x v="0"/>
    <x v="36"/>
    <x v="54"/>
    <x v="69"/>
    <x v="7"/>
    <x v="27"/>
    <x v="104"/>
    <x v="29"/>
    <x v="126"/>
    <x v="75"/>
    <x v="27"/>
    <x v="138"/>
    <x v="73"/>
    <x v="10"/>
    <x v="87"/>
    <x v="18"/>
    <x v="0"/>
    <x v="117"/>
    <x v="25"/>
    <x v="127"/>
    <x v="175"/>
    <x v="0"/>
    <x v="0"/>
    <x v="0"/>
  </r>
  <r>
    <x v="9"/>
    <x v="29"/>
    <x v="224"/>
    <x v="278"/>
    <x v="3"/>
    <x v="134"/>
    <x v="79"/>
    <x v="0"/>
    <x v="10"/>
    <x v="54"/>
    <x v="69"/>
    <x v="7"/>
    <x v="27"/>
    <x v="104"/>
    <x v="29"/>
    <x v="126"/>
    <x v="75"/>
    <x v="27"/>
    <x v="138"/>
    <x v="25"/>
    <x v="11"/>
    <x v="23"/>
    <x v="17"/>
    <x v="109"/>
    <x v="34"/>
    <x v="25"/>
    <x v="127"/>
    <x v="175"/>
    <x v="0"/>
    <x v="0"/>
    <x v="0"/>
  </r>
  <r>
    <x v="9"/>
    <x v="9"/>
    <x v="218"/>
    <x v="279"/>
    <x v="3"/>
    <x v="135"/>
    <x v="201"/>
    <x v="24"/>
    <x v="138"/>
    <x v="54"/>
    <x v="69"/>
    <x v="38"/>
    <x v="27"/>
    <x v="104"/>
    <x v="29"/>
    <x v="126"/>
    <x v="75"/>
    <x v="27"/>
    <x v="138"/>
    <x v="65"/>
    <x v="10"/>
    <x v="62"/>
    <x v="27"/>
    <x v="71"/>
    <x v="128"/>
    <x v="23"/>
    <x v="78"/>
    <x v="128"/>
    <x v="0"/>
    <x v="0"/>
    <x v="0"/>
  </r>
  <r>
    <x v="9"/>
    <x v="31"/>
    <x v="241"/>
    <x v="280"/>
    <x v="3"/>
    <x v="135"/>
    <x v="201"/>
    <x v="26"/>
    <x v="160"/>
    <x v="54"/>
    <x v="69"/>
    <x v="38"/>
    <x v="27"/>
    <x v="104"/>
    <x v="29"/>
    <x v="126"/>
    <x v="75"/>
    <x v="27"/>
    <x v="138"/>
    <x v="81"/>
    <x v="10"/>
    <x v="107"/>
    <x v="27"/>
    <x v="86"/>
    <x v="147"/>
    <x v="23"/>
    <x v="100"/>
    <x v="149"/>
    <x v="0"/>
    <x v="0"/>
    <x v="0"/>
  </r>
  <r>
    <x v="9"/>
    <x v="9"/>
    <x v="151"/>
    <x v="281"/>
    <x v="3"/>
    <x v="118"/>
    <x v="117"/>
    <x v="18"/>
    <x v="170"/>
    <x v="54"/>
    <x v="69"/>
    <x v="28"/>
    <x v="27"/>
    <x v="104"/>
    <x v="29"/>
    <x v="126"/>
    <x v="70"/>
    <x v="1"/>
    <x v="28"/>
    <x v="93"/>
    <x v="27"/>
    <x v="167"/>
    <x v="27"/>
    <x v="99"/>
    <x v="160"/>
    <x v="23"/>
    <x v="116"/>
    <x v="163"/>
    <x v="0"/>
    <x v="0"/>
    <x v="0"/>
  </r>
  <r>
    <x v="9"/>
    <x v="9"/>
    <x v="150"/>
    <x v="282"/>
    <x v="3"/>
    <x v="187"/>
    <x v="192"/>
    <x v="18"/>
    <x v="170"/>
    <x v="54"/>
    <x v="69"/>
    <x v="30"/>
    <x v="27"/>
    <x v="104"/>
    <x v="29"/>
    <x v="126"/>
    <x v="75"/>
    <x v="27"/>
    <x v="138"/>
    <x v="99"/>
    <x v="29"/>
    <x v="171"/>
    <x v="0"/>
    <x v="0"/>
    <x v="0"/>
    <x v="25"/>
    <x v="127"/>
    <x v="175"/>
    <x v="0"/>
    <x v="0"/>
    <x v="0"/>
  </r>
  <r>
    <x v="9"/>
    <x v="9"/>
    <x v="29"/>
    <x v="283"/>
    <x v="3"/>
    <x v="136"/>
    <x v="81"/>
    <x v="0"/>
    <x v="8"/>
    <x v="54"/>
    <x v="69"/>
    <x v="7"/>
    <x v="27"/>
    <x v="104"/>
    <x v="29"/>
    <x v="126"/>
    <x v="75"/>
    <x v="27"/>
    <x v="138"/>
    <x v="17"/>
    <x v="9"/>
    <x v="15"/>
    <x v="19"/>
    <x v="0"/>
    <x v="29"/>
    <x v="25"/>
    <x v="127"/>
    <x v="175"/>
    <x v="0"/>
    <x v="0"/>
    <x v="0"/>
  </r>
  <r>
    <x v="9"/>
    <x v="9"/>
    <x v="40"/>
    <x v="284"/>
    <x v="3"/>
    <x v="136"/>
    <x v="202"/>
    <x v="24"/>
    <x v="110"/>
    <x v="54"/>
    <x v="69"/>
    <x v="38"/>
    <x v="27"/>
    <x v="104"/>
    <x v="29"/>
    <x v="126"/>
    <x v="75"/>
    <x v="27"/>
    <x v="138"/>
    <x v="41"/>
    <x v="9"/>
    <x v="31"/>
    <x v="27"/>
    <x v="45"/>
    <x v="91"/>
    <x v="23"/>
    <x v="51"/>
    <x v="90"/>
    <x v="0"/>
    <x v="0"/>
    <x v="0"/>
  </r>
  <r>
    <x v="9"/>
    <x v="9"/>
    <x v="271"/>
    <x v="285"/>
    <x v="3"/>
    <x v="136"/>
    <x v="202"/>
    <x v="24"/>
    <x v="76"/>
    <x v="54"/>
    <x v="69"/>
    <x v="38"/>
    <x v="27"/>
    <x v="104"/>
    <x v="29"/>
    <x v="126"/>
    <x v="75"/>
    <x v="27"/>
    <x v="138"/>
    <x v="16"/>
    <x v="9"/>
    <x v="16"/>
    <x v="27"/>
    <x v="20"/>
    <x v="54"/>
    <x v="23"/>
    <x v="24"/>
    <x v="53"/>
    <x v="0"/>
    <x v="0"/>
    <x v="0"/>
  </r>
  <r>
    <x v="9"/>
    <x v="9"/>
    <x v="131"/>
    <x v="286"/>
    <x v="3"/>
    <x v="136"/>
    <x v="89"/>
    <x v="10"/>
    <x v="36"/>
    <x v="54"/>
    <x v="69"/>
    <x v="13"/>
    <x v="27"/>
    <x v="104"/>
    <x v="29"/>
    <x v="126"/>
    <x v="75"/>
    <x v="27"/>
    <x v="138"/>
    <x v="43"/>
    <x v="9"/>
    <x v="36"/>
    <x v="27"/>
    <x v="47"/>
    <x v="93"/>
    <x v="15"/>
    <x v="127"/>
    <x v="76"/>
    <x v="0"/>
    <x v="0"/>
    <x v="0"/>
  </r>
  <r>
    <x v="9"/>
    <x v="31"/>
    <x v="268"/>
    <x v="287"/>
    <x v="3"/>
    <x v="136"/>
    <x v="158"/>
    <x v="22"/>
    <x v="121"/>
    <x v="54"/>
    <x v="69"/>
    <x v="32"/>
    <x v="27"/>
    <x v="104"/>
    <x v="29"/>
    <x v="126"/>
    <x v="75"/>
    <x v="27"/>
    <x v="138"/>
    <x v="67"/>
    <x v="9"/>
    <x v="57"/>
    <x v="27"/>
    <x v="73"/>
    <x v="127"/>
    <x v="23"/>
    <x v="78"/>
    <x v="127"/>
    <x v="0"/>
    <x v="0"/>
    <x v="0"/>
  </r>
  <r>
    <x v="9"/>
    <x v="9"/>
    <x v="61"/>
    <x v="288"/>
    <x v="3"/>
    <x v="136"/>
    <x v="81"/>
    <x v="0"/>
    <x v="36"/>
    <x v="54"/>
    <x v="69"/>
    <x v="7"/>
    <x v="27"/>
    <x v="104"/>
    <x v="29"/>
    <x v="126"/>
    <x v="75"/>
    <x v="27"/>
    <x v="138"/>
    <x v="73"/>
    <x v="9"/>
    <x v="81"/>
    <x v="19"/>
    <x v="0"/>
    <x v="118"/>
    <x v="25"/>
    <x v="127"/>
    <x v="175"/>
    <x v="0"/>
    <x v="0"/>
    <x v="0"/>
  </r>
  <r>
    <x v="9"/>
    <x v="9"/>
    <x v="143"/>
    <x v="289"/>
    <x v="3"/>
    <x v="137"/>
    <x v="203"/>
    <x v="24"/>
    <x v="89"/>
    <x v="54"/>
    <x v="69"/>
    <x v="38"/>
    <x v="27"/>
    <x v="104"/>
    <x v="29"/>
    <x v="126"/>
    <x v="75"/>
    <x v="27"/>
    <x v="138"/>
    <x v="23"/>
    <x v="8"/>
    <x v="19"/>
    <x v="27"/>
    <x v="27"/>
    <x v="69"/>
    <x v="23"/>
    <x v="34"/>
    <x v="66"/>
    <x v="0"/>
    <x v="0"/>
    <x v="0"/>
  </r>
  <r>
    <x v="9"/>
    <x v="9"/>
    <x v="90"/>
    <x v="290"/>
    <x v="3"/>
    <x v="137"/>
    <x v="124"/>
    <x v="18"/>
    <x v="53"/>
    <x v="54"/>
    <x v="69"/>
    <x v="27"/>
    <x v="27"/>
    <x v="104"/>
    <x v="29"/>
    <x v="126"/>
    <x v="75"/>
    <x v="27"/>
    <x v="138"/>
    <x v="23"/>
    <x v="8"/>
    <x v="18"/>
    <x v="27"/>
    <x v="27"/>
    <x v="64"/>
    <x v="23"/>
    <x v="34"/>
    <x v="61"/>
    <x v="0"/>
    <x v="0"/>
    <x v="0"/>
  </r>
  <r>
    <x v="9"/>
    <x v="9"/>
    <x v="72"/>
    <x v="291"/>
    <x v="3"/>
    <x v="141"/>
    <x v="206"/>
    <x v="24"/>
    <x v="136"/>
    <x v="54"/>
    <x v="69"/>
    <x v="38"/>
    <x v="27"/>
    <x v="104"/>
    <x v="29"/>
    <x v="126"/>
    <x v="75"/>
    <x v="27"/>
    <x v="138"/>
    <x v="99"/>
    <x v="0"/>
    <x v="171"/>
    <x v="27"/>
    <x v="69"/>
    <x v="124"/>
    <x v="23"/>
    <x v="76"/>
    <x v="124"/>
    <x v="0"/>
    <x v="0"/>
    <x v="0"/>
  </r>
  <r>
    <x v="9"/>
    <x v="9"/>
    <x v="208"/>
    <x v="292"/>
    <x v="3"/>
    <x v="138"/>
    <x v="204"/>
    <x v="24"/>
    <x v="114"/>
    <x v="54"/>
    <x v="69"/>
    <x v="38"/>
    <x v="27"/>
    <x v="104"/>
    <x v="29"/>
    <x v="126"/>
    <x v="75"/>
    <x v="27"/>
    <x v="138"/>
    <x v="44"/>
    <x v="4"/>
    <x v="13"/>
    <x v="27"/>
    <x v="48"/>
    <x v="97"/>
    <x v="23"/>
    <x v="55"/>
    <x v="99"/>
    <x v="0"/>
    <x v="0"/>
    <x v="0"/>
  </r>
  <r>
    <x v="9"/>
    <x v="9"/>
    <x v="275"/>
    <x v="259"/>
    <x v="3"/>
    <x v="129"/>
    <x v="77"/>
    <x v="0"/>
    <x v="128"/>
    <x v="54"/>
    <x v="69"/>
    <x v="7"/>
    <x v="27"/>
    <x v="104"/>
    <x v="29"/>
    <x v="126"/>
    <x v="75"/>
    <x v="27"/>
    <x v="138"/>
    <x v="95"/>
    <x v="16"/>
    <x v="166"/>
    <x v="13"/>
    <x v="0"/>
    <x v="157"/>
    <x v="25"/>
    <x v="127"/>
    <x v="175"/>
    <x v="0"/>
    <x v="0"/>
    <x v="0"/>
  </r>
  <r>
    <x v="9"/>
    <x v="9"/>
    <x v="244"/>
    <x v="294"/>
    <x v="3"/>
    <x v="139"/>
    <x v="127"/>
    <x v="18"/>
    <x v="54"/>
    <x v="54"/>
    <x v="69"/>
    <x v="27"/>
    <x v="27"/>
    <x v="104"/>
    <x v="29"/>
    <x v="126"/>
    <x v="75"/>
    <x v="27"/>
    <x v="138"/>
    <x v="24"/>
    <x v="2"/>
    <x v="5"/>
    <x v="27"/>
    <x v="28"/>
    <x v="70"/>
    <x v="23"/>
    <x v="35"/>
    <x v="67"/>
    <x v="0"/>
    <x v="0"/>
    <x v="0"/>
  </r>
  <r>
    <x v="9"/>
    <x v="9"/>
    <x v="79"/>
    <x v="295"/>
    <x v="3"/>
    <x v="139"/>
    <x v="205"/>
    <x v="24"/>
    <x v="89"/>
    <x v="54"/>
    <x v="69"/>
    <x v="38"/>
    <x v="27"/>
    <x v="104"/>
    <x v="29"/>
    <x v="126"/>
    <x v="75"/>
    <x v="27"/>
    <x v="138"/>
    <x v="23"/>
    <x v="2"/>
    <x v="4"/>
    <x v="27"/>
    <x v="27"/>
    <x v="69"/>
    <x v="23"/>
    <x v="34"/>
    <x v="66"/>
    <x v="0"/>
    <x v="0"/>
    <x v="0"/>
  </r>
  <r>
    <x v="9"/>
    <x v="9"/>
    <x v="276"/>
    <x v="296"/>
    <x v="3"/>
    <x v="141"/>
    <x v="206"/>
    <x v="25"/>
    <x v="182"/>
    <x v="54"/>
    <x v="69"/>
    <x v="38"/>
    <x v="27"/>
    <x v="104"/>
    <x v="29"/>
    <x v="126"/>
    <x v="75"/>
    <x v="27"/>
    <x v="138"/>
    <x v="99"/>
    <x v="0"/>
    <x v="171"/>
    <x v="27"/>
    <x v="105"/>
    <x v="165"/>
    <x v="23"/>
    <x v="123"/>
    <x v="170"/>
    <x v="0"/>
    <x v="0"/>
    <x v="0"/>
  </r>
  <r>
    <x v="9"/>
    <x v="9"/>
    <x v="115"/>
    <x v="297"/>
    <x v="3"/>
    <x v="140"/>
    <x v="128"/>
    <x v="18"/>
    <x v="46"/>
    <x v="54"/>
    <x v="69"/>
    <x v="27"/>
    <x v="27"/>
    <x v="104"/>
    <x v="29"/>
    <x v="126"/>
    <x v="75"/>
    <x v="27"/>
    <x v="138"/>
    <x v="15"/>
    <x v="1"/>
    <x v="3"/>
    <x v="27"/>
    <x v="18"/>
    <x v="51"/>
    <x v="23"/>
    <x v="22"/>
    <x v="49"/>
    <x v="0"/>
    <x v="0"/>
    <x v="0"/>
  </r>
  <r>
    <x v="9"/>
    <x v="10"/>
    <x v="68"/>
    <x v="298"/>
    <x v="3"/>
    <x v="141"/>
    <x v="84"/>
    <x v="0"/>
    <x v="15"/>
    <x v="54"/>
    <x v="69"/>
    <x v="7"/>
    <x v="27"/>
    <x v="104"/>
    <x v="29"/>
    <x v="126"/>
    <x v="75"/>
    <x v="27"/>
    <x v="138"/>
    <x v="99"/>
    <x v="29"/>
    <x v="171"/>
    <x v="27"/>
    <x v="39"/>
    <x v="83"/>
    <x v="25"/>
    <x v="127"/>
    <x v="175"/>
    <x v="0"/>
    <x v="0"/>
    <x v="0"/>
  </r>
  <r>
    <x v="9"/>
    <x v="10"/>
    <x v="277"/>
    <x v="299"/>
    <x v="3"/>
    <x v="144"/>
    <x v="85"/>
    <x v="0"/>
    <x v="7"/>
    <x v="54"/>
    <x v="69"/>
    <x v="7"/>
    <x v="27"/>
    <x v="104"/>
    <x v="29"/>
    <x v="126"/>
    <x v="75"/>
    <x v="27"/>
    <x v="138"/>
    <x v="99"/>
    <x v="29"/>
    <x v="171"/>
    <x v="23"/>
    <x v="20"/>
    <x v="42"/>
    <x v="1"/>
    <x v="127"/>
    <x v="4"/>
    <x v="0"/>
    <x v="0"/>
    <x v="0"/>
  </r>
  <r>
    <x v="9"/>
    <x v="10"/>
    <x v="170"/>
    <x v="300"/>
    <x v="3"/>
    <x v="141"/>
    <x v="129"/>
    <x v="18"/>
    <x v="54"/>
    <x v="54"/>
    <x v="69"/>
    <x v="27"/>
    <x v="27"/>
    <x v="104"/>
    <x v="29"/>
    <x v="126"/>
    <x v="75"/>
    <x v="27"/>
    <x v="138"/>
    <x v="99"/>
    <x v="29"/>
    <x v="171"/>
    <x v="27"/>
    <x v="28"/>
    <x v="70"/>
    <x v="23"/>
    <x v="35"/>
    <x v="67"/>
    <x v="0"/>
    <x v="0"/>
    <x v="0"/>
  </r>
  <r>
    <x v="9"/>
    <x v="10"/>
    <x v="13"/>
    <x v="301"/>
    <x v="3"/>
    <x v="138"/>
    <x v="204"/>
    <x v="24"/>
    <x v="153"/>
    <x v="54"/>
    <x v="69"/>
    <x v="38"/>
    <x v="27"/>
    <x v="104"/>
    <x v="29"/>
    <x v="126"/>
    <x v="75"/>
    <x v="27"/>
    <x v="138"/>
    <x v="79"/>
    <x v="3"/>
    <x v="24"/>
    <x v="27"/>
    <x v="84"/>
    <x v="144"/>
    <x v="23"/>
    <x v="94"/>
    <x v="145"/>
    <x v="0"/>
    <x v="0"/>
    <x v="0"/>
  </r>
  <r>
    <x v="9"/>
    <x v="10"/>
    <x v="49"/>
    <x v="302"/>
    <x v="3"/>
    <x v="142"/>
    <x v="207"/>
    <x v="24"/>
    <x v="70"/>
    <x v="54"/>
    <x v="69"/>
    <x v="38"/>
    <x v="27"/>
    <x v="104"/>
    <x v="29"/>
    <x v="126"/>
    <x v="75"/>
    <x v="27"/>
    <x v="138"/>
    <x v="99"/>
    <x v="29"/>
    <x v="171"/>
    <x v="26"/>
    <x v="14"/>
    <x v="43"/>
    <x v="23"/>
    <x v="18"/>
    <x v="44"/>
    <x v="0"/>
    <x v="0"/>
    <x v="0"/>
  </r>
  <r>
    <x v="9"/>
    <x v="10"/>
    <x v="274"/>
    <x v="303"/>
    <x v="3"/>
    <x v="145"/>
    <x v="210"/>
    <x v="24"/>
    <x v="95"/>
    <x v="54"/>
    <x v="69"/>
    <x v="38"/>
    <x v="27"/>
    <x v="104"/>
    <x v="29"/>
    <x v="126"/>
    <x v="75"/>
    <x v="27"/>
    <x v="138"/>
    <x v="99"/>
    <x v="29"/>
    <x v="171"/>
    <x v="22"/>
    <x v="33"/>
    <x v="60"/>
    <x v="23"/>
    <x v="40"/>
    <x v="74"/>
    <x v="0"/>
    <x v="0"/>
    <x v="0"/>
  </r>
  <r>
    <x v="9"/>
    <x v="10"/>
    <x v="197"/>
    <x v="304"/>
    <x v="3"/>
    <x v="143"/>
    <x v="208"/>
    <x v="24"/>
    <x v="89"/>
    <x v="54"/>
    <x v="69"/>
    <x v="38"/>
    <x v="27"/>
    <x v="104"/>
    <x v="29"/>
    <x v="126"/>
    <x v="75"/>
    <x v="27"/>
    <x v="138"/>
    <x v="99"/>
    <x v="29"/>
    <x v="171"/>
    <x v="24"/>
    <x v="27"/>
    <x v="56"/>
    <x v="23"/>
    <x v="34"/>
    <x v="66"/>
    <x v="0"/>
    <x v="0"/>
    <x v="0"/>
  </r>
  <r>
    <x v="9"/>
    <x v="10"/>
    <x v="278"/>
    <x v="305"/>
    <x v="3"/>
    <x v="143"/>
    <x v="208"/>
    <x v="24"/>
    <x v="70"/>
    <x v="54"/>
    <x v="69"/>
    <x v="38"/>
    <x v="27"/>
    <x v="104"/>
    <x v="29"/>
    <x v="126"/>
    <x v="75"/>
    <x v="27"/>
    <x v="138"/>
    <x v="99"/>
    <x v="29"/>
    <x v="171"/>
    <x v="24"/>
    <x v="14"/>
    <x v="39"/>
    <x v="23"/>
    <x v="18"/>
    <x v="44"/>
    <x v="0"/>
    <x v="0"/>
    <x v="0"/>
  </r>
  <r>
    <x v="9"/>
    <x v="10"/>
    <x v="240"/>
    <x v="306"/>
    <x v="3"/>
    <x v="143"/>
    <x v="208"/>
    <x v="23"/>
    <x v="181"/>
    <x v="54"/>
    <x v="69"/>
    <x v="38"/>
    <x v="27"/>
    <x v="104"/>
    <x v="29"/>
    <x v="126"/>
    <x v="75"/>
    <x v="27"/>
    <x v="138"/>
    <x v="99"/>
    <x v="29"/>
    <x v="171"/>
    <x v="24"/>
    <x v="103"/>
    <x v="163"/>
    <x v="23"/>
    <x v="121"/>
    <x v="168"/>
    <x v="0"/>
    <x v="0"/>
    <x v="0"/>
  </r>
  <r>
    <x v="9"/>
    <x v="10"/>
    <x v="60"/>
    <x v="307"/>
    <x v="3"/>
    <x v="143"/>
    <x v="208"/>
    <x v="24"/>
    <x v="132"/>
    <x v="54"/>
    <x v="69"/>
    <x v="38"/>
    <x v="27"/>
    <x v="104"/>
    <x v="29"/>
    <x v="126"/>
    <x v="75"/>
    <x v="27"/>
    <x v="138"/>
    <x v="99"/>
    <x v="29"/>
    <x v="171"/>
    <x v="24"/>
    <x v="65"/>
    <x v="110"/>
    <x v="23"/>
    <x v="71"/>
    <x v="117"/>
    <x v="0"/>
    <x v="0"/>
    <x v="0"/>
  </r>
  <r>
    <x v="9"/>
    <x v="10"/>
    <x v="295"/>
    <x v="308"/>
    <x v="3"/>
    <x v="145"/>
    <x v="86"/>
    <x v="0"/>
    <x v="36"/>
    <x v="54"/>
    <x v="69"/>
    <x v="7"/>
    <x v="27"/>
    <x v="104"/>
    <x v="29"/>
    <x v="126"/>
    <x v="75"/>
    <x v="27"/>
    <x v="138"/>
    <x v="99"/>
    <x v="29"/>
    <x v="171"/>
    <x v="22"/>
    <x v="78"/>
    <x v="130"/>
    <x v="2"/>
    <x v="127"/>
    <x v="30"/>
    <x v="0"/>
    <x v="0"/>
    <x v="0"/>
  </r>
  <r>
    <x v="9"/>
    <x v="10"/>
    <x v="70"/>
    <x v="309"/>
    <x v="3"/>
    <x v="144"/>
    <x v="209"/>
    <x v="23"/>
    <x v="94"/>
    <x v="54"/>
    <x v="69"/>
    <x v="38"/>
    <x v="27"/>
    <x v="104"/>
    <x v="29"/>
    <x v="126"/>
    <x v="75"/>
    <x v="27"/>
    <x v="138"/>
    <x v="99"/>
    <x v="29"/>
    <x v="171"/>
    <x v="23"/>
    <x v="32"/>
    <x v="65"/>
    <x v="23"/>
    <x v="39"/>
    <x v="73"/>
    <x v="0"/>
    <x v="0"/>
    <x v="0"/>
  </r>
  <r>
    <x v="9"/>
    <x v="10"/>
    <x v="135"/>
    <x v="310"/>
    <x v="3"/>
    <x v="145"/>
    <x v="210"/>
    <x v="24"/>
    <x v="89"/>
    <x v="54"/>
    <x v="69"/>
    <x v="38"/>
    <x v="27"/>
    <x v="104"/>
    <x v="29"/>
    <x v="126"/>
    <x v="75"/>
    <x v="27"/>
    <x v="138"/>
    <x v="99"/>
    <x v="29"/>
    <x v="171"/>
    <x v="22"/>
    <x v="27"/>
    <x v="50"/>
    <x v="23"/>
    <x v="34"/>
    <x v="66"/>
    <x v="0"/>
    <x v="0"/>
    <x v="0"/>
  </r>
  <r>
    <x v="9"/>
    <x v="10"/>
    <x v="94"/>
    <x v="311"/>
    <x v="3"/>
    <x v="145"/>
    <x v="210"/>
    <x v="24"/>
    <x v="89"/>
    <x v="54"/>
    <x v="69"/>
    <x v="38"/>
    <x v="27"/>
    <x v="104"/>
    <x v="29"/>
    <x v="126"/>
    <x v="75"/>
    <x v="27"/>
    <x v="138"/>
    <x v="99"/>
    <x v="29"/>
    <x v="171"/>
    <x v="22"/>
    <x v="27"/>
    <x v="50"/>
    <x v="23"/>
    <x v="34"/>
    <x v="66"/>
    <x v="0"/>
    <x v="0"/>
    <x v="0"/>
  </r>
  <r>
    <x v="9"/>
    <x v="10"/>
    <x v="191"/>
    <x v="312"/>
    <x v="3"/>
    <x v="146"/>
    <x v="211"/>
    <x v="25"/>
    <x v="180"/>
    <x v="54"/>
    <x v="69"/>
    <x v="38"/>
    <x v="27"/>
    <x v="104"/>
    <x v="29"/>
    <x v="126"/>
    <x v="75"/>
    <x v="27"/>
    <x v="138"/>
    <x v="99"/>
    <x v="29"/>
    <x v="171"/>
    <x v="21"/>
    <x v="102"/>
    <x v="162"/>
    <x v="23"/>
    <x v="119"/>
    <x v="167"/>
    <x v="0"/>
    <x v="0"/>
    <x v="0"/>
  </r>
  <r>
    <x v="9"/>
    <x v="10"/>
    <x v="153"/>
    <x v="313"/>
    <x v="3"/>
    <x v="147"/>
    <x v="212"/>
    <x v="24"/>
    <x v="78"/>
    <x v="54"/>
    <x v="69"/>
    <x v="38"/>
    <x v="27"/>
    <x v="104"/>
    <x v="29"/>
    <x v="126"/>
    <x v="75"/>
    <x v="27"/>
    <x v="138"/>
    <x v="99"/>
    <x v="29"/>
    <x v="171"/>
    <x v="20"/>
    <x v="21"/>
    <x v="39"/>
    <x v="23"/>
    <x v="26"/>
    <x v="54"/>
    <x v="0"/>
    <x v="0"/>
    <x v="0"/>
  </r>
  <r>
    <x v="9"/>
    <x v="10"/>
    <x v="297"/>
    <x v="314"/>
    <x v="3"/>
    <x v="147"/>
    <x v="212"/>
    <x v="24"/>
    <x v="72"/>
    <x v="54"/>
    <x v="69"/>
    <x v="38"/>
    <x v="27"/>
    <x v="104"/>
    <x v="29"/>
    <x v="126"/>
    <x v="75"/>
    <x v="27"/>
    <x v="138"/>
    <x v="99"/>
    <x v="29"/>
    <x v="171"/>
    <x v="20"/>
    <x v="16"/>
    <x v="33"/>
    <x v="23"/>
    <x v="20"/>
    <x v="46"/>
    <x v="0"/>
    <x v="0"/>
    <x v="0"/>
  </r>
  <r>
    <x v="9"/>
    <x v="10"/>
    <x v="109"/>
    <x v="315"/>
    <x v="3"/>
    <x v="147"/>
    <x v="212"/>
    <x v="24"/>
    <x v="88"/>
    <x v="54"/>
    <x v="69"/>
    <x v="38"/>
    <x v="27"/>
    <x v="104"/>
    <x v="29"/>
    <x v="126"/>
    <x v="75"/>
    <x v="27"/>
    <x v="138"/>
    <x v="99"/>
    <x v="29"/>
    <x v="171"/>
    <x v="20"/>
    <x v="26"/>
    <x v="44"/>
    <x v="23"/>
    <x v="33"/>
    <x v="62"/>
    <x v="0"/>
    <x v="0"/>
    <x v="0"/>
  </r>
  <r>
    <x v="9"/>
    <x v="10"/>
    <x v="189"/>
    <x v="316"/>
    <x v="3"/>
    <x v="148"/>
    <x v="213"/>
    <x v="24"/>
    <x v="74"/>
    <x v="54"/>
    <x v="69"/>
    <x v="38"/>
    <x v="27"/>
    <x v="104"/>
    <x v="29"/>
    <x v="126"/>
    <x v="75"/>
    <x v="27"/>
    <x v="138"/>
    <x v="99"/>
    <x v="29"/>
    <x v="171"/>
    <x v="18"/>
    <x v="18"/>
    <x v="26"/>
    <x v="23"/>
    <x v="22"/>
    <x v="51"/>
    <x v="0"/>
    <x v="0"/>
    <x v="0"/>
  </r>
  <r>
    <x v="9"/>
    <x v="10"/>
    <x v="281"/>
    <x v="317"/>
    <x v="3"/>
    <x v="148"/>
    <x v="132"/>
    <x v="18"/>
    <x v="53"/>
    <x v="54"/>
    <x v="69"/>
    <x v="27"/>
    <x v="27"/>
    <x v="104"/>
    <x v="29"/>
    <x v="126"/>
    <x v="75"/>
    <x v="27"/>
    <x v="138"/>
    <x v="99"/>
    <x v="29"/>
    <x v="171"/>
    <x v="18"/>
    <x v="27"/>
    <x v="35"/>
    <x v="23"/>
    <x v="34"/>
    <x v="61"/>
    <x v="0"/>
    <x v="0"/>
    <x v="0"/>
  </r>
  <r>
    <x v="9"/>
    <x v="10"/>
    <x v="298"/>
    <x v="318"/>
    <x v="3"/>
    <x v="151"/>
    <x v="215"/>
    <x v="24"/>
    <x v="78"/>
    <x v="54"/>
    <x v="69"/>
    <x v="38"/>
    <x v="27"/>
    <x v="104"/>
    <x v="29"/>
    <x v="126"/>
    <x v="75"/>
    <x v="27"/>
    <x v="138"/>
    <x v="99"/>
    <x v="29"/>
    <x v="171"/>
    <x v="15"/>
    <x v="21"/>
    <x v="23"/>
    <x v="23"/>
    <x v="26"/>
    <x v="54"/>
    <x v="0"/>
    <x v="0"/>
    <x v="0"/>
  </r>
  <r>
    <x v="9"/>
    <x v="10"/>
    <x v="133"/>
    <x v="319"/>
    <x v="3"/>
    <x v="149"/>
    <x v="109"/>
    <x v="13"/>
    <x v="47"/>
    <x v="54"/>
    <x v="69"/>
    <x v="18"/>
    <x v="27"/>
    <x v="104"/>
    <x v="29"/>
    <x v="126"/>
    <x v="75"/>
    <x v="27"/>
    <x v="138"/>
    <x v="99"/>
    <x v="29"/>
    <x v="171"/>
    <x v="17"/>
    <x v="47"/>
    <x v="73"/>
    <x v="23"/>
    <x v="54"/>
    <x v="93"/>
    <x v="0"/>
    <x v="0"/>
    <x v="0"/>
  </r>
  <r>
    <x v="9"/>
    <x v="10"/>
    <x v="85"/>
    <x v="320"/>
    <x v="3"/>
    <x v="150"/>
    <x v="88"/>
    <x v="0"/>
    <x v="17"/>
    <x v="54"/>
    <x v="69"/>
    <x v="7"/>
    <x v="27"/>
    <x v="104"/>
    <x v="29"/>
    <x v="126"/>
    <x v="75"/>
    <x v="27"/>
    <x v="138"/>
    <x v="99"/>
    <x v="29"/>
    <x v="171"/>
    <x v="16"/>
    <x v="41"/>
    <x v="49"/>
    <x v="10"/>
    <x v="127"/>
    <x v="35"/>
    <x v="0"/>
    <x v="0"/>
    <x v="0"/>
  </r>
  <r>
    <x v="9"/>
    <x v="10"/>
    <x v="148"/>
    <x v="321"/>
    <x v="3"/>
    <x v="150"/>
    <x v="214"/>
    <x v="24"/>
    <x v="98"/>
    <x v="54"/>
    <x v="69"/>
    <x v="38"/>
    <x v="27"/>
    <x v="104"/>
    <x v="29"/>
    <x v="126"/>
    <x v="75"/>
    <x v="27"/>
    <x v="138"/>
    <x v="99"/>
    <x v="29"/>
    <x v="171"/>
    <x v="16"/>
    <x v="35"/>
    <x v="39"/>
    <x v="23"/>
    <x v="42"/>
    <x v="78"/>
    <x v="0"/>
    <x v="0"/>
    <x v="0"/>
  </r>
  <r>
    <x v="9"/>
    <x v="10"/>
    <x v="37"/>
    <x v="322"/>
    <x v="3"/>
    <x v="152"/>
    <x v="216"/>
    <x v="25"/>
    <x v="179"/>
    <x v="54"/>
    <x v="69"/>
    <x v="38"/>
    <x v="27"/>
    <x v="104"/>
    <x v="29"/>
    <x v="126"/>
    <x v="75"/>
    <x v="27"/>
    <x v="138"/>
    <x v="99"/>
    <x v="29"/>
    <x v="171"/>
    <x v="13"/>
    <x v="101"/>
    <x v="155"/>
    <x v="23"/>
    <x v="118"/>
    <x v="166"/>
    <x v="0"/>
    <x v="0"/>
    <x v="0"/>
  </r>
  <r>
    <x v="9"/>
    <x v="10"/>
    <x v="231"/>
    <x v="323"/>
    <x v="3"/>
    <x v="155"/>
    <x v="137"/>
    <x v="18"/>
    <x v="168"/>
    <x v="54"/>
    <x v="69"/>
    <x v="27"/>
    <x v="27"/>
    <x v="104"/>
    <x v="29"/>
    <x v="126"/>
    <x v="75"/>
    <x v="27"/>
    <x v="138"/>
    <x v="99"/>
    <x v="29"/>
    <x v="171"/>
    <x v="7"/>
    <x v="97"/>
    <x v="137"/>
    <x v="23"/>
    <x v="114"/>
    <x v="161"/>
    <x v="0"/>
    <x v="0"/>
    <x v="0"/>
  </r>
  <r>
    <x v="9"/>
    <x v="10"/>
    <x v="114"/>
    <x v="324"/>
    <x v="3"/>
    <x v="151"/>
    <x v="215"/>
    <x v="24"/>
    <x v="89"/>
    <x v="54"/>
    <x v="69"/>
    <x v="38"/>
    <x v="27"/>
    <x v="104"/>
    <x v="29"/>
    <x v="126"/>
    <x v="75"/>
    <x v="27"/>
    <x v="138"/>
    <x v="99"/>
    <x v="29"/>
    <x v="171"/>
    <x v="15"/>
    <x v="27"/>
    <x v="27"/>
    <x v="23"/>
    <x v="34"/>
    <x v="66"/>
    <x v="0"/>
    <x v="0"/>
    <x v="0"/>
  </r>
  <r>
    <x v="9"/>
    <x v="9"/>
    <x v="275"/>
    <x v="259"/>
    <x v="3"/>
    <x v="138"/>
    <x v="77"/>
    <x v="8"/>
    <x v="52"/>
    <x v="54"/>
    <x v="69"/>
    <x v="3"/>
    <x v="27"/>
    <x v="104"/>
    <x v="29"/>
    <x v="126"/>
    <x v="75"/>
    <x v="27"/>
    <x v="138"/>
    <x v="85"/>
    <x v="4"/>
    <x v="89"/>
    <x v="13"/>
    <x v="0"/>
    <x v="146"/>
    <x v="25"/>
    <x v="127"/>
    <x v="175"/>
    <x v="0"/>
    <x v="0"/>
    <x v="0"/>
  </r>
  <r>
    <x v="9"/>
    <x v="12"/>
    <x v="275"/>
    <x v="406"/>
    <x v="0"/>
    <x v="186"/>
    <x v="157"/>
    <x v="19"/>
    <x v="174"/>
    <x v="54"/>
    <x v="69"/>
    <x v="25"/>
    <x v="27"/>
    <x v="104"/>
    <x v="29"/>
    <x v="126"/>
    <x v="75"/>
    <x v="27"/>
    <x v="138"/>
    <x v="99"/>
    <x v="29"/>
    <x v="171"/>
    <x v="28"/>
    <x v="109"/>
    <x v="168"/>
    <x v="25"/>
    <x v="127"/>
    <x v="175"/>
    <x v="0"/>
    <x v="0"/>
    <x v="0"/>
  </r>
  <r>
    <x v="9"/>
    <x v="11"/>
    <x v="275"/>
    <x v="370"/>
    <x v="3"/>
    <x v="151"/>
    <x v="97"/>
    <x v="9"/>
    <x v="159"/>
    <x v="54"/>
    <x v="69"/>
    <x v="12"/>
    <x v="27"/>
    <x v="104"/>
    <x v="29"/>
    <x v="126"/>
    <x v="75"/>
    <x v="27"/>
    <x v="138"/>
    <x v="99"/>
    <x v="29"/>
    <x v="171"/>
    <x v="15"/>
    <x v="93"/>
    <x v="159"/>
    <x v="23"/>
    <x v="109"/>
    <x v="171"/>
    <x v="0"/>
    <x v="0"/>
    <x v="0"/>
  </r>
  <r>
    <x v="9"/>
    <x v="10"/>
    <x v="45"/>
    <x v="325"/>
    <x v="3"/>
    <x v="152"/>
    <x v="216"/>
    <x v="24"/>
    <x v="113"/>
    <x v="54"/>
    <x v="69"/>
    <x v="38"/>
    <x v="27"/>
    <x v="104"/>
    <x v="29"/>
    <x v="126"/>
    <x v="75"/>
    <x v="27"/>
    <x v="138"/>
    <x v="99"/>
    <x v="29"/>
    <x v="171"/>
    <x v="13"/>
    <x v="47"/>
    <x v="45"/>
    <x v="23"/>
    <x v="54"/>
    <x v="96"/>
    <x v="0"/>
    <x v="0"/>
    <x v="0"/>
  </r>
  <r>
    <x v="9"/>
    <x v="10"/>
    <x v="280"/>
    <x v="326"/>
    <x v="3"/>
    <x v="158"/>
    <x v="218"/>
    <x v="24"/>
    <x v="176"/>
    <x v="54"/>
    <x v="69"/>
    <x v="36"/>
    <x v="27"/>
    <x v="104"/>
    <x v="29"/>
    <x v="126"/>
    <x v="75"/>
    <x v="27"/>
    <x v="138"/>
    <x v="99"/>
    <x v="29"/>
    <x v="171"/>
    <x v="4"/>
    <x v="98"/>
    <x v="104"/>
    <x v="23"/>
    <x v="115"/>
    <x v="162"/>
    <x v="0"/>
    <x v="0"/>
    <x v="0"/>
  </r>
  <r>
    <x v="9"/>
    <x v="10"/>
    <x v="132"/>
    <x v="327"/>
    <x v="3"/>
    <x v="152"/>
    <x v="216"/>
    <x v="24"/>
    <x v="89"/>
    <x v="54"/>
    <x v="69"/>
    <x v="38"/>
    <x v="27"/>
    <x v="104"/>
    <x v="29"/>
    <x v="126"/>
    <x v="75"/>
    <x v="27"/>
    <x v="138"/>
    <x v="99"/>
    <x v="29"/>
    <x v="171"/>
    <x v="13"/>
    <x v="27"/>
    <x v="20"/>
    <x v="23"/>
    <x v="34"/>
    <x v="66"/>
    <x v="0"/>
    <x v="0"/>
    <x v="0"/>
  </r>
  <r>
    <x v="9"/>
    <x v="10"/>
    <x v="16"/>
    <x v="328"/>
    <x v="3"/>
    <x v="153"/>
    <x v="217"/>
    <x v="24"/>
    <x v="89"/>
    <x v="54"/>
    <x v="69"/>
    <x v="38"/>
    <x v="27"/>
    <x v="104"/>
    <x v="29"/>
    <x v="126"/>
    <x v="75"/>
    <x v="27"/>
    <x v="138"/>
    <x v="99"/>
    <x v="29"/>
    <x v="171"/>
    <x v="12"/>
    <x v="27"/>
    <x v="19"/>
    <x v="23"/>
    <x v="34"/>
    <x v="66"/>
    <x v="0"/>
    <x v="0"/>
    <x v="0"/>
  </r>
  <r>
    <x v="9"/>
    <x v="10"/>
    <x v="87"/>
    <x v="329"/>
    <x v="3"/>
    <x v="153"/>
    <x v="134"/>
    <x v="18"/>
    <x v="53"/>
    <x v="54"/>
    <x v="69"/>
    <x v="27"/>
    <x v="27"/>
    <x v="104"/>
    <x v="29"/>
    <x v="126"/>
    <x v="75"/>
    <x v="27"/>
    <x v="138"/>
    <x v="99"/>
    <x v="29"/>
    <x v="171"/>
    <x v="12"/>
    <x v="27"/>
    <x v="18"/>
    <x v="23"/>
    <x v="34"/>
    <x v="61"/>
    <x v="0"/>
    <x v="0"/>
    <x v="0"/>
  </r>
  <r>
    <x v="9"/>
    <x v="10"/>
    <x v="39"/>
    <x v="330"/>
    <x v="3"/>
    <x v="144"/>
    <x v="209"/>
    <x v="23"/>
    <x v="93"/>
    <x v="54"/>
    <x v="69"/>
    <x v="38"/>
    <x v="27"/>
    <x v="104"/>
    <x v="29"/>
    <x v="126"/>
    <x v="75"/>
    <x v="27"/>
    <x v="138"/>
    <x v="99"/>
    <x v="29"/>
    <x v="171"/>
    <x v="23"/>
    <x v="31"/>
    <x v="59"/>
    <x v="23"/>
    <x v="38"/>
    <x v="72"/>
    <x v="0"/>
    <x v="0"/>
    <x v="0"/>
  </r>
  <r>
    <x v="9"/>
    <x v="10"/>
    <x v="216"/>
    <x v="331"/>
    <x v="3"/>
    <x v="152"/>
    <x v="216"/>
    <x v="24"/>
    <x v="91"/>
    <x v="54"/>
    <x v="69"/>
    <x v="38"/>
    <x v="27"/>
    <x v="104"/>
    <x v="29"/>
    <x v="126"/>
    <x v="75"/>
    <x v="27"/>
    <x v="138"/>
    <x v="99"/>
    <x v="29"/>
    <x v="171"/>
    <x v="13"/>
    <x v="29"/>
    <x v="21"/>
    <x v="23"/>
    <x v="36"/>
    <x v="70"/>
    <x v="0"/>
    <x v="0"/>
    <x v="0"/>
  </r>
  <r>
    <x v="9"/>
    <x v="10"/>
    <x v="22"/>
    <x v="332"/>
    <x v="3"/>
    <x v="154"/>
    <x v="135"/>
    <x v="18"/>
    <x v="54"/>
    <x v="54"/>
    <x v="69"/>
    <x v="27"/>
    <x v="27"/>
    <x v="104"/>
    <x v="29"/>
    <x v="126"/>
    <x v="75"/>
    <x v="27"/>
    <x v="138"/>
    <x v="99"/>
    <x v="29"/>
    <x v="171"/>
    <x v="10"/>
    <x v="28"/>
    <x v="16"/>
    <x v="23"/>
    <x v="35"/>
    <x v="67"/>
    <x v="0"/>
    <x v="0"/>
    <x v="0"/>
  </r>
  <r>
    <x v="9"/>
    <x v="10"/>
    <x v="138"/>
    <x v="333"/>
    <x v="3"/>
    <x v="160"/>
    <x v="221"/>
    <x v="25"/>
    <x v="183"/>
    <x v="54"/>
    <x v="69"/>
    <x v="37"/>
    <x v="27"/>
    <x v="104"/>
    <x v="29"/>
    <x v="126"/>
    <x v="75"/>
    <x v="27"/>
    <x v="138"/>
    <x v="99"/>
    <x v="29"/>
    <x v="171"/>
    <x v="1"/>
    <x v="106"/>
    <x v="78"/>
    <x v="23"/>
    <x v="124"/>
    <x v="172"/>
    <x v="0"/>
    <x v="0"/>
    <x v="0"/>
  </r>
  <r>
    <x v="9"/>
    <x v="10"/>
    <x v="112"/>
    <x v="334"/>
    <x v="3"/>
    <x v="155"/>
    <x v="91"/>
    <x v="0"/>
    <x v="9"/>
    <x v="54"/>
    <x v="69"/>
    <x v="7"/>
    <x v="27"/>
    <x v="104"/>
    <x v="29"/>
    <x v="126"/>
    <x v="75"/>
    <x v="27"/>
    <x v="138"/>
    <x v="99"/>
    <x v="29"/>
    <x v="171"/>
    <x v="7"/>
    <x v="28"/>
    <x v="9"/>
    <x v="17"/>
    <x v="127"/>
    <x v="48"/>
    <x v="0"/>
    <x v="0"/>
    <x v="0"/>
  </r>
  <r>
    <x v="9"/>
    <x v="10"/>
    <x v="270"/>
    <x v="335"/>
    <x v="3"/>
    <x v="38"/>
    <x v="84"/>
    <x v="18"/>
    <x v="43"/>
    <x v="9"/>
    <x v="11"/>
    <x v="27"/>
    <x v="26"/>
    <x v="37"/>
    <x v="27"/>
    <x v="35"/>
    <x v="7"/>
    <x v="26"/>
    <x v="35"/>
    <x v="11"/>
    <x v="27"/>
    <x v="48"/>
    <x v="27"/>
    <x v="13"/>
    <x v="40"/>
    <x v="25"/>
    <x v="127"/>
    <x v="175"/>
    <x v="0"/>
    <x v="0"/>
    <x v="0"/>
  </r>
  <r>
    <x v="9"/>
    <x v="10"/>
    <x v="270"/>
    <x v="336"/>
    <x v="3"/>
    <x v="161"/>
    <x v="223"/>
    <x v="24"/>
    <x v="89"/>
    <x v="54"/>
    <x v="69"/>
    <x v="39"/>
    <x v="27"/>
    <x v="104"/>
    <x v="29"/>
    <x v="126"/>
    <x v="75"/>
    <x v="27"/>
    <x v="138"/>
    <x v="99"/>
    <x v="29"/>
    <x v="171"/>
    <x v="0"/>
    <x v="109"/>
    <x v="0"/>
    <x v="23"/>
    <x v="34"/>
    <x v="63"/>
    <x v="0"/>
    <x v="0"/>
    <x v="0"/>
  </r>
  <r>
    <x v="9"/>
    <x v="10"/>
    <x v="251"/>
    <x v="337"/>
    <x v="3"/>
    <x v="156"/>
    <x v="92"/>
    <x v="0"/>
    <x v="20"/>
    <x v="54"/>
    <x v="69"/>
    <x v="7"/>
    <x v="27"/>
    <x v="104"/>
    <x v="29"/>
    <x v="126"/>
    <x v="75"/>
    <x v="27"/>
    <x v="138"/>
    <x v="99"/>
    <x v="29"/>
    <x v="171"/>
    <x v="6"/>
    <x v="47"/>
    <x v="15"/>
    <x v="18"/>
    <x v="127"/>
    <x v="82"/>
    <x v="0"/>
    <x v="0"/>
    <x v="0"/>
  </r>
  <r>
    <x v="9"/>
    <x v="10"/>
    <x v="276"/>
    <x v="338"/>
    <x v="3"/>
    <x v="161"/>
    <x v="129"/>
    <x v="16"/>
    <x v="32"/>
    <x v="54"/>
    <x v="69"/>
    <x v="22"/>
    <x v="27"/>
    <x v="104"/>
    <x v="29"/>
    <x v="126"/>
    <x v="75"/>
    <x v="27"/>
    <x v="138"/>
    <x v="99"/>
    <x v="29"/>
    <x v="171"/>
    <x v="0"/>
    <x v="109"/>
    <x v="0"/>
    <x v="23"/>
    <x v="11"/>
    <x v="34"/>
    <x v="0"/>
    <x v="0"/>
    <x v="0"/>
  </r>
  <r>
    <x v="9"/>
    <x v="10"/>
    <x v="211"/>
    <x v="339"/>
    <x v="3"/>
    <x v="126"/>
    <x v="118"/>
    <x v="18"/>
    <x v="98"/>
    <x v="54"/>
    <x v="69"/>
    <x v="28"/>
    <x v="27"/>
    <x v="104"/>
    <x v="29"/>
    <x v="126"/>
    <x v="75"/>
    <x v="27"/>
    <x v="138"/>
    <x v="62"/>
    <x v="19"/>
    <x v="101"/>
    <x v="27"/>
    <x v="68"/>
    <x v="123"/>
    <x v="23"/>
    <x v="74"/>
    <x v="123"/>
    <x v="0"/>
    <x v="0"/>
    <x v="0"/>
  </r>
  <r>
    <x v="9"/>
    <x v="10"/>
    <x v="308"/>
    <x v="340"/>
    <x v="3"/>
    <x v="161"/>
    <x v="222"/>
    <x v="23"/>
    <x v="172"/>
    <x v="54"/>
    <x v="69"/>
    <x v="38"/>
    <x v="27"/>
    <x v="104"/>
    <x v="29"/>
    <x v="126"/>
    <x v="75"/>
    <x v="27"/>
    <x v="138"/>
    <x v="99"/>
    <x v="29"/>
    <x v="171"/>
    <x v="0"/>
    <x v="109"/>
    <x v="0"/>
    <x v="23"/>
    <x v="112"/>
    <x v="159"/>
    <x v="0"/>
    <x v="0"/>
    <x v="0"/>
  </r>
  <r>
    <x v="9"/>
    <x v="10"/>
    <x v="142"/>
    <x v="341"/>
    <x v="3"/>
    <x v="157"/>
    <x v="219"/>
    <x v="24"/>
    <x v="75"/>
    <x v="54"/>
    <x v="69"/>
    <x v="38"/>
    <x v="27"/>
    <x v="104"/>
    <x v="29"/>
    <x v="126"/>
    <x v="75"/>
    <x v="27"/>
    <x v="138"/>
    <x v="99"/>
    <x v="29"/>
    <x v="171"/>
    <x v="5"/>
    <x v="19"/>
    <x v="5"/>
    <x v="23"/>
    <x v="23"/>
    <x v="52"/>
    <x v="0"/>
    <x v="0"/>
    <x v="0"/>
  </r>
  <r>
    <x v="9"/>
    <x v="10"/>
    <x v="239"/>
    <x v="342"/>
    <x v="3"/>
    <x v="161"/>
    <x v="222"/>
    <x v="24"/>
    <x v="156"/>
    <x v="54"/>
    <x v="69"/>
    <x v="38"/>
    <x v="27"/>
    <x v="104"/>
    <x v="29"/>
    <x v="126"/>
    <x v="75"/>
    <x v="27"/>
    <x v="138"/>
    <x v="99"/>
    <x v="29"/>
    <x v="171"/>
    <x v="0"/>
    <x v="109"/>
    <x v="0"/>
    <x v="23"/>
    <x v="97"/>
    <x v="148"/>
    <x v="0"/>
    <x v="0"/>
    <x v="0"/>
  </r>
  <r>
    <x v="9"/>
    <x v="10"/>
    <x v="121"/>
    <x v="343"/>
    <x v="3"/>
    <x v="159"/>
    <x v="220"/>
    <x v="25"/>
    <x v="138"/>
    <x v="54"/>
    <x v="69"/>
    <x v="38"/>
    <x v="27"/>
    <x v="104"/>
    <x v="29"/>
    <x v="126"/>
    <x v="75"/>
    <x v="27"/>
    <x v="138"/>
    <x v="99"/>
    <x v="29"/>
    <x v="171"/>
    <x v="3"/>
    <x v="71"/>
    <x v="10"/>
    <x v="23"/>
    <x v="78"/>
    <x v="128"/>
    <x v="0"/>
    <x v="0"/>
    <x v="0"/>
  </r>
  <r>
    <x v="9"/>
    <x v="10"/>
    <x v="227"/>
    <x v="344"/>
    <x v="3"/>
    <x v="161"/>
    <x v="222"/>
    <x v="24"/>
    <x v="170"/>
    <x v="54"/>
    <x v="69"/>
    <x v="38"/>
    <x v="27"/>
    <x v="104"/>
    <x v="29"/>
    <x v="126"/>
    <x v="75"/>
    <x v="27"/>
    <x v="138"/>
    <x v="99"/>
    <x v="29"/>
    <x v="171"/>
    <x v="0"/>
    <x v="109"/>
    <x v="0"/>
    <x v="23"/>
    <x v="110"/>
    <x v="157"/>
    <x v="0"/>
    <x v="0"/>
    <x v="0"/>
  </r>
  <r>
    <x v="9"/>
    <x v="10"/>
    <x v="267"/>
    <x v="345"/>
    <x v="3"/>
    <x v="157"/>
    <x v="219"/>
    <x v="25"/>
    <x v="124"/>
    <x v="54"/>
    <x v="69"/>
    <x v="38"/>
    <x v="27"/>
    <x v="104"/>
    <x v="29"/>
    <x v="126"/>
    <x v="75"/>
    <x v="27"/>
    <x v="138"/>
    <x v="99"/>
    <x v="29"/>
    <x v="171"/>
    <x v="5"/>
    <x v="57"/>
    <x v="14"/>
    <x v="23"/>
    <x v="63"/>
    <x v="108"/>
    <x v="0"/>
    <x v="0"/>
    <x v="0"/>
  </r>
  <r>
    <x v="9"/>
    <x v="10"/>
    <x v="124"/>
    <x v="346"/>
    <x v="3"/>
    <x v="161"/>
    <x v="222"/>
    <x v="24"/>
    <x v="89"/>
    <x v="54"/>
    <x v="69"/>
    <x v="38"/>
    <x v="27"/>
    <x v="104"/>
    <x v="29"/>
    <x v="126"/>
    <x v="75"/>
    <x v="27"/>
    <x v="138"/>
    <x v="99"/>
    <x v="29"/>
    <x v="171"/>
    <x v="0"/>
    <x v="109"/>
    <x v="0"/>
    <x v="23"/>
    <x v="34"/>
    <x v="66"/>
    <x v="0"/>
    <x v="0"/>
    <x v="0"/>
  </r>
  <r>
    <x v="9"/>
    <x v="10"/>
    <x v="93"/>
    <x v="347"/>
    <x v="3"/>
    <x v="161"/>
    <x v="222"/>
    <x v="24"/>
    <x v="144"/>
    <x v="54"/>
    <x v="69"/>
    <x v="38"/>
    <x v="27"/>
    <x v="104"/>
    <x v="29"/>
    <x v="126"/>
    <x v="75"/>
    <x v="27"/>
    <x v="138"/>
    <x v="99"/>
    <x v="29"/>
    <x v="171"/>
    <x v="0"/>
    <x v="109"/>
    <x v="168"/>
    <x v="23"/>
    <x v="84"/>
    <x v="135"/>
    <x v="0"/>
    <x v="0"/>
    <x v="0"/>
  </r>
  <r>
    <x v="9"/>
    <x v="19"/>
    <x v="151"/>
    <x v="70"/>
    <x v="3"/>
    <x v="123"/>
    <x v="192"/>
    <x v="24"/>
    <x v="170"/>
    <x v="54"/>
    <x v="69"/>
    <x v="38"/>
    <x v="27"/>
    <x v="104"/>
    <x v="29"/>
    <x v="126"/>
    <x v="75"/>
    <x v="27"/>
    <x v="138"/>
    <x v="90"/>
    <x v="6"/>
    <x v="115"/>
    <x v="27"/>
    <x v="94"/>
    <x v="154"/>
    <x v="23"/>
    <x v="110"/>
    <x v="157"/>
    <x v="0"/>
    <x v="0"/>
    <x v="0"/>
  </r>
  <r>
    <x v="9"/>
    <x v="10"/>
    <x v="159"/>
    <x v="348"/>
    <x v="3"/>
    <x v="161"/>
    <x v="94"/>
    <x v="0"/>
    <x v="50"/>
    <x v="54"/>
    <x v="69"/>
    <x v="6"/>
    <x v="27"/>
    <x v="104"/>
    <x v="29"/>
    <x v="126"/>
    <x v="75"/>
    <x v="27"/>
    <x v="138"/>
    <x v="99"/>
    <x v="29"/>
    <x v="171"/>
    <x v="0"/>
    <x v="109"/>
    <x v="0"/>
    <x v="23"/>
    <x v="102"/>
    <x v="151"/>
    <x v="0"/>
    <x v="0"/>
    <x v="0"/>
  </r>
  <r>
    <x v="9"/>
    <x v="11"/>
    <x v="229"/>
    <x v="357"/>
    <x v="3"/>
    <x v="149"/>
    <x v="84"/>
    <x v="8"/>
    <x v="21"/>
    <x v="54"/>
    <x v="69"/>
    <x v="4"/>
    <x v="27"/>
    <x v="104"/>
    <x v="29"/>
    <x v="126"/>
    <x v="75"/>
    <x v="27"/>
    <x v="138"/>
    <x v="99"/>
    <x v="29"/>
    <x v="171"/>
    <x v="17"/>
    <x v="53"/>
    <x v="101"/>
    <x v="25"/>
    <x v="127"/>
    <x v="175"/>
    <x v="0"/>
    <x v="0"/>
    <x v="0"/>
  </r>
  <r>
    <x v="9"/>
    <x v="11"/>
    <x v="229"/>
    <x v="349"/>
    <x v="3"/>
    <x v="161"/>
    <x v="222"/>
    <x v="24"/>
    <x v="144"/>
    <x v="54"/>
    <x v="69"/>
    <x v="38"/>
    <x v="27"/>
    <x v="104"/>
    <x v="29"/>
    <x v="126"/>
    <x v="75"/>
    <x v="27"/>
    <x v="138"/>
    <x v="99"/>
    <x v="29"/>
    <x v="171"/>
    <x v="28"/>
    <x v="109"/>
    <x v="168"/>
    <x v="23"/>
    <x v="84"/>
    <x v="135"/>
    <x v="0"/>
    <x v="0"/>
    <x v="0"/>
  </r>
  <r>
    <x v="9"/>
    <x v="11"/>
    <x v="62"/>
    <x v="350"/>
    <x v="3"/>
    <x v="168"/>
    <x v="90"/>
    <x v="6"/>
    <x v="4"/>
    <x v="54"/>
    <x v="69"/>
    <x v="2"/>
    <x v="27"/>
    <x v="104"/>
    <x v="29"/>
    <x v="126"/>
    <x v="75"/>
    <x v="27"/>
    <x v="138"/>
    <x v="99"/>
    <x v="29"/>
    <x v="171"/>
    <x v="28"/>
    <x v="109"/>
    <x v="168"/>
    <x v="12"/>
    <x v="14"/>
    <x v="40"/>
    <x v="0"/>
    <x v="0"/>
    <x v="0"/>
  </r>
  <r>
    <x v="9"/>
    <x v="11"/>
    <x v="284"/>
    <x v="351"/>
    <x v="3"/>
    <x v="161"/>
    <x v="222"/>
    <x v="24"/>
    <x v="78"/>
    <x v="54"/>
    <x v="69"/>
    <x v="38"/>
    <x v="27"/>
    <x v="104"/>
    <x v="29"/>
    <x v="126"/>
    <x v="75"/>
    <x v="27"/>
    <x v="138"/>
    <x v="99"/>
    <x v="29"/>
    <x v="171"/>
    <x v="28"/>
    <x v="109"/>
    <x v="168"/>
    <x v="23"/>
    <x v="26"/>
    <x v="54"/>
    <x v="0"/>
    <x v="0"/>
    <x v="0"/>
  </r>
  <r>
    <x v="9"/>
    <x v="11"/>
    <x v="307"/>
    <x v="352"/>
    <x v="3"/>
    <x v="161"/>
    <x v="222"/>
    <x v="24"/>
    <x v="89"/>
    <x v="54"/>
    <x v="69"/>
    <x v="38"/>
    <x v="27"/>
    <x v="104"/>
    <x v="29"/>
    <x v="126"/>
    <x v="75"/>
    <x v="27"/>
    <x v="138"/>
    <x v="99"/>
    <x v="29"/>
    <x v="171"/>
    <x v="28"/>
    <x v="109"/>
    <x v="168"/>
    <x v="23"/>
    <x v="34"/>
    <x v="66"/>
    <x v="0"/>
    <x v="0"/>
    <x v="0"/>
  </r>
  <r>
    <x v="9"/>
    <x v="11"/>
    <x v="61"/>
    <x v="353"/>
    <x v="3"/>
    <x v="161"/>
    <x v="222"/>
    <x v="25"/>
    <x v="155"/>
    <x v="54"/>
    <x v="69"/>
    <x v="38"/>
    <x v="27"/>
    <x v="104"/>
    <x v="29"/>
    <x v="126"/>
    <x v="75"/>
    <x v="27"/>
    <x v="138"/>
    <x v="99"/>
    <x v="29"/>
    <x v="171"/>
    <x v="28"/>
    <x v="109"/>
    <x v="168"/>
    <x v="23"/>
    <x v="96"/>
    <x v="147"/>
    <x v="0"/>
    <x v="0"/>
    <x v="0"/>
  </r>
  <r>
    <x v="9"/>
    <x v="11"/>
    <x v="172"/>
    <x v="354"/>
    <x v="3"/>
    <x v="161"/>
    <x v="139"/>
    <x v="18"/>
    <x v="76"/>
    <x v="54"/>
    <x v="69"/>
    <x v="24"/>
    <x v="27"/>
    <x v="104"/>
    <x v="29"/>
    <x v="126"/>
    <x v="75"/>
    <x v="27"/>
    <x v="138"/>
    <x v="99"/>
    <x v="29"/>
    <x v="171"/>
    <x v="28"/>
    <x v="109"/>
    <x v="168"/>
    <x v="23"/>
    <x v="54"/>
    <x v="97"/>
    <x v="0"/>
    <x v="0"/>
    <x v="0"/>
  </r>
  <r>
    <x v="9"/>
    <x v="11"/>
    <x v="158"/>
    <x v="355"/>
    <x v="3"/>
    <x v="162"/>
    <x v="223"/>
    <x v="24"/>
    <x v="83"/>
    <x v="54"/>
    <x v="69"/>
    <x v="38"/>
    <x v="27"/>
    <x v="104"/>
    <x v="29"/>
    <x v="126"/>
    <x v="75"/>
    <x v="27"/>
    <x v="138"/>
    <x v="99"/>
    <x v="29"/>
    <x v="171"/>
    <x v="28"/>
    <x v="109"/>
    <x v="168"/>
    <x v="22"/>
    <x v="30"/>
    <x v="57"/>
    <x v="0"/>
    <x v="0"/>
    <x v="0"/>
  </r>
  <r>
    <x v="9"/>
    <x v="11"/>
    <x v="226"/>
    <x v="356"/>
    <x v="3"/>
    <x v="171"/>
    <x v="229"/>
    <x v="24"/>
    <x v="143"/>
    <x v="54"/>
    <x v="69"/>
    <x v="38"/>
    <x v="27"/>
    <x v="104"/>
    <x v="29"/>
    <x v="126"/>
    <x v="75"/>
    <x v="27"/>
    <x v="138"/>
    <x v="99"/>
    <x v="29"/>
    <x v="171"/>
    <x v="28"/>
    <x v="109"/>
    <x v="168"/>
    <x v="13"/>
    <x v="83"/>
    <x v="91"/>
    <x v="0"/>
    <x v="0"/>
    <x v="0"/>
  </r>
  <r>
    <x v="9"/>
    <x v="11"/>
    <x v="71"/>
    <x v="358"/>
    <x v="3"/>
    <x v="164"/>
    <x v="96"/>
    <x v="0"/>
    <x v="20"/>
    <x v="54"/>
    <x v="69"/>
    <x v="6"/>
    <x v="27"/>
    <x v="104"/>
    <x v="29"/>
    <x v="126"/>
    <x v="75"/>
    <x v="27"/>
    <x v="138"/>
    <x v="99"/>
    <x v="29"/>
    <x v="171"/>
    <x v="28"/>
    <x v="109"/>
    <x v="168"/>
    <x v="20"/>
    <x v="54"/>
    <x v="89"/>
    <x v="0"/>
    <x v="0"/>
    <x v="0"/>
  </r>
  <r>
    <x v="9"/>
    <x v="11"/>
    <x v="218"/>
    <x v="359"/>
    <x v="3"/>
    <x v="135"/>
    <x v="201"/>
    <x v="24"/>
    <x v="2"/>
    <x v="54"/>
    <x v="69"/>
    <x v="38"/>
    <x v="27"/>
    <x v="104"/>
    <x v="29"/>
    <x v="126"/>
    <x v="75"/>
    <x v="27"/>
    <x v="138"/>
    <x v="1"/>
    <x v="9"/>
    <x v="1"/>
    <x v="27"/>
    <x v="1"/>
    <x v="1"/>
    <x v="23"/>
    <x v="1"/>
    <x v="1"/>
    <x v="0"/>
    <x v="0"/>
    <x v="0"/>
  </r>
  <r>
    <x v="9"/>
    <x v="11"/>
    <x v="104"/>
    <x v="360"/>
    <x v="3"/>
    <x v="165"/>
    <x v="225"/>
    <x v="26"/>
    <x v="108"/>
    <x v="54"/>
    <x v="69"/>
    <x v="38"/>
    <x v="27"/>
    <x v="104"/>
    <x v="29"/>
    <x v="126"/>
    <x v="75"/>
    <x v="27"/>
    <x v="138"/>
    <x v="99"/>
    <x v="29"/>
    <x v="171"/>
    <x v="28"/>
    <x v="109"/>
    <x v="168"/>
    <x v="19"/>
    <x v="49"/>
    <x v="81"/>
    <x v="0"/>
    <x v="0"/>
    <x v="0"/>
  </r>
  <r>
    <x v="9"/>
    <x v="11"/>
    <x v="202"/>
    <x v="361"/>
    <x v="3"/>
    <x v="165"/>
    <x v="225"/>
    <x v="26"/>
    <x v="108"/>
    <x v="54"/>
    <x v="69"/>
    <x v="38"/>
    <x v="27"/>
    <x v="104"/>
    <x v="29"/>
    <x v="126"/>
    <x v="75"/>
    <x v="27"/>
    <x v="138"/>
    <x v="99"/>
    <x v="29"/>
    <x v="171"/>
    <x v="28"/>
    <x v="109"/>
    <x v="168"/>
    <x v="19"/>
    <x v="49"/>
    <x v="81"/>
    <x v="0"/>
    <x v="0"/>
    <x v="0"/>
  </r>
  <r>
    <x v="9"/>
    <x v="11"/>
    <x v="107"/>
    <x v="362"/>
    <x v="3"/>
    <x v="166"/>
    <x v="175"/>
    <x v="21"/>
    <x v="178"/>
    <x v="54"/>
    <x v="69"/>
    <x v="31"/>
    <x v="27"/>
    <x v="104"/>
    <x v="29"/>
    <x v="126"/>
    <x v="75"/>
    <x v="27"/>
    <x v="138"/>
    <x v="99"/>
    <x v="29"/>
    <x v="171"/>
    <x v="28"/>
    <x v="109"/>
    <x v="168"/>
    <x v="17"/>
    <x v="120"/>
    <x v="165"/>
    <x v="0"/>
    <x v="0"/>
    <x v="0"/>
  </r>
  <r>
    <x v="9"/>
    <x v="11"/>
    <x v="34"/>
    <x v="363"/>
    <x v="3"/>
    <x v="167"/>
    <x v="226"/>
    <x v="24"/>
    <x v="143"/>
    <x v="54"/>
    <x v="69"/>
    <x v="38"/>
    <x v="27"/>
    <x v="104"/>
    <x v="29"/>
    <x v="126"/>
    <x v="75"/>
    <x v="27"/>
    <x v="138"/>
    <x v="99"/>
    <x v="29"/>
    <x v="171"/>
    <x v="28"/>
    <x v="109"/>
    <x v="168"/>
    <x v="16"/>
    <x v="83"/>
    <x v="121"/>
    <x v="0"/>
    <x v="0"/>
    <x v="0"/>
  </r>
  <r>
    <x v="9"/>
    <x v="11"/>
    <x v="14"/>
    <x v="364"/>
    <x v="3"/>
    <x v="167"/>
    <x v="226"/>
    <x v="24"/>
    <x v="82"/>
    <x v="54"/>
    <x v="69"/>
    <x v="38"/>
    <x v="27"/>
    <x v="104"/>
    <x v="29"/>
    <x v="126"/>
    <x v="75"/>
    <x v="27"/>
    <x v="138"/>
    <x v="99"/>
    <x v="29"/>
    <x v="171"/>
    <x v="28"/>
    <x v="109"/>
    <x v="168"/>
    <x v="16"/>
    <x v="29"/>
    <x v="43"/>
    <x v="0"/>
    <x v="0"/>
    <x v="0"/>
  </r>
  <r>
    <x v="9"/>
    <x v="11"/>
    <x v="277"/>
    <x v="365"/>
    <x v="3"/>
    <x v="171"/>
    <x v="226"/>
    <x v="24"/>
    <x v="163"/>
    <x v="54"/>
    <x v="69"/>
    <x v="35"/>
    <x v="27"/>
    <x v="104"/>
    <x v="29"/>
    <x v="126"/>
    <x v="75"/>
    <x v="27"/>
    <x v="138"/>
    <x v="99"/>
    <x v="29"/>
    <x v="171"/>
    <x v="28"/>
    <x v="109"/>
    <x v="168"/>
    <x v="13"/>
    <x v="104"/>
    <x v="137"/>
    <x v="0"/>
    <x v="0"/>
    <x v="0"/>
  </r>
  <r>
    <x v="9"/>
    <x v="11"/>
    <x v="296"/>
    <x v="366"/>
    <x v="3"/>
    <x v="163"/>
    <x v="224"/>
    <x v="23"/>
    <x v="43"/>
    <x v="54"/>
    <x v="69"/>
    <x v="38"/>
    <x v="27"/>
    <x v="104"/>
    <x v="29"/>
    <x v="126"/>
    <x v="75"/>
    <x v="27"/>
    <x v="138"/>
    <x v="99"/>
    <x v="29"/>
    <x v="171"/>
    <x v="28"/>
    <x v="109"/>
    <x v="168"/>
    <x v="21"/>
    <x v="6"/>
    <x v="17"/>
    <x v="0"/>
    <x v="0"/>
    <x v="0"/>
  </r>
  <r>
    <x v="9"/>
    <x v="51"/>
    <x v="224"/>
    <x v="367"/>
    <x v="3"/>
    <x v="161"/>
    <x v="222"/>
    <x v="26"/>
    <x v="61"/>
    <x v="54"/>
    <x v="69"/>
    <x v="38"/>
    <x v="27"/>
    <x v="104"/>
    <x v="29"/>
    <x v="126"/>
    <x v="75"/>
    <x v="27"/>
    <x v="138"/>
    <x v="99"/>
    <x v="29"/>
    <x v="171"/>
    <x v="28"/>
    <x v="109"/>
    <x v="168"/>
    <x v="23"/>
    <x v="10"/>
    <x v="33"/>
    <x v="0"/>
    <x v="0"/>
    <x v="0"/>
  </r>
  <r>
    <x v="9"/>
    <x v="11"/>
    <x v="31"/>
    <x v="368"/>
    <x v="3"/>
    <x v="169"/>
    <x v="227"/>
    <x v="25"/>
    <x v="78"/>
    <x v="54"/>
    <x v="69"/>
    <x v="38"/>
    <x v="27"/>
    <x v="104"/>
    <x v="29"/>
    <x v="126"/>
    <x v="75"/>
    <x v="27"/>
    <x v="138"/>
    <x v="99"/>
    <x v="29"/>
    <x v="171"/>
    <x v="28"/>
    <x v="109"/>
    <x v="168"/>
    <x v="15"/>
    <x v="26"/>
    <x v="36"/>
    <x v="0"/>
    <x v="0"/>
    <x v="0"/>
  </r>
  <r>
    <x v="9"/>
    <x v="11"/>
    <x v="196"/>
    <x v="369"/>
    <x v="3"/>
    <x v="170"/>
    <x v="228"/>
    <x v="24"/>
    <x v="157"/>
    <x v="54"/>
    <x v="69"/>
    <x v="38"/>
    <x v="27"/>
    <x v="104"/>
    <x v="29"/>
    <x v="126"/>
    <x v="75"/>
    <x v="27"/>
    <x v="138"/>
    <x v="99"/>
    <x v="29"/>
    <x v="171"/>
    <x v="28"/>
    <x v="109"/>
    <x v="168"/>
    <x v="14"/>
    <x v="98"/>
    <x v="131"/>
    <x v="0"/>
    <x v="0"/>
    <x v="0"/>
  </r>
  <r>
    <x v="9"/>
    <x v="11"/>
    <x v="295"/>
    <x v="371"/>
    <x v="3"/>
    <x v="172"/>
    <x v="98"/>
    <x v="0"/>
    <x v="36"/>
    <x v="54"/>
    <x v="69"/>
    <x v="6"/>
    <x v="27"/>
    <x v="104"/>
    <x v="29"/>
    <x v="126"/>
    <x v="75"/>
    <x v="27"/>
    <x v="138"/>
    <x v="99"/>
    <x v="29"/>
    <x v="171"/>
    <x v="28"/>
    <x v="109"/>
    <x v="168"/>
    <x v="12"/>
    <x v="86"/>
    <x v="98"/>
    <x v="0"/>
    <x v="0"/>
    <x v="0"/>
  </r>
  <r>
    <x v="9"/>
    <x v="11"/>
    <x v="68"/>
    <x v="372"/>
    <x v="3"/>
    <x v="173"/>
    <x v="230"/>
    <x v="25"/>
    <x v="89"/>
    <x v="54"/>
    <x v="69"/>
    <x v="38"/>
    <x v="27"/>
    <x v="104"/>
    <x v="29"/>
    <x v="126"/>
    <x v="75"/>
    <x v="27"/>
    <x v="138"/>
    <x v="99"/>
    <x v="29"/>
    <x v="171"/>
    <x v="28"/>
    <x v="109"/>
    <x v="168"/>
    <x v="11"/>
    <x v="34"/>
    <x v="25"/>
    <x v="0"/>
    <x v="0"/>
    <x v="0"/>
  </r>
  <r>
    <x v="9"/>
    <x v="11"/>
    <x v="140"/>
    <x v="373"/>
    <x v="3"/>
    <x v="173"/>
    <x v="230"/>
    <x v="24"/>
    <x v="124"/>
    <x v="54"/>
    <x v="69"/>
    <x v="38"/>
    <x v="27"/>
    <x v="104"/>
    <x v="29"/>
    <x v="126"/>
    <x v="75"/>
    <x v="27"/>
    <x v="138"/>
    <x v="99"/>
    <x v="29"/>
    <x v="171"/>
    <x v="28"/>
    <x v="109"/>
    <x v="168"/>
    <x v="11"/>
    <x v="63"/>
    <x v="58"/>
    <x v="0"/>
    <x v="0"/>
    <x v="0"/>
  </r>
  <r>
    <x v="9"/>
    <x v="11"/>
    <x v="153"/>
    <x v="374"/>
    <x v="3"/>
    <x v="147"/>
    <x v="212"/>
    <x v="24"/>
    <x v="36"/>
    <x v="54"/>
    <x v="69"/>
    <x v="38"/>
    <x v="27"/>
    <x v="104"/>
    <x v="29"/>
    <x v="126"/>
    <x v="75"/>
    <x v="27"/>
    <x v="138"/>
    <x v="99"/>
    <x v="0"/>
    <x v="171"/>
    <x v="20"/>
    <x v="3"/>
    <x v="8"/>
    <x v="23"/>
    <x v="3"/>
    <x v="13"/>
    <x v="0"/>
    <x v="0"/>
    <x v="0"/>
  </r>
  <r>
    <x v="9"/>
    <x v="11"/>
    <x v="151"/>
    <x v="375"/>
    <x v="3"/>
    <x v="161"/>
    <x v="94"/>
    <x v="0"/>
    <x v="41"/>
    <x v="54"/>
    <x v="69"/>
    <x v="6"/>
    <x v="27"/>
    <x v="104"/>
    <x v="29"/>
    <x v="126"/>
    <x v="75"/>
    <x v="27"/>
    <x v="138"/>
    <x v="99"/>
    <x v="29"/>
    <x v="171"/>
    <x v="28"/>
    <x v="109"/>
    <x v="168"/>
    <x v="23"/>
    <x v="93"/>
    <x v="144"/>
    <x v="0"/>
    <x v="0"/>
    <x v="0"/>
  </r>
  <r>
    <x v="9"/>
    <x v="11"/>
    <x v="7"/>
    <x v="376"/>
    <x v="3"/>
    <x v="177"/>
    <x v="234"/>
    <x v="24"/>
    <x v="69"/>
    <x v="54"/>
    <x v="69"/>
    <x v="38"/>
    <x v="27"/>
    <x v="104"/>
    <x v="29"/>
    <x v="126"/>
    <x v="75"/>
    <x v="27"/>
    <x v="138"/>
    <x v="99"/>
    <x v="29"/>
    <x v="171"/>
    <x v="28"/>
    <x v="109"/>
    <x v="168"/>
    <x v="6"/>
    <x v="17"/>
    <x v="8"/>
    <x v="0"/>
    <x v="0"/>
    <x v="0"/>
  </r>
  <r>
    <x v="9"/>
    <x v="51"/>
    <x v="200"/>
    <x v="377"/>
    <x v="3"/>
    <x v="173"/>
    <x v="230"/>
    <x v="26"/>
    <x v="77"/>
    <x v="54"/>
    <x v="69"/>
    <x v="38"/>
    <x v="27"/>
    <x v="104"/>
    <x v="29"/>
    <x v="126"/>
    <x v="75"/>
    <x v="27"/>
    <x v="138"/>
    <x v="99"/>
    <x v="29"/>
    <x v="171"/>
    <x v="28"/>
    <x v="109"/>
    <x v="168"/>
    <x v="11"/>
    <x v="25"/>
    <x v="21"/>
    <x v="0"/>
    <x v="0"/>
    <x v="0"/>
  </r>
  <r>
    <x v="9"/>
    <x v="11"/>
    <x v="51"/>
    <x v="378"/>
    <x v="3"/>
    <x v="138"/>
    <x v="82"/>
    <x v="0"/>
    <x v="25"/>
    <x v="54"/>
    <x v="69"/>
    <x v="7"/>
    <x v="27"/>
    <x v="104"/>
    <x v="29"/>
    <x v="126"/>
    <x v="75"/>
    <x v="27"/>
    <x v="138"/>
    <x v="59"/>
    <x v="3"/>
    <x v="12"/>
    <x v="23"/>
    <x v="109"/>
    <x v="102"/>
    <x v="25"/>
    <x v="127"/>
    <x v="175"/>
    <x v="0"/>
    <x v="0"/>
    <x v="0"/>
  </r>
  <r>
    <x v="9"/>
    <x v="11"/>
    <x v="185"/>
    <x v="379"/>
    <x v="3"/>
    <x v="173"/>
    <x v="230"/>
    <x v="24"/>
    <x v="108"/>
    <x v="54"/>
    <x v="69"/>
    <x v="38"/>
    <x v="27"/>
    <x v="104"/>
    <x v="29"/>
    <x v="126"/>
    <x v="75"/>
    <x v="27"/>
    <x v="138"/>
    <x v="99"/>
    <x v="29"/>
    <x v="171"/>
    <x v="28"/>
    <x v="109"/>
    <x v="168"/>
    <x v="11"/>
    <x v="49"/>
    <x v="41"/>
    <x v="0"/>
    <x v="0"/>
    <x v="0"/>
  </r>
  <r>
    <x v="9"/>
    <x v="11"/>
    <x v="118"/>
    <x v="380"/>
    <x v="3"/>
    <x v="146"/>
    <x v="107"/>
    <x v="13"/>
    <x v="49"/>
    <x v="54"/>
    <x v="69"/>
    <x v="18"/>
    <x v="27"/>
    <x v="104"/>
    <x v="29"/>
    <x v="126"/>
    <x v="75"/>
    <x v="27"/>
    <x v="138"/>
    <x v="99"/>
    <x v="0"/>
    <x v="171"/>
    <x v="21"/>
    <x v="52"/>
    <x v="88"/>
    <x v="23"/>
    <x v="59"/>
    <x v="103"/>
    <x v="0"/>
    <x v="0"/>
    <x v="0"/>
  </r>
  <r>
    <x v="9"/>
    <x v="11"/>
    <x v="235"/>
    <x v="381"/>
    <x v="3"/>
    <x v="174"/>
    <x v="141"/>
    <x v="18"/>
    <x v="59"/>
    <x v="54"/>
    <x v="69"/>
    <x v="24"/>
    <x v="27"/>
    <x v="104"/>
    <x v="29"/>
    <x v="126"/>
    <x v="75"/>
    <x v="27"/>
    <x v="138"/>
    <x v="99"/>
    <x v="29"/>
    <x v="171"/>
    <x v="28"/>
    <x v="109"/>
    <x v="168"/>
    <x v="10"/>
    <x v="39"/>
    <x v="28"/>
    <x v="0"/>
    <x v="0"/>
    <x v="0"/>
  </r>
  <r>
    <x v="9"/>
    <x v="51"/>
    <x v="85"/>
    <x v="382"/>
    <x v="3"/>
    <x v="174"/>
    <x v="231"/>
    <x v="26"/>
    <x v="158"/>
    <x v="54"/>
    <x v="69"/>
    <x v="38"/>
    <x v="27"/>
    <x v="104"/>
    <x v="29"/>
    <x v="126"/>
    <x v="75"/>
    <x v="27"/>
    <x v="138"/>
    <x v="99"/>
    <x v="29"/>
    <x v="171"/>
    <x v="28"/>
    <x v="109"/>
    <x v="168"/>
    <x v="10"/>
    <x v="99"/>
    <x v="111"/>
    <x v="0"/>
    <x v="0"/>
    <x v="0"/>
  </r>
  <r>
    <x v="9"/>
    <x v="51"/>
    <x v="149"/>
    <x v="383"/>
    <x v="3"/>
    <x v="177"/>
    <x v="234"/>
    <x v="26"/>
    <x v="77"/>
    <x v="54"/>
    <x v="69"/>
    <x v="38"/>
    <x v="27"/>
    <x v="104"/>
    <x v="29"/>
    <x v="126"/>
    <x v="75"/>
    <x v="27"/>
    <x v="138"/>
    <x v="99"/>
    <x v="29"/>
    <x v="171"/>
    <x v="28"/>
    <x v="109"/>
    <x v="168"/>
    <x v="6"/>
    <x v="25"/>
    <x v="11"/>
    <x v="0"/>
    <x v="0"/>
    <x v="0"/>
  </r>
  <r>
    <x v="9"/>
    <x v="51"/>
    <x v="102"/>
    <x v="384"/>
    <x v="3"/>
    <x v="184"/>
    <x v="237"/>
    <x v="26"/>
    <x v="47"/>
    <x v="54"/>
    <x v="69"/>
    <x v="38"/>
    <x v="27"/>
    <x v="104"/>
    <x v="29"/>
    <x v="126"/>
    <x v="75"/>
    <x v="27"/>
    <x v="138"/>
    <x v="99"/>
    <x v="29"/>
    <x v="171"/>
    <x v="28"/>
    <x v="109"/>
    <x v="168"/>
    <x v="25"/>
    <x v="127"/>
    <x v="175"/>
    <x v="0"/>
    <x v="0"/>
    <x v="0"/>
  </r>
  <r>
    <x v="9"/>
    <x v="11"/>
    <x v="30"/>
    <x v="385"/>
    <x v="3"/>
    <x v="174"/>
    <x v="141"/>
    <x v="18"/>
    <x v="53"/>
    <x v="54"/>
    <x v="69"/>
    <x v="24"/>
    <x v="27"/>
    <x v="104"/>
    <x v="29"/>
    <x v="126"/>
    <x v="75"/>
    <x v="27"/>
    <x v="138"/>
    <x v="99"/>
    <x v="29"/>
    <x v="171"/>
    <x v="28"/>
    <x v="109"/>
    <x v="168"/>
    <x v="10"/>
    <x v="34"/>
    <x v="24"/>
    <x v="0"/>
    <x v="0"/>
    <x v="0"/>
  </r>
  <r>
    <x v="9"/>
    <x v="11"/>
    <x v="165"/>
    <x v="386"/>
    <x v="3"/>
    <x v="175"/>
    <x v="232"/>
    <x v="24"/>
    <x v="89"/>
    <x v="54"/>
    <x v="69"/>
    <x v="38"/>
    <x v="27"/>
    <x v="104"/>
    <x v="29"/>
    <x v="126"/>
    <x v="75"/>
    <x v="27"/>
    <x v="138"/>
    <x v="99"/>
    <x v="29"/>
    <x v="171"/>
    <x v="28"/>
    <x v="109"/>
    <x v="168"/>
    <x v="9"/>
    <x v="34"/>
    <x v="20"/>
    <x v="0"/>
    <x v="0"/>
    <x v="0"/>
  </r>
  <r>
    <x v="9"/>
    <x v="51"/>
    <x v="147"/>
    <x v="387"/>
    <x v="3"/>
    <x v="176"/>
    <x v="233"/>
    <x v="26"/>
    <x v="77"/>
    <x v="54"/>
    <x v="69"/>
    <x v="38"/>
    <x v="27"/>
    <x v="104"/>
    <x v="29"/>
    <x v="126"/>
    <x v="75"/>
    <x v="27"/>
    <x v="138"/>
    <x v="99"/>
    <x v="29"/>
    <x v="171"/>
    <x v="28"/>
    <x v="109"/>
    <x v="168"/>
    <x v="8"/>
    <x v="25"/>
    <x v="16"/>
    <x v="0"/>
    <x v="0"/>
    <x v="0"/>
  </r>
  <r>
    <x v="9"/>
    <x v="11"/>
    <x v="18"/>
    <x v="388"/>
    <x v="3"/>
    <x v="185"/>
    <x v="238"/>
    <x v="24"/>
    <x v="89"/>
    <x v="54"/>
    <x v="69"/>
    <x v="38"/>
    <x v="27"/>
    <x v="104"/>
    <x v="29"/>
    <x v="126"/>
    <x v="75"/>
    <x v="27"/>
    <x v="138"/>
    <x v="99"/>
    <x v="29"/>
    <x v="171"/>
    <x v="28"/>
    <x v="109"/>
    <x v="168"/>
    <x v="25"/>
    <x v="127"/>
    <x v="175"/>
    <x v="0"/>
    <x v="0"/>
    <x v="0"/>
  </r>
  <r>
    <x v="9"/>
    <x v="11"/>
    <x v="212"/>
    <x v="389"/>
    <x v="3"/>
    <x v="179"/>
    <x v="100"/>
    <x v="0"/>
    <x v="17"/>
    <x v="54"/>
    <x v="69"/>
    <x v="6"/>
    <x v="27"/>
    <x v="104"/>
    <x v="29"/>
    <x v="126"/>
    <x v="75"/>
    <x v="27"/>
    <x v="138"/>
    <x v="99"/>
    <x v="29"/>
    <x v="171"/>
    <x v="28"/>
    <x v="109"/>
    <x v="168"/>
    <x v="4"/>
    <x v="47"/>
    <x v="18"/>
    <x v="0"/>
    <x v="0"/>
    <x v="0"/>
  </r>
  <r>
    <x v="9"/>
    <x v="11"/>
    <x v="100"/>
    <x v="390"/>
    <x v="3"/>
    <x v="180"/>
    <x v="101"/>
    <x v="0"/>
    <x v="20"/>
    <x v="54"/>
    <x v="69"/>
    <x v="6"/>
    <x v="27"/>
    <x v="104"/>
    <x v="29"/>
    <x v="126"/>
    <x v="75"/>
    <x v="27"/>
    <x v="138"/>
    <x v="99"/>
    <x v="29"/>
    <x v="171"/>
    <x v="28"/>
    <x v="109"/>
    <x v="168"/>
    <x v="3"/>
    <x v="54"/>
    <x v="19"/>
    <x v="0"/>
    <x v="0"/>
    <x v="0"/>
  </r>
  <r>
    <x v="9"/>
    <x v="11"/>
    <x v="41"/>
    <x v="391"/>
    <x v="3"/>
    <x v="182"/>
    <x v="103"/>
    <x v="0"/>
    <x v="33"/>
    <x v="54"/>
    <x v="69"/>
    <x v="6"/>
    <x v="27"/>
    <x v="104"/>
    <x v="29"/>
    <x v="126"/>
    <x v="75"/>
    <x v="27"/>
    <x v="138"/>
    <x v="99"/>
    <x v="29"/>
    <x v="171"/>
    <x v="28"/>
    <x v="109"/>
    <x v="168"/>
    <x v="1"/>
    <x v="84"/>
    <x v="22"/>
    <x v="0"/>
    <x v="0"/>
    <x v="0"/>
  </r>
  <r>
    <x v="9"/>
    <x v="11"/>
    <x v="203"/>
    <x v="392"/>
    <x v="3"/>
    <x v="180"/>
    <x v="146"/>
    <x v="18"/>
    <x v="59"/>
    <x v="54"/>
    <x v="69"/>
    <x v="24"/>
    <x v="27"/>
    <x v="104"/>
    <x v="29"/>
    <x v="126"/>
    <x v="75"/>
    <x v="27"/>
    <x v="138"/>
    <x v="99"/>
    <x v="29"/>
    <x v="171"/>
    <x v="28"/>
    <x v="109"/>
    <x v="168"/>
    <x v="3"/>
    <x v="39"/>
    <x v="9"/>
    <x v="0"/>
    <x v="0"/>
    <x v="0"/>
  </r>
  <r>
    <x v="9"/>
    <x v="49"/>
    <x v="228"/>
    <x v="393"/>
    <x v="3"/>
    <x v="184"/>
    <x v="237"/>
    <x v="26"/>
    <x v="97"/>
    <x v="54"/>
    <x v="69"/>
    <x v="38"/>
    <x v="27"/>
    <x v="104"/>
    <x v="29"/>
    <x v="126"/>
    <x v="75"/>
    <x v="27"/>
    <x v="138"/>
    <x v="99"/>
    <x v="29"/>
    <x v="171"/>
    <x v="28"/>
    <x v="109"/>
    <x v="168"/>
    <x v="25"/>
    <x v="127"/>
    <x v="175"/>
    <x v="0"/>
    <x v="0"/>
    <x v="0"/>
  </r>
  <r>
    <x v="9"/>
    <x v="11"/>
    <x v="245"/>
    <x v="394"/>
    <x v="3"/>
    <x v="180"/>
    <x v="101"/>
    <x v="0"/>
    <x v="20"/>
    <x v="54"/>
    <x v="69"/>
    <x v="6"/>
    <x v="27"/>
    <x v="104"/>
    <x v="29"/>
    <x v="126"/>
    <x v="75"/>
    <x v="27"/>
    <x v="138"/>
    <x v="99"/>
    <x v="29"/>
    <x v="171"/>
    <x v="28"/>
    <x v="109"/>
    <x v="168"/>
    <x v="3"/>
    <x v="54"/>
    <x v="19"/>
    <x v="0"/>
    <x v="0"/>
    <x v="0"/>
  </r>
  <r>
    <x v="9"/>
    <x v="11"/>
    <x v="6"/>
    <x v="395"/>
    <x v="3"/>
    <x v="178"/>
    <x v="99"/>
    <x v="0"/>
    <x v="18"/>
    <x v="54"/>
    <x v="69"/>
    <x v="6"/>
    <x v="27"/>
    <x v="104"/>
    <x v="29"/>
    <x v="126"/>
    <x v="75"/>
    <x v="27"/>
    <x v="138"/>
    <x v="99"/>
    <x v="29"/>
    <x v="171"/>
    <x v="28"/>
    <x v="109"/>
    <x v="168"/>
    <x v="5"/>
    <x v="52"/>
    <x v="23"/>
    <x v="0"/>
    <x v="0"/>
    <x v="0"/>
  </r>
  <r>
    <x v="9"/>
    <x v="11"/>
    <x v="8"/>
    <x v="397"/>
    <x v="3"/>
    <x v="181"/>
    <x v="235"/>
    <x v="25"/>
    <x v="94"/>
    <x v="54"/>
    <x v="69"/>
    <x v="38"/>
    <x v="27"/>
    <x v="104"/>
    <x v="29"/>
    <x v="126"/>
    <x v="75"/>
    <x v="27"/>
    <x v="138"/>
    <x v="99"/>
    <x v="29"/>
    <x v="171"/>
    <x v="28"/>
    <x v="109"/>
    <x v="168"/>
    <x v="2"/>
    <x v="39"/>
    <x v="7"/>
    <x v="0"/>
    <x v="0"/>
    <x v="0"/>
  </r>
  <r>
    <x v="9"/>
    <x v="11"/>
    <x v="66"/>
    <x v="398"/>
    <x v="3"/>
    <x v="181"/>
    <x v="235"/>
    <x v="24"/>
    <x v="74"/>
    <x v="54"/>
    <x v="69"/>
    <x v="38"/>
    <x v="27"/>
    <x v="104"/>
    <x v="29"/>
    <x v="126"/>
    <x v="75"/>
    <x v="27"/>
    <x v="138"/>
    <x v="99"/>
    <x v="29"/>
    <x v="171"/>
    <x v="28"/>
    <x v="109"/>
    <x v="168"/>
    <x v="2"/>
    <x v="22"/>
    <x v="5"/>
    <x v="0"/>
    <x v="0"/>
    <x v="0"/>
  </r>
  <r>
    <x v="9"/>
    <x v="11"/>
    <x v="217"/>
    <x v="399"/>
    <x v="3"/>
    <x v="181"/>
    <x v="102"/>
    <x v="0"/>
    <x v="29"/>
    <x v="54"/>
    <x v="69"/>
    <x v="6"/>
    <x v="27"/>
    <x v="104"/>
    <x v="29"/>
    <x v="126"/>
    <x v="75"/>
    <x v="27"/>
    <x v="138"/>
    <x v="99"/>
    <x v="29"/>
    <x v="171"/>
    <x v="28"/>
    <x v="109"/>
    <x v="168"/>
    <x v="2"/>
    <x v="80"/>
    <x v="26"/>
    <x v="0"/>
    <x v="0"/>
    <x v="0"/>
  </r>
  <r>
    <x v="9"/>
    <x v="11"/>
    <x v="28"/>
    <x v="400"/>
    <x v="3"/>
    <x v="183"/>
    <x v="236"/>
    <x v="24"/>
    <x v="85"/>
    <x v="54"/>
    <x v="69"/>
    <x v="38"/>
    <x v="27"/>
    <x v="104"/>
    <x v="29"/>
    <x v="126"/>
    <x v="75"/>
    <x v="27"/>
    <x v="138"/>
    <x v="99"/>
    <x v="29"/>
    <x v="171"/>
    <x v="28"/>
    <x v="109"/>
    <x v="168"/>
    <x v="0"/>
    <x v="31"/>
    <x v="3"/>
    <x v="0"/>
    <x v="0"/>
    <x v="0"/>
  </r>
  <r>
    <x v="9"/>
    <x v="11"/>
    <x v="117"/>
    <x v="401"/>
    <x v="3"/>
    <x v="183"/>
    <x v="236"/>
    <x v="24"/>
    <x v="135"/>
    <x v="54"/>
    <x v="69"/>
    <x v="38"/>
    <x v="27"/>
    <x v="104"/>
    <x v="29"/>
    <x v="126"/>
    <x v="75"/>
    <x v="27"/>
    <x v="138"/>
    <x v="99"/>
    <x v="29"/>
    <x v="171"/>
    <x v="28"/>
    <x v="109"/>
    <x v="168"/>
    <x v="0"/>
    <x v="75"/>
    <x v="6"/>
    <x v="0"/>
    <x v="0"/>
    <x v="0"/>
  </r>
  <r>
    <x v="9"/>
    <x v="49"/>
    <x v="222"/>
    <x v="402"/>
    <x v="3"/>
    <x v="183"/>
    <x v="239"/>
    <x v="5"/>
    <x v="0"/>
    <x v="54"/>
    <x v="69"/>
    <x v="44"/>
    <x v="27"/>
    <x v="104"/>
    <x v="29"/>
    <x v="126"/>
    <x v="75"/>
    <x v="27"/>
    <x v="138"/>
    <x v="99"/>
    <x v="29"/>
    <x v="171"/>
    <x v="28"/>
    <x v="109"/>
    <x v="168"/>
    <x v="0"/>
    <x v="0"/>
    <x v="0"/>
    <x v="0"/>
    <x v="0"/>
    <x v="0"/>
  </r>
  <r>
    <x v="9"/>
    <x v="11"/>
    <x v="260"/>
    <x v="403"/>
    <x v="3"/>
    <x v="184"/>
    <x v="237"/>
    <x v="24"/>
    <x v="63"/>
    <x v="54"/>
    <x v="69"/>
    <x v="38"/>
    <x v="27"/>
    <x v="104"/>
    <x v="29"/>
    <x v="126"/>
    <x v="75"/>
    <x v="27"/>
    <x v="138"/>
    <x v="99"/>
    <x v="29"/>
    <x v="171"/>
    <x v="28"/>
    <x v="109"/>
    <x v="168"/>
    <x v="25"/>
    <x v="127"/>
    <x v="175"/>
    <x v="0"/>
    <x v="0"/>
    <x v="0"/>
  </r>
  <r>
    <x v="9"/>
    <x v="11"/>
    <x v="5"/>
    <x v="404"/>
    <x v="3"/>
    <x v="183"/>
    <x v="236"/>
    <x v="23"/>
    <x v="148"/>
    <x v="54"/>
    <x v="69"/>
    <x v="38"/>
    <x v="27"/>
    <x v="104"/>
    <x v="29"/>
    <x v="126"/>
    <x v="75"/>
    <x v="27"/>
    <x v="138"/>
    <x v="99"/>
    <x v="29"/>
    <x v="171"/>
    <x v="28"/>
    <x v="109"/>
    <x v="168"/>
    <x v="0"/>
    <x v="88"/>
    <x v="10"/>
    <x v="0"/>
    <x v="0"/>
    <x v="0"/>
  </r>
  <r>
    <x v="9"/>
    <x v="11"/>
    <x v="242"/>
    <x v="405"/>
    <x v="3"/>
    <x v="184"/>
    <x v="237"/>
    <x v="24"/>
    <x v="111"/>
    <x v="54"/>
    <x v="69"/>
    <x v="38"/>
    <x v="27"/>
    <x v="104"/>
    <x v="29"/>
    <x v="126"/>
    <x v="75"/>
    <x v="27"/>
    <x v="138"/>
    <x v="99"/>
    <x v="29"/>
    <x v="171"/>
    <x v="28"/>
    <x v="109"/>
    <x v="168"/>
    <x v="25"/>
    <x v="127"/>
    <x v="175"/>
    <x v="0"/>
    <x v="0"/>
    <x v="0"/>
  </r>
  <r>
    <x v="9"/>
    <x v="11"/>
    <x v="241"/>
    <x v="396"/>
    <x v="3"/>
    <x v="135"/>
    <x v="201"/>
    <x v="24"/>
    <x v="4"/>
    <x v="54"/>
    <x v="69"/>
    <x v="38"/>
    <x v="27"/>
    <x v="104"/>
    <x v="29"/>
    <x v="126"/>
    <x v="75"/>
    <x v="27"/>
    <x v="138"/>
    <x v="2"/>
    <x v="9"/>
    <x v="2"/>
    <x v="27"/>
    <x v="2"/>
    <x v="2"/>
    <x v="23"/>
    <x v="2"/>
    <x v="2"/>
    <x v="0"/>
    <x v="0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DataPilot1" cacheId="2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K4:O21" firstHeaderRow="1" firstDataRow="2" firstDataCol="1"/>
  <pivotFields count="9">
    <pivotField axis="axisRow" showDropDowns="1" compact="1" outline="1" subtotalTop="1" dragToRow="1" dragToCol="1" dragToPage="1" dragToData="1" dragOff="1" showAll="0" topAutoShow="1" itemPageCount="10" sortType="manual" defaultSubtotal="1">
      <items count="1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4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</pivotFields>
  <rowFields count="1">
    <field x="0"/>
  </rowFields>
  <colFields count="1">
    <field x="8"/>
  </colFields>
  <dataFields count="1">
    <dataField name="Sum of Taxable Value" fld="5" subtotal="sum" showDataAs="normal" baseField="-1" baseItem="1048832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"/>
        <a:cs typeface=""/>
      </a:majorFont>
      <a:minorFont>
        <a:latin typeface="Aptos Narrow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books.zoho.in/app/60027787976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C25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H22" activePane="bottomRight" state="frozen"/>
      <selection pane="topLeft" activeCell="A1" activeCellId="0" sqref="A1"/>
      <selection pane="topRight" activeCell="H1" activeCellId="0" sqref="H1"/>
      <selection pane="bottomLeft" activeCell="A22" activeCellId="0" sqref="A22"/>
      <selection pane="bottomRight" activeCell="J49" activeCellId="0" sqref="J49"/>
    </sheetView>
  </sheetViews>
  <sheetFormatPr baseColWidth="8" defaultColWidth="14.453125" defaultRowHeight="15" zeroHeight="0" outlineLevelRow="0"/>
  <cols>
    <col width="3.54" customWidth="1" style="251" min="1" max="1"/>
    <col width="53.45" customWidth="1" style="251" min="2" max="2"/>
    <col hidden="1" width="20.54" customWidth="1" style="251" min="3" max="3"/>
    <col width="20.54" customWidth="1" style="251" min="4" max="10"/>
    <col width="20.9" customWidth="1" style="251" min="11" max="11"/>
    <col width="14.45" customWidth="1" style="251" min="12" max="16384"/>
  </cols>
  <sheetData>
    <row r="1" ht="19.7" customHeight="1" s="253">
      <c r="B1" s="254" t="inlineStr">
        <is>
          <t>Coresphere100 Technologies Pvt. Ltd.</t>
        </is>
      </c>
    </row>
    <row r="2" ht="15" customHeight="1" s="253">
      <c r="B2" s="274" t="inlineStr">
        <is>
          <t>Monthly revenue (Accrual)</t>
        </is>
      </c>
      <c r="C2" s="274" t="n"/>
      <c r="D2" s="274" t="n"/>
      <c r="E2" s="274" t="n"/>
      <c r="F2" s="274" t="n"/>
      <c r="G2" s="274" t="n"/>
      <c r="H2" s="274" t="n"/>
      <c r="I2" s="274" t="n"/>
      <c r="J2" s="274" t="n"/>
    </row>
    <row r="3" ht="12.75" customHeight="1" s="253">
      <c r="A3" s="256" t="n"/>
      <c r="B3" s="256" t="n"/>
      <c r="C3" s="256" t="n"/>
      <c r="D3" s="256" t="n"/>
      <c r="E3" s="256" t="n"/>
      <c r="F3" s="275" t="inlineStr">
        <is>
          <t>Amount in INR</t>
        </is>
      </c>
      <c r="G3" s="275" t="n"/>
      <c r="H3" s="275" t="n"/>
      <c r="I3" s="275" t="n"/>
      <c r="J3" s="275" t="n"/>
    </row>
    <row r="4" ht="12.75" customHeight="1" s="253">
      <c r="A4" s="258" t="n"/>
      <c r="B4" s="259" t="inlineStr">
        <is>
          <t>Particulars</t>
        </is>
      </c>
      <c r="C4" s="276" t="inlineStr">
        <is>
          <t>For the month ended</t>
        </is>
      </c>
      <c r="D4" s="277" t="inlineStr">
        <is>
          <t>For the month ended</t>
        </is>
      </c>
      <c r="E4" s="277" t="inlineStr">
        <is>
          <t>For the month ended</t>
        </is>
      </c>
      <c r="F4" s="277" t="inlineStr">
        <is>
          <t>For the month ended</t>
        </is>
      </c>
      <c r="G4" s="277" t="inlineStr">
        <is>
          <t>For the month ended</t>
        </is>
      </c>
      <c r="H4" s="277" t="inlineStr">
        <is>
          <t>For the month ended</t>
        </is>
      </c>
      <c r="I4" s="277" t="inlineStr">
        <is>
          <t>For the month ended</t>
        </is>
      </c>
      <c r="J4" s="277" t="inlineStr">
        <is>
          <t>For the month ended</t>
        </is>
      </c>
      <c r="K4" s="278" t="n"/>
      <c r="L4" s="261" t="n"/>
      <c r="M4" s="261" t="n"/>
      <c r="N4" s="261" t="n"/>
      <c r="O4" s="261" t="n"/>
      <c r="P4" s="261" t="n"/>
      <c r="Q4" s="261" t="n"/>
      <c r="R4" s="261" t="n"/>
      <c r="S4" s="261" t="n"/>
      <c r="T4" s="261" t="n"/>
      <c r="U4" s="261" t="n"/>
      <c r="V4" s="261" t="n"/>
      <c r="W4" s="261" t="n"/>
      <c r="X4" s="261" t="n"/>
      <c r="Y4" s="261" t="n"/>
      <c r="Z4" s="261" t="n"/>
      <c r="AA4" s="261" t="n"/>
      <c r="AB4" s="261" t="n"/>
      <c r="AC4" s="261" t="n"/>
    </row>
    <row r="5" ht="12.75" customHeight="1" s="253">
      <c r="A5" s="256" t="n"/>
      <c r="B5" s="262" t="n"/>
      <c r="C5" s="279" t="n">
        <v>45748</v>
      </c>
      <c r="D5" s="280" t="n">
        <v>45748</v>
      </c>
      <c r="E5" s="280" t="n">
        <v>45778</v>
      </c>
      <c r="F5" s="280" t="n">
        <v>45809</v>
      </c>
      <c r="G5" s="280" t="n">
        <v>45839</v>
      </c>
      <c r="H5" s="280" t="n">
        <v>45870</v>
      </c>
      <c r="I5" s="280" t="n">
        <v>45901</v>
      </c>
      <c r="J5" s="280" t="n">
        <v>45931</v>
      </c>
      <c r="K5" s="262" t="inlineStr">
        <is>
          <t>Total</t>
        </is>
      </c>
    </row>
    <row r="6" ht="12.75" customHeight="1" s="253">
      <c r="A6" s="256" t="n"/>
      <c r="B6" s="264" t="inlineStr">
        <is>
          <t>Monthly Revenue from B2B subscribers (A)</t>
        </is>
      </c>
      <c r="C6" s="281" t="n"/>
      <c r="D6" s="282">
        <f>SUM(D9:D45)</f>
        <v/>
      </c>
      <c r="E6" s="282">
        <f>SUM(E9:E45)</f>
        <v/>
      </c>
      <c r="F6" s="282">
        <f>SUM(F9:F45)</f>
        <v/>
      </c>
      <c r="G6" s="282">
        <f>SUM(G9:G45)</f>
        <v/>
      </c>
      <c r="H6" s="282">
        <f>SUM(H9:H45)</f>
        <v/>
      </c>
      <c r="I6" s="282">
        <f>SUM(I9:I45)</f>
        <v/>
      </c>
      <c r="J6" s="282">
        <f>SUM(J9:J45)</f>
        <v/>
      </c>
      <c r="K6" s="282">
        <f>SUM(K9:K45)</f>
        <v/>
      </c>
    </row>
    <row r="7" ht="12.75" customHeight="1" s="253">
      <c r="A7" s="256" t="n"/>
      <c r="B7" s="264" t="n"/>
      <c r="C7" s="281" t="n"/>
      <c r="D7" s="282" t="n"/>
      <c r="E7" s="282" t="n"/>
      <c r="F7" s="282" t="n"/>
      <c r="G7" s="282" t="n"/>
      <c r="H7" s="282" t="n"/>
      <c r="I7" s="282" t="n"/>
      <c r="J7" s="282" t="n"/>
      <c r="K7" s="283" t="n"/>
    </row>
    <row r="8" ht="12.75" customHeight="1" s="253">
      <c r="A8" s="256" t="n"/>
      <c r="B8" s="264" t="inlineStr">
        <is>
          <t>Annual Subscription</t>
        </is>
      </c>
      <c r="C8" s="281" t="n"/>
      <c r="D8" s="282" t="n"/>
      <c r="E8" s="282" t="n"/>
      <c r="F8" s="282" t="n"/>
      <c r="G8" s="282" t="n"/>
      <c r="H8" s="282" t="n"/>
      <c r="I8" s="282" t="n"/>
      <c r="J8" s="282" t="n"/>
      <c r="K8" s="284" t="n"/>
    </row>
    <row r="9" ht="12.75" customHeight="1" s="253">
      <c r="A9" s="256" t="n"/>
      <c r="B9" s="267" t="inlineStr">
        <is>
          <t>Annual- Half Yearly Payment</t>
        </is>
      </c>
      <c r="C9" s="285" t="n"/>
      <c r="D9" s="284">
        <f>SUMIF(Pivot!$A$45:$A$84,B9,Pivot!$B$45:$B$84)/118%</f>
        <v/>
      </c>
      <c r="E9" s="284">
        <f>SUMIF(Pivot!$A$45:$A$84,B9,Pivot!$C$45:$C$84)/118%</f>
        <v/>
      </c>
      <c r="F9" s="284">
        <f>SUMIF(Pivot!$A$45:$A$84,B9,Pivot!$D$45:$D$84)/118%</f>
        <v/>
      </c>
      <c r="G9" s="284">
        <f>SUMIF(Pivot!$A$45:$A$84,B9,Pivot!$E$45:$E$84)/118%</f>
        <v/>
      </c>
      <c r="H9" s="284">
        <f>SUMIF(Pivot!$A$45:$A$84,B9,Pivot!$F$45:$F$84)/118%</f>
        <v/>
      </c>
      <c r="I9" s="284">
        <f>SUMIF(Pivot!$A$45:$A$84,B9,Pivot!$G$45:$G$84)/118%</f>
        <v/>
      </c>
      <c r="J9" s="284">
        <f>SUMIF(Pivot!$A$45:$H$84,B9,Pivot!$H$45:$H$84)/118%</f>
        <v/>
      </c>
      <c r="K9" s="282">
        <f>SUM(D9:J9)</f>
        <v/>
      </c>
    </row>
    <row r="10" ht="12.75" customHeight="1" s="253">
      <c r="A10" s="256" t="n"/>
      <c r="B10" s="267" t="inlineStr">
        <is>
          <t>Annual subscription, Quarterly upfront</t>
        </is>
      </c>
      <c r="C10" s="285" t="n"/>
      <c r="D10" s="284">
        <f>SUMIF(Pivot!$A$45:$A$84,B10,Pivot!$B$45:$B$84)/118%</f>
        <v/>
      </c>
      <c r="E10" s="284">
        <f>SUMIF(Pivot!$A$45:$A$84,B10,Pivot!$C$45:$C$84)/118%</f>
        <v/>
      </c>
      <c r="F10" s="284">
        <f>SUMIF(Pivot!$A$45:$A$84,B10,Pivot!$D$45:$D$84)/118%</f>
        <v/>
      </c>
      <c r="G10" s="284">
        <f>SUMIF(Pivot!$A$45:$A$84,B10,Pivot!$E$45:$E$84)/118%</f>
        <v/>
      </c>
      <c r="H10" s="284">
        <f>SUMIF(Pivot!$A$45:$A$84,B10,Pivot!$F$45:$F$84)/118%</f>
        <v/>
      </c>
      <c r="I10" s="284">
        <f>SUMIF(Pivot!$A$45:$A$84,B10,Pivot!$G$45:$G$84)/118%</f>
        <v/>
      </c>
      <c r="J10" s="284">
        <f>SUMIF(Pivot!$A$45:$H$84,B10,Pivot!$H$45:$H$84)/118%</f>
        <v/>
      </c>
      <c r="K10" s="282">
        <f>SUM(D10:J10)</f>
        <v/>
      </c>
    </row>
    <row r="11" ht="12.75" customHeight="1" s="253">
      <c r="A11" s="256" t="n"/>
      <c r="B11" s="267" t="inlineStr">
        <is>
          <t>Annual Upfront</t>
        </is>
      </c>
      <c r="C11" s="285" t="n"/>
      <c r="D11" s="284">
        <f>SUMIF(Pivot!$A$45:$A$84,B11,Pivot!$B$45:$B$84)/118%</f>
        <v/>
      </c>
      <c r="E11" s="284">
        <f>SUMIF(Pivot!$A$45:$A$84,B11,Pivot!$C$45:$C$84)/118%</f>
        <v/>
      </c>
      <c r="F11" s="284">
        <f>SUMIF(Pivot!$A$45:$A$84,B11,Pivot!$D$45:$D$84)/118%</f>
        <v/>
      </c>
      <c r="G11" s="284">
        <f>SUMIF(Pivot!$A$45:$A$84,B11,Pivot!$E$45:$E$84)/118%</f>
        <v/>
      </c>
      <c r="H11" s="284">
        <f>SUMIF(Pivot!$A$45:$A$84,B11,Pivot!$F$45:$F$84)/118%</f>
        <v/>
      </c>
      <c r="I11" s="284">
        <f>SUMIF(Pivot!$A$45:$A$84,B11,Pivot!$G$45:$G$84)/118%</f>
        <v/>
      </c>
      <c r="J11" s="284">
        <f>SUMIF(Pivot!$A$45:$H$84,B11,Pivot!$H$45:$H$84)/118%</f>
        <v/>
      </c>
      <c r="K11" s="282">
        <f>SUM(D11:J11)</f>
        <v/>
      </c>
    </row>
    <row r="12" ht="12.75" customHeight="1" s="253">
      <c r="A12" s="256" t="n"/>
      <c r="B12" s="267" t="inlineStr">
        <is>
          <t>Annual-Monthly</t>
        </is>
      </c>
      <c r="C12" s="285" t="n"/>
      <c r="D12" s="284">
        <f>SUMIF(Pivot!$A$45:$A$84,B12,Pivot!$B$45:$B$84)/118%</f>
        <v/>
      </c>
      <c r="E12" s="284">
        <f>SUMIF(Pivot!$A$45:$A$84,B12,Pivot!$C$45:$C$84)/118%</f>
        <v/>
      </c>
      <c r="F12" s="284">
        <f>SUMIF(Pivot!$A$45:$A$84,B12,Pivot!$D$45:$D$84)/118%</f>
        <v/>
      </c>
      <c r="G12" s="284">
        <f>SUMIF(Pivot!$A$45:$A$84,B12,Pivot!$E$45:$E$84)/118%</f>
        <v/>
      </c>
      <c r="H12" s="284">
        <f>SUMIF(Pivot!$A$45:$A$84,B12,Pivot!$F$45:$F$84)/118%</f>
        <v/>
      </c>
      <c r="I12" s="284">
        <f>SUMIF(Pivot!$A$45:$A$84,B12,Pivot!$G$45:$G$84)/118%</f>
        <v/>
      </c>
      <c r="J12" s="284">
        <f>SUMIF(Pivot!$A$45:$H$84,B12,Pivot!$H$45:$H$84)/118%</f>
        <v/>
      </c>
      <c r="K12" s="282">
        <f>SUM(D12:J12)</f>
        <v/>
      </c>
    </row>
    <row r="13" ht="12.75" customHeight="1" s="253">
      <c r="A13" s="256" t="n"/>
      <c r="B13" s="267" t="inlineStr">
        <is>
          <t>2 Year- Upfront</t>
        </is>
      </c>
      <c r="C13" s="285" t="n"/>
      <c r="D13" s="284">
        <f>SUMIF(Pivot!$A$45:$A$84,B13,Pivot!$B$45:$B$84)/118%</f>
        <v/>
      </c>
      <c r="E13" s="284">
        <f>SUMIF(Pivot!$A$45:$A$84,B13,Pivot!$C$45:$C$84)/118%</f>
        <v/>
      </c>
      <c r="F13" s="284">
        <f>SUMIF(Pivot!$A$45:$A$84,B13,Pivot!$D$45:$D$84)/118%</f>
        <v/>
      </c>
      <c r="G13" s="284">
        <f>SUMIF(Pivot!$A$45:$A$84,B13,Pivot!$E$45:$E$84)/118%</f>
        <v/>
      </c>
      <c r="H13" s="284">
        <f>SUMIF(Pivot!$A$45:$A$84,B13,Pivot!$F$45:$F$84)/118%</f>
        <v/>
      </c>
      <c r="I13" s="284">
        <f>SUMIF(Pivot!$A$45:$A$84,B13,Pivot!$G$45:$G$84)/118%</f>
        <v/>
      </c>
      <c r="J13" s="284">
        <f>SUMIF(Pivot!$A$45:$H$84,B13,Pivot!$H$45:$H$84)/118%</f>
        <v/>
      </c>
      <c r="K13" s="282">
        <f>SUM(D13:J13)</f>
        <v/>
      </c>
    </row>
    <row r="14" ht="6" customHeight="1" s="253">
      <c r="A14" s="256" t="n"/>
      <c r="B14" s="267" t="n"/>
      <c r="C14" s="281" t="n"/>
      <c r="D14" s="284">
        <f>SUMIF(Pivot!$A$45:$A$84,B14,Pivot!$B$45:$B$84)/118%</f>
        <v/>
      </c>
      <c r="E14" s="284">
        <f>SUMIF(Pivot!$A$45:$A$84,B14,Pivot!$C$45:$C$84)/118%</f>
        <v/>
      </c>
      <c r="F14" s="284">
        <f>SUMIF(Pivot!$A$45:$A$84,B14,Pivot!$D$45:$D$84)/118%</f>
        <v/>
      </c>
      <c r="G14" s="284">
        <f>SUMIF(Pivot!$A$45:$A$84,B14,Pivot!$E$45:$E$84)/118%</f>
        <v/>
      </c>
      <c r="H14" s="284">
        <f>SUMIF(Pivot!$A$45:$A$84,B14,Pivot!$F$45:$F$84)/118%</f>
        <v/>
      </c>
      <c r="I14" s="284">
        <f>SUMIF(Pivot!$A$45:$A$84,B14,Pivot!$G$45:$G$84)/118%</f>
        <v/>
      </c>
      <c r="J14" s="284">
        <f>SUMIF(Pivot!$A$45:$H$84,B14,Pivot!$H$45:$H$84)/118%</f>
        <v/>
      </c>
      <c r="K14" s="282">
        <f>SUM(D14:J14)</f>
        <v/>
      </c>
    </row>
    <row r="15" ht="12.75" customHeight="1" s="253">
      <c r="A15" s="256" t="n"/>
      <c r="B15" s="264" t="inlineStr">
        <is>
          <t>Other Than Annual Subscriptions</t>
        </is>
      </c>
      <c r="C15" s="281" t="n"/>
      <c r="D15" s="284">
        <f>SUMIF(Pivot!$A$45:$A$84,B15,Pivot!$B$45:$B$84)/118%</f>
        <v/>
      </c>
      <c r="E15" s="284">
        <f>SUMIF(Pivot!$A$45:$A$84,B15,Pivot!$C$45:$C$84)/118%</f>
        <v/>
      </c>
      <c r="F15" s="284">
        <f>SUMIF(Pivot!$A$45:$A$84,B15,Pivot!$D$45:$D$84)/118%</f>
        <v/>
      </c>
      <c r="G15" s="284">
        <f>SUMIF(Pivot!$A$45:$A$84,B15,Pivot!$E$45:$E$84)/118%</f>
        <v/>
      </c>
      <c r="H15" s="284">
        <f>SUMIF(Pivot!$A$45:$A$84,B15,Pivot!$F$45:$F$84)/118%</f>
        <v/>
      </c>
      <c r="I15" s="284">
        <f>SUMIF(Pivot!$A$45:$A$84,B15,Pivot!$G$45:$G$84)/118%</f>
        <v/>
      </c>
      <c r="J15" s="284">
        <f>SUMIF(Pivot!$A$45:$H$84,B15,Pivot!$H$45:$H$84)/118%</f>
        <v/>
      </c>
      <c r="K15" s="282">
        <f>SUM(D15:J15)</f>
        <v/>
      </c>
    </row>
    <row r="16" ht="12.75" customHeight="1" s="253">
      <c r="A16" s="256" t="n"/>
      <c r="B16" s="267" t="inlineStr">
        <is>
          <t>10 -Days -Upfront</t>
        </is>
      </c>
      <c r="C16" s="281" t="n"/>
      <c r="D16" s="284">
        <f>SUMIF(Pivot!$A$45:$A$84,B16,Pivot!$B$45:$B$84)/118%</f>
        <v/>
      </c>
      <c r="E16" s="284">
        <f>SUMIF(Pivot!$A$45:$A$84,B16,Pivot!$C$45:$C$84)/118%</f>
        <v/>
      </c>
      <c r="F16" s="284">
        <f>SUMIF(Pivot!$A$45:$A$84,B16,Pivot!$D$45:$D$84)/118%</f>
        <v/>
      </c>
      <c r="G16" s="284">
        <f>SUMIF(Pivot!$A$45:$A$84,B16,Pivot!$E$45:$E$84)/118%</f>
        <v/>
      </c>
      <c r="H16" s="284">
        <f>SUMIF(Pivot!$A$45:$A$84,B16,Pivot!$F$45:$F$84)/118%</f>
        <v/>
      </c>
      <c r="I16" s="284">
        <f>SUMIF(Pivot!$A$45:$A$84,B16,Pivot!$G$45:$G$84)/118%</f>
        <v/>
      </c>
      <c r="J16" s="284">
        <f>SUMIF(Pivot!$A$45:$H$84,B16,Pivot!$H$45:$H$84)/118%</f>
        <v/>
      </c>
      <c r="K16" s="282">
        <f>SUM(D16:J16)</f>
        <v/>
      </c>
    </row>
    <row r="17" ht="12.75" customHeight="1" s="253">
      <c r="A17" s="256" t="n"/>
      <c r="B17" s="267" t="inlineStr">
        <is>
          <t>12 -Days -Upfront</t>
        </is>
      </c>
      <c r="C17" s="281" t="n"/>
      <c r="D17" s="284">
        <f>SUMIF(Pivot!$A$45:$A$84,B17,Pivot!$B$45:$B$84)/118%</f>
        <v/>
      </c>
      <c r="E17" s="284">
        <f>SUMIF(Pivot!$A$45:$A$84,B17,Pivot!$C$45:$C$84)/118%</f>
        <v/>
      </c>
      <c r="F17" s="284">
        <f>SUMIF(Pivot!$A$45:$A$84,B17,Pivot!$D$45:$D$84)/118%</f>
        <v/>
      </c>
      <c r="G17" s="284">
        <f>SUMIF(Pivot!$A$45:$A$84,B17,Pivot!$E$45:$E$84)/118%</f>
        <v/>
      </c>
      <c r="H17" s="284">
        <f>SUMIF(Pivot!$A$45:$A$84,B17,Pivot!$F$45:$F$84)/118%</f>
        <v/>
      </c>
      <c r="I17" s="284">
        <f>SUMIF(Pivot!$A$45:$A$84,B17,Pivot!$G$45:$G$84)/118%</f>
        <v/>
      </c>
      <c r="J17" s="284">
        <f>SUMIF(Pivot!$A$45:$H$84,B17,Pivot!$H$45:$H$84)/118%</f>
        <v/>
      </c>
      <c r="K17" s="282">
        <f>SUM(D17:J17)</f>
        <v/>
      </c>
    </row>
    <row r="18" ht="12.75" customHeight="1" s="253">
      <c r="A18" s="256" t="n"/>
      <c r="B18" s="267" t="inlineStr">
        <is>
          <t>15 -Days -Upfront</t>
        </is>
      </c>
      <c r="C18" s="281" t="n"/>
      <c r="D18" s="284">
        <f>SUMIF(Pivot!$A$45:$A$84,B18,Pivot!$B$45:$B$84)/118%</f>
        <v/>
      </c>
      <c r="E18" s="284">
        <f>SUMIF(Pivot!$A$45:$A$84,B18,Pivot!$C$45:$C$84)/118%</f>
        <v/>
      </c>
      <c r="F18" s="284">
        <f>SUMIF(Pivot!$A$45:$A$84,B18,Pivot!$D$45:$D$84)/118%</f>
        <v/>
      </c>
      <c r="G18" s="284">
        <f>SUMIF(Pivot!$A$45:$A$84,B18,Pivot!$E$45:$E$84)/118%</f>
        <v/>
      </c>
      <c r="H18" s="284">
        <f>SUMIF(Pivot!$A$45:$A$84,B18,Pivot!$F$45:$F$84)/118%</f>
        <v/>
      </c>
      <c r="I18" s="284">
        <f>SUMIF(Pivot!$A$45:$A$84,B18,Pivot!$G$45:$G$84)/118%</f>
        <v/>
      </c>
      <c r="J18" s="284">
        <f>SUMIF(Pivot!$A$45:$H$84,B18,Pivot!$H$45:$H$84)/118%</f>
        <v/>
      </c>
      <c r="K18" s="282">
        <f>SUM(D18:J18)</f>
        <v/>
      </c>
    </row>
    <row r="19" ht="12.75" customHeight="1" s="253">
      <c r="A19" s="256" t="n"/>
      <c r="B19" s="267" t="inlineStr">
        <is>
          <t>13 month-Upfront</t>
        </is>
      </c>
      <c r="C19" s="281" t="n"/>
      <c r="D19" s="284">
        <f>SUMIF(Pivot!$A$45:$A$84,B19,Pivot!$B$45:$B$84)/118%</f>
        <v/>
      </c>
      <c r="E19" s="284">
        <f>SUMIF(Pivot!$A$45:$A$84,B19,Pivot!$C$45:$C$84)/118%</f>
        <v/>
      </c>
      <c r="F19" s="284">
        <f>SUMIF(Pivot!$A$45:$A$84,B19,Pivot!$D$45:$D$84)/118%</f>
        <v/>
      </c>
      <c r="G19" s="284">
        <f>SUMIF(Pivot!$A$45:$A$84,B19,Pivot!$E$45:$E$84)/118%</f>
        <v/>
      </c>
      <c r="H19" s="284">
        <f>SUMIF(Pivot!$A$45:$A$84,B19,Pivot!$F$45:$F$84)/118%</f>
        <v/>
      </c>
      <c r="I19" s="284">
        <f>SUMIF(Pivot!$A$45:$A$84,B19,Pivot!$G$45:$G$84)/118%</f>
        <v/>
      </c>
      <c r="J19" s="284">
        <f>SUMIF(Pivot!$A$45:$H$84,B19,Pivot!$H$45:$H$84)/118%</f>
        <v/>
      </c>
      <c r="K19" s="282">
        <f>SUM(D19:J19)</f>
        <v/>
      </c>
    </row>
    <row r="20" ht="12.75" customHeight="1" s="253">
      <c r="A20" s="256" t="n"/>
      <c r="B20" s="267" t="inlineStr">
        <is>
          <t>19 -Days -Upfront</t>
        </is>
      </c>
      <c r="C20" s="281" t="n"/>
      <c r="D20" s="284">
        <f>SUMIF(Pivot!$A$45:$A$84,B20,Pivot!$B$45:$B$84)/118%</f>
        <v/>
      </c>
      <c r="E20" s="284">
        <f>SUMIF(Pivot!$A$45:$A$84,B20,Pivot!$C$45:$C$84)/118%</f>
        <v/>
      </c>
      <c r="F20" s="284">
        <f>SUMIF(Pivot!$A$45:$A$84,B20,Pivot!$D$45:$D$84)/118%</f>
        <v/>
      </c>
      <c r="G20" s="284">
        <f>SUMIF(Pivot!$A$45:$A$84,B20,Pivot!$E$45:$E$84)/118%</f>
        <v/>
      </c>
      <c r="H20" s="284">
        <f>SUMIF(Pivot!$A$45:$A$84,B20,Pivot!$F$45:$F$84)/118%</f>
        <v/>
      </c>
      <c r="I20" s="284">
        <f>SUMIF(Pivot!$A$45:$A$84,B20,Pivot!$G$45:$G$84)/118%</f>
        <v/>
      </c>
      <c r="J20" s="284">
        <f>SUMIF(Pivot!$A$45:$H$84,B20,Pivot!$H$45:$H$84)/118%</f>
        <v/>
      </c>
      <c r="K20" s="282">
        <f>SUM(D20:J20)</f>
        <v/>
      </c>
    </row>
    <row r="21" ht="12.75" customHeight="1" s="253">
      <c r="A21" s="256" t="n"/>
      <c r="B21" s="267" t="inlineStr">
        <is>
          <t>38 -Days -Upfront</t>
        </is>
      </c>
      <c r="C21" s="281" t="n"/>
      <c r="D21" s="284">
        <f>SUMIF(Pivot!$A$45:$A$84,B21,Pivot!$B$45:$B$84)/118%</f>
        <v/>
      </c>
      <c r="E21" s="284">
        <f>SUMIF(Pivot!$A$45:$A$84,B21,Pivot!$C$45:$C$84)/118%</f>
        <v/>
      </c>
      <c r="F21" s="284">
        <f>SUMIF(Pivot!$A$45:$A$84,B21,Pivot!$D$45:$D$84)/118%</f>
        <v/>
      </c>
      <c r="G21" s="284">
        <f>SUMIF(Pivot!$A$45:$A$84,B21,Pivot!$E$45:$E$84)/118%</f>
        <v/>
      </c>
      <c r="H21" s="284">
        <f>SUMIF(Pivot!$A$45:$A$84,B21,Pivot!$F$45:$F$84)/118%</f>
        <v/>
      </c>
      <c r="I21" s="284">
        <f>SUMIF(Pivot!$A$45:$A$84,B21,Pivot!$G$45:$G$84)/118%</f>
        <v/>
      </c>
      <c r="J21" s="284">
        <f>SUMIF(Pivot!$A$45:$H$84,B21,Pivot!$H$45:$H$84)/118%</f>
        <v/>
      </c>
      <c r="K21" s="282">
        <f>SUM(D21:J21)</f>
        <v/>
      </c>
    </row>
    <row r="22" ht="12.75" customHeight="1" s="253">
      <c r="A22" s="256" t="n"/>
      <c r="B22" s="267" t="inlineStr">
        <is>
          <t>1 month-Upfront</t>
        </is>
      </c>
      <c r="C22" s="281" t="n"/>
      <c r="D22" s="284">
        <f>SUMIF(Pivot!$A$45:$A$84,B22,Pivot!$B$45:$B$84)/118%</f>
        <v/>
      </c>
      <c r="E22" s="284">
        <f>SUMIF(Pivot!$A$45:$A$84,B22,Pivot!$C$45:$C$84)/118%</f>
        <v/>
      </c>
      <c r="F22" s="284">
        <f>SUMIF(Pivot!$A$45:$A$84,B22,Pivot!$D$45:$D$84)/118%</f>
        <v/>
      </c>
      <c r="G22" s="284">
        <f>SUMIF(Pivot!$A$45:$A$84,B22,Pivot!$E$45:$E$84)/118%</f>
        <v/>
      </c>
      <c r="H22" s="284">
        <f>SUMIF(Pivot!$A$45:$A$84,B22,Pivot!$F$45:$F$84)/118%</f>
        <v/>
      </c>
      <c r="I22" s="284">
        <f>SUMIF(Pivot!$A$45:$A$84,B22,Pivot!$G$45:$G$84)/118%</f>
        <v/>
      </c>
      <c r="J22" s="284">
        <f>SUMIF(Pivot!$A$45:$H$84,B22,Pivot!$H$45:$H$84)/118%</f>
        <v/>
      </c>
      <c r="K22" s="282">
        <f>SUM(D22:J22)</f>
        <v/>
      </c>
    </row>
    <row r="23" ht="12.75" customHeight="1" s="253">
      <c r="A23" s="256" t="n"/>
      <c r="B23" s="267" t="inlineStr">
        <is>
          <t>2 months subscription, Monthly</t>
        </is>
      </c>
      <c r="C23" s="281" t="n"/>
      <c r="D23" s="284">
        <f>SUMIF(Pivot!$A$45:$A$84,B23,Pivot!$B$45:$B$84)/118%</f>
        <v/>
      </c>
      <c r="E23" s="284">
        <f>SUMIF(Pivot!$A$45:$A$84,B23,Pivot!$C$45:$C$84)/118%</f>
        <v/>
      </c>
      <c r="F23" s="284">
        <f>SUMIF(Pivot!$A$45:$A$84,B23,Pivot!$D$45:$D$84)/118%</f>
        <v/>
      </c>
      <c r="G23" s="284">
        <f>SUMIF(Pivot!$A$45:$A$84,B23,Pivot!$E$45:$E$84)/118%</f>
        <v/>
      </c>
      <c r="H23" s="284">
        <f>SUMIF(Pivot!$A$45:$A$84,B23,Pivot!$F$45:$F$84)/118%</f>
        <v/>
      </c>
      <c r="I23" s="284">
        <f>SUMIF(Pivot!$A$45:$A$84,B23,Pivot!$G$45:$G$84)/118%</f>
        <v/>
      </c>
      <c r="J23" s="284">
        <f>SUMIF(Pivot!$A$45:$H$84,B23,Pivot!$H$45:$H$84)/118%</f>
        <v/>
      </c>
      <c r="K23" s="282">
        <f>SUM(D23:J23)</f>
        <v/>
      </c>
    </row>
    <row r="24" ht="12.75" customHeight="1" s="253">
      <c r="A24" s="256" t="n"/>
      <c r="B24" s="267" t="inlineStr">
        <is>
          <t>2 months- Upfront</t>
        </is>
      </c>
      <c r="C24" s="281" t="n"/>
      <c r="D24" s="284">
        <f>SUMIF(Pivot!$A$45:$A$84,B24,Pivot!$B$45:$B$84)/118%</f>
        <v/>
      </c>
      <c r="E24" s="284">
        <f>SUMIF(Pivot!$A$45:$A$84,B24,Pivot!$C$45:$C$84)/118%</f>
        <v/>
      </c>
      <c r="F24" s="284">
        <f>SUMIF(Pivot!$A$45:$A$84,B24,Pivot!$D$45:$D$84)/118%</f>
        <v/>
      </c>
      <c r="G24" s="284">
        <f>SUMIF(Pivot!$A$45:$A$84,B24,Pivot!$E$45:$E$84)/118%</f>
        <v/>
      </c>
      <c r="H24" s="284">
        <f>SUMIF(Pivot!$A$45:$A$84,B24,Pivot!$F$45:$F$84)/118%</f>
        <v/>
      </c>
      <c r="I24" s="284">
        <f>SUMIF(Pivot!$A$45:$A$84,B24,Pivot!$G$45:$G$84)/118%</f>
        <v/>
      </c>
      <c r="J24" s="284">
        <f>SUMIF(Pivot!$A$45:$H$84,B24,Pivot!$H$45:$H$84)/118%</f>
        <v/>
      </c>
      <c r="K24" s="282">
        <f>SUM(D24:J24)</f>
        <v/>
      </c>
    </row>
    <row r="25" ht="12.75" customHeight="1" s="253">
      <c r="A25" s="256" t="n"/>
      <c r="B25" s="267" t="inlineStr">
        <is>
          <t>2 month &amp; 13 Days-Upfront</t>
        </is>
      </c>
      <c r="C25" s="281" t="n"/>
      <c r="D25" s="284">
        <f>SUMIF(Pivot!$A$45:$A$84,B25,Pivot!$B$45:$B$84)/118%</f>
        <v/>
      </c>
      <c r="E25" s="284">
        <f>SUMIF(Pivot!$A$45:$A$84,B25,Pivot!$C$45:$C$84)/118%</f>
        <v/>
      </c>
      <c r="F25" s="284">
        <f>SUMIF(Pivot!$A$45:$A$84,B25,Pivot!$D$45:$D$84)/118%</f>
        <v/>
      </c>
      <c r="G25" s="284">
        <f>SUMIF(Pivot!$A$45:$A$84,B25,Pivot!$E$45:$E$84)/118%</f>
        <v/>
      </c>
      <c r="H25" s="284">
        <f>SUMIF(Pivot!$A$45:$A$84,B25,Pivot!$F$45:$F$84)/118%</f>
        <v/>
      </c>
      <c r="I25" s="284">
        <f>SUMIF(Pivot!$A$45:$A$84,B25,Pivot!$G$45:$G$84)/118%</f>
        <v/>
      </c>
      <c r="J25" s="284">
        <f>SUMIF(Pivot!$A$45:$H$84,B25,Pivot!$H$45:$H$84)/118%</f>
        <v/>
      </c>
      <c r="K25" s="282">
        <f>SUM(D25:J25)</f>
        <v/>
      </c>
    </row>
    <row r="26" ht="12.75" customHeight="1" s="253">
      <c r="A26" s="256" t="n"/>
      <c r="B26" s="267" t="inlineStr">
        <is>
          <t>3 months subscription, Monthly</t>
        </is>
      </c>
      <c r="C26" s="281" t="n"/>
      <c r="D26" s="284">
        <f>SUMIF(Pivot!$A$45:$A$84,B26,Pivot!$B$45:$B$84)/118%</f>
        <v/>
      </c>
      <c r="E26" s="284">
        <f>SUMIF(Pivot!$A$45:$A$84,B26,Pivot!$C$45:$C$84)/118%</f>
        <v/>
      </c>
      <c r="F26" s="284">
        <f>SUMIF(Pivot!$A$45:$A$84,B26,Pivot!$D$45:$D$84)/118%</f>
        <v/>
      </c>
      <c r="G26" s="284">
        <f>SUMIF(Pivot!$A$45:$A$84,B26,Pivot!$E$45:$E$84)/118%</f>
        <v/>
      </c>
      <c r="H26" s="284">
        <f>SUMIF(Pivot!$A$45:$A$84,B26,Pivot!$F$45:$F$84)/118%</f>
        <v/>
      </c>
      <c r="I26" s="284">
        <f>SUMIF(Pivot!$A$45:$A$84,B26,Pivot!$G$45:$G$84)/118%</f>
        <v/>
      </c>
      <c r="J26" s="284">
        <f>SUMIF(Pivot!$A$45:$H$84,B26,Pivot!$H$45:$H$84)/118%</f>
        <v/>
      </c>
      <c r="K26" s="282">
        <f>SUM(D26:J26)</f>
        <v/>
      </c>
    </row>
    <row r="27" ht="12.75" customHeight="1" s="253">
      <c r="A27" s="256" t="n"/>
      <c r="B27" s="267" t="inlineStr">
        <is>
          <t>3 months subscription, upfront</t>
        </is>
      </c>
      <c r="C27" s="281" t="n"/>
      <c r="D27" s="284">
        <f>SUMIF(Pivot!$A$45:$A$84,B27,Pivot!$B$45:$B$84)/118%</f>
        <v/>
      </c>
      <c r="E27" s="284">
        <f>SUMIF(Pivot!$A$45:$A$84,B27,Pivot!$C$45:$C$84)/118%</f>
        <v/>
      </c>
      <c r="F27" s="284">
        <f>SUMIF(Pivot!$A$45:$A$84,B27,Pivot!$D$45:$D$84)/118%</f>
        <v/>
      </c>
      <c r="G27" s="284">
        <f>SUMIF(Pivot!$A$45:$A$84,B27,Pivot!$E$45:$E$84)/118%</f>
        <v/>
      </c>
      <c r="H27" s="284">
        <f>SUMIF(Pivot!$A$45:$A$84,B27,Pivot!$F$45:$F$84)/118%</f>
        <v/>
      </c>
      <c r="I27" s="284">
        <f>SUMIF(Pivot!$A$45:$A$84,B27,Pivot!$G$45:$G$84)/118%</f>
        <v/>
      </c>
      <c r="J27" s="284">
        <f>SUMIF(Pivot!$A$45:$H$84,B27,Pivot!$H$45:$H$84)/118%</f>
        <v/>
      </c>
      <c r="K27" s="282">
        <f>SUM(D27:J27)</f>
        <v/>
      </c>
    </row>
    <row r="28" ht="12.75" customHeight="1" s="253">
      <c r="A28" s="256" t="n"/>
      <c r="B28" s="267" t="inlineStr">
        <is>
          <t>4 months subscription, Monthly</t>
        </is>
      </c>
      <c r="C28" s="281" t="n"/>
      <c r="D28" s="284">
        <f>SUMIF(Pivot!$A$45:$A$84,B28,Pivot!$B$45:$B$84)/118%</f>
        <v/>
      </c>
      <c r="E28" s="284">
        <f>SUMIF(Pivot!$A$45:$A$84,B28,Pivot!$C$45:$C$84)/118%</f>
        <v/>
      </c>
      <c r="F28" s="284">
        <f>SUMIF(Pivot!$A$45:$A$84,B28,Pivot!$D$45:$D$84)/118%</f>
        <v/>
      </c>
      <c r="G28" s="284">
        <f>SUMIF(Pivot!$A$45:$A$84,B28,Pivot!$E$45:$E$84)/118%</f>
        <v/>
      </c>
      <c r="H28" s="284">
        <f>SUMIF(Pivot!$A$45:$A$84,B28,Pivot!$F$45:$F$84)/118%</f>
        <v/>
      </c>
      <c r="I28" s="284">
        <f>SUMIF(Pivot!$A$45:$A$84,B28,Pivot!$G$45:$G$84)/118%</f>
        <v/>
      </c>
      <c r="J28" s="284">
        <f>SUMIF(Pivot!$A$45:$H$84,B28,Pivot!$H$45:$H$84)/118%</f>
        <v/>
      </c>
      <c r="K28" s="282">
        <f>SUM(D28:J28)</f>
        <v/>
      </c>
    </row>
    <row r="29" ht="12.75" customHeight="1" s="253">
      <c r="A29" s="256" t="n"/>
      <c r="B29" s="267" t="inlineStr">
        <is>
          <t>5 months subscription, Monthly</t>
        </is>
      </c>
      <c r="C29" s="281" t="n"/>
      <c r="D29" s="284">
        <f>SUMIF(Pivot!$A$45:$A$84,B29,Pivot!$B$45:$B$84)/118%</f>
        <v/>
      </c>
      <c r="E29" s="284">
        <f>SUMIF(Pivot!$A$45:$A$84,B29,Pivot!$C$45:$C$84)/118%</f>
        <v/>
      </c>
      <c r="F29" s="284">
        <f>SUMIF(Pivot!$A$45:$A$84,B29,Pivot!$D$45:$D$84)/118%</f>
        <v/>
      </c>
      <c r="G29" s="284">
        <f>SUMIF(Pivot!$A$45:$A$84,B29,Pivot!$E$45:$E$84)/118%</f>
        <v/>
      </c>
      <c r="H29" s="284">
        <f>SUMIF(Pivot!$A$45:$A$84,B29,Pivot!$F$45:$F$84)/118%</f>
        <v/>
      </c>
      <c r="I29" s="284">
        <f>SUMIF(Pivot!$A$45:$A$84,B29,Pivot!$G$45:$G$84)/118%</f>
        <v/>
      </c>
      <c r="J29" s="284">
        <f>SUMIF(Pivot!$A$45:$H$84,B29,Pivot!$H$45:$H$84)/118%</f>
        <v/>
      </c>
      <c r="K29" s="282">
        <f>SUM(D29:J29)</f>
        <v/>
      </c>
    </row>
    <row r="30" ht="12.75" customHeight="1" s="253">
      <c r="A30" s="256" t="n"/>
      <c r="B30" s="267" t="inlineStr">
        <is>
          <t>5 month-Upfront</t>
        </is>
      </c>
      <c r="C30" s="281" t="n"/>
      <c r="D30" s="284">
        <f>SUMIF(Pivot!$A$45:$A$84,B30,Pivot!$B$45:$B$84)/118%</f>
        <v/>
      </c>
      <c r="E30" s="284">
        <f>SUMIF(Pivot!$A$45:$A$84,B30,Pivot!$C$45:$C$84)/118%</f>
        <v/>
      </c>
      <c r="F30" s="284">
        <f>SUMIF(Pivot!$A$45:$A$84,B30,Pivot!$D$45:$D$84)/118%</f>
        <v/>
      </c>
      <c r="G30" s="284">
        <f>SUMIF(Pivot!$A$45:$A$84,B30,Pivot!$E$45:$E$84)/118%</f>
        <v/>
      </c>
      <c r="H30" s="284">
        <f>SUMIF(Pivot!$A$45:$A$84,B30,Pivot!$F$45:$F$84)/118%</f>
        <v/>
      </c>
      <c r="I30" s="284">
        <f>SUMIF(Pivot!$A$45:$A$84,B30,Pivot!$G$45:$G$84)/118%</f>
        <v/>
      </c>
      <c r="J30" s="284">
        <f>SUMIF(Pivot!$A$45:$H$84,B30,Pivot!$H$45:$H$84)/118%</f>
        <v/>
      </c>
      <c r="K30" s="282">
        <f>SUM(D30:J30)</f>
        <v/>
      </c>
    </row>
    <row r="31" ht="12.75" customHeight="1" s="253">
      <c r="A31" s="256" t="n"/>
      <c r="B31" s="267" t="inlineStr">
        <is>
          <t>6 months subscription, Monthly</t>
        </is>
      </c>
      <c r="C31" s="281" t="n"/>
      <c r="D31" s="284">
        <f>SUMIF(Pivot!$A$45:$A$84,B31,Pivot!$B$45:$B$84)/118%</f>
        <v/>
      </c>
      <c r="E31" s="284">
        <f>SUMIF(Pivot!$A$45:$A$84,B31,Pivot!$C$45:$C$84)/118%</f>
        <v/>
      </c>
      <c r="F31" s="284">
        <f>SUMIF(Pivot!$A$45:$A$84,B31,Pivot!$D$45:$D$84)/118%</f>
        <v/>
      </c>
      <c r="G31" s="284">
        <f>SUMIF(Pivot!$A$45:$A$84,B31,Pivot!$E$45:$E$84)/118%</f>
        <v/>
      </c>
      <c r="H31" s="284">
        <f>SUMIF(Pivot!$A$45:$A$84,B31,Pivot!$F$45:$F$84)/118%</f>
        <v/>
      </c>
      <c r="I31" s="284">
        <f>SUMIF(Pivot!$A$45:$A$84,B31,Pivot!$G$45:$G$84)/118%</f>
        <v/>
      </c>
      <c r="J31" s="284">
        <f>SUMIF(Pivot!$A$45:$H$84,B31,Pivot!$H$45:$H$84)/118%</f>
        <v/>
      </c>
      <c r="K31" s="282">
        <f>SUM(D31:J31)</f>
        <v/>
      </c>
    </row>
    <row r="32" ht="12.75" customHeight="1" s="253">
      <c r="A32" s="256" t="n"/>
      <c r="B32" s="267" t="inlineStr">
        <is>
          <t>6 month-Upfront</t>
        </is>
      </c>
      <c r="C32" s="281" t="n"/>
      <c r="D32" s="284">
        <f>SUMIF(Pivot!$A$45:$A$84,B32,Pivot!$B$45:$B$84)/118%</f>
        <v/>
      </c>
      <c r="E32" s="284">
        <f>SUMIF(Pivot!$A$45:$A$84,B32,Pivot!$C$45:$C$84)/118%</f>
        <v/>
      </c>
      <c r="F32" s="284">
        <f>SUMIF(Pivot!$A$45:$A$84,B32,Pivot!$D$45:$D$84)/118%</f>
        <v/>
      </c>
      <c r="G32" s="284">
        <f>SUMIF(Pivot!$A$45:$A$84,B32,Pivot!$E$45:$E$84)/118%</f>
        <v/>
      </c>
      <c r="H32" s="284">
        <f>SUMIF(Pivot!$A$45:$A$84,B32,Pivot!$F$45:$F$84)/118%</f>
        <v/>
      </c>
      <c r="I32" s="284">
        <f>SUMIF(Pivot!$A$45:$A$84,B32,Pivot!$G$45:$G$84)/118%</f>
        <v/>
      </c>
      <c r="J32" s="284">
        <f>SUMIF(Pivot!$A$45:$H$84,B32,Pivot!$H$45:$H$84)/118%</f>
        <v/>
      </c>
      <c r="K32" s="282">
        <f>SUM(D32:J32)</f>
        <v/>
      </c>
    </row>
    <row r="33" ht="12.75" customHeight="1" s="253">
      <c r="A33" s="256" t="n"/>
      <c r="B33" s="267" t="inlineStr">
        <is>
          <t>6 months subscription, Quarterly upfront</t>
        </is>
      </c>
      <c r="C33" s="281" t="n"/>
      <c r="D33" s="284">
        <f>SUMIF(Pivot!$A$45:$A$84,B33,Pivot!$B$45:$B$84)/118%</f>
        <v/>
      </c>
      <c r="E33" s="284">
        <f>SUMIF(Pivot!$A$45:$A$84,B33,Pivot!$C$45:$C$84)/118%</f>
        <v/>
      </c>
      <c r="F33" s="284">
        <f>SUMIF(Pivot!$A$45:$A$84,B33,Pivot!$D$45:$D$84)/118%</f>
        <v/>
      </c>
      <c r="G33" s="284">
        <f>SUMIF(Pivot!$A$45:$A$84,B33,Pivot!$E$45:$E$84)/118%</f>
        <v/>
      </c>
      <c r="H33" s="284">
        <f>SUMIF(Pivot!$A$45:$A$84,B33,Pivot!$F$45:$F$84)/118%</f>
        <v/>
      </c>
      <c r="I33" s="284">
        <f>SUMIF(Pivot!$A$45:$A$84,B33,Pivot!$G$45:$G$84)/118%</f>
        <v/>
      </c>
      <c r="J33" s="284">
        <f>SUMIF(Pivot!$A$45:$H$84,B33,Pivot!$H$45:$H$84)/118%</f>
        <v/>
      </c>
      <c r="K33" s="282">
        <f>SUM(D33:J33)</f>
        <v/>
      </c>
    </row>
    <row r="34" ht="12.75" customHeight="1" s="253">
      <c r="A34" s="256" t="n"/>
      <c r="B34" s="267" t="inlineStr">
        <is>
          <t>8 months subscription, Monthly</t>
        </is>
      </c>
      <c r="C34" s="281" t="n"/>
      <c r="D34" s="284">
        <f>SUMIF(Pivot!$A$45:$A$84,B34,Pivot!$B$45:$B$84)/118%</f>
        <v/>
      </c>
      <c r="E34" s="284">
        <f>SUMIF(Pivot!$A$45:$A$84,B34,Pivot!$C$45:$C$84)/118%</f>
        <v/>
      </c>
      <c r="F34" s="284">
        <f>SUMIF(Pivot!$A$45:$A$84,B34,Pivot!$D$45:$D$84)/118%</f>
        <v/>
      </c>
      <c r="G34" s="284">
        <f>SUMIF(Pivot!$A$45:$A$84,B34,Pivot!$E$45:$E$84)/118%</f>
        <v/>
      </c>
      <c r="H34" s="284">
        <f>SUMIF(Pivot!$A$45:$A$84,B34,Pivot!$F$45:$F$84)/118%</f>
        <v/>
      </c>
      <c r="I34" s="284">
        <f>SUMIF(Pivot!$A$45:$A$84,B34,Pivot!$G$45:$G$84)/118%</f>
        <v/>
      </c>
      <c r="J34" s="284">
        <f>SUMIF(Pivot!$A$45:$H$84,B34,Pivot!$H$45:$H$84)/118%</f>
        <v/>
      </c>
      <c r="K34" s="282">
        <f>SUM(D34:J34)</f>
        <v/>
      </c>
    </row>
    <row r="35" ht="12.75" customHeight="1" s="253">
      <c r="A35" s="256" t="n"/>
      <c r="B35" s="267" t="inlineStr">
        <is>
          <t>8 months &amp; 23 days - Half Yearly Payment</t>
        </is>
      </c>
      <c r="C35" s="281" t="n"/>
      <c r="D35" s="284">
        <f>SUMIF(Pivot!$A$45:$A$84,B35,Pivot!$B$45:$B$84)/118%</f>
        <v/>
      </c>
      <c r="E35" s="284">
        <f>SUMIF(Pivot!$A$45:$A$84,B35,Pivot!$C$45:$C$84)/118%</f>
        <v/>
      </c>
      <c r="F35" s="284">
        <f>SUMIF(Pivot!$A$45:$A$84,B35,Pivot!$D$45:$D$84)/118%</f>
        <v/>
      </c>
      <c r="G35" s="284">
        <f>SUMIF(Pivot!$A$45:$A$84,B35,Pivot!$E$45:$E$84)/118%</f>
        <v/>
      </c>
      <c r="H35" s="284">
        <f>SUMIF(Pivot!$A$45:$A$84,B35,Pivot!$F$45:$F$84)/118%</f>
        <v/>
      </c>
      <c r="I35" s="284">
        <f>SUMIF(Pivot!$A$45:$A$84,B35,Pivot!$G$45:$G$84)/118%</f>
        <v/>
      </c>
      <c r="J35" s="284">
        <f>SUMIF(Pivot!$A$45:$H$84,B35,Pivot!$H$45:$H$84)/118%</f>
        <v/>
      </c>
      <c r="K35" s="282">
        <f>SUM(D35:J35)</f>
        <v/>
      </c>
    </row>
    <row r="36" ht="12.75" customHeight="1" s="253">
      <c r="A36" s="256" t="n"/>
      <c r="B36" s="267" t="inlineStr">
        <is>
          <t>9 months subscription, Monthly</t>
        </is>
      </c>
      <c r="C36" s="281" t="n"/>
      <c r="D36" s="284">
        <f>SUMIF(Pivot!$A$45:$A$84,B36,Pivot!$B$45:$B$84)/118%</f>
        <v/>
      </c>
      <c r="E36" s="284">
        <f>SUMIF(Pivot!$A$45:$A$84,B36,Pivot!$C$45:$C$84)/118%</f>
        <v/>
      </c>
      <c r="F36" s="284">
        <f>SUMIF(Pivot!$A$45:$A$84,B36,Pivot!$D$45:$D$84)/118%</f>
        <v/>
      </c>
      <c r="G36" s="284">
        <f>SUMIF(Pivot!$A$45:$A$84,B36,Pivot!$E$45:$E$84)/118%</f>
        <v/>
      </c>
      <c r="H36" s="284">
        <f>SUMIF(Pivot!$A$45:$A$84,B36,Pivot!$F$45:$F$84)/118%</f>
        <v/>
      </c>
      <c r="I36" s="284">
        <f>SUMIF(Pivot!$A$45:$A$84,B36,Pivot!$G$45:$G$84)/118%</f>
        <v/>
      </c>
      <c r="J36" s="284">
        <f>SUMIF(Pivot!$A$45:$H$84,B36,Pivot!$H$45:$H$84)/118%</f>
        <v/>
      </c>
      <c r="K36" s="282">
        <f>SUM(D36:J36)</f>
        <v/>
      </c>
    </row>
    <row r="37" ht="12.75" customHeight="1" s="253">
      <c r="A37" s="256" t="n"/>
      <c r="B37" s="267" t="inlineStr">
        <is>
          <t>9 months subscription, Upfront</t>
        </is>
      </c>
      <c r="C37" s="281" t="n"/>
      <c r="D37" s="284">
        <f>SUMIF(Pivot!$A$45:$A$84,B37,Pivot!$B$45:$B$84)/118%</f>
        <v/>
      </c>
      <c r="E37" s="284">
        <f>SUMIF(Pivot!$A$45:$A$84,B37,Pivot!$C$45:$C$84)/118%</f>
        <v/>
      </c>
      <c r="F37" s="284">
        <f>SUMIF(Pivot!$A$45:$A$84,B37,Pivot!$D$45:$D$84)/118%</f>
        <v/>
      </c>
      <c r="G37" s="284">
        <f>SUMIF(Pivot!$A$45:$A$84,B37,Pivot!$E$45:$E$84)/118%</f>
        <v/>
      </c>
      <c r="H37" s="284">
        <f>SUMIF(Pivot!$A$45:$A$84,B37,Pivot!$F$45:$F$84)/118%</f>
        <v/>
      </c>
      <c r="I37" s="284">
        <f>SUMIF(Pivot!$A$45:$A$84,B37,Pivot!$G$45:$G$84)/118%</f>
        <v/>
      </c>
      <c r="J37" s="284">
        <f>SUMIF(Pivot!$A$45:$H$84,B37,Pivot!$H$45:$H$84)/118%</f>
        <v/>
      </c>
      <c r="K37" s="282">
        <f>SUM(D37:J37)</f>
        <v/>
      </c>
    </row>
    <row r="38" ht="12.75" customHeight="1" s="253">
      <c r="A38" s="256" t="n"/>
      <c r="B38" s="267" t="inlineStr">
        <is>
          <t>9 months  &amp; 23 days subscription, Upfront</t>
        </is>
      </c>
      <c r="C38" s="281" t="n"/>
      <c r="D38" s="284">
        <f>SUMIF(Pivot!$A$45:$A$84,B38,Pivot!$B$45:$B$84)/118%</f>
        <v/>
      </c>
      <c r="E38" s="284">
        <f>SUMIF(Pivot!$A$45:$A$84,B38,Pivot!$C$45:$C$84)/118%</f>
        <v/>
      </c>
      <c r="F38" s="284">
        <f>SUMIF(Pivot!$A$45:$A$84,B38,Pivot!$D$45:$D$84)/118%</f>
        <v/>
      </c>
      <c r="G38" s="284">
        <f>SUMIF(Pivot!$A$45:$A$84,B38,Pivot!$E$45:$E$84)/118%</f>
        <v/>
      </c>
      <c r="H38" s="284">
        <f>SUMIF(Pivot!$A$45:$A$84,B38,Pivot!$F$45:$F$84)/118%</f>
        <v/>
      </c>
      <c r="I38" s="284">
        <f>SUMIF(Pivot!$A$45:$A$84,B38,Pivot!$G$45:$G$84)/118%</f>
        <v/>
      </c>
      <c r="J38" s="284">
        <f>SUMIF(Pivot!$A$45:$H$84,B38,Pivot!$H$45:$H$84)/118%</f>
        <v/>
      </c>
      <c r="K38" s="282">
        <f>SUM(D38:J38)</f>
        <v/>
      </c>
    </row>
    <row r="39" ht="12.75" customHeight="1" s="253">
      <c r="A39" s="256" t="n"/>
      <c r="B39" s="267" t="inlineStr">
        <is>
          <t>10 months</t>
        </is>
      </c>
      <c r="C39" s="281" t="n"/>
      <c r="D39" s="284">
        <f>SUMIF(Pivot!$A$45:$A$84,B39,Pivot!$B$45:$B$84)/118%</f>
        <v/>
      </c>
      <c r="E39" s="284">
        <f>SUMIF(Pivot!$A$45:$A$84,B39,Pivot!$C$45:$C$84)/118%</f>
        <v/>
      </c>
      <c r="F39" s="284">
        <f>SUMIF(Pivot!$A$45:$A$84,B39,Pivot!$D$45:$D$84)/118%</f>
        <v/>
      </c>
      <c r="G39" s="284">
        <f>SUMIF(Pivot!$A$45:$A$84,B39,Pivot!$E$45:$E$84)/118%</f>
        <v/>
      </c>
      <c r="H39" s="284">
        <f>SUMIF(Pivot!$A$45:$A$84,B39,Pivot!$F$45:$F$84)/118%</f>
        <v/>
      </c>
      <c r="I39" s="284">
        <f>SUMIF(Pivot!$A$45:$A$84,B39,Pivot!$G$45:$G$84)/118%</f>
        <v/>
      </c>
      <c r="J39" s="284">
        <f>SUMIF(Pivot!$A$45:$H$84,B39,Pivot!$H$45:$H$84)/118%</f>
        <v/>
      </c>
      <c r="K39" s="282">
        <f>SUM(D39:J39)</f>
        <v/>
      </c>
    </row>
    <row r="40" ht="12.75" customHeight="1" s="253">
      <c r="A40" s="256" t="n"/>
      <c r="B40" s="267" t="inlineStr">
        <is>
          <t>10 months subscription, upfront</t>
        </is>
      </c>
      <c r="C40" s="281" t="n"/>
      <c r="D40" s="284">
        <f>SUMIF(Pivot!$A$45:$A$84,B40,Pivot!$B$45:$B$84)/118%</f>
        <v/>
      </c>
      <c r="E40" s="284">
        <f>SUMIF(Pivot!$A$45:$A$84,B40,Pivot!$C$45:$C$84)/118%</f>
        <v/>
      </c>
      <c r="F40" s="284">
        <f>SUMIF(Pivot!$A$45:$A$84,B40,Pivot!$D$45:$D$84)/118%</f>
        <v/>
      </c>
      <c r="G40" s="284">
        <f>SUMIF(Pivot!$A$45:$A$84,B40,Pivot!$E$45:$E$84)/118%</f>
        <v/>
      </c>
      <c r="H40" s="284">
        <f>SUMIF(Pivot!$A$45:$A$84,B40,Pivot!$F$45:$F$84)/118%</f>
        <v/>
      </c>
      <c r="I40" s="284">
        <f>SUMIF(Pivot!$A$45:$A$84,B40,Pivot!$G$45:$G$84)/118%</f>
        <v/>
      </c>
      <c r="J40" s="284">
        <f>SUMIF(Pivot!$A$45:$H$84,B40,Pivot!$H$45:$H$84)/118%</f>
        <v/>
      </c>
      <c r="K40" s="282">
        <f>SUM(D40:J40)</f>
        <v/>
      </c>
    </row>
    <row r="41" ht="12.75" customHeight="1" s="253">
      <c r="A41" s="256" t="n"/>
      <c r="B41" s="267" t="inlineStr">
        <is>
          <t>11 months subscription, Monthly</t>
        </is>
      </c>
      <c r="C41" s="281" t="n"/>
      <c r="D41" s="284">
        <f>SUMIF(Pivot!$A$45:$A$84,B41,Pivot!$B$45:$B$84)/118%</f>
        <v/>
      </c>
      <c r="E41" s="284">
        <f>SUMIF(Pivot!$A$45:$A$84,B41,Pivot!$C$45:$C$84)/118%</f>
        <v/>
      </c>
      <c r="F41" s="284">
        <f>SUMIF(Pivot!$A$45:$A$84,B41,Pivot!$D$45:$D$84)/118%</f>
        <v/>
      </c>
      <c r="G41" s="284">
        <f>SUMIF(Pivot!$A$45:$A$84,B41,Pivot!$E$45:$E$84)/118%</f>
        <v/>
      </c>
      <c r="H41" s="284">
        <f>SUMIF(Pivot!$A$45:$A$84,B41,Pivot!$F$45:$F$84)/118%</f>
        <v/>
      </c>
      <c r="I41" s="284">
        <f>SUMIF(Pivot!$A$45:$A$84,B41,Pivot!$G$45:$G$84)/118%</f>
        <v/>
      </c>
      <c r="J41" s="284">
        <f>SUMIF(Pivot!$A$45:$H$84,B41,Pivot!$H$45:$H$84)/118%</f>
        <v/>
      </c>
      <c r="K41" s="282">
        <f>SUM(D41:J41)</f>
        <v/>
      </c>
    </row>
    <row r="42" ht="12.75" customHeight="1" s="253">
      <c r="A42" s="256" t="n"/>
      <c r="B42" s="267" t="inlineStr">
        <is>
          <t>18 month-Half Yearly Payment</t>
        </is>
      </c>
      <c r="C42" s="281" t="n"/>
      <c r="D42" s="284">
        <f>SUMIF(Pivot!$A$45:$A$84,B42,Pivot!$B$45:$B$84)/118%</f>
        <v/>
      </c>
      <c r="E42" s="284">
        <f>SUMIF(Pivot!$A$45:$A$84,B42,Pivot!$C$45:$C$84)/118%</f>
        <v/>
      </c>
      <c r="F42" s="284">
        <f>SUMIF(Pivot!$A$45:$A$84,B42,Pivot!$D$45:$D$84)/118%</f>
        <v/>
      </c>
      <c r="G42" s="284">
        <f>SUMIF(Pivot!$A$45:$A$84,B42,Pivot!$E$45:$E$84)/118%</f>
        <v/>
      </c>
      <c r="H42" s="284">
        <f>SUMIF(Pivot!$A$45:$A$84,B42,Pivot!$F$45:$F$84)/118%</f>
        <v/>
      </c>
      <c r="I42" s="284">
        <f>SUMIF(Pivot!$A$45:$A$84,B42,Pivot!$G$45:$G$84)/118%</f>
        <v/>
      </c>
      <c r="J42" s="284">
        <f>SUMIF(Pivot!$A$45:$H$84,B42,Pivot!$H$45:$H$84)/118%</f>
        <v/>
      </c>
      <c r="K42" s="282">
        <f>SUM(D42:J42)</f>
        <v/>
      </c>
    </row>
    <row r="43" ht="12.75" customHeight="1" s="253">
      <c r="A43" s="256" t="n"/>
      <c r="B43" s="267" t="inlineStr">
        <is>
          <t>Three Installments of 50k</t>
        </is>
      </c>
      <c r="C43" s="281" t="n"/>
      <c r="D43" s="284">
        <f>SUMIF(Pivot!$A$45:$A$84,B43,Pivot!$B$45:$B$84)/118%</f>
        <v/>
      </c>
      <c r="E43" s="284">
        <f>SUMIF(Pivot!$A$45:$A$84,B43,Pivot!$C$45:$C$84)/118%</f>
        <v/>
      </c>
      <c r="F43" s="284">
        <f>SUMIF(Pivot!$A$45:$A$84,B43,Pivot!$D$45:$D$84)/118%</f>
        <v/>
      </c>
      <c r="G43" s="284">
        <f>SUMIF(Pivot!$A$45:$A$84,B43,Pivot!$E$45:$E$84)/118%</f>
        <v/>
      </c>
      <c r="H43" s="284">
        <f>SUMIF(Pivot!$A$45:$A$84,B43,Pivot!$F$45:$F$84)/118%</f>
        <v/>
      </c>
      <c r="I43" s="284">
        <f>SUMIF(Pivot!$A$45:$A$84,B43,Pivot!$G$45:$G$84)/118%</f>
        <v/>
      </c>
      <c r="J43" s="284">
        <f>SUMIF(Pivot!$A$45:$H$84,B43,Pivot!$H$45:$H$84)/118%</f>
        <v/>
      </c>
      <c r="K43" s="282">
        <f>SUM(D43:J43)</f>
        <v/>
      </c>
    </row>
    <row r="44" ht="12.75" customHeight="1" s="253">
      <c r="A44" s="256" t="n"/>
      <c r="B44" s="267" t="inlineStr">
        <is>
          <t>1 year &amp; 1 months-Monthly</t>
        </is>
      </c>
      <c r="C44" s="281" t="n"/>
      <c r="D44" s="284">
        <f>SUMIF(Pivot!$A$45:$A$84,B44,Pivot!$B$45:$B$84)/118%</f>
        <v/>
      </c>
      <c r="E44" s="284">
        <f>SUMIF(Pivot!$A$45:$A$84,B44,Pivot!$C$45:$C$84)/118%</f>
        <v/>
      </c>
      <c r="F44" s="284">
        <f>SUMIF(Pivot!$A$45:$A$84,B44,Pivot!$D$45:$D$84)/118%</f>
        <v/>
      </c>
      <c r="G44" s="284">
        <f>SUMIF(Pivot!$A$45:$A$84,B44,Pivot!$E$45:$E$84)/118%</f>
        <v/>
      </c>
      <c r="H44" s="284">
        <f>SUMIF(Pivot!$A$45:$A$84,B44,Pivot!$F$45:$F$84)/118%</f>
        <v/>
      </c>
      <c r="I44" s="284">
        <f>SUMIF(Pivot!$A$45:$A$84,B44,Pivot!$G$45:$G$84)/118%</f>
        <v/>
      </c>
      <c r="J44" s="284">
        <f>SUMIF(Pivot!$A$45:$H$84,B44,Pivot!$H$45:$H$84)/118%</f>
        <v/>
      </c>
      <c r="K44" s="282">
        <f>SUM(D44:J44)</f>
        <v/>
      </c>
    </row>
    <row r="45" ht="12.75" customHeight="1" s="253">
      <c r="A45" s="256" t="n"/>
      <c r="B45" s="267" t="inlineStr">
        <is>
          <t>1year &amp; 6 months - Half Yearly Payment</t>
        </is>
      </c>
      <c r="C45" s="281" t="n"/>
      <c r="D45" s="284">
        <f>SUMIF(Pivot!$A$45:$A$84,B45,Pivot!$B$45:$B$84)/118%</f>
        <v/>
      </c>
      <c r="E45" s="284">
        <f>SUMIF(Pivot!$A$45:$A$84,B45,Pivot!$C$45:$C$84)/118%</f>
        <v/>
      </c>
      <c r="F45" s="284">
        <f>SUMIF(Pivot!$A$45:$A$84,B45,Pivot!$D$45:$D$84)/118%</f>
        <v/>
      </c>
      <c r="G45" s="284">
        <f>SUMIF(Pivot!$A$45:$A$84,B45,Pivot!$E$45:$E$84)/118%</f>
        <v/>
      </c>
      <c r="H45" s="284">
        <f>SUMIF(Pivot!$A$45:$A$84,B45,Pivot!$F$45:$F$84)/118%</f>
        <v/>
      </c>
      <c r="I45" s="284">
        <f>SUMIF(Pivot!$A$45:$A$84,B45,Pivot!$G$45:$G$84)/118%</f>
        <v/>
      </c>
      <c r="J45" s="284">
        <f>SUMIF(Pivot!$A$45:$H$84,B45,Pivot!$H$45:$H$84)/118%</f>
        <v/>
      </c>
      <c r="K45" s="282">
        <f>SUM(D45:J45)</f>
        <v/>
      </c>
    </row>
    <row r="46" ht="12.75" customHeight="1" s="253">
      <c r="A46" s="256" t="n"/>
      <c r="B46" s="267" t="n"/>
      <c r="C46" s="281" t="n"/>
      <c r="D46" s="286" t="n"/>
      <c r="E46" s="264" t="n"/>
      <c r="F46" s="264" t="n"/>
      <c r="G46" s="264" t="n"/>
      <c r="H46" s="264" t="n"/>
      <c r="I46" s="264" t="n"/>
      <c r="J46" s="264" t="n"/>
      <c r="K46" s="282" t="n"/>
    </row>
    <row r="47" ht="12.75" customHeight="1" s="253">
      <c r="A47" s="256" t="n"/>
      <c r="B47" s="264" t="inlineStr">
        <is>
          <t>Monthly Revenue from B2C subscribers (B)</t>
        </is>
      </c>
      <c r="C47" s="281" t="n"/>
      <c r="D47" s="282">
        <f>'MR-AR'!C48</f>
        <v/>
      </c>
      <c r="E47" s="282">
        <f>'MR-AR'!D48</f>
        <v/>
      </c>
      <c r="F47" s="282">
        <f>'MR-AR'!E48</f>
        <v/>
      </c>
      <c r="G47" s="282">
        <f>Invoices!M16</f>
        <v/>
      </c>
      <c r="H47" s="282">
        <f>Invoices!M17</f>
        <v/>
      </c>
      <c r="I47" s="282">
        <f>Invoices!M18</f>
        <v/>
      </c>
      <c r="J47" s="282">
        <f>Invoices!M20</f>
        <v/>
      </c>
      <c r="K47" s="282">
        <f>SUM(D47:J47)</f>
        <v/>
      </c>
    </row>
    <row r="48" ht="12.75" customHeight="1" s="253">
      <c r="A48" s="256" t="n"/>
      <c r="B48" s="264" t="n"/>
      <c r="C48" s="281" t="n"/>
      <c r="D48" s="282" t="n"/>
      <c r="E48" s="282" t="n"/>
      <c r="F48" s="282" t="n"/>
      <c r="G48" s="282" t="n"/>
      <c r="H48" s="282" t="n"/>
      <c r="I48" s="282" t="n"/>
      <c r="J48" s="282" t="n"/>
      <c r="K48" s="287" t="n"/>
    </row>
    <row r="49" ht="12.75" customHeight="1" s="253">
      <c r="A49" s="256" t="n"/>
      <c r="B49" s="264" t="inlineStr">
        <is>
          <t>Monthly Revenue from B2B and B2C  C=A+B</t>
        </is>
      </c>
      <c r="C49" s="281" t="n"/>
      <c r="D49" s="282">
        <f>D6+D47</f>
        <v/>
      </c>
      <c r="E49" s="282">
        <f>E6+E47</f>
        <v/>
      </c>
      <c r="F49" s="282">
        <f>F6+F47</f>
        <v/>
      </c>
      <c r="G49" s="282">
        <f>G6+G47</f>
        <v/>
      </c>
      <c r="H49" s="282">
        <f>H6+H47</f>
        <v/>
      </c>
      <c r="I49" s="282">
        <f>I6+I47</f>
        <v/>
      </c>
      <c r="J49" s="282">
        <f>J6+J47</f>
        <v/>
      </c>
      <c r="K49" s="282">
        <f>SUM(D49:J49)</f>
        <v/>
      </c>
    </row>
    <row r="50" ht="12.75" customHeight="1" s="253">
      <c r="A50" s="256" t="n"/>
      <c r="B50" s="288" t="n"/>
      <c r="C50" s="289" t="n"/>
      <c r="D50" s="288" t="n"/>
      <c r="E50" s="288" t="n"/>
      <c r="F50" s="288" t="n"/>
      <c r="G50" s="288" t="n"/>
      <c r="H50" s="288" t="n"/>
      <c r="I50" s="288" t="n"/>
      <c r="J50" s="288" t="n"/>
      <c r="K50" s="290" t="n"/>
    </row>
    <row r="51" ht="14.25" customHeight="1" s="253">
      <c r="A51" s="256" t="n"/>
      <c r="B51" s="256" t="n"/>
      <c r="C51" s="256" t="n"/>
      <c r="D51" s="291" t="n"/>
      <c r="E51" s="291" t="n"/>
      <c r="F51" s="291" t="n"/>
      <c r="G51" s="291" t="n"/>
      <c r="H51" s="256" t="n"/>
      <c r="I51" s="256" t="n"/>
      <c r="J51" s="256" t="n"/>
      <c r="K51" s="256" t="n"/>
    </row>
    <row r="52" ht="14.25" customHeight="1" s="253">
      <c r="A52" s="256" t="n"/>
      <c r="B52" s="256" t="n"/>
      <c r="C52" s="256" t="n"/>
      <c r="D52" s="291" t="n"/>
      <c r="E52" s="291" t="n"/>
      <c r="F52" s="291" t="n"/>
      <c r="G52" s="291" t="n"/>
      <c r="H52" s="291" t="n"/>
      <c r="I52" s="291" t="n"/>
      <c r="J52" s="291" t="n"/>
      <c r="K52" s="256" t="n"/>
    </row>
    <row r="53" ht="14.25" customHeight="1" s="253">
      <c r="A53" s="256" t="n"/>
      <c r="B53" s="272" t="n"/>
      <c r="C53" s="272" t="n"/>
      <c r="D53" s="292" t="n"/>
      <c r="E53" s="292" t="n"/>
      <c r="F53" s="293" t="n"/>
      <c r="G53" s="293" t="n"/>
      <c r="H53" s="293" t="n"/>
      <c r="I53" s="293" t="n"/>
      <c r="J53" s="293" t="n"/>
      <c r="K53" s="294" t="n"/>
    </row>
    <row r="54" ht="12.75" customHeight="1" s="253">
      <c r="A54" s="256" t="n"/>
      <c r="B54" s="256" t="n"/>
      <c r="C54" s="256" t="n"/>
      <c r="D54" s="291" t="n"/>
      <c r="E54" s="295" t="n"/>
      <c r="F54" s="256" t="n"/>
      <c r="G54" s="256" t="n"/>
      <c r="H54" s="256" t="n"/>
      <c r="I54" s="256" t="n"/>
      <c r="J54" s="256" t="n"/>
      <c r="K54" s="295" t="n"/>
    </row>
    <row r="55" ht="12.75" customHeight="1" s="253">
      <c r="A55" s="256" t="n"/>
      <c r="B55" s="256" t="n"/>
      <c r="C55" s="256" t="n"/>
      <c r="D55" s="295" t="n"/>
      <c r="E55" s="295" t="n"/>
      <c r="F55" s="296" t="n"/>
      <c r="G55" s="256" t="n"/>
      <c r="H55" s="256" t="n"/>
      <c r="I55" s="256" t="n"/>
      <c r="J55" s="256" t="n"/>
      <c r="K55" s="295" t="n"/>
    </row>
    <row r="56" ht="12.75" customHeight="1" s="253">
      <c r="A56" s="256" t="n"/>
      <c r="B56" s="256" t="n"/>
      <c r="C56" s="256" t="n"/>
      <c r="D56" s="256" t="n"/>
      <c r="E56" s="256" t="n"/>
      <c r="F56" s="256" t="n"/>
      <c r="G56" s="256" t="n"/>
      <c r="H56" s="256" t="n"/>
      <c r="I56" s="256" t="n"/>
      <c r="J56" s="256" t="n"/>
      <c r="K56" s="295" t="n"/>
    </row>
    <row r="57" ht="12.75" customHeight="1" s="253">
      <c r="A57" s="256" t="n"/>
      <c r="B57" s="256" t="n"/>
      <c r="C57" s="256" t="n"/>
      <c r="D57" s="256" t="n"/>
      <c r="E57" s="256" t="n"/>
      <c r="F57" s="256" t="n"/>
      <c r="G57" s="256" t="n"/>
      <c r="H57" s="256" t="n"/>
      <c r="I57" s="256" t="n"/>
      <c r="J57" s="256" t="n"/>
      <c r="K57" s="256" t="n"/>
    </row>
    <row r="58" ht="12.75" customHeight="1" s="253">
      <c r="A58" s="256" t="n"/>
      <c r="B58" s="256" t="n"/>
      <c r="C58" s="256" t="n"/>
      <c r="D58" s="256" t="n"/>
      <c r="E58" s="256" t="n"/>
      <c r="F58" s="256" t="n"/>
      <c r="G58" s="256" t="n"/>
      <c r="H58" s="256" t="n"/>
      <c r="I58" s="256" t="n"/>
      <c r="J58" s="256" t="n"/>
      <c r="K58" s="256" t="n"/>
    </row>
    <row r="59" ht="12.75" customHeight="1" s="253">
      <c r="A59" s="256" t="n"/>
      <c r="B59" s="256" t="n"/>
      <c r="C59" s="256" t="n"/>
      <c r="D59" s="256" t="n"/>
      <c r="E59" s="256" t="n"/>
      <c r="F59" s="256" t="n"/>
      <c r="G59" s="256" t="n"/>
      <c r="H59" s="256" t="n"/>
      <c r="I59" s="256" t="n"/>
      <c r="J59" s="256" t="n"/>
      <c r="K59" s="256" t="n"/>
    </row>
    <row r="60" ht="12.75" customHeight="1" s="253">
      <c r="A60" s="256" t="n"/>
      <c r="B60" s="256" t="n"/>
      <c r="C60" s="256" t="n"/>
      <c r="D60" s="256" t="n"/>
      <c r="E60" s="256" t="n"/>
      <c r="F60" s="256" t="n"/>
      <c r="G60" s="256" t="n"/>
      <c r="H60" s="256" t="n"/>
      <c r="I60" s="256" t="n"/>
      <c r="J60" s="256" t="n"/>
      <c r="K60" s="256" t="n"/>
    </row>
    <row r="61" ht="12.75" customHeight="1" s="253">
      <c r="A61" s="256" t="n"/>
      <c r="B61" s="256" t="n"/>
      <c r="C61" s="256" t="n"/>
      <c r="D61" s="256" t="n"/>
      <c r="E61" s="256" t="n"/>
      <c r="F61" s="256" t="n"/>
      <c r="G61" s="256" t="n"/>
      <c r="H61" s="256" t="n"/>
      <c r="I61" s="256" t="n"/>
      <c r="J61" s="256" t="n"/>
      <c r="K61" s="256" t="n"/>
    </row>
    <row r="62" ht="12.75" customHeight="1" s="253">
      <c r="A62" s="256" t="n"/>
      <c r="B62" s="256" t="n"/>
      <c r="C62" s="256" t="n"/>
      <c r="D62" s="256" t="n"/>
      <c r="E62" s="256" t="n"/>
      <c r="F62" s="256" t="n"/>
      <c r="G62" s="256" t="n"/>
      <c r="H62" s="256" t="n"/>
      <c r="I62" s="256" t="n"/>
      <c r="J62" s="256" t="n"/>
      <c r="K62" s="256" t="n"/>
    </row>
    <row r="63" ht="12.75" customHeight="1" s="253">
      <c r="A63" s="256" t="n"/>
      <c r="B63" s="256" t="n"/>
      <c r="C63" s="256" t="n"/>
      <c r="D63" s="256" t="n"/>
      <c r="E63" s="256" t="n"/>
      <c r="F63" s="256" t="n"/>
      <c r="G63" s="256" t="n"/>
      <c r="H63" s="256" t="n"/>
      <c r="I63" s="256" t="n"/>
      <c r="J63" s="256" t="n"/>
      <c r="K63" s="256" t="n"/>
    </row>
    <row r="64" ht="12.75" customHeight="1" s="253">
      <c r="A64" s="256" t="n"/>
      <c r="B64" s="256" t="n"/>
      <c r="C64" s="256" t="n"/>
      <c r="D64" s="256" t="n"/>
      <c r="E64" s="256" t="n"/>
      <c r="F64" s="256" t="n"/>
      <c r="G64" s="256" t="n"/>
      <c r="H64" s="256" t="n"/>
      <c r="I64" s="256" t="n"/>
      <c r="J64" s="256" t="n"/>
      <c r="K64" s="256" t="n"/>
    </row>
    <row r="65" ht="12.75" customHeight="1" s="253">
      <c r="A65" s="256" t="n"/>
      <c r="B65" s="256" t="n"/>
      <c r="C65" s="256" t="n"/>
      <c r="D65" s="256" t="n"/>
      <c r="E65" s="256" t="n"/>
      <c r="F65" s="256" t="n"/>
      <c r="G65" s="256" t="n"/>
      <c r="H65" s="256" t="n"/>
      <c r="I65" s="256" t="n"/>
      <c r="J65" s="256" t="n"/>
      <c r="K65" s="256" t="n"/>
    </row>
    <row r="66" ht="12.75" customHeight="1" s="253">
      <c r="A66" s="256" t="n"/>
      <c r="B66" s="256" t="n"/>
      <c r="C66" s="256" t="n"/>
      <c r="D66" s="256" t="n"/>
      <c r="E66" s="256" t="n"/>
      <c r="F66" s="256" t="n"/>
      <c r="G66" s="256" t="n"/>
      <c r="H66" s="256" t="n"/>
      <c r="I66" s="256" t="n"/>
      <c r="J66" s="256" t="n"/>
      <c r="K66" s="256" t="n"/>
    </row>
    <row r="67" ht="12.75" customHeight="1" s="253">
      <c r="A67" s="256" t="n"/>
      <c r="B67" s="256" t="n"/>
      <c r="C67" s="256" t="n"/>
      <c r="D67" s="256" t="n"/>
      <c r="E67" s="256" t="n"/>
      <c r="F67" s="256" t="n"/>
      <c r="G67" s="256" t="n"/>
      <c r="H67" s="256" t="n"/>
      <c r="I67" s="256" t="n"/>
      <c r="J67" s="256" t="n"/>
      <c r="K67" s="256" t="n"/>
    </row>
    <row r="68" ht="12.75" customHeight="1" s="253">
      <c r="A68" s="256" t="n"/>
      <c r="B68" s="256" t="n"/>
      <c r="C68" s="256" t="n"/>
      <c r="D68" s="256" t="n"/>
      <c r="E68" s="256" t="n"/>
      <c r="F68" s="256" t="n"/>
      <c r="G68" s="256" t="n"/>
      <c r="H68" s="256" t="n"/>
      <c r="I68" s="256" t="n"/>
      <c r="J68" s="256" t="n"/>
      <c r="K68" s="256" t="n"/>
    </row>
    <row r="69" ht="12.75" customHeight="1" s="253">
      <c r="A69" s="256" t="n"/>
      <c r="B69" s="256" t="n"/>
      <c r="C69" s="256" t="n"/>
      <c r="D69" s="256" t="n"/>
      <c r="E69" s="256" t="n"/>
      <c r="F69" s="256" t="n"/>
      <c r="G69" s="256" t="n"/>
      <c r="H69" s="256" t="n"/>
      <c r="I69" s="256" t="n"/>
      <c r="J69" s="256" t="n"/>
      <c r="K69" s="256" t="n"/>
    </row>
    <row r="70" ht="12.75" customHeight="1" s="253">
      <c r="A70" s="256" t="n"/>
      <c r="B70" s="256" t="n"/>
      <c r="C70" s="256" t="n"/>
      <c r="D70" s="256" t="n"/>
      <c r="E70" s="256" t="n"/>
      <c r="F70" s="256" t="n"/>
      <c r="G70" s="256" t="n"/>
      <c r="H70" s="256" t="n"/>
      <c r="I70" s="256" t="n"/>
      <c r="J70" s="256" t="n"/>
      <c r="K70" s="256" t="n"/>
    </row>
    <row r="71" ht="12.75" customHeight="1" s="253">
      <c r="A71" s="256" t="n"/>
      <c r="B71" s="256" t="n"/>
      <c r="C71" s="256" t="n"/>
      <c r="D71" s="256" t="n"/>
      <c r="E71" s="256" t="n"/>
      <c r="F71" s="256" t="n"/>
      <c r="G71" s="256" t="n"/>
      <c r="H71" s="256" t="n"/>
      <c r="I71" s="256" t="n"/>
      <c r="J71" s="256" t="n"/>
      <c r="K71" s="256" t="n"/>
    </row>
    <row r="72" ht="12.75" customHeight="1" s="253">
      <c r="A72" s="256" t="n"/>
      <c r="B72" s="256" t="n"/>
      <c r="C72" s="256" t="n"/>
      <c r="D72" s="256" t="n"/>
      <c r="E72" s="256" t="n"/>
      <c r="F72" s="256" t="n"/>
      <c r="G72" s="256" t="n"/>
      <c r="H72" s="256" t="n"/>
      <c r="I72" s="256" t="n"/>
      <c r="J72" s="256" t="n"/>
      <c r="K72" s="256" t="n"/>
    </row>
    <row r="73" ht="12.75" customHeight="1" s="253">
      <c r="A73" s="256" t="n"/>
      <c r="B73" s="256" t="n"/>
      <c r="C73" s="256" t="n"/>
      <c r="D73" s="256" t="n"/>
      <c r="E73" s="256" t="n"/>
      <c r="F73" s="256" t="n"/>
      <c r="G73" s="256" t="n"/>
      <c r="H73" s="256" t="n"/>
      <c r="I73" s="256" t="n"/>
      <c r="J73" s="256" t="n"/>
      <c r="K73" s="256" t="n"/>
    </row>
    <row r="74" ht="12.75" customHeight="1" s="253">
      <c r="A74" s="256" t="n"/>
      <c r="B74" s="256" t="n"/>
      <c r="C74" s="256" t="n"/>
      <c r="D74" s="256" t="n"/>
      <c r="E74" s="256" t="n"/>
      <c r="F74" s="256" t="n"/>
      <c r="G74" s="256" t="n"/>
      <c r="H74" s="256" t="n"/>
      <c r="I74" s="256" t="n"/>
      <c r="J74" s="256" t="n"/>
      <c r="K74" s="256" t="n"/>
    </row>
    <row r="75" ht="12.75" customHeight="1" s="253">
      <c r="A75" s="256" t="n"/>
      <c r="B75" s="256" t="n"/>
      <c r="C75" s="256" t="n"/>
      <c r="D75" s="256" t="n"/>
      <c r="E75" s="256" t="n"/>
      <c r="F75" s="256" t="n"/>
      <c r="G75" s="256" t="n"/>
      <c r="H75" s="256" t="n"/>
      <c r="I75" s="256" t="n"/>
      <c r="J75" s="256" t="n"/>
      <c r="K75" s="256" t="n"/>
    </row>
    <row r="76" ht="12.75" customHeight="1" s="253">
      <c r="A76" s="256" t="n"/>
      <c r="B76" s="256" t="n"/>
      <c r="C76" s="256" t="n"/>
      <c r="D76" s="256" t="n"/>
      <c r="E76" s="256" t="n"/>
      <c r="F76" s="256" t="n"/>
      <c r="G76" s="256" t="n"/>
      <c r="H76" s="256" t="n"/>
      <c r="I76" s="256" t="n"/>
      <c r="J76" s="256" t="n"/>
      <c r="K76" s="256" t="n"/>
    </row>
    <row r="77" ht="12.75" customHeight="1" s="253">
      <c r="A77" s="256" t="n"/>
      <c r="B77" s="256" t="n"/>
      <c r="C77" s="256" t="n"/>
      <c r="D77" s="256" t="n"/>
      <c r="E77" s="256" t="n"/>
      <c r="F77" s="256" t="n"/>
      <c r="G77" s="256" t="n"/>
      <c r="H77" s="256" t="n"/>
      <c r="I77" s="256" t="n"/>
      <c r="J77" s="256" t="n"/>
      <c r="K77" s="256" t="n"/>
    </row>
    <row r="78" ht="12.75" customHeight="1" s="253">
      <c r="A78" s="256" t="n"/>
      <c r="B78" s="256" t="n"/>
      <c r="C78" s="256" t="n"/>
      <c r="D78" s="256" t="n"/>
      <c r="E78" s="256" t="n"/>
      <c r="F78" s="256" t="n"/>
      <c r="G78" s="256" t="n"/>
      <c r="H78" s="256" t="n"/>
      <c r="I78" s="256" t="n"/>
      <c r="J78" s="256" t="n"/>
      <c r="K78" s="256" t="n"/>
    </row>
    <row r="79" ht="12.75" customHeight="1" s="253">
      <c r="A79" s="256" t="n"/>
      <c r="B79" s="256" t="n"/>
      <c r="C79" s="256" t="n"/>
      <c r="D79" s="256" t="n"/>
      <c r="E79" s="256" t="n"/>
      <c r="F79" s="256" t="n"/>
      <c r="G79" s="256" t="n"/>
      <c r="H79" s="256" t="n"/>
      <c r="I79" s="256" t="n"/>
      <c r="J79" s="256" t="n"/>
      <c r="K79" s="256" t="n"/>
    </row>
    <row r="80" ht="12.75" customHeight="1" s="253">
      <c r="A80" s="256" t="n"/>
      <c r="B80" s="256" t="n"/>
      <c r="C80" s="256" t="n"/>
      <c r="D80" s="256" t="n"/>
      <c r="E80" s="256" t="n"/>
      <c r="F80" s="256" t="n"/>
      <c r="G80" s="256" t="n"/>
      <c r="H80" s="256" t="n"/>
      <c r="I80" s="256" t="n"/>
      <c r="J80" s="256" t="n"/>
      <c r="K80" s="256" t="n"/>
    </row>
    <row r="81" ht="12.75" customHeight="1" s="253">
      <c r="A81" s="256" t="n"/>
      <c r="B81" s="256" t="n"/>
      <c r="C81" s="256" t="n"/>
      <c r="D81" s="256" t="n"/>
      <c r="E81" s="256" t="n"/>
      <c r="F81" s="256" t="n"/>
      <c r="G81" s="256" t="n"/>
      <c r="H81" s="256" t="n"/>
      <c r="I81" s="256" t="n"/>
      <c r="J81" s="256" t="n"/>
      <c r="K81" s="256" t="n"/>
    </row>
    <row r="82" ht="12.75" customHeight="1" s="253">
      <c r="A82" s="256" t="n"/>
      <c r="B82" s="256" t="n"/>
      <c r="C82" s="256" t="n"/>
      <c r="D82" s="256" t="n"/>
      <c r="E82" s="256" t="n"/>
      <c r="F82" s="256" t="n"/>
      <c r="G82" s="256" t="n"/>
      <c r="H82" s="256" t="n"/>
      <c r="I82" s="256" t="n"/>
      <c r="J82" s="256" t="n"/>
      <c r="K82" s="256" t="n"/>
    </row>
    <row r="83" ht="12.75" customHeight="1" s="253">
      <c r="A83" s="256" t="n"/>
      <c r="B83" s="256" t="n"/>
      <c r="C83" s="256" t="n"/>
      <c r="D83" s="256" t="n"/>
      <c r="E83" s="256" t="n"/>
      <c r="F83" s="256" t="n"/>
      <c r="G83" s="256" t="n"/>
      <c r="H83" s="256" t="n"/>
      <c r="I83" s="256" t="n"/>
      <c r="J83" s="256" t="n"/>
      <c r="K83" s="256" t="n"/>
    </row>
    <row r="84" ht="12.75" customHeight="1" s="253">
      <c r="A84" s="256" t="n"/>
      <c r="B84" s="256" t="n"/>
      <c r="C84" s="256" t="n"/>
      <c r="D84" s="256" t="n"/>
      <c r="E84" s="256" t="n"/>
      <c r="F84" s="256" t="n"/>
      <c r="G84" s="256" t="n"/>
      <c r="H84" s="256" t="n"/>
      <c r="I84" s="256" t="n"/>
      <c r="J84" s="256" t="n"/>
      <c r="K84" s="256" t="n"/>
    </row>
    <row r="85" ht="12.75" customHeight="1" s="253">
      <c r="A85" s="256" t="n"/>
      <c r="B85" s="256" t="n"/>
      <c r="C85" s="256" t="n"/>
      <c r="D85" s="256" t="n"/>
      <c r="E85" s="256" t="n"/>
      <c r="F85" s="256" t="n"/>
      <c r="G85" s="256" t="n"/>
      <c r="H85" s="256" t="n"/>
      <c r="I85" s="256" t="n"/>
      <c r="J85" s="256" t="n"/>
      <c r="K85" s="256" t="n"/>
    </row>
    <row r="86" ht="12.75" customHeight="1" s="253">
      <c r="A86" s="256" t="n"/>
      <c r="B86" s="256" t="n"/>
      <c r="C86" s="256" t="n"/>
      <c r="D86" s="256" t="n"/>
      <c r="E86" s="256" t="n"/>
      <c r="F86" s="256" t="n"/>
      <c r="G86" s="256" t="n"/>
      <c r="H86" s="256" t="n"/>
      <c r="I86" s="256" t="n"/>
      <c r="J86" s="256" t="n"/>
      <c r="K86" s="256" t="n"/>
    </row>
    <row r="87" ht="12.75" customHeight="1" s="253">
      <c r="A87" s="256" t="n"/>
      <c r="B87" s="256" t="n"/>
      <c r="C87" s="256" t="n"/>
      <c r="D87" s="256" t="n"/>
      <c r="E87" s="256" t="n"/>
      <c r="F87" s="256" t="n"/>
      <c r="G87" s="256" t="n"/>
      <c r="H87" s="256" t="n"/>
      <c r="I87" s="256" t="n"/>
      <c r="J87" s="256" t="n"/>
      <c r="K87" s="256" t="n"/>
    </row>
    <row r="88" ht="12.75" customHeight="1" s="253">
      <c r="A88" s="256" t="n"/>
      <c r="B88" s="256" t="n"/>
      <c r="C88" s="256" t="n"/>
      <c r="D88" s="256" t="n"/>
      <c r="E88" s="256" t="n"/>
      <c r="F88" s="256" t="n"/>
      <c r="G88" s="256" t="n"/>
      <c r="H88" s="256" t="n"/>
      <c r="I88" s="256" t="n"/>
      <c r="J88" s="256" t="n"/>
      <c r="K88" s="256" t="n"/>
    </row>
    <row r="89" ht="12.75" customHeight="1" s="253">
      <c r="A89" s="256" t="n"/>
      <c r="B89" s="256" t="n"/>
      <c r="C89" s="256" t="n"/>
      <c r="D89" s="256" t="n"/>
      <c r="E89" s="256" t="n"/>
      <c r="F89" s="256" t="n"/>
      <c r="G89" s="256" t="n"/>
      <c r="H89" s="256" t="n"/>
      <c r="I89" s="256" t="n"/>
      <c r="J89" s="256" t="n"/>
      <c r="K89" s="256" t="n"/>
    </row>
    <row r="90" ht="12.75" customHeight="1" s="253">
      <c r="A90" s="256" t="n"/>
      <c r="B90" s="256" t="n"/>
      <c r="C90" s="256" t="n"/>
      <c r="D90" s="256" t="n"/>
      <c r="E90" s="256" t="n"/>
      <c r="F90" s="256" t="n"/>
      <c r="G90" s="256" t="n"/>
      <c r="H90" s="256" t="n"/>
      <c r="I90" s="256" t="n"/>
      <c r="J90" s="256" t="n"/>
      <c r="K90" s="256" t="n"/>
    </row>
    <row r="91" ht="12.75" customHeight="1" s="253">
      <c r="A91" s="256" t="n"/>
      <c r="B91" s="256" t="n"/>
      <c r="C91" s="256" t="n"/>
      <c r="D91" s="256" t="n"/>
      <c r="E91" s="256" t="n"/>
      <c r="F91" s="256" t="n"/>
      <c r="G91" s="256" t="n"/>
      <c r="H91" s="256" t="n"/>
      <c r="I91" s="256" t="n"/>
      <c r="J91" s="256" t="n"/>
      <c r="K91" s="256" t="n"/>
    </row>
    <row r="92" ht="12.75" customHeight="1" s="253">
      <c r="A92" s="256" t="n"/>
      <c r="B92" s="256" t="n"/>
      <c r="C92" s="256" t="n"/>
      <c r="D92" s="256" t="n"/>
      <c r="E92" s="256" t="n"/>
      <c r="F92" s="256" t="n"/>
      <c r="G92" s="256" t="n"/>
      <c r="H92" s="256" t="n"/>
      <c r="I92" s="256" t="n"/>
      <c r="J92" s="256" t="n"/>
      <c r="K92" s="256" t="n"/>
    </row>
    <row r="93" ht="12.75" customHeight="1" s="253">
      <c r="A93" s="256" t="n"/>
      <c r="B93" s="256" t="n"/>
      <c r="C93" s="256" t="n"/>
      <c r="D93" s="256" t="n"/>
      <c r="E93" s="256" t="n"/>
      <c r="F93" s="256" t="n"/>
      <c r="G93" s="256" t="n"/>
      <c r="H93" s="256" t="n"/>
      <c r="I93" s="256" t="n"/>
      <c r="J93" s="256" t="n"/>
      <c r="K93" s="256" t="n"/>
    </row>
    <row r="94" ht="12.75" customHeight="1" s="253">
      <c r="A94" s="256" t="n"/>
      <c r="B94" s="256" t="n"/>
      <c r="C94" s="256" t="n"/>
      <c r="D94" s="256" t="n"/>
      <c r="E94" s="256" t="n"/>
      <c r="F94" s="256" t="n"/>
      <c r="G94" s="256" t="n"/>
      <c r="H94" s="256" t="n"/>
      <c r="I94" s="256" t="n"/>
      <c r="J94" s="256" t="n"/>
      <c r="K94" s="256" t="n"/>
    </row>
    <row r="95" ht="12.75" customHeight="1" s="253">
      <c r="A95" s="256" t="n"/>
      <c r="B95" s="256" t="n"/>
      <c r="C95" s="256" t="n"/>
      <c r="D95" s="256" t="n"/>
      <c r="E95" s="256" t="n"/>
      <c r="F95" s="256" t="n"/>
      <c r="G95" s="256" t="n"/>
      <c r="H95" s="256" t="n"/>
      <c r="I95" s="256" t="n"/>
      <c r="J95" s="256" t="n"/>
      <c r="K95" s="256" t="n"/>
    </row>
    <row r="96" ht="12.75" customHeight="1" s="253">
      <c r="A96" s="256" t="n"/>
      <c r="B96" s="256" t="n"/>
      <c r="C96" s="256" t="n"/>
      <c r="D96" s="256" t="n"/>
      <c r="E96" s="256" t="n"/>
      <c r="F96" s="256" t="n"/>
      <c r="G96" s="256" t="n"/>
      <c r="H96" s="256" t="n"/>
      <c r="I96" s="256" t="n"/>
      <c r="J96" s="256" t="n"/>
      <c r="K96" s="256" t="n"/>
    </row>
    <row r="97" ht="12.75" customHeight="1" s="253">
      <c r="A97" s="256" t="n"/>
      <c r="B97" s="256" t="n"/>
      <c r="C97" s="256" t="n"/>
      <c r="D97" s="256" t="n"/>
      <c r="E97" s="256" t="n"/>
      <c r="F97" s="256" t="n"/>
      <c r="G97" s="256" t="n"/>
      <c r="H97" s="256" t="n"/>
      <c r="I97" s="256" t="n"/>
      <c r="J97" s="256" t="n"/>
      <c r="K97" s="256" t="n"/>
    </row>
    <row r="98" ht="12.75" customHeight="1" s="253">
      <c r="A98" s="256" t="n"/>
      <c r="B98" s="256" t="n"/>
      <c r="C98" s="256" t="n"/>
      <c r="D98" s="256" t="n"/>
      <c r="E98" s="256" t="n"/>
      <c r="F98" s="256" t="n"/>
      <c r="G98" s="256" t="n"/>
      <c r="H98" s="256" t="n"/>
      <c r="I98" s="256" t="n"/>
      <c r="J98" s="256" t="n"/>
      <c r="K98" s="256" t="n"/>
    </row>
    <row r="99" ht="12.75" customHeight="1" s="253">
      <c r="A99" s="256" t="n"/>
      <c r="B99" s="256" t="n"/>
      <c r="C99" s="256" t="n"/>
      <c r="D99" s="256" t="n"/>
      <c r="E99" s="256" t="n"/>
      <c r="F99" s="256" t="n"/>
      <c r="G99" s="256" t="n"/>
      <c r="H99" s="256" t="n"/>
      <c r="I99" s="256" t="n"/>
      <c r="J99" s="256" t="n"/>
      <c r="K99" s="256" t="n"/>
    </row>
    <row r="100" ht="12.75" customHeight="1" s="253">
      <c r="A100" s="256" t="n"/>
      <c r="B100" s="256" t="n"/>
      <c r="C100" s="256" t="n"/>
      <c r="D100" s="256" t="n"/>
      <c r="E100" s="256" t="n"/>
      <c r="F100" s="256" t="n"/>
      <c r="G100" s="256" t="n"/>
      <c r="H100" s="256" t="n"/>
      <c r="I100" s="256" t="n"/>
      <c r="J100" s="256" t="n"/>
      <c r="K100" s="256" t="n"/>
    </row>
    <row r="101" ht="12.75" customHeight="1" s="253">
      <c r="A101" s="256" t="n"/>
      <c r="B101" s="256" t="n"/>
      <c r="C101" s="256" t="n"/>
      <c r="D101" s="256" t="n"/>
      <c r="E101" s="256" t="n"/>
      <c r="F101" s="256" t="n"/>
      <c r="G101" s="256" t="n"/>
      <c r="H101" s="256" t="n"/>
      <c r="I101" s="256" t="n"/>
      <c r="J101" s="256" t="n"/>
      <c r="K101" s="256" t="n"/>
    </row>
    <row r="102" ht="12.75" customHeight="1" s="253">
      <c r="A102" s="256" t="n"/>
      <c r="B102" s="256" t="n"/>
      <c r="C102" s="256" t="n"/>
      <c r="D102" s="256" t="n"/>
      <c r="E102" s="256" t="n"/>
      <c r="F102" s="256" t="n"/>
      <c r="G102" s="256" t="n"/>
      <c r="H102" s="256" t="n"/>
      <c r="I102" s="256" t="n"/>
      <c r="J102" s="256" t="n"/>
      <c r="K102" s="256" t="n"/>
    </row>
    <row r="103" ht="12.75" customHeight="1" s="253">
      <c r="A103" s="256" t="n"/>
      <c r="B103" s="256" t="n"/>
      <c r="C103" s="256" t="n"/>
      <c r="D103" s="256" t="n"/>
      <c r="E103" s="256" t="n"/>
      <c r="F103" s="256" t="n"/>
      <c r="G103" s="256" t="n"/>
      <c r="H103" s="256" t="n"/>
      <c r="I103" s="256" t="n"/>
      <c r="J103" s="256" t="n"/>
      <c r="K103" s="256" t="n"/>
    </row>
    <row r="104" ht="12.75" customHeight="1" s="253">
      <c r="A104" s="256" t="n"/>
      <c r="B104" s="256" t="n"/>
      <c r="C104" s="256" t="n"/>
      <c r="D104" s="256" t="n"/>
      <c r="E104" s="256" t="n"/>
      <c r="F104" s="256" t="n"/>
      <c r="G104" s="256" t="n"/>
      <c r="H104" s="256" t="n"/>
      <c r="I104" s="256" t="n"/>
      <c r="J104" s="256" t="n"/>
      <c r="K104" s="256" t="n"/>
    </row>
    <row r="105" ht="12.75" customHeight="1" s="253">
      <c r="A105" s="256" t="n"/>
      <c r="B105" s="256" t="n"/>
      <c r="C105" s="256" t="n"/>
      <c r="D105" s="256" t="n"/>
      <c r="E105" s="256" t="n"/>
      <c r="F105" s="256" t="n"/>
      <c r="G105" s="256" t="n"/>
      <c r="H105" s="256" t="n"/>
      <c r="I105" s="256" t="n"/>
      <c r="J105" s="256" t="n"/>
      <c r="K105" s="256" t="n"/>
    </row>
    <row r="106" ht="12.75" customHeight="1" s="253">
      <c r="A106" s="256" t="n"/>
      <c r="B106" s="256" t="n"/>
      <c r="C106" s="256" t="n"/>
      <c r="D106" s="256" t="n"/>
      <c r="E106" s="256" t="n"/>
      <c r="F106" s="256" t="n"/>
      <c r="G106" s="256" t="n"/>
      <c r="H106" s="256" t="n"/>
      <c r="I106" s="256" t="n"/>
      <c r="J106" s="256" t="n"/>
      <c r="K106" s="256" t="n"/>
    </row>
    <row r="107" ht="12.75" customHeight="1" s="253">
      <c r="A107" s="256" t="n"/>
      <c r="B107" s="256" t="n"/>
      <c r="C107" s="256" t="n"/>
      <c r="D107" s="256" t="n"/>
      <c r="E107" s="256" t="n"/>
      <c r="F107" s="256" t="n"/>
      <c r="G107" s="256" t="n"/>
      <c r="H107" s="256" t="n"/>
      <c r="I107" s="256" t="n"/>
      <c r="J107" s="256" t="n"/>
      <c r="K107" s="256" t="n"/>
    </row>
    <row r="108" ht="12.75" customHeight="1" s="253">
      <c r="A108" s="256" t="n"/>
      <c r="B108" s="256" t="n"/>
      <c r="C108" s="256" t="n"/>
      <c r="D108" s="256" t="n"/>
      <c r="E108" s="256" t="n"/>
      <c r="F108" s="256" t="n"/>
      <c r="G108" s="256" t="n"/>
      <c r="H108" s="256" t="n"/>
      <c r="I108" s="256" t="n"/>
      <c r="J108" s="256" t="n"/>
      <c r="K108" s="256" t="n"/>
    </row>
    <row r="109" ht="12.75" customHeight="1" s="253">
      <c r="A109" s="256" t="n"/>
      <c r="B109" s="256" t="n"/>
      <c r="C109" s="256" t="n"/>
      <c r="D109" s="256" t="n"/>
      <c r="E109" s="256" t="n"/>
      <c r="F109" s="256" t="n"/>
      <c r="G109" s="256" t="n"/>
      <c r="H109" s="256" t="n"/>
      <c r="I109" s="256" t="n"/>
      <c r="J109" s="256" t="n"/>
      <c r="K109" s="256" t="n"/>
    </row>
    <row r="110" ht="12.75" customHeight="1" s="253">
      <c r="A110" s="256" t="n"/>
      <c r="B110" s="256" t="n"/>
      <c r="C110" s="256" t="n"/>
      <c r="D110" s="256" t="n"/>
      <c r="E110" s="256" t="n"/>
      <c r="F110" s="256" t="n"/>
      <c r="G110" s="256" t="n"/>
      <c r="H110" s="256" t="n"/>
      <c r="I110" s="256" t="n"/>
      <c r="J110" s="256" t="n"/>
      <c r="K110" s="256" t="n"/>
    </row>
    <row r="111" ht="12.75" customHeight="1" s="253">
      <c r="A111" s="256" t="n"/>
      <c r="B111" s="256" t="n"/>
      <c r="C111" s="256" t="n"/>
      <c r="D111" s="256" t="n"/>
      <c r="E111" s="256" t="n"/>
      <c r="F111" s="256" t="n"/>
      <c r="G111" s="256" t="n"/>
      <c r="H111" s="256" t="n"/>
      <c r="I111" s="256" t="n"/>
      <c r="J111" s="256" t="n"/>
      <c r="K111" s="256" t="n"/>
    </row>
    <row r="112" ht="12.75" customHeight="1" s="253">
      <c r="A112" s="256" t="n"/>
      <c r="B112" s="256" t="n"/>
      <c r="C112" s="256" t="n"/>
      <c r="D112" s="256" t="n"/>
      <c r="E112" s="256" t="n"/>
      <c r="F112" s="256" t="n"/>
      <c r="G112" s="256" t="n"/>
      <c r="H112" s="256" t="n"/>
      <c r="I112" s="256" t="n"/>
      <c r="J112" s="256" t="n"/>
      <c r="K112" s="256" t="n"/>
    </row>
    <row r="113" ht="12.75" customHeight="1" s="253">
      <c r="A113" s="256" t="n"/>
      <c r="B113" s="256" t="n"/>
      <c r="C113" s="256" t="n"/>
      <c r="D113" s="256" t="n"/>
      <c r="E113" s="256" t="n"/>
      <c r="F113" s="256" t="n"/>
      <c r="G113" s="256" t="n"/>
      <c r="H113" s="256" t="n"/>
      <c r="I113" s="256" t="n"/>
      <c r="J113" s="256" t="n"/>
      <c r="K113" s="256" t="n"/>
    </row>
    <row r="114" ht="12.75" customHeight="1" s="253">
      <c r="A114" s="256" t="n"/>
      <c r="B114" s="256" t="n"/>
      <c r="C114" s="256" t="n"/>
      <c r="D114" s="256" t="n"/>
      <c r="E114" s="256" t="n"/>
      <c r="F114" s="256" t="n"/>
      <c r="G114" s="256" t="n"/>
      <c r="H114" s="256" t="n"/>
      <c r="I114" s="256" t="n"/>
      <c r="J114" s="256" t="n"/>
      <c r="K114" s="256" t="n"/>
    </row>
    <row r="115" ht="12.75" customHeight="1" s="253">
      <c r="A115" s="256" t="n"/>
      <c r="B115" s="256" t="n"/>
      <c r="C115" s="256" t="n"/>
      <c r="D115" s="256" t="n"/>
      <c r="E115" s="256" t="n"/>
      <c r="F115" s="256" t="n"/>
      <c r="G115" s="256" t="n"/>
      <c r="H115" s="256" t="n"/>
      <c r="I115" s="256" t="n"/>
      <c r="J115" s="256" t="n"/>
      <c r="K115" s="256" t="n"/>
    </row>
    <row r="116" ht="12.75" customHeight="1" s="253">
      <c r="A116" s="256" t="n"/>
      <c r="B116" s="256" t="n"/>
      <c r="C116" s="256" t="n"/>
      <c r="D116" s="256" t="n"/>
      <c r="E116" s="256" t="n"/>
      <c r="F116" s="256" t="n"/>
      <c r="G116" s="256" t="n"/>
      <c r="H116" s="256" t="n"/>
      <c r="I116" s="256" t="n"/>
      <c r="J116" s="256" t="n"/>
      <c r="K116" s="256" t="n"/>
    </row>
    <row r="117" ht="12.75" customHeight="1" s="253">
      <c r="A117" s="256" t="n"/>
      <c r="B117" s="256" t="n"/>
      <c r="C117" s="256" t="n"/>
      <c r="D117" s="256" t="n"/>
      <c r="E117" s="256" t="n"/>
      <c r="F117" s="256" t="n"/>
      <c r="G117" s="256" t="n"/>
      <c r="H117" s="256" t="n"/>
      <c r="I117" s="256" t="n"/>
      <c r="J117" s="256" t="n"/>
      <c r="K117" s="256" t="n"/>
    </row>
    <row r="118" ht="12.75" customHeight="1" s="253">
      <c r="A118" s="256" t="n"/>
      <c r="B118" s="256" t="n"/>
      <c r="C118" s="256" t="n"/>
      <c r="D118" s="256" t="n"/>
      <c r="E118" s="256" t="n"/>
      <c r="F118" s="256" t="n"/>
      <c r="G118" s="256" t="n"/>
      <c r="H118" s="256" t="n"/>
      <c r="I118" s="256" t="n"/>
      <c r="J118" s="256" t="n"/>
      <c r="K118" s="256" t="n"/>
    </row>
    <row r="119" ht="12.75" customHeight="1" s="253">
      <c r="A119" s="256" t="n"/>
      <c r="B119" s="256" t="n"/>
      <c r="C119" s="256" t="n"/>
      <c r="D119" s="256" t="n"/>
      <c r="E119" s="256" t="n"/>
      <c r="F119" s="256" t="n"/>
      <c r="G119" s="256" t="n"/>
      <c r="H119" s="256" t="n"/>
      <c r="I119" s="256" t="n"/>
      <c r="J119" s="256" t="n"/>
      <c r="K119" s="256" t="n"/>
    </row>
    <row r="120" ht="12.75" customHeight="1" s="253">
      <c r="A120" s="256" t="n"/>
      <c r="B120" s="256" t="n"/>
      <c r="C120" s="256" t="n"/>
      <c r="D120" s="256" t="n"/>
      <c r="E120" s="256" t="n"/>
      <c r="F120" s="256" t="n"/>
      <c r="G120" s="256" t="n"/>
      <c r="H120" s="256" t="n"/>
      <c r="I120" s="256" t="n"/>
      <c r="J120" s="256" t="n"/>
      <c r="K120" s="256" t="n"/>
    </row>
    <row r="121" ht="12.75" customHeight="1" s="253">
      <c r="A121" s="256" t="n"/>
      <c r="B121" s="256" t="n"/>
      <c r="C121" s="256" t="n"/>
      <c r="D121" s="256" t="n"/>
      <c r="E121" s="256" t="n"/>
      <c r="F121" s="256" t="n"/>
      <c r="G121" s="256" t="n"/>
      <c r="H121" s="256" t="n"/>
      <c r="I121" s="256" t="n"/>
      <c r="J121" s="256" t="n"/>
      <c r="K121" s="256" t="n"/>
    </row>
    <row r="122" ht="12.75" customHeight="1" s="253">
      <c r="A122" s="256" t="n"/>
      <c r="B122" s="256" t="n"/>
      <c r="C122" s="256" t="n"/>
      <c r="D122" s="256" t="n"/>
      <c r="E122" s="256" t="n"/>
      <c r="F122" s="256" t="n"/>
      <c r="G122" s="256" t="n"/>
      <c r="H122" s="256" t="n"/>
      <c r="I122" s="256" t="n"/>
      <c r="J122" s="256" t="n"/>
      <c r="K122" s="256" t="n"/>
    </row>
    <row r="123" ht="12.75" customHeight="1" s="253">
      <c r="A123" s="256" t="n"/>
      <c r="B123" s="256" t="n"/>
      <c r="C123" s="256" t="n"/>
      <c r="D123" s="256" t="n"/>
      <c r="E123" s="256" t="n"/>
      <c r="F123" s="256" t="n"/>
      <c r="G123" s="256" t="n"/>
      <c r="H123" s="256" t="n"/>
      <c r="I123" s="256" t="n"/>
      <c r="J123" s="256" t="n"/>
      <c r="K123" s="256" t="n"/>
    </row>
    <row r="124" ht="12.75" customHeight="1" s="253">
      <c r="A124" s="256" t="n"/>
      <c r="B124" s="256" t="n"/>
      <c r="C124" s="256" t="n"/>
      <c r="D124" s="256" t="n"/>
      <c r="E124" s="256" t="n"/>
      <c r="F124" s="256" t="n"/>
      <c r="G124" s="256" t="n"/>
      <c r="H124" s="256" t="n"/>
      <c r="I124" s="256" t="n"/>
      <c r="J124" s="256" t="n"/>
      <c r="K124" s="256" t="n"/>
    </row>
    <row r="125" ht="12.75" customHeight="1" s="253">
      <c r="A125" s="256" t="n"/>
      <c r="B125" s="256" t="n"/>
      <c r="C125" s="256" t="n"/>
      <c r="D125" s="256" t="n"/>
      <c r="E125" s="256" t="n"/>
      <c r="F125" s="256" t="n"/>
      <c r="G125" s="256" t="n"/>
      <c r="H125" s="256" t="n"/>
      <c r="I125" s="256" t="n"/>
      <c r="J125" s="256" t="n"/>
      <c r="K125" s="256" t="n"/>
    </row>
    <row r="126" ht="12.75" customHeight="1" s="253">
      <c r="A126" s="256" t="n"/>
      <c r="B126" s="256" t="n"/>
      <c r="C126" s="256" t="n"/>
      <c r="D126" s="256" t="n"/>
      <c r="E126" s="256" t="n"/>
      <c r="F126" s="256" t="n"/>
      <c r="G126" s="256" t="n"/>
      <c r="H126" s="256" t="n"/>
      <c r="I126" s="256" t="n"/>
      <c r="J126" s="256" t="n"/>
      <c r="K126" s="256" t="n"/>
    </row>
    <row r="127" ht="12.75" customHeight="1" s="253">
      <c r="A127" s="256" t="n"/>
      <c r="B127" s="256" t="n"/>
      <c r="C127" s="256" t="n"/>
      <c r="D127" s="256" t="n"/>
      <c r="E127" s="256" t="n"/>
      <c r="F127" s="256" t="n"/>
      <c r="G127" s="256" t="n"/>
      <c r="H127" s="256" t="n"/>
      <c r="I127" s="256" t="n"/>
      <c r="J127" s="256" t="n"/>
      <c r="K127" s="256" t="n"/>
    </row>
    <row r="128" ht="12.75" customHeight="1" s="253">
      <c r="A128" s="256" t="n"/>
      <c r="B128" s="256" t="n"/>
      <c r="C128" s="256" t="n"/>
      <c r="D128" s="256" t="n"/>
      <c r="E128" s="256" t="n"/>
      <c r="F128" s="256" t="n"/>
      <c r="G128" s="256" t="n"/>
      <c r="H128" s="256" t="n"/>
      <c r="I128" s="256" t="n"/>
      <c r="J128" s="256" t="n"/>
      <c r="K128" s="256" t="n"/>
    </row>
    <row r="129" ht="12.75" customHeight="1" s="253">
      <c r="A129" s="256" t="n"/>
      <c r="B129" s="256" t="n"/>
      <c r="C129" s="256" t="n"/>
      <c r="D129" s="256" t="n"/>
      <c r="E129" s="256" t="n"/>
      <c r="F129" s="256" t="n"/>
      <c r="G129" s="256" t="n"/>
      <c r="H129" s="256" t="n"/>
      <c r="I129" s="256" t="n"/>
      <c r="J129" s="256" t="n"/>
      <c r="K129" s="256" t="n"/>
    </row>
    <row r="130" ht="12.75" customHeight="1" s="253">
      <c r="A130" s="256" t="n"/>
      <c r="B130" s="256" t="n"/>
      <c r="C130" s="256" t="n"/>
      <c r="D130" s="256" t="n"/>
      <c r="E130" s="256" t="n"/>
      <c r="F130" s="256" t="n"/>
      <c r="G130" s="256" t="n"/>
      <c r="H130" s="256" t="n"/>
      <c r="I130" s="256" t="n"/>
      <c r="J130" s="256" t="n"/>
      <c r="K130" s="256" t="n"/>
    </row>
    <row r="131" ht="12.75" customHeight="1" s="253">
      <c r="A131" s="256" t="n"/>
      <c r="B131" s="256" t="n"/>
      <c r="C131" s="256" t="n"/>
      <c r="D131" s="256" t="n"/>
      <c r="E131" s="256" t="n"/>
      <c r="F131" s="256" t="n"/>
      <c r="G131" s="256" t="n"/>
      <c r="H131" s="256" t="n"/>
      <c r="I131" s="256" t="n"/>
      <c r="J131" s="256" t="n"/>
      <c r="K131" s="256" t="n"/>
    </row>
    <row r="132" ht="12.75" customHeight="1" s="253">
      <c r="A132" s="256" t="n"/>
      <c r="B132" s="256" t="n"/>
      <c r="C132" s="256" t="n"/>
      <c r="D132" s="256" t="n"/>
      <c r="E132" s="256" t="n"/>
      <c r="F132" s="256" t="n"/>
      <c r="G132" s="256" t="n"/>
      <c r="H132" s="256" t="n"/>
      <c r="I132" s="256" t="n"/>
      <c r="J132" s="256" t="n"/>
      <c r="K132" s="256" t="n"/>
    </row>
    <row r="133" ht="12.75" customHeight="1" s="253">
      <c r="A133" s="256" t="n"/>
      <c r="B133" s="256" t="n"/>
      <c r="C133" s="256" t="n"/>
      <c r="D133" s="256" t="n"/>
      <c r="E133" s="256" t="n"/>
      <c r="F133" s="256" t="n"/>
      <c r="G133" s="256" t="n"/>
      <c r="H133" s="256" t="n"/>
      <c r="I133" s="256" t="n"/>
      <c r="J133" s="256" t="n"/>
      <c r="K133" s="256" t="n"/>
    </row>
    <row r="134" ht="12.75" customHeight="1" s="253">
      <c r="A134" s="256" t="n"/>
      <c r="B134" s="256" t="n"/>
      <c r="C134" s="256" t="n"/>
      <c r="D134" s="256" t="n"/>
      <c r="E134" s="256" t="n"/>
      <c r="F134" s="256" t="n"/>
      <c r="G134" s="256" t="n"/>
      <c r="H134" s="256" t="n"/>
      <c r="I134" s="256" t="n"/>
      <c r="J134" s="256" t="n"/>
      <c r="K134" s="256" t="n"/>
    </row>
    <row r="135" ht="12.75" customHeight="1" s="253">
      <c r="A135" s="256" t="n"/>
      <c r="B135" s="256" t="n"/>
      <c r="C135" s="256" t="n"/>
      <c r="D135" s="256" t="n"/>
      <c r="E135" s="256" t="n"/>
      <c r="F135" s="256" t="n"/>
      <c r="G135" s="256" t="n"/>
      <c r="H135" s="256" t="n"/>
      <c r="I135" s="256" t="n"/>
      <c r="J135" s="256" t="n"/>
      <c r="K135" s="256" t="n"/>
    </row>
    <row r="136" ht="12.75" customHeight="1" s="253">
      <c r="A136" s="256" t="n"/>
      <c r="B136" s="256" t="n"/>
      <c r="C136" s="256" t="n"/>
      <c r="D136" s="256" t="n"/>
      <c r="E136" s="256" t="n"/>
      <c r="F136" s="256" t="n"/>
      <c r="G136" s="256" t="n"/>
      <c r="H136" s="256" t="n"/>
      <c r="I136" s="256" t="n"/>
      <c r="J136" s="256" t="n"/>
      <c r="K136" s="256" t="n"/>
    </row>
    <row r="137" ht="12.75" customHeight="1" s="253">
      <c r="A137" s="256" t="n"/>
      <c r="B137" s="256" t="n"/>
      <c r="C137" s="256" t="n"/>
      <c r="D137" s="256" t="n"/>
      <c r="E137" s="256" t="n"/>
      <c r="F137" s="256" t="n"/>
      <c r="G137" s="256" t="n"/>
      <c r="H137" s="256" t="n"/>
      <c r="I137" s="256" t="n"/>
      <c r="J137" s="256" t="n"/>
      <c r="K137" s="256" t="n"/>
    </row>
    <row r="138" ht="12.75" customHeight="1" s="253">
      <c r="A138" s="256" t="n"/>
      <c r="B138" s="256" t="n"/>
      <c r="C138" s="256" t="n"/>
      <c r="D138" s="256" t="n"/>
      <c r="E138" s="256" t="n"/>
      <c r="F138" s="256" t="n"/>
      <c r="G138" s="256" t="n"/>
      <c r="H138" s="256" t="n"/>
      <c r="I138" s="256" t="n"/>
      <c r="J138" s="256" t="n"/>
      <c r="K138" s="256" t="n"/>
    </row>
    <row r="139" ht="12.75" customHeight="1" s="253">
      <c r="A139" s="256" t="n"/>
      <c r="B139" s="256" t="n"/>
      <c r="C139" s="256" t="n"/>
      <c r="D139" s="256" t="n"/>
      <c r="E139" s="256" t="n"/>
      <c r="F139" s="256" t="n"/>
      <c r="G139" s="256" t="n"/>
      <c r="H139" s="256" t="n"/>
      <c r="I139" s="256" t="n"/>
      <c r="J139" s="256" t="n"/>
      <c r="K139" s="256" t="n"/>
    </row>
    <row r="140" ht="12.75" customHeight="1" s="253">
      <c r="A140" s="256" t="n"/>
      <c r="B140" s="256" t="n"/>
      <c r="C140" s="256" t="n"/>
      <c r="D140" s="256" t="n"/>
      <c r="E140" s="256" t="n"/>
      <c r="F140" s="256" t="n"/>
      <c r="G140" s="256" t="n"/>
      <c r="H140" s="256" t="n"/>
      <c r="I140" s="256" t="n"/>
      <c r="J140" s="256" t="n"/>
      <c r="K140" s="256" t="n"/>
    </row>
    <row r="141" ht="12.75" customHeight="1" s="253">
      <c r="A141" s="256" t="n"/>
      <c r="B141" s="256" t="n"/>
      <c r="C141" s="256" t="n"/>
      <c r="D141" s="256" t="n"/>
      <c r="E141" s="256" t="n"/>
      <c r="F141" s="256" t="n"/>
      <c r="G141" s="256" t="n"/>
      <c r="H141" s="256" t="n"/>
      <c r="I141" s="256" t="n"/>
      <c r="J141" s="256" t="n"/>
      <c r="K141" s="256" t="n"/>
    </row>
    <row r="142" ht="12.75" customHeight="1" s="253">
      <c r="A142" s="256" t="n"/>
      <c r="B142" s="256" t="n"/>
      <c r="C142" s="256" t="n"/>
      <c r="D142" s="256" t="n"/>
      <c r="E142" s="256" t="n"/>
      <c r="F142" s="256" t="n"/>
      <c r="G142" s="256" t="n"/>
      <c r="H142" s="256" t="n"/>
      <c r="I142" s="256" t="n"/>
      <c r="J142" s="256" t="n"/>
      <c r="K142" s="256" t="n"/>
    </row>
    <row r="143" ht="12.75" customHeight="1" s="253">
      <c r="A143" s="256" t="n"/>
      <c r="B143" s="256" t="n"/>
      <c r="C143" s="256" t="n"/>
      <c r="D143" s="256" t="n"/>
      <c r="E143" s="256" t="n"/>
      <c r="F143" s="256" t="n"/>
      <c r="G143" s="256" t="n"/>
      <c r="H143" s="256" t="n"/>
      <c r="I143" s="256" t="n"/>
      <c r="J143" s="256" t="n"/>
      <c r="K143" s="256" t="n"/>
    </row>
    <row r="144" ht="12.75" customHeight="1" s="253">
      <c r="A144" s="256" t="n"/>
      <c r="B144" s="256" t="n"/>
      <c r="C144" s="256" t="n"/>
      <c r="D144" s="256" t="n"/>
      <c r="E144" s="256" t="n"/>
      <c r="F144" s="256" t="n"/>
      <c r="G144" s="256" t="n"/>
      <c r="H144" s="256" t="n"/>
      <c r="I144" s="256" t="n"/>
      <c r="J144" s="256" t="n"/>
      <c r="K144" s="256" t="n"/>
    </row>
    <row r="145" ht="12.75" customHeight="1" s="253">
      <c r="A145" s="256" t="n"/>
      <c r="B145" s="256" t="n"/>
      <c r="C145" s="256" t="n"/>
      <c r="D145" s="256" t="n"/>
      <c r="E145" s="256" t="n"/>
      <c r="F145" s="256" t="n"/>
      <c r="G145" s="256" t="n"/>
      <c r="H145" s="256" t="n"/>
      <c r="I145" s="256" t="n"/>
      <c r="J145" s="256" t="n"/>
      <c r="K145" s="256" t="n"/>
    </row>
    <row r="146" ht="12.75" customHeight="1" s="253">
      <c r="A146" s="256" t="n"/>
      <c r="B146" s="256" t="n"/>
      <c r="C146" s="256" t="n"/>
      <c r="D146" s="256" t="n"/>
      <c r="E146" s="256" t="n"/>
      <c r="F146" s="256" t="n"/>
      <c r="G146" s="256" t="n"/>
      <c r="H146" s="256" t="n"/>
      <c r="I146" s="256" t="n"/>
      <c r="J146" s="256" t="n"/>
      <c r="K146" s="256" t="n"/>
    </row>
    <row r="147" ht="12.75" customHeight="1" s="253">
      <c r="A147" s="256" t="n"/>
      <c r="B147" s="256" t="n"/>
      <c r="C147" s="256" t="n"/>
      <c r="D147" s="256" t="n"/>
      <c r="E147" s="256" t="n"/>
      <c r="F147" s="256" t="n"/>
      <c r="G147" s="256" t="n"/>
      <c r="H147" s="256" t="n"/>
      <c r="I147" s="256" t="n"/>
      <c r="J147" s="256" t="n"/>
      <c r="K147" s="256" t="n"/>
    </row>
    <row r="148" ht="12.75" customHeight="1" s="253">
      <c r="A148" s="256" t="n"/>
      <c r="B148" s="256" t="n"/>
      <c r="C148" s="256" t="n"/>
      <c r="D148" s="256" t="n"/>
      <c r="E148" s="256" t="n"/>
      <c r="F148" s="256" t="n"/>
      <c r="G148" s="256" t="n"/>
      <c r="H148" s="256" t="n"/>
      <c r="I148" s="256" t="n"/>
      <c r="J148" s="256" t="n"/>
      <c r="K148" s="256" t="n"/>
    </row>
    <row r="149" ht="12.75" customHeight="1" s="253">
      <c r="A149" s="256" t="n"/>
      <c r="B149" s="256" t="n"/>
      <c r="C149" s="256" t="n"/>
      <c r="D149" s="256" t="n"/>
      <c r="E149" s="256" t="n"/>
      <c r="F149" s="256" t="n"/>
      <c r="G149" s="256" t="n"/>
      <c r="H149" s="256" t="n"/>
      <c r="I149" s="256" t="n"/>
      <c r="J149" s="256" t="n"/>
      <c r="K149" s="256" t="n"/>
    </row>
    <row r="150" ht="12.75" customHeight="1" s="253">
      <c r="A150" s="256" t="n"/>
      <c r="B150" s="256" t="n"/>
      <c r="C150" s="256" t="n"/>
      <c r="D150" s="256" t="n"/>
      <c r="E150" s="256" t="n"/>
      <c r="F150" s="256" t="n"/>
      <c r="G150" s="256" t="n"/>
      <c r="H150" s="256" t="n"/>
      <c r="I150" s="256" t="n"/>
      <c r="J150" s="256" t="n"/>
      <c r="K150" s="256" t="n"/>
    </row>
    <row r="151" ht="12.75" customHeight="1" s="253">
      <c r="A151" s="256" t="n"/>
      <c r="B151" s="256" t="n"/>
      <c r="C151" s="256" t="n"/>
      <c r="D151" s="256" t="n"/>
      <c r="E151" s="256" t="n"/>
      <c r="F151" s="256" t="n"/>
      <c r="G151" s="256" t="n"/>
      <c r="H151" s="256" t="n"/>
      <c r="I151" s="256" t="n"/>
      <c r="J151" s="256" t="n"/>
      <c r="K151" s="256" t="n"/>
    </row>
    <row r="152" ht="12.75" customHeight="1" s="253">
      <c r="A152" s="256" t="n"/>
      <c r="B152" s="256" t="n"/>
      <c r="C152" s="256" t="n"/>
      <c r="D152" s="256" t="n"/>
      <c r="E152" s="256" t="n"/>
      <c r="F152" s="256" t="n"/>
      <c r="G152" s="256" t="n"/>
      <c r="H152" s="256" t="n"/>
      <c r="I152" s="256" t="n"/>
      <c r="J152" s="256" t="n"/>
      <c r="K152" s="256" t="n"/>
    </row>
    <row r="153" ht="12.75" customHeight="1" s="253">
      <c r="A153" s="256" t="n"/>
      <c r="B153" s="256" t="n"/>
      <c r="C153" s="256" t="n"/>
      <c r="D153" s="256" t="n"/>
      <c r="E153" s="256" t="n"/>
      <c r="F153" s="256" t="n"/>
      <c r="G153" s="256" t="n"/>
      <c r="H153" s="256" t="n"/>
      <c r="I153" s="256" t="n"/>
      <c r="J153" s="256" t="n"/>
      <c r="K153" s="256" t="n"/>
    </row>
    <row r="154" ht="12.75" customHeight="1" s="253">
      <c r="A154" s="256" t="n"/>
      <c r="B154" s="256" t="n"/>
      <c r="C154" s="256" t="n"/>
      <c r="D154" s="256" t="n"/>
      <c r="E154" s="256" t="n"/>
      <c r="F154" s="256" t="n"/>
      <c r="G154" s="256" t="n"/>
      <c r="H154" s="256" t="n"/>
      <c r="I154" s="256" t="n"/>
      <c r="J154" s="256" t="n"/>
      <c r="K154" s="256" t="n"/>
    </row>
    <row r="155" ht="12.75" customHeight="1" s="253">
      <c r="A155" s="256" t="n"/>
      <c r="B155" s="256" t="n"/>
      <c r="C155" s="256" t="n"/>
      <c r="D155" s="256" t="n"/>
      <c r="E155" s="256" t="n"/>
      <c r="F155" s="256" t="n"/>
      <c r="G155" s="256" t="n"/>
      <c r="H155" s="256" t="n"/>
      <c r="I155" s="256" t="n"/>
      <c r="J155" s="256" t="n"/>
      <c r="K155" s="256" t="n"/>
    </row>
    <row r="156" ht="12.75" customHeight="1" s="253">
      <c r="A156" s="256" t="n"/>
      <c r="B156" s="256" t="n"/>
      <c r="C156" s="256" t="n"/>
      <c r="D156" s="256" t="n"/>
      <c r="E156" s="256" t="n"/>
      <c r="F156" s="256" t="n"/>
      <c r="G156" s="256" t="n"/>
      <c r="H156" s="256" t="n"/>
      <c r="I156" s="256" t="n"/>
      <c r="J156" s="256" t="n"/>
      <c r="K156" s="256" t="n"/>
    </row>
    <row r="157" ht="12.75" customHeight="1" s="253">
      <c r="A157" s="256" t="n"/>
      <c r="B157" s="256" t="n"/>
      <c r="C157" s="256" t="n"/>
      <c r="D157" s="256" t="n"/>
      <c r="E157" s="256" t="n"/>
      <c r="F157" s="256" t="n"/>
      <c r="G157" s="256" t="n"/>
      <c r="H157" s="256" t="n"/>
      <c r="I157" s="256" t="n"/>
      <c r="J157" s="256" t="n"/>
      <c r="K157" s="256" t="n"/>
    </row>
    <row r="158" ht="12.75" customHeight="1" s="253">
      <c r="A158" s="256" t="n"/>
      <c r="B158" s="256" t="n"/>
      <c r="C158" s="256" t="n"/>
      <c r="D158" s="256" t="n"/>
      <c r="E158" s="256" t="n"/>
      <c r="F158" s="256" t="n"/>
      <c r="G158" s="256" t="n"/>
      <c r="H158" s="256" t="n"/>
      <c r="I158" s="256" t="n"/>
      <c r="J158" s="256" t="n"/>
      <c r="K158" s="256" t="n"/>
    </row>
    <row r="159" ht="12.75" customHeight="1" s="253">
      <c r="A159" s="256" t="n"/>
      <c r="B159" s="256" t="n"/>
      <c r="C159" s="256" t="n"/>
      <c r="D159" s="256" t="n"/>
      <c r="E159" s="256" t="n"/>
      <c r="F159" s="256" t="n"/>
      <c r="G159" s="256" t="n"/>
      <c r="H159" s="256" t="n"/>
      <c r="I159" s="256" t="n"/>
      <c r="J159" s="256" t="n"/>
      <c r="K159" s="256" t="n"/>
    </row>
    <row r="160" ht="12.75" customHeight="1" s="253">
      <c r="A160" s="256" t="n"/>
      <c r="B160" s="256" t="n"/>
      <c r="C160" s="256" t="n"/>
      <c r="D160" s="256" t="n"/>
      <c r="E160" s="256" t="n"/>
      <c r="F160" s="256" t="n"/>
      <c r="G160" s="256" t="n"/>
      <c r="H160" s="256" t="n"/>
      <c r="I160" s="256" t="n"/>
      <c r="J160" s="256" t="n"/>
      <c r="K160" s="256" t="n"/>
    </row>
    <row r="161" ht="12.75" customHeight="1" s="253">
      <c r="A161" s="256" t="n"/>
      <c r="B161" s="256" t="n"/>
      <c r="C161" s="256" t="n"/>
      <c r="D161" s="256" t="n"/>
      <c r="E161" s="256" t="n"/>
      <c r="F161" s="256" t="n"/>
      <c r="G161" s="256" t="n"/>
      <c r="H161" s="256" t="n"/>
      <c r="I161" s="256" t="n"/>
      <c r="J161" s="256" t="n"/>
      <c r="K161" s="256" t="n"/>
    </row>
    <row r="162" ht="12.75" customHeight="1" s="253">
      <c r="A162" s="256" t="n"/>
      <c r="B162" s="256" t="n"/>
      <c r="C162" s="256" t="n"/>
      <c r="D162" s="256" t="n"/>
      <c r="E162" s="256" t="n"/>
      <c r="F162" s="256" t="n"/>
      <c r="G162" s="256" t="n"/>
      <c r="H162" s="256" t="n"/>
      <c r="I162" s="256" t="n"/>
      <c r="J162" s="256" t="n"/>
      <c r="K162" s="256" t="n"/>
    </row>
    <row r="163" ht="12.75" customHeight="1" s="253">
      <c r="A163" s="256" t="n"/>
      <c r="B163" s="256" t="n"/>
      <c r="C163" s="256" t="n"/>
      <c r="D163" s="256" t="n"/>
      <c r="E163" s="256" t="n"/>
      <c r="F163" s="256" t="n"/>
      <c r="G163" s="256" t="n"/>
      <c r="H163" s="256" t="n"/>
      <c r="I163" s="256" t="n"/>
      <c r="J163" s="256" t="n"/>
      <c r="K163" s="256" t="n"/>
    </row>
    <row r="164" ht="12.75" customHeight="1" s="253">
      <c r="A164" s="256" t="n"/>
      <c r="B164" s="256" t="n"/>
      <c r="C164" s="256" t="n"/>
      <c r="D164" s="256" t="n"/>
      <c r="E164" s="256" t="n"/>
      <c r="F164" s="256" t="n"/>
      <c r="G164" s="256" t="n"/>
      <c r="H164" s="256" t="n"/>
      <c r="I164" s="256" t="n"/>
      <c r="J164" s="256" t="n"/>
      <c r="K164" s="256" t="n"/>
    </row>
    <row r="165" ht="12.75" customHeight="1" s="253">
      <c r="A165" s="256" t="n"/>
      <c r="B165" s="256" t="n"/>
      <c r="C165" s="256" t="n"/>
      <c r="D165" s="256" t="n"/>
      <c r="E165" s="256" t="n"/>
      <c r="F165" s="256" t="n"/>
      <c r="G165" s="256" t="n"/>
      <c r="H165" s="256" t="n"/>
      <c r="I165" s="256" t="n"/>
      <c r="J165" s="256" t="n"/>
      <c r="K165" s="256" t="n"/>
    </row>
    <row r="166" ht="12.75" customHeight="1" s="253">
      <c r="A166" s="256" t="n"/>
      <c r="B166" s="256" t="n"/>
      <c r="C166" s="256" t="n"/>
      <c r="D166" s="256" t="n"/>
      <c r="E166" s="256" t="n"/>
      <c r="F166" s="256" t="n"/>
      <c r="G166" s="256" t="n"/>
      <c r="H166" s="256" t="n"/>
      <c r="I166" s="256" t="n"/>
      <c r="J166" s="256" t="n"/>
      <c r="K166" s="256" t="n"/>
    </row>
    <row r="167" ht="12.75" customHeight="1" s="253">
      <c r="A167" s="256" t="n"/>
      <c r="B167" s="256" t="n"/>
      <c r="C167" s="256" t="n"/>
      <c r="D167" s="256" t="n"/>
      <c r="E167" s="256" t="n"/>
      <c r="F167" s="256" t="n"/>
      <c r="G167" s="256" t="n"/>
      <c r="H167" s="256" t="n"/>
      <c r="I167" s="256" t="n"/>
      <c r="J167" s="256" t="n"/>
      <c r="K167" s="256" t="n"/>
    </row>
    <row r="168" ht="12.75" customHeight="1" s="253">
      <c r="A168" s="256" t="n"/>
      <c r="B168" s="256" t="n"/>
      <c r="C168" s="256" t="n"/>
      <c r="D168" s="256" t="n"/>
      <c r="E168" s="256" t="n"/>
      <c r="F168" s="256" t="n"/>
      <c r="G168" s="256" t="n"/>
      <c r="H168" s="256" t="n"/>
      <c r="I168" s="256" t="n"/>
      <c r="J168" s="256" t="n"/>
      <c r="K168" s="256" t="n"/>
    </row>
    <row r="169" ht="12.75" customHeight="1" s="253">
      <c r="A169" s="256" t="n"/>
      <c r="B169" s="256" t="n"/>
      <c r="C169" s="256" t="n"/>
      <c r="D169" s="256" t="n"/>
      <c r="E169" s="256" t="n"/>
      <c r="F169" s="256" t="n"/>
      <c r="G169" s="256" t="n"/>
      <c r="H169" s="256" t="n"/>
      <c r="I169" s="256" t="n"/>
      <c r="J169" s="256" t="n"/>
      <c r="K169" s="256" t="n"/>
    </row>
    <row r="170" ht="12.75" customHeight="1" s="253">
      <c r="A170" s="256" t="n"/>
      <c r="B170" s="256" t="n"/>
      <c r="C170" s="256" t="n"/>
      <c r="D170" s="256" t="n"/>
      <c r="E170" s="256" t="n"/>
      <c r="F170" s="256" t="n"/>
      <c r="G170" s="256" t="n"/>
      <c r="H170" s="256" t="n"/>
      <c r="I170" s="256" t="n"/>
      <c r="J170" s="256" t="n"/>
      <c r="K170" s="256" t="n"/>
    </row>
    <row r="171" ht="12.75" customHeight="1" s="253">
      <c r="A171" s="256" t="n"/>
      <c r="B171" s="256" t="n"/>
      <c r="C171" s="256" t="n"/>
      <c r="D171" s="256" t="n"/>
      <c r="E171" s="256" t="n"/>
      <c r="F171" s="256" t="n"/>
      <c r="G171" s="256" t="n"/>
      <c r="H171" s="256" t="n"/>
      <c r="I171" s="256" t="n"/>
      <c r="J171" s="256" t="n"/>
      <c r="K171" s="256" t="n"/>
    </row>
    <row r="172" ht="12.75" customHeight="1" s="253">
      <c r="A172" s="256" t="n"/>
      <c r="B172" s="256" t="n"/>
      <c r="C172" s="256" t="n"/>
      <c r="D172" s="256" t="n"/>
      <c r="E172" s="256" t="n"/>
      <c r="F172" s="256" t="n"/>
      <c r="G172" s="256" t="n"/>
      <c r="H172" s="256" t="n"/>
      <c r="I172" s="256" t="n"/>
      <c r="J172" s="256" t="n"/>
      <c r="K172" s="256" t="n"/>
    </row>
    <row r="173" ht="12.75" customHeight="1" s="253">
      <c r="A173" s="256" t="n"/>
      <c r="B173" s="256" t="n"/>
      <c r="C173" s="256" t="n"/>
      <c r="D173" s="256" t="n"/>
      <c r="E173" s="256" t="n"/>
      <c r="F173" s="256" t="n"/>
      <c r="G173" s="256" t="n"/>
      <c r="H173" s="256" t="n"/>
      <c r="I173" s="256" t="n"/>
      <c r="J173" s="256" t="n"/>
      <c r="K173" s="256" t="n"/>
    </row>
    <row r="174" ht="12.75" customHeight="1" s="253">
      <c r="A174" s="256" t="n"/>
      <c r="B174" s="256" t="n"/>
      <c r="C174" s="256" t="n"/>
      <c r="D174" s="256" t="n"/>
      <c r="E174" s="256" t="n"/>
      <c r="F174" s="256" t="n"/>
      <c r="G174" s="256" t="n"/>
      <c r="H174" s="256" t="n"/>
      <c r="I174" s="256" t="n"/>
      <c r="J174" s="256" t="n"/>
      <c r="K174" s="256" t="n"/>
    </row>
    <row r="175" ht="12.75" customHeight="1" s="253">
      <c r="A175" s="256" t="n"/>
      <c r="B175" s="256" t="n"/>
      <c r="C175" s="256" t="n"/>
      <c r="D175" s="256" t="n"/>
      <c r="E175" s="256" t="n"/>
      <c r="F175" s="256" t="n"/>
      <c r="G175" s="256" t="n"/>
      <c r="H175" s="256" t="n"/>
      <c r="I175" s="256" t="n"/>
      <c r="J175" s="256" t="n"/>
      <c r="K175" s="256" t="n"/>
    </row>
    <row r="176" ht="12.75" customHeight="1" s="253">
      <c r="A176" s="256" t="n"/>
      <c r="B176" s="256" t="n"/>
      <c r="C176" s="256" t="n"/>
      <c r="D176" s="256" t="n"/>
      <c r="E176" s="256" t="n"/>
      <c r="F176" s="256" t="n"/>
      <c r="G176" s="256" t="n"/>
      <c r="H176" s="256" t="n"/>
      <c r="I176" s="256" t="n"/>
      <c r="J176" s="256" t="n"/>
      <c r="K176" s="256" t="n"/>
    </row>
    <row r="177" ht="12.75" customHeight="1" s="253">
      <c r="A177" s="256" t="n"/>
      <c r="B177" s="256" t="n"/>
      <c r="C177" s="256" t="n"/>
      <c r="D177" s="256" t="n"/>
      <c r="E177" s="256" t="n"/>
      <c r="F177" s="256" t="n"/>
      <c r="G177" s="256" t="n"/>
      <c r="H177" s="256" t="n"/>
      <c r="I177" s="256" t="n"/>
      <c r="J177" s="256" t="n"/>
      <c r="K177" s="256" t="n"/>
    </row>
    <row r="178" ht="12.75" customHeight="1" s="253">
      <c r="A178" s="256" t="n"/>
      <c r="B178" s="256" t="n"/>
      <c r="C178" s="256" t="n"/>
      <c r="D178" s="256" t="n"/>
      <c r="E178" s="256" t="n"/>
      <c r="F178" s="256" t="n"/>
      <c r="G178" s="256" t="n"/>
      <c r="H178" s="256" t="n"/>
      <c r="I178" s="256" t="n"/>
      <c r="J178" s="256" t="n"/>
      <c r="K178" s="256" t="n"/>
    </row>
    <row r="179" ht="12.75" customHeight="1" s="253">
      <c r="A179" s="256" t="n"/>
      <c r="B179" s="256" t="n"/>
      <c r="C179" s="256" t="n"/>
      <c r="D179" s="256" t="n"/>
      <c r="E179" s="256" t="n"/>
      <c r="F179" s="256" t="n"/>
      <c r="G179" s="256" t="n"/>
      <c r="H179" s="256" t="n"/>
      <c r="I179" s="256" t="n"/>
      <c r="J179" s="256" t="n"/>
      <c r="K179" s="256" t="n"/>
    </row>
    <row r="180" ht="12.75" customHeight="1" s="253">
      <c r="A180" s="256" t="n"/>
      <c r="B180" s="256" t="n"/>
      <c r="C180" s="256" t="n"/>
      <c r="D180" s="256" t="n"/>
      <c r="E180" s="256" t="n"/>
      <c r="F180" s="256" t="n"/>
      <c r="G180" s="256" t="n"/>
      <c r="H180" s="256" t="n"/>
      <c r="I180" s="256" t="n"/>
      <c r="J180" s="256" t="n"/>
      <c r="K180" s="256" t="n"/>
    </row>
    <row r="181" ht="12.75" customHeight="1" s="253">
      <c r="A181" s="256" t="n"/>
      <c r="B181" s="256" t="n"/>
      <c r="C181" s="256" t="n"/>
      <c r="D181" s="256" t="n"/>
      <c r="E181" s="256" t="n"/>
      <c r="F181" s="256" t="n"/>
      <c r="G181" s="256" t="n"/>
      <c r="H181" s="256" t="n"/>
      <c r="I181" s="256" t="n"/>
      <c r="J181" s="256" t="n"/>
      <c r="K181" s="256" t="n"/>
    </row>
    <row r="182" ht="12.75" customHeight="1" s="253">
      <c r="A182" s="256" t="n"/>
      <c r="B182" s="256" t="n"/>
      <c r="C182" s="256" t="n"/>
      <c r="D182" s="256" t="n"/>
      <c r="E182" s="256" t="n"/>
      <c r="F182" s="256" t="n"/>
      <c r="G182" s="256" t="n"/>
      <c r="H182" s="256" t="n"/>
      <c r="I182" s="256" t="n"/>
      <c r="J182" s="256" t="n"/>
      <c r="K182" s="256" t="n"/>
    </row>
    <row r="183" ht="12.75" customHeight="1" s="253">
      <c r="A183" s="256" t="n"/>
      <c r="B183" s="256" t="n"/>
      <c r="C183" s="256" t="n"/>
      <c r="D183" s="256" t="n"/>
      <c r="E183" s="256" t="n"/>
      <c r="F183" s="256" t="n"/>
      <c r="G183" s="256" t="n"/>
      <c r="H183" s="256" t="n"/>
      <c r="I183" s="256" t="n"/>
      <c r="J183" s="256" t="n"/>
      <c r="K183" s="256" t="n"/>
    </row>
    <row r="184" ht="12.75" customHeight="1" s="253">
      <c r="A184" s="256" t="n"/>
      <c r="B184" s="256" t="n"/>
      <c r="C184" s="256" t="n"/>
      <c r="D184" s="256" t="n"/>
      <c r="E184" s="256" t="n"/>
      <c r="F184" s="256" t="n"/>
      <c r="G184" s="256" t="n"/>
      <c r="H184" s="256" t="n"/>
      <c r="I184" s="256" t="n"/>
      <c r="J184" s="256" t="n"/>
      <c r="K184" s="256" t="n"/>
    </row>
    <row r="185" ht="12.75" customHeight="1" s="253">
      <c r="A185" s="256" t="n"/>
      <c r="B185" s="256" t="n"/>
      <c r="C185" s="256" t="n"/>
      <c r="D185" s="256" t="n"/>
      <c r="E185" s="256" t="n"/>
      <c r="F185" s="256" t="n"/>
      <c r="G185" s="256" t="n"/>
      <c r="H185" s="256" t="n"/>
      <c r="I185" s="256" t="n"/>
      <c r="J185" s="256" t="n"/>
      <c r="K185" s="256" t="n"/>
    </row>
    <row r="186" ht="12.75" customHeight="1" s="253">
      <c r="A186" s="256" t="n"/>
      <c r="B186" s="256" t="n"/>
      <c r="C186" s="256" t="n"/>
      <c r="D186" s="256" t="n"/>
      <c r="E186" s="256" t="n"/>
      <c r="F186" s="256" t="n"/>
      <c r="G186" s="256" t="n"/>
      <c r="H186" s="256" t="n"/>
      <c r="I186" s="256" t="n"/>
      <c r="J186" s="256" t="n"/>
      <c r="K186" s="256" t="n"/>
    </row>
    <row r="187" ht="12.75" customHeight="1" s="253">
      <c r="A187" s="256" t="n"/>
      <c r="B187" s="256" t="n"/>
      <c r="C187" s="256" t="n"/>
      <c r="D187" s="256" t="n"/>
      <c r="E187" s="256" t="n"/>
      <c r="F187" s="256" t="n"/>
      <c r="G187" s="256" t="n"/>
      <c r="H187" s="256" t="n"/>
      <c r="I187" s="256" t="n"/>
      <c r="J187" s="256" t="n"/>
      <c r="K187" s="256" t="n"/>
    </row>
    <row r="188" ht="12.75" customHeight="1" s="253">
      <c r="A188" s="256" t="n"/>
      <c r="B188" s="256" t="n"/>
      <c r="C188" s="256" t="n"/>
      <c r="D188" s="256" t="n"/>
      <c r="E188" s="256" t="n"/>
      <c r="F188" s="256" t="n"/>
      <c r="G188" s="256" t="n"/>
      <c r="H188" s="256" t="n"/>
      <c r="I188" s="256" t="n"/>
      <c r="J188" s="256" t="n"/>
      <c r="K188" s="256" t="n"/>
    </row>
    <row r="189" ht="12.75" customHeight="1" s="253">
      <c r="A189" s="256" t="n"/>
      <c r="B189" s="256" t="n"/>
      <c r="C189" s="256" t="n"/>
      <c r="D189" s="256" t="n"/>
      <c r="E189" s="256" t="n"/>
      <c r="F189" s="256" t="n"/>
      <c r="G189" s="256" t="n"/>
      <c r="H189" s="256" t="n"/>
      <c r="I189" s="256" t="n"/>
      <c r="J189" s="256" t="n"/>
      <c r="K189" s="256" t="n"/>
    </row>
    <row r="190" ht="12.75" customHeight="1" s="253">
      <c r="A190" s="256" t="n"/>
      <c r="B190" s="256" t="n"/>
      <c r="C190" s="256" t="n"/>
      <c r="D190" s="256" t="n"/>
      <c r="E190" s="256" t="n"/>
      <c r="F190" s="256" t="n"/>
      <c r="G190" s="256" t="n"/>
      <c r="H190" s="256" t="n"/>
      <c r="I190" s="256" t="n"/>
      <c r="J190" s="256" t="n"/>
      <c r="K190" s="256" t="n"/>
    </row>
    <row r="191" ht="12.75" customHeight="1" s="253">
      <c r="A191" s="256" t="n"/>
      <c r="B191" s="256" t="n"/>
      <c r="C191" s="256" t="n"/>
      <c r="D191" s="256" t="n"/>
      <c r="E191" s="256" t="n"/>
      <c r="F191" s="256" t="n"/>
      <c r="G191" s="256" t="n"/>
      <c r="H191" s="256" t="n"/>
      <c r="I191" s="256" t="n"/>
      <c r="J191" s="256" t="n"/>
      <c r="K191" s="256" t="n"/>
    </row>
    <row r="192" ht="12.75" customHeight="1" s="253">
      <c r="A192" s="256" t="n"/>
      <c r="B192" s="256" t="n"/>
      <c r="C192" s="256" t="n"/>
      <c r="D192" s="256" t="n"/>
      <c r="E192" s="256" t="n"/>
      <c r="F192" s="256" t="n"/>
      <c r="G192" s="256" t="n"/>
      <c r="H192" s="256" t="n"/>
      <c r="I192" s="256" t="n"/>
      <c r="J192" s="256" t="n"/>
      <c r="K192" s="256" t="n"/>
    </row>
    <row r="193" ht="12.75" customHeight="1" s="253">
      <c r="A193" s="256" t="n"/>
      <c r="B193" s="256" t="n"/>
      <c r="C193" s="256" t="n"/>
      <c r="D193" s="256" t="n"/>
      <c r="E193" s="256" t="n"/>
      <c r="F193" s="256" t="n"/>
      <c r="G193" s="256" t="n"/>
      <c r="H193" s="256" t="n"/>
      <c r="I193" s="256" t="n"/>
      <c r="J193" s="256" t="n"/>
      <c r="K193" s="256" t="n"/>
    </row>
    <row r="194" ht="12.75" customHeight="1" s="253">
      <c r="A194" s="256" t="n"/>
      <c r="B194" s="256" t="n"/>
      <c r="C194" s="256" t="n"/>
      <c r="D194" s="256" t="n"/>
      <c r="E194" s="256" t="n"/>
      <c r="F194" s="256" t="n"/>
      <c r="G194" s="256" t="n"/>
      <c r="H194" s="256" t="n"/>
      <c r="I194" s="256" t="n"/>
      <c r="J194" s="256" t="n"/>
      <c r="K194" s="256" t="n"/>
    </row>
    <row r="195" ht="12.75" customHeight="1" s="253">
      <c r="A195" s="256" t="n"/>
      <c r="B195" s="256" t="n"/>
      <c r="C195" s="256" t="n"/>
      <c r="D195" s="256" t="n"/>
      <c r="E195" s="256" t="n"/>
      <c r="F195" s="256" t="n"/>
      <c r="G195" s="256" t="n"/>
      <c r="H195" s="256" t="n"/>
      <c r="I195" s="256" t="n"/>
      <c r="J195" s="256" t="n"/>
      <c r="K195" s="256" t="n"/>
    </row>
    <row r="196" ht="12.75" customHeight="1" s="253">
      <c r="A196" s="256" t="n"/>
      <c r="B196" s="256" t="n"/>
      <c r="C196" s="256" t="n"/>
      <c r="D196" s="256" t="n"/>
      <c r="E196" s="256" t="n"/>
      <c r="F196" s="256" t="n"/>
      <c r="G196" s="256" t="n"/>
      <c r="H196" s="256" t="n"/>
      <c r="I196" s="256" t="n"/>
      <c r="J196" s="256" t="n"/>
      <c r="K196" s="256" t="n"/>
    </row>
    <row r="197" ht="12.75" customHeight="1" s="253">
      <c r="A197" s="256" t="n"/>
      <c r="B197" s="256" t="n"/>
      <c r="C197" s="256" t="n"/>
      <c r="D197" s="256" t="n"/>
      <c r="E197" s="256" t="n"/>
      <c r="F197" s="256" t="n"/>
      <c r="G197" s="256" t="n"/>
      <c r="H197" s="256" t="n"/>
      <c r="I197" s="256" t="n"/>
      <c r="J197" s="256" t="n"/>
      <c r="K197" s="256" t="n"/>
    </row>
    <row r="198" ht="12.75" customHeight="1" s="253">
      <c r="A198" s="256" t="n"/>
      <c r="B198" s="256" t="n"/>
      <c r="C198" s="256" t="n"/>
      <c r="D198" s="256" t="n"/>
      <c r="E198" s="256" t="n"/>
      <c r="F198" s="256" t="n"/>
      <c r="G198" s="256" t="n"/>
      <c r="H198" s="256" t="n"/>
      <c r="I198" s="256" t="n"/>
      <c r="J198" s="256" t="n"/>
      <c r="K198" s="256" t="n"/>
    </row>
    <row r="199" ht="12.75" customHeight="1" s="253">
      <c r="A199" s="256" t="n"/>
      <c r="B199" s="256" t="n"/>
      <c r="C199" s="256" t="n"/>
      <c r="D199" s="256" t="n"/>
      <c r="E199" s="256" t="n"/>
      <c r="F199" s="256" t="n"/>
      <c r="G199" s="256" t="n"/>
      <c r="H199" s="256" t="n"/>
      <c r="I199" s="256" t="n"/>
      <c r="J199" s="256" t="n"/>
      <c r="K199" s="256" t="n"/>
    </row>
    <row r="200" ht="12.75" customHeight="1" s="253">
      <c r="A200" s="256" t="n"/>
      <c r="B200" s="256" t="n"/>
      <c r="C200" s="256" t="n"/>
      <c r="D200" s="256" t="n"/>
      <c r="E200" s="256" t="n"/>
      <c r="F200" s="256" t="n"/>
      <c r="G200" s="256" t="n"/>
      <c r="H200" s="256" t="n"/>
      <c r="I200" s="256" t="n"/>
      <c r="J200" s="256" t="n"/>
      <c r="K200" s="256" t="n"/>
    </row>
    <row r="201" ht="12.75" customHeight="1" s="253">
      <c r="A201" s="256" t="n"/>
      <c r="B201" s="256" t="n"/>
      <c r="C201" s="256" t="n"/>
      <c r="D201" s="256" t="n"/>
      <c r="E201" s="256" t="n"/>
      <c r="F201" s="256" t="n"/>
      <c r="G201" s="256" t="n"/>
      <c r="H201" s="256" t="n"/>
      <c r="I201" s="256" t="n"/>
      <c r="J201" s="256" t="n"/>
      <c r="K201" s="256" t="n"/>
    </row>
    <row r="202" ht="12.75" customHeight="1" s="253">
      <c r="A202" s="256" t="n"/>
      <c r="B202" s="256" t="n"/>
      <c r="C202" s="256" t="n"/>
      <c r="D202" s="256" t="n"/>
      <c r="E202" s="256" t="n"/>
      <c r="F202" s="256" t="n"/>
      <c r="G202" s="256" t="n"/>
      <c r="H202" s="256" t="n"/>
      <c r="I202" s="256" t="n"/>
      <c r="J202" s="256" t="n"/>
      <c r="K202" s="256" t="n"/>
    </row>
    <row r="203" ht="12.75" customHeight="1" s="253">
      <c r="A203" s="256" t="n"/>
      <c r="B203" s="256" t="n"/>
      <c r="C203" s="256" t="n"/>
      <c r="D203" s="256" t="n"/>
      <c r="E203" s="256" t="n"/>
      <c r="F203" s="256" t="n"/>
      <c r="G203" s="256" t="n"/>
      <c r="H203" s="256" t="n"/>
      <c r="I203" s="256" t="n"/>
      <c r="J203" s="256" t="n"/>
      <c r="K203" s="256" t="n"/>
    </row>
    <row r="204" ht="12.75" customHeight="1" s="253">
      <c r="A204" s="256" t="n"/>
      <c r="B204" s="256" t="n"/>
      <c r="C204" s="256" t="n"/>
      <c r="D204" s="256" t="n"/>
      <c r="E204" s="256" t="n"/>
      <c r="F204" s="256" t="n"/>
      <c r="G204" s="256" t="n"/>
      <c r="H204" s="256" t="n"/>
      <c r="I204" s="256" t="n"/>
      <c r="J204" s="256" t="n"/>
      <c r="K204" s="256" t="n"/>
    </row>
    <row r="205" ht="12.75" customHeight="1" s="253">
      <c r="A205" s="256" t="n"/>
      <c r="B205" s="256" t="n"/>
      <c r="C205" s="256" t="n"/>
      <c r="D205" s="256" t="n"/>
      <c r="E205" s="256" t="n"/>
      <c r="F205" s="256" t="n"/>
      <c r="G205" s="256" t="n"/>
      <c r="H205" s="256" t="n"/>
      <c r="I205" s="256" t="n"/>
      <c r="J205" s="256" t="n"/>
      <c r="K205" s="256" t="n"/>
    </row>
    <row r="206" ht="12.75" customHeight="1" s="253">
      <c r="A206" s="256" t="n"/>
      <c r="B206" s="256" t="n"/>
      <c r="C206" s="256" t="n"/>
      <c r="D206" s="256" t="n"/>
      <c r="E206" s="256" t="n"/>
      <c r="F206" s="256" t="n"/>
      <c r="G206" s="256" t="n"/>
      <c r="H206" s="256" t="n"/>
      <c r="I206" s="256" t="n"/>
      <c r="J206" s="256" t="n"/>
      <c r="K206" s="256" t="n"/>
    </row>
    <row r="207" ht="12.75" customHeight="1" s="253">
      <c r="A207" s="256" t="n"/>
      <c r="B207" s="256" t="n"/>
      <c r="C207" s="256" t="n"/>
      <c r="D207" s="256" t="n"/>
      <c r="E207" s="256" t="n"/>
      <c r="F207" s="256" t="n"/>
      <c r="G207" s="256" t="n"/>
      <c r="H207" s="256" t="n"/>
      <c r="I207" s="256" t="n"/>
      <c r="J207" s="256" t="n"/>
      <c r="K207" s="256" t="n"/>
    </row>
    <row r="208" ht="12.75" customHeight="1" s="253">
      <c r="A208" s="256" t="n"/>
      <c r="B208" s="256" t="n"/>
      <c r="C208" s="256" t="n"/>
      <c r="D208" s="256" t="n"/>
      <c r="E208" s="256" t="n"/>
      <c r="F208" s="256" t="n"/>
      <c r="G208" s="256" t="n"/>
      <c r="H208" s="256" t="n"/>
      <c r="I208" s="256" t="n"/>
      <c r="J208" s="256" t="n"/>
      <c r="K208" s="256" t="n"/>
    </row>
    <row r="209" ht="12.75" customHeight="1" s="253">
      <c r="A209" s="256" t="n"/>
      <c r="B209" s="256" t="n"/>
      <c r="C209" s="256" t="n"/>
      <c r="D209" s="256" t="n"/>
      <c r="E209" s="256" t="n"/>
      <c r="F209" s="256" t="n"/>
      <c r="G209" s="256" t="n"/>
      <c r="H209" s="256" t="n"/>
      <c r="I209" s="256" t="n"/>
      <c r="J209" s="256" t="n"/>
      <c r="K209" s="256" t="n"/>
    </row>
    <row r="210" ht="12.75" customHeight="1" s="253">
      <c r="A210" s="256" t="n"/>
      <c r="B210" s="256" t="n"/>
      <c r="C210" s="256" t="n"/>
      <c r="D210" s="256" t="n"/>
      <c r="E210" s="256" t="n"/>
      <c r="F210" s="256" t="n"/>
      <c r="G210" s="256" t="n"/>
      <c r="H210" s="256" t="n"/>
      <c r="I210" s="256" t="n"/>
      <c r="J210" s="256" t="n"/>
      <c r="K210" s="256" t="n"/>
    </row>
    <row r="211" ht="12.75" customHeight="1" s="253">
      <c r="A211" s="256" t="n"/>
      <c r="B211" s="256" t="n"/>
      <c r="C211" s="256" t="n"/>
      <c r="D211" s="256" t="n"/>
      <c r="E211" s="256" t="n"/>
      <c r="F211" s="256" t="n"/>
      <c r="G211" s="256" t="n"/>
      <c r="H211" s="256" t="n"/>
      <c r="I211" s="256" t="n"/>
      <c r="J211" s="256" t="n"/>
      <c r="K211" s="256" t="n"/>
    </row>
    <row r="212" ht="12.75" customHeight="1" s="253">
      <c r="A212" s="256" t="n"/>
      <c r="B212" s="256" t="n"/>
      <c r="C212" s="256" t="n"/>
      <c r="D212" s="256" t="n"/>
      <c r="E212" s="256" t="n"/>
      <c r="F212" s="256" t="n"/>
      <c r="G212" s="256" t="n"/>
      <c r="H212" s="256" t="n"/>
      <c r="I212" s="256" t="n"/>
      <c r="J212" s="256" t="n"/>
      <c r="K212" s="256" t="n"/>
    </row>
    <row r="213" ht="12.75" customHeight="1" s="253">
      <c r="A213" s="256" t="n"/>
      <c r="B213" s="256" t="n"/>
      <c r="C213" s="256" t="n"/>
      <c r="D213" s="256" t="n"/>
      <c r="E213" s="256" t="n"/>
      <c r="F213" s="256" t="n"/>
      <c r="G213" s="256" t="n"/>
      <c r="H213" s="256" t="n"/>
      <c r="I213" s="256" t="n"/>
      <c r="J213" s="256" t="n"/>
      <c r="K213" s="256" t="n"/>
    </row>
    <row r="214" ht="12.75" customHeight="1" s="253">
      <c r="A214" s="256" t="n"/>
      <c r="B214" s="256" t="n"/>
      <c r="C214" s="256" t="n"/>
      <c r="D214" s="256" t="n"/>
      <c r="E214" s="256" t="n"/>
      <c r="F214" s="256" t="n"/>
      <c r="G214" s="256" t="n"/>
      <c r="H214" s="256" t="n"/>
      <c r="I214" s="256" t="n"/>
      <c r="J214" s="256" t="n"/>
      <c r="K214" s="256" t="n"/>
    </row>
    <row r="215" ht="12.75" customHeight="1" s="253">
      <c r="A215" s="256" t="n"/>
      <c r="B215" s="256" t="n"/>
      <c r="C215" s="256" t="n"/>
      <c r="D215" s="256" t="n"/>
      <c r="E215" s="256" t="n"/>
      <c r="F215" s="256" t="n"/>
      <c r="G215" s="256" t="n"/>
      <c r="H215" s="256" t="n"/>
      <c r="I215" s="256" t="n"/>
      <c r="J215" s="256" t="n"/>
      <c r="K215" s="256" t="n"/>
    </row>
    <row r="216" ht="12.75" customHeight="1" s="253">
      <c r="A216" s="256" t="n"/>
      <c r="B216" s="256" t="n"/>
      <c r="C216" s="256" t="n"/>
      <c r="D216" s="256" t="n"/>
      <c r="E216" s="256" t="n"/>
      <c r="F216" s="256" t="n"/>
      <c r="G216" s="256" t="n"/>
      <c r="H216" s="256" t="n"/>
      <c r="I216" s="256" t="n"/>
      <c r="J216" s="256" t="n"/>
      <c r="K216" s="256" t="n"/>
    </row>
    <row r="217" ht="12.75" customHeight="1" s="253">
      <c r="A217" s="256" t="n"/>
      <c r="B217" s="256" t="n"/>
      <c r="C217" s="256" t="n"/>
      <c r="D217" s="256" t="n"/>
      <c r="E217" s="256" t="n"/>
      <c r="F217" s="256" t="n"/>
      <c r="G217" s="256" t="n"/>
      <c r="H217" s="256" t="n"/>
      <c r="I217" s="256" t="n"/>
      <c r="J217" s="256" t="n"/>
      <c r="K217" s="256" t="n"/>
    </row>
    <row r="218" ht="12.75" customHeight="1" s="253">
      <c r="A218" s="256" t="n"/>
      <c r="B218" s="256" t="n"/>
      <c r="C218" s="256" t="n"/>
      <c r="D218" s="256" t="n"/>
      <c r="E218" s="256" t="n"/>
      <c r="F218" s="256" t="n"/>
      <c r="G218" s="256" t="n"/>
      <c r="H218" s="256" t="n"/>
      <c r="I218" s="256" t="n"/>
      <c r="J218" s="256" t="n"/>
      <c r="K218" s="256" t="n"/>
    </row>
    <row r="219" ht="12.75" customHeight="1" s="253">
      <c r="A219" s="256" t="n"/>
      <c r="B219" s="256" t="n"/>
      <c r="C219" s="256" t="n"/>
      <c r="D219" s="256" t="n"/>
      <c r="E219" s="256" t="n"/>
      <c r="F219" s="256" t="n"/>
      <c r="G219" s="256" t="n"/>
      <c r="H219" s="256" t="n"/>
      <c r="I219" s="256" t="n"/>
      <c r="J219" s="256" t="n"/>
      <c r="K219" s="256" t="n"/>
    </row>
    <row r="220" ht="12.75" customHeight="1" s="253">
      <c r="A220" s="256" t="n"/>
      <c r="B220" s="256" t="n"/>
      <c r="C220" s="256" t="n"/>
      <c r="D220" s="256" t="n"/>
      <c r="E220" s="256" t="n"/>
      <c r="F220" s="256" t="n"/>
      <c r="G220" s="256" t="n"/>
      <c r="H220" s="256" t="n"/>
      <c r="I220" s="256" t="n"/>
      <c r="J220" s="256" t="n"/>
      <c r="K220" s="256" t="n"/>
    </row>
    <row r="221" ht="12.75" customHeight="1" s="253">
      <c r="A221" s="256" t="n"/>
      <c r="B221" s="256" t="n"/>
      <c r="C221" s="256" t="n"/>
      <c r="D221" s="256" t="n"/>
      <c r="E221" s="256" t="n"/>
      <c r="F221" s="256" t="n"/>
      <c r="G221" s="256" t="n"/>
      <c r="H221" s="256" t="n"/>
      <c r="I221" s="256" t="n"/>
      <c r="J221" s="256" t="n"/>
      <c r="K221" s="256" t="n"/>
    </row>
    <row r="222" ht="12.75" customHeight="1" s="253">
      <c r="A222" s="256" t="n"/>
      <c r="B222" s="256" t="n"/>
      <c r="C222" s="256" t="n"/>
      <c r="D222" s="256" t="n"/>
      <c r="E222" s="256" t="n"/>
      <c r="F222" s="256" t="n"/>
      <c r="G222" s="256" t="n"/>
      <c r="H222" s="256" t="n"/>
      <c r="I222" s="256" t="n"/>
      <c r="J222" s="256" t="n"/>
      <c r="K222" s="256" t="n"/>
    </row>
    <row r="223" ht="12.75" customHeight="1" s="253">
      <c r="A223" s="256" t="n"/>
      <c r="B223" s="256" t="n"/>
      <c r="C223" s="256" t="n"/>
      <c r="D223" s="256" t="n"/>
      <c r="E223" s="256" t="n"/>
      <c r="F223" s="256" t="n"/>
      <c r="G223" s="256" t="n"/>
      <c r="H223" s="256" t="n"/>
      <c r="I223" s="256" t="n"/>
      <c r="J223" s="256" t="n"/>
      <c r="K223" s="256" t="n"/>
    </row>
    <row r="224" ht="12.75" customHeight="1" s="253">
      <c r="A224" s="256" t="n"/>
      <c r="B224" s="256" t="n"/>
      <c r="C224" s="256" t="n"/>
      <c r="D224" s="256" t="n"/>
      <c r="E224" s="256" t="n"/>
      <c r="F224" s="256" t="n"/>
      <c r="G224" s="256" t="n"/>
      <c r="H224" s="256" t="n"/>
      <c r="I224" s="256" t="n"/>
      <c r="J224" s="256" t="n"/>
      <c r="K224" s="256" t="n"/>
    </row>
    <row r="225" ht="12.75" customHeight="1" s="253">
      <c r="A225" s="256" t="n"/>
      <c r="B225" s="256" t="n"/>
      <c r="C225" s="256" t="n"/>
      <c r="D225" s="256" t="n"/>
      <c r="E225" s="256" t="n"/>
      <c r="F225" s="256" t="n"/>
      <c r="G225" s="256" t="n"/>
      <c r="H225" s="256" t="n"/>
      <c r="I225" s="256" t="n"/>
      <c r="J225" s="256" t="n"/>
      <c r="K225" s="256" t="n"/>
    </row>
    <row r="226" ht="12.75" customHeight="1" s="253">
      <c r="A226" s="256" t="n"/>
      <c r="B226" s="256" t="n"/>
      <c r="C226" s="256" t="n"/>
      <c r="D226" s="256" t="n"/>
      <c r="E226" s="256" t="n"/>
      <c r="F226" s="256" t="n"/>
      <c r="G226" s="256" t="n"/>
      <c r="H226" s="256" t="n"/>
      <c r="I226" s="256" t="n"/>
      <c r="J226" s="256" t="n"/>
      <c r="K226" s="256" t="n"/>
    </row>
    <row r="227" ht="12.75" customHeight="1" s="253">
      <c r="A227" s="256" t="n"/>
      <c r="B227" s="256" t="n"/>
      <c r="C227" s="256" t="n"/>
      <c r="D227" s="256" t="n"/>
      <c r="E227" s="256" t="n"/>
      <c r="F227" s="256" t="n"/>
      <c r="G227" s="256" t="n"/>
      <c r="H227" s="256" t="n"/>
      <c r="I227" s="256" t="n"/>
      <c r="J227" s="256" t="n"/>
      <c r="K227" s="256" t="n"/>
    </row>
    <row r="228" ht="12.75" customHeight="1" s="253">
      <c r="A228" s="256" t="n"/>
      <c r="B228" s="256" t="n"/>
      <c r="C228" s="256" t="n"/>
      <c r="D228" s="256" t="n"/>
      <c r="E228" s="256" t="n"/>
      <c r="F228" s="256" t="n"/>
      <c r="G228" s="256" t="n"/>
      <c r="H228" s="256" t="n"/>
      <c r="I228" s="256" t="n"/>
      <c r="J228" s="256" t="n"/>
      <c r="K228" s="256" t="n"/>
    </row>
    <row r="229" ht="12.75" customHeight="1" s="253">
      <c r="A229" s="256" t="n"/>
      <c r="B229" s="256" t="n"/>
      <c r="C229" s="256" t="n"/>
      <c r="D229" s="256" t="n"/>
      <c r="E229" s="256" t="n"/>
      <c r="F229" s="256" t="n"/>
      <c r="G229" s="256" t="n"/>
      <c r="H229" s="256" t="n"/>
      <c r="I229" s="256" t="n"/>
      <c r="J229" s="256" t="n"/>
      <c r="K229" s="256" t="n"/>
    </row>
    <row r="230" ht="12.75" customHeight="1" s="253">
      <c r="A230" s="256" t="n"/>
      <c r="B230" s="256" t="n"/>
      <c r="C230" s="256" t="n"/>
      <c r="D230" s="256" t="n"/>
      <c r="E230" s="256" t="n"/>
      <c r="F230" s="256" t="n"/>
      <c r="G230" s="256" t="n"/>
      <c r="H230" s="256" t="n"/>
      <c r="I230" s="256" t="n"/>
      <c r="J230" s="256" t="n"/>
      <c r="K230" s="256" t="n"/>
    </row>
    <row r="231" ht="12.75" customHeight="1" s="253">
      <c r="A231" s="256" t="n"/>
      <c r="B231" s="256" t="n"/>
      <c r="C231" s="256" t="n"/>
      <c r="D231" s="256" t="n"/>
      <c r="E231" s="256" t="n"/>
      <c r="F231" s="256" t="n"/>
      <c r="G231" s="256" t="n"/>
      <c r="H231" s="256" t="n"/>
      <c r="I231" s="256" t="n"/>
      <c r="J231" s="256" t="n"/>
      <c r="K231" s="256" t="n"/>
    </row>
    <row r="232" ht="12.75" customHeight="1" s="253">
      <c r="A232" s="256" t="n"/>
      <c r="B232" s="256" t="n"/>
      <c r="C232" s="256" t="n"/>
      <c r="D232" s="256" t="n"/>
      <c r="E232" s="256" t="n"/>
      <c r="F232" s="256" t="n"/>
      <c r="G232" s="256" t="n"/>
      <c r="H232" s="256" t="n"/>
      <c r="I232" s="256" t="n"/>
      <c r="J232" s="256" t="n"/>
      <c r="K232" s="256" t="n"/>
    </row>
    <row r="233" ht="12.75" customHeight="1" s="253">
      <c r="A233" s="256" t="n"/>
      <c r="B233" s="256" t="n"/>
      <c r="C233" s="256" t="n"/>
      <c r="D233" s="256" t="n"/>
      <c r="E233" s="256" t="n"/>
      <c r="F233" s="256" t="n"/>
      <c r="G233" s="256" t="n"/>
      <c r="H233" s="256" t="n"/>
      <c r="I233" s="256" t="n"/>
      <c r="J233" s="256" t="n"/>
      <c r="K233" s="256" t="n"/>
    </row>
    <row r="234" ht="12.75" customHeight="1" s="253">
      <c r="A234" s="256" t="n"/>
      <c r="B234" s="256" t="n"/>
      <c r="C234" s="256" t="n"/>
      <c r="D234" s="256" t="n"/>
      <c r="E234" s="256" t="n"/>
      <c r="F234" s="256" t="n"/>
      <c r="G234" s="256" t="n"/>
      <c r="H234" s="256" t="n"/>
      <c r="I234" s="256" t="n"/>
      <c r="J234" s="256" t="n"/>
      <c r="K234" s="256" t="n"/>
    </row>
    <row r="235" ht="12.75" customHeight="1" s="253">
      <c r="A235" s="256" t="n"/>
      <c r="B235" s="256" t="n"/>
      <c r="C235" s="256" t="n"/>
      <c r="D235" s="256" t="n"/>
      <c r="E235" s="256" t="n"/>
      <c r="F235" s="256" t="n"/>
      <c r="G235" s="256" t="n"/>
      <c r="H235" s="256" t="n"/>
      <c r="I235" s="256" t="n"/>
      <c r="J235" s="256" t="n"/>
      <c r="K235" s="256" t="n"/>
    </row>
    <row r="236" ht="12.75" customHeight="1" s="253">
      <c r="A236" s="256" t="n"/>
      <c r="B236" s="256" t="n"/>
      <c r="C236" s="256" t="n"/>
      <c r="D236" s="256" t="n"/>
      <c r="E236" s="256" t="n"/>
      <c r="F236" s="256" t="n"/>
      <c r="G236" s="256" t="n"/>
      <c r="H236" s="256" t="n"/>
      <c r="I236" s="256" t="n"/>
      <c r="J236" s="256" t="n"/>
      <c r="K236" s="256" t="n"/>
    </row>
    <row r="237" ht="12.75" customHeight="1" s="253">
      <c r="A237" s="256" t="n"/>
      <c r="B237" s="256" t="n"/>
      <c r="C237" s="256" t="n"/>
      <c r="D237" s="256" t="n"/>
      <c r="E237" s="256" t="n"/>
      <c r="F237" s="256" t="n"/>
      <c r="G237" s="256" t="n"/>
      <c r="H237" s="256" t="n"/>
      <c r="I237" s="256" t="n"/>
      <c r="J237" s="256" t="n"/>
      <c r="K237" s="256" t="n"/>
    </row>
    <row r="238" ht="12.75" customHeight="1" s="253">
      <c r="A238" s="256" t="n"/>
      <c r="B238" s="256" t="n"/>
      <c r="C238" s="256" t="n"/>
      <c r="D238" s="256" t="n"/>
      <c r="E238" s="256" t="n"/>
      <c r="F238" s="256" t="n"/>
      <c r="G238" s="256" t="n"/>
      <c r="H238" s="256" t="n"/>
      <c r="I238" s="256" t="n"/>
      <c r="J238" s="256" t="n"/>
      <c r="K238" s="256" t="n"/>
    </row>
    <row r="239" ht="12.75" customHeight="1" s="253">
      <c r="A239" s="256" t="n"/>
      <c r="B239" s="256" t="n"/>
      <c r="C239" s="256" t="n"/>
      <c r="D239" s="256" t="n"/>
      <c r="E239" s="256" t="n"/>
      <c r="F239" s="256" t="n"/>
      <c r="G239" s="256" t="n"/>
      <c r="H239" s="256" t="n"/>
      <c r="I239" s="256" t="n"/>
      <c r="J239" s="256" t="n"/>
      <c r="K239" s="256" t="n"/>
    </row>
    <row r="240" ht="12.75" customHeight="1" s="253">
      <c r="A240" s="256" t="n"/>
      <c r="B240" s="256" t="n"/>
      <c r="C240" s="256" t="n"/>
      <c r="D240" s="256" t="n"/>
      <c r="E240" s="256" t="n"/>
      <c r="F240" s="256" t="n"/>
      <c r="G240" s="256" t="n"/>
      <c r="H240" s="256" t="n"/>
      <c r="I240" s="256" t="n"/>
      <c r="J240" s="256" t="n"/>
      <c r="K240" s="256" t="n"/>
    </row>
    <row r="241" ht="12.75" customHeight="1" s="253">
      <c r="A241" s="256" t="n"/>
      <c r="B241" s="256" t="n"/>
      <c r="C241" s="256" t="n"/>
      <c r="D241" s="256" t="n"/>
      <c r="E241" s="256" t="n"/>
      <c r="F241" s="256" t="n"/>
      <c r="G241" s="256" t="n"/>
      <c r="H241" s="256" t="n"/>
      <c r="I241" s="256" t="n"/>
      <c r="J241" s="256" t="n"/>
      <c r="K241" s="256" t="n"/>
    </row>
    <row r="242" ht="12.75" customHeight="1" s="253">
      <c r="A242" s="256" t="n"/>
      <c r="B242" s="256" t="n"/>
      <c r="C242" s="256" t="n"/>
      <c r="D242" s="256" t="n"/>
      <c r="E242" s="256" t="n"/>
      <c r="F242" s="256" t="n"/>
      <c r="G242" s="256" t="n"/>
      <c r="H242" s="256" t="n"/>
      <c r="I242" s="256" t="n"/>
      <c r="J242" s="256" t="n"/>
      <c r="K242" s="256" t="n"/>
    </row>
    <row r="243" ht="12.75" customHeight="1" s="253">
      <c r="A243" s="256" t="n"/>
      <c r="B243" s="256" t="n"/>
      <c r="C243" s="256" t="n"/>
      <c r="D243" s="256" t="n"/>
      <c r="E243" s="256" t="n"/>
      <c r="F243" s="256" t="n"/>
      <c r="G243" s="256" t="n"/>
      <c r="H243" s="256" t="n"/>
      <c r="I243" s="256" t="n"/>
      <c r="J243" s="256" t="n"/>
      <c r="K243" s="256" t="n"/>
    </row>
    <row r="244" ht="12.75" customHeight="1" s="253">
      <c r="A244" s="256" t="n"/>
      <c r="B244" s="256" t="n"/>
      <c r="C244" s="256" t="n"/>
      <c r="D244" s="256" t="n"/>
      <c r="E244" s="256" t="n"/>
      <c r="F244" s="256" t="n"/>
      <c r="G244" s="256" t="n"/>
      <c r="H244" s="256" t="n"/>
      <c r="I244" s="256" t="n"/>
      <c r="J244" s="256" t="n"/>
      <c r="K244" s="256" t="n"/>
    </row>
    <row r="245" ht="12.75" customHeight="1" s="253">
      <c r="A245" s="256" t="n"/>
      <c r="B245" s="256" t="n"/>
      <c r="C245" s="256" t="n"/>
      <c r="D245" s="256" t="n"/>
      <c r="E245" s="256" t="n"/>
      <c r="F245" s="256" t="n"/>
      <c r="G245" s="256" t="n"/>
      <c r="H245" s="256" t="n"/>
      <c r="I245" s="256" t="n"/>
      <c r="J245" s="256" t="n"/>
      <c r="K245" s="256" t="n"/>
    </row>
    <row r="246" ht="12.75" customHeight="1" s="253">
      <c r="A246" s="256" t="n"/>
      <c r="B246" s="256" t="n"/>
      <c r="C246" s="256" t="n"/>
      <c r="D246" s="256" t="n"/>
      <c r="E246" s="256" t="n"/>
      <c r="F246" s="256" t="n"/>
      <c r="G246" s="256" t="n"/>
      <c r="H246" s="256" t="n"/>
      <c r="I246" s="256" t="n"/>
      <c r="J246" s="256" t="n"/>
      <c r="K246" s="256" t="n"/>
    </row>
    <row r="247" ht="12.75" customHeight="1" s="253">
      <c r="A247" s="256" t="n"/>
      <c r="B247" s="256" t="n"/>
      <c r="C247" s="256" t="n"/>
      <c r="D247" s="256" t="n"/>
      <c r="E247" s="256" t="n"/>
      <c r="F247" s="256" t="n"/>
      <c r="G247" s="256" t="n"/>
      <c r="H247" s="256" t="n"/>
      <c r="I247" s="256" t="n"/>
      <c r="J247" s="256" t="n"/>
      <c r="K247" s="256" t="n"/>
    </row>
    <row r="248" ht="12.75" customHeight="1" s="253">
      <c r="A248" s="256" t="n"/>
      <c r="B248" s="256" t="n"/>
      <c r="C248" s="256" t="n"/>
      <c r="D248" s="256" t="n"/>
      <c r="E248" s="256" t="n"/>
      <c r="F248" s="256" t="n"/>
      <c r="G248" s="256" t="n"/>
      <c r="H248" s="256" t="n"/>
      <c r="I248" s="256" t="n"/>
      <c r="J248" s="256" t="n"/>
      <c r="K248" s="256" t="n"/>
    </row>
    <row r="249" ht="12.75" customHeight="1" s="253">
      <c r="A249" s="256" t="n"/>
      <c r="B249" s="256" t="n"/>
      <c r="C249" s="256" t="n"/>
      <c r="D249" s="256" t="n"/>
      <c r="E249" s="256" t="n"/>
      <c r="F249" s="256" t="n"/>
      <c r="G249" s="256" t="n"/>
      <c r="H249" s="256" t="n"/>
      <c r="I249" s="256" t="n"/>
      <c r="J249" s="256" t="n"/>
      <c r="K249" s="256" t="n"/>
    </row>
    <row r="250" ht="12.75" customHeight="1" s="253">
      <c r="A250" s="256" t="n"/>
      <c r="B250" s="256" t="n"/>
      <c r="C250" s="256" t="n"/>
      <c r="D250" s="256" t="n"/>
      <c r="E250" s="256" t="n"/>
      <c r="F250" s="256" t="n"/>
      <c r="G250" s="256" t="n"/>
      <c r="H250" s="256" t="n"/>
      <c r="I250" s="256" t="n"/>
      <c r="J250" s="256" t="n"/>
      <c r="K250" s="256" t="n"/>
    </row>
    <row r="251" ht="12.75" customHeight="1" s="253">
      <c r="A251" s="256" t="n"/>
      <c r="B251" s="256" t="n"/>
      <c r="C251" s="256" t="n"/>
      <c r="D251" s="256" t="n"/>
      <c r="E251" s="256" t="n"/>
      <c r="F251" s="256" t="n"/>
      <c r="G251" s="256" t="n"/>
      <c r="H251" s="256" t="n"/>
      <c r="I251" s="256" t="n"/>
      <c r="J251" s="256" t="n"/>
      <c r="K251" s="256" t="n"/>
    </row>
    <row r="252" ht="15.75" customHeight="1" s="253"/>
    <row r="253" ht="15.75" customHeight="1" s="253"/>
    <row r="254" ht="15.75" customHeight="1" s="253"/>
    <row r="255" ht="15.75" customHeight="1" s="253"/>
    <row r="256" ht="15.75" customHeight="1" s="253"/>
    <row r="257" ht="15.75" customHeight="1" s="253"/>
    <row r="258" ht="15.75" customHeight="1" s="253"/>
    <row r="259" ht="15.75" customHeight="1" s="253"/>
    <row r="260" ht="15.75" customHeight="1" s="253"/>
    <row r="261" ht="15.75" customHeight="1" s="253"/>
    <row r="262" ht="15.75" customHeight="1" s="253"/>
    <row r="263" ht="15.75" customHeight="1" s="253"/>
    <row r="264" ht="15.75" customHeight="1" s="253"/>
    <row r="265" ht="15.75" customHeight="1" s="253"/>
    <row r="266" ht="15.75" customHeight="1" s="253"/>
    <row r="267" ht="15.75" customHeight="1" s="253"/>
    <row r="268" ht="15.75" customHeight="1" s="253"/>
    <row r="269" ht="15.75" customHeight="1" s="253"/>
    <row r="270" ht="15.75" customHeight="1" s="253"/>
    <row r="271" ht="15.75" customHeight="1" s="253"/>
    <row r="272" ht="15.75" customHeight="1" s="253"/>
    <row r="273" ht="15.75" customHeight="1" s="253"/>
    <row r="274" ht="15.75" customHeight="1" s="253"/>
    <row r="275" ht="15.75" customHeight="1" s="253"/>
    <row r="276" ht="15.75" customHeight="1" s="253"/>
    <row r="277" ht="15.75" customHeight="1" s="253"/>
    <row r="278" ht="15.75" customHeight="1" s="253"/>
    <row r="279" ht="15.75" customHeight="1" s="253"/>
    <row r="280" ht="15.75" customHeight="1" s="253"/>
    <row r="281" ht="15.75" customHeight="1" s="253"/>
    <row r="282" ht="15.75" customHeight="1" s="253"/>
    <row r="283" ht="15.75" customHeight="1" s="253"/>
    <row r="284" ht="15.75" customHeight="1" s="253"/>
    <row r="285" ht="15.75" customHeight="1" s="253"/>
    <row r="286" ht="15.75" customHeight="1" s="253"/>
    <row r="287" ht="15.75" customHeight="1" s="253"/>
    <row r="288" ht="15.75" customHeight="1" s="253"/>
    <row r="289" ht="15.75" customHeight="1" s="253"/>
    <row r="290" ht="15.75" customHeight="1" s="253"/>
    <row r="291" ht="15.75" customHeight="1" s="253"/>
    <row r="292" ht="15.75" customHeight="1" s="253"/>
    <row r="293" ht="15.75" customHeight="1" s="253"/>
    <row r="294" ht="15.75" customHeight="1" s="253"/>
    <row r="295" ht="15.75" customHeight="1" s="253"/>
    <row r="296" ht="15.75" customHeight="1" s="253"/>
    <row r="297" ht="15.75" customHeight="1" s="253"/>
    <row r="298" ht="15.75" customHeight="1" s="253"/>
    <row r="299" ht="15.75" customHeight="1" s="253"/>
    <row r="300" ht="15.75" customHeight="1" s="253"/>
    <row r="301" ht="15.75" customHeight="1" s="253"/>
    <row r="302" ht="15.75" customHeight="1" s="253"/>
    <row r="303" ht="15.75" customHeight="1" s="253"/>
    <row r="304" ht="15.75" customHeight="1" s="253"/>
    <row r="305" ht="15.75" customHeight="1" s="253"/>
    <row r="306" ht="15.75" customHeight="1" s="253"/>
    <row r="307" ht="15.75" customHeight="1" s="253"/>
    <row r="308" ht="15.75" customHeight="1" s="253"/>
    <row r="309" ht="15.75" customHeight="1" s="253"/>
    <row r="310" ht="15.75" customHeight="1" s="253"/>
    <row r="311" ht="15.75" customHeight="1" s="253"/>
    <row r="312" ht="15.75" customHeight="1" s="253"/>
    <row r="313" ht="15.75" customHeight="1" s="253"/>
    <row r="314" ht="15.75" customHeight="1" s="253"/>
    <row r="315" ht="15.75" customHeight="1" s="253"/>
    <row r="316" ht="15.75" customHeight="1" s="253"/>
    <row r="317" ht="15.75" customHeight="1" s="253"/>
    <row r="318" ht="15.75" customHeight="1" s="253"/>
    <row r="319" ht="15.75" customHeight="1" s="253"/>
    <row r="320" ht="15.75" customHeight="1" s="253"/>
    <row r="321" ht="15.75" customHeight="1" s="253"/>
    <row r="322" ht="15.75" customHeight="1" s="253"/>
    <row r="323" ht="15.75" customHeight="1" s="253"/>
    <row r="324" ht="15.75" customHeight="1" s="253"/>
    <row r="325" ht="15.75" customHeight="1" s="253"/>
    <row r="326" ht="15.75" customHeight="1" s="253"/>
    <row r="327" ht="15.75" customHeight="1" s="253"/>
    <row r="328" ht="15.75" customHeight="1" s="253"/>
    <row r="329" ht="15.75" customHeight="1" s="253"/>
    <row r="330" ht="15.75" customHeight="1" s="253"/>
    <row r="331" ht="15.75" customHeight="1" s="253"/>
    <row r="332" ht="15.75" customHeight="1" s="253"/>
    <row r="333" ht="15.75" customHeight="1" s="253"/>
    <row r="334" ht="15.75" customHeight="1" s="253"/>
    <row r="335" ht="15.75" customHeight="1" s="253"/>
    <row r="336" ht="15.75" customHeight="1" s="253"/>
    <row r="337" ht="15.75" customHeight="1" s="253"/>
    <row r="338" ht="15.75" customHeight="1" s="253"/>
    <row r="339" ht="15.75" customHeight="1" s="253"/>
    <row r="340" ht="15.75" customHeight="1" s="253"/>
    <row r="341" ht="15.75" customHeight="1" s="253"/>
    <row r="342" ht="15.75" customHeight="1" s="253"/>
    <row r="343" ht="15.75" customHeight="1" s="253"/>
    <row r="344" ht="15.75" customHeight="1" s="253"/>
    <row r="345" ht="15.75" customHeight="1" s="253"/>
    <row r="346" ht="15.75" customHeight="1" s="253"/>
    <row r="347" ht="15.75" customHeight="1" s="253"/>
    <row r="348" ht="15.75" customHeight="1" s="253"/>
    <row r="349" ht="15.75" customHeight="1" s="253"/>
    <row r="350" ht="15.75" customHeight="1" s="253"/>
    <row r="351" ht="15.75" customHeight="1" s="253"/>
    <row r="352" ht="15.75" customHeight="1" s="253"/>
    <row r="353" ht="15.75" customHeight="1" s="253"/>
    <row r="354" ht="15.75" customHeight="1" s="253"/>
    <row r="355" ht="15.75" customHeight="1" s="253"/>
    <row r="356" ht="15.75" customHeight="1" s="253"/>
    <row r="357" ht="15.75" customHeight="1" s="253"/>
    <row r="358" ht="15.75" customHeight="1" s="253"/>
    <row r="359" ht="15.75" customHeight="1" s="253"/>
    <row r="360" ht="15.75" customHeight="1" s="253"/>
    <row r="361" ht="15.75" customHeight="1" s="253"/>
    <row r="362" ht="15.75" customHeight="1" s="253"/>
    <row r="363" ht="15.75" customHeight="1" s="253"/>
    <row r="364" ht="15.75" customHeight="1" s="253"/>
    <row r="365" ht="15.75" customHeight="1" s="253"/>
    <row r="366" ht="15.75" customHeight="1" s="253"/>
    <row r="367" ht="15.75" customHeight="1" s="253"/>
    <row r="368" ht="15.75" customHeight="1" s="253"/>
    <row r="369" ht="15.75" customHeight="1" s="253"/>
    <row r="370" ht="15.75" customHeight="1" s="253"/>
    <row r="371" ht="15.75" customHeight="1" s="253"/>
    <row r="372" ht="15.75" customHeight="1" s="253"/>
    <row r="373" ht="15.75" customHeight="1" s="253"/>
    <row r="374" ht="15.75" customHeight="1" s="253"/>
    <row r="375" ht="15.75" customHeight="1" s="253"/>
    <row r="376" ht="15.75" customHeight="1" s="253"/>
    <row r="377" ht="15.75" customHeight="1" s="253"/>
    <row r="378" ht="15.75" customHeight="1" s="253"/>
    <row r="379" ht="15.75" customHeight="1" s="253"/>
    <row r="380" ht="15.75" customHeight="1" s="253"/>
    <row r="381" ht="15.75" customHeight="1" s="253"/>
    <row r="382" ht="15.75" customHeight="1" s="253"/>
    <row r="383" ht="15.75" customHeight="1" s="253"/>
    <row r="384" ht="15.75" customHeight="1" s="253"/>
    <row r="385" ht="15.75" customHeight="1" s="253"/>
    <row r="386" ht="15.75" customHeight="1" s="253"/>
    <row r="387" ht="15.75" customHeight="1" s="253"/>
    <row r="388" ht="15.75" customHeight="1" s="253"/>
    <row r="389" ht="15.75" customHeight="1" s="253"/>
    <row r="390" ht="15.75" customHeight="1" s="253"/>
    <row r="391" ht="15.75" customHeight="1" s="253"/>
    <row r="392" ht="15.75" customHeight="1" s="253"/>
    <row r="393" ht="15.75" customHeight="1" s="253"/>
    <row r="394" ht="15.75" customHeight="1" s="253"/>
    <row r="395" ht="15.75" customHeight="1" s="253"/>
    <row r="396" ht="15.75" customHeight="1" s="253"/>
    <row r="397" ht="15.75" customHeight="1" s="253"/>
    <row r="398" ht="15.75" customHeight="1" s="253"/>
    <row r="399" ht="15.75" customHeight="1" s="253"/>
    <row r="400" ht="15.75" customHeight="1" s="253"/>
    <row r="401" ht="15.75" customHeight="1" s="253"/>
    <row r="402" ht="15.75" customHeight="1" s="253"/>
    <row r="403" ht="15.75" customHeight="1" s="253"/>
    <row r="404" ht="15.75" customHeight="1" s="253"/>
    <row r="405" ht="15.75" customHeight="1" s="253"/>
    <row r="406" ht="15.75" customHeight="1" s="253"/>
    <row r="407" ht="15.75" customHeight="1" s="253"/>
    <row r="408" ht="15.75" customHeight="1" s="253"/>
    <row r="409" ht="15.75" customHeight="1" s="253"/>
    <row r="410" ht="15.75" customHeight="1" s="253"/>
    <row r="411" ht="15.75" customHeight="1" s="253"/>
    <row r="412" ht="15.75" customHeight="1" s="253"/>
    <row r="413" ht="15.75" customHeight="1" s="253"/>
    <row r="414" ht="15.75" customHeight="1" s="253"/>
    <row r="415" ht="15.75" customHeight="1" s="253"/>
    <row r="416" ht="15.75" customHeight="1" s="253"/>
    <row r="417" ht="15.75" customHeight="1" s="253"/>
    <row r="418" ht="15.75" customHeight="1" s="253"/>
    <row r="419" ht="15.75" customHeight="1" s="253"/>
    <row r="420" ht="15.75" customHeight="1" s="253"/>
    <row r="421" ht="15.75" customHeight="1" s="253"/>
    <row r="422" ht="15.75" customHeight="1" s="253"/>
    <row r="423" ht="15.75" customHeight="1" s="253"/>
    <row r="424" ht="15.75" customHeight="1" s="253"/>
    <row r="425" ht="15.75" customHeight="1" s="253"/>
    <row r="426" ht="15.75" customHeight="1" s="253"/>
    <row r="427" ht="15.75" customHeight="1" s="253"/>
    <row r="428" ht="15.75" customHeight="1" s="253"/>
    <row r="429" ht="15.75" customHeight="1" s="253"/>
    <row r="430" ht="15.75" customHeight="1" s="253"/>
    <row r="431" ht="15.75" customHeight="1" s="253"/>
    <row r="432" ht="15.75" customHeight="1" s="253"/>
    <row r="433" ht="15.75" customHeight="1" s="253"/>
    <row r="434" ht="15.75" customHeight="1" s="253"/>
    <row r="435" ht="15.75" customHeight="1" s="253"/>
    <row r="436" ht="15.75" customHeight="1" s="253"/>
    <row r="437" ht="15.75" customHeight="1" s="253"/>
    <row r="438" ht="15.75" customHeight="1" s="253"/>
    <row r="439" ht="15.75" customHeight="1" s="253"/>
    <row r="440" ht="15.75" customHeight="1" s="253"/>
    <row r="441" ht="15.75" customHeight="1" s="253"/>
    <row r="442" ht="15.75" customHeight="1" s="253"/>
    <row r="443" ht="15.75" customHeight="1" s="253"/>
    <row r="444" ht="15.75" customHeight="1" s="253"/>
    <row r="445" ht="15.75" customHeight="1" s="253"/>
    <row r="446" ht="15.75" customHeight="1" s="253"/>
    <row r="447" ht="15.75" customHeight="1" s="253"/>
    <row r="448" ht="15.75" customHeight="1" s="253"/>
    <row r="449" ht="15.75" customHeight="1" s="253"/>
    <row r="450" ht="15.75" customHeight="1" s="253"/>
    <row r="451" ht="15.75" customHeight="1" s="253"/>
    <row r="452" ht="15.75" customHeight="1" s="253"/>
    <row r="453" ht="15.75" customHeight="1" s="253"/>
    <row r="454" ht="15.75" customHeight="1" s="253"/>
    <row r="455" ht="15.75" customHeight="1" s="253"/>
    <row r="456" ht="15.75" customHeight="1" s="253"/>
    <row r="457" ht="15.75" customHeight="1" s="253"/>
    <row r="458" ht="15.75" customHeight="1" s="253"/>
    <row r="459" ht="15.75" customHeight="1" s="253"/>
    <row r="460" ht="15.75" customHeight="1" s="253"/>
    <row r="461" ht="15.75" customHeight="1" s="253"/>
    <row r="462" ht="15.75" customHeight="1" s="253"/>
    <row r="463" ht="15.75" customHeight="1" s="253"/>
    <row r="464" ht="15.75" customHeight="1" s="253"/>
    <row r="465" ht="15.75" customHeight="1" s="253"/>
    <row r="466" ht="15.75" customHeight="1" s="253"/>
    <row r="467" ht="15.75" customHeight="1" s="253"/>
    <row r="468" ht="15.75" customHeight="1" s="253"/>
    <row r="469" ht="15.75" customHeight="1" s="253"/>
    <row r="470" ht="15.75" customHeight="1" s="253"/>
    <row r="471" ht="15.75" customHeight="1" s="253"/>
    <row r="472" ht="15.75" customHeight="1" s="253"/>
    <row r="473" ht="15.75" customHeight="1" s="253"/>
    <row r="474" ht="15.75" customHeight="1" s="253"/>
    <row r="475" ht="15.75" customHeight="1" s="253"/>
    <row r="476" ht="15.75" customHeight="1" s="253"/>
    <row r="477" ht="15.75" customHeight="1" s="253"/>
    <row r="478" ht="15.75" customHeight="1" s="253"/>
    <row r="479" ht="15.75" customHeight="1" s="253"/>
    <row r="480" ht="15.75" customHeight="1" s="253"/>
    <row r="481" ht="15.75" customHeight="1" s="253"/>
    <row r="482" ht="15.75" customHeight="1" s="253"/>
    <row r="483" ht="15.75" customHeight="1" s="253"/>
    <row r="484" ht="15.75" customHeight="1" s="253"/>
    <row r="485" ht="15.75" customHeight="1" s="253"/>
    <row r="486" ht="15.75" customHeight="1" s="253"/>
    <row r="487" ht="15.75" customHeight="1" s="253"/>
    <row r="488" ht="15.75" customHeight="1" s="253"/>
    <row r="489" ht="15.75" customHeight="1" s="253"/>
    <row r="490" ht="15.75" customHeight="1" s="253"/>
    <row r="491" ht="15.75" customHeight="1" s="253"/>
    <row r="492" ht="15.75" customHeight="1" s="253"/>
    <row r="493" ht="15.75" customHeight="1" s="253"/>
    <row r="494" ht="15.75" customHeight="1" s="253"/>
    <row r="495" ht="15.75" customHeight="1" s="253"/>
    <row r="496" ht="15.75" customHeight="1" s="253"/>
    <row r="497" ht="15.75" customHeight="1" s="253"/>
    <row r="498" ht="15.75" customHeight="1" s="253"/>
    <row r="499" ht="15.75" customHeight="1" s="253"/>
    <row r="500" ht="15.75" customHeight="1" s="253"/>
    <row r="501" ht="15.75" customHeight="1" s="253"/>
    <row r="502" ht="15.75" customHeight="1" s="253"/>
    <row r="503" ht="15.75" customHeight="1" s="253"/>
    <row r="504" ht="15.75" customHeight="1" s="253"/>
    <row r="505" ht="15.75" customHeight="1" s="253"/>
    <row r="506" ht="15.75" customHeight="1" s="253"/>
    <row r="507" ht="15.75" customHeight="1" s="253"/>
    <row r="508" ht="15.75" customHeight="1" s="253"/>
    <row r="509" ht="15.75" customHeight="1" s="253"/>
    <row r="510" ht="15.75" customHeight="1" s="253"/>
    <row r="511" ht="15.75" customHeight="1" s="253"/>
    <row r="512" ht="15.75" customHeight="1" s="253"/>
    <row r="513" ht="15.75" customHeight="1" s="253"/>
    <row r="514" ht="15.75" customHeight="1" s="253"/>
    <row r="515" ht="15.75" customHeight="1" s="253"/>
    <row r="516" ht="15.75" customHeight="1" s="253"/>
    <row r="517" ht="15.75" customHeight="1" s="253"/>
    <row r="518" ht="15.75" customHeight="1" s="253"/>
    <row r="519" ht="15.75" customHeight="1" s="253"/>
    <row r="520" ht="15.75" customHeight="1" s="253"/>
    <row r="521" ht="15.75" customHeight="1" s="253"/>
    <row r="522" ht="15.75" customHeight="1" s="253"/>
    <row r="523" ht="15.75" customHeight="1" s="253"/>
    <row r="524" ht="15.75" customHeight="1" s="253"/>
    <row r="525" ht="15.75" customHeight="1" s="253"/>
    <row r="526" ht="15.75" customHeight="1" s="253"/>
    <row r="527" ht="15.75" customHeight="1" s="253"/>
    <row r="528" ht="15.75" customHeight="1" s="253"/>
    <row r="529" ht="15.75" customHeight="1" s="253"/>
    <row r="530" ht="15.75" customHeight="1" s="253"/>
    <row r="531" ht="15.75" customHeight="1" s="253"/>
    <row r="532" ht="15.75" customHeight="1" s="253"/>
    <row r="533" ht="15.75" customHeight="1" s="253"/>
    <row r="534" ht="15.75" customHeight="1" s="253"/>
    <row r="535" ht="15.75" customHeight="1" s="253"/>
    <row r="536" ht="15.75" customHeight="1" s="253"/>
    <row r="537" ht="15.75" customHeight="1" s="253"/>
    <row r="538" ht="15.75" customHeight="1" s="253"/>
    <row r="539" ht="15.75" customHeight="1" s="253"/>
    <row r="540" ht="15.75" customHeight="1" s="253"/>
    <row r="541" ht="15.75" customHeight="1" s="253"/>
    <row r="542" ht="15.75" customHeight="1" s="253"/>
    <row r="543" ht="15.75" customHeight="1" s="253"/>
    <row r="544" ht="15.75" customHeight="1" s="253"/>
    <row r="545" ht="15.75" customHeight="1" s="253"/>
    <row r="546" ht="15.75" customHeight="1" s="253"/>
    <row r="547" ht="15.75" customHeight="1" s="253"/>
    <row r="548" ht="15.75" customHeight="1" s="253"/>
    <row r="549" ht="15.75" customHeight="1" s="253"/>
    <row r="550" ht="15.75" customHeight="1" s="253"/>
    <row r="551" ht="15.75" customHeight="1" s="253"/>
    <row r="552" ht="15.75" customHeight="1" s="253"/>
    <row r="553" ht="15.75" customHeight="1" s="253"/>
    <row r="554" ht="15.75" customHeight="1" s="253"/>
    <row r="555" ht="15.75" customHeight="1" s="253"/>
    <row r="556" ht="15.75" customHeight="1" s="253"/>
    <row r="557" ht="15.75" customHeight="1" s="253"/>
    <row r="558" ht="15.75" customHeight="1" s="253"/>
    <row r="559" ht="15.75" customHeight="1" s="253"/>
    <row r="560" ht="15.75" customHeight="1" s="253"/>
    <row r="561" ht="15.75" customHeight="1" s="253"/>
    <row r="562" ht="15.75" customHeight="1" s="253"/>
    <row r="563" ht="15.75" customHeight="1" s="253"/>
    <row r="564" ht="15.75" customHeight="1" s="253"/>
    <row r="565" ht="15.75" customHeight="1" s="253"/>
    <row r="566" ht="15.75" customHeight="1" s="253"/>
    <row r="567" ht="15.75" customHeight="1" s="253"/>
    <row r="568" ht="15.75" customHeight="1" s="253"/>
    <row r="569" ht="15.75" customHeight="1" s="253"/>
    <row r="570" ht="15.75" customHeight="1" s="253"/>
    <row r="571" ht="15.75" customHeight="1" s="253"/>
    <row r="572" ht="15.75" customHeight="1" s="253"/>
    <row r="573" ht="15.75" customHeight="1" s="253"/>
    <row r="574" ht="15.75" customHeight="1" s="253"/>
    <row r="575" ht="15.75" customHeight="1" s="253"/>
    <row r="576" ht="15.75" customHeight="1" s="253"/>
    <row r="577" ht="15.75" customHeight="1" s="253"/>
    <row r="578" ht="15.75" customHeight="1" s="253"/>
    <row r="579" ht="15.75" customHeight="1" s="253"/>
    <row r="580" ht="15.75" customHeight="1" s="253"/>
    <row r="581" ht="15.75" customHeight="1" s="253"/>
    <row r="582" ht="15.75" customHeight="1" s="253"/>
    <row r="583" ht="15.75" customHeight="1" s="253"/>
    <row r="584" ht="15.75" customHeight="1" s="253"/>
    <row r="585" ht="15.75" customHeight="1" s="253"/>
    <row r="586" ht="15.75" customHeight="1" s="253"/>
    <row r="587" ht="15.75" customHeight="1" s="253"/>
    <row r="588" ht="15.75" customHeight="1" s="253"/>
    <row r="589" ht="15.75" customHeight="1" s="253"/>
    <row r="590" ht="15.75" customHeight="1" s="253"/>
    <row r="591" ht="15.75" customHeight="1" s="253"/>
    <row r="592" ht="15.75" customHeight="1" s="253"/>
    <row r="593" ht="15.75" customHeight="1" s="253"/>
    <row r="594" ht="15.75" customHeight="1" s="253"/>
    <row r="595" ht="15.75" customHeight="1" s="253"/>
    <row r="596" ht="15.75" customHeight="1" s="253"/>
    <row r="597" ht="15.75" customHeight="1" s="253"/>
    <row r="598" ht="15.75" customHeight="1" s="253"/>
    <row r="599" ht="15.75" customHeight="1" s="253"/>
    <row r="600" ht="15.75" customHeight="1" s="253"/>
    <row r="601" ht="15.75" customHeight="1" s="253"/>
    <row r="602" ht="15.75" customHeight="1" s="253"/>
    <row r="603" ht="15.75" customHeight="1" s="253"/>
    <row r="604" ht="15.75" customHeight="1" s="253"/>
    <row r="605" ht="15.75" customHeight="1" s="253"/>
    <row r="606" ht="15.75" customHeight="1" s="253"/>
    <row r="607" ht="15.75" customHeight="1" s="253"/>
    <row r="608" ht="15.75" customHeight="1" s="253"/>
    <row r="609" ht="15.75" customHeight="1" s="253"/>
    <row r="610" ht="15.75" customHeight="1" s="253"/>
    <row r="611" ht="15.75" customHeight="1" s="253"/>
    <row r="612" ht="15.75" customHeight="1" s="253"/>
    <row r="613" ht="15.75" customHeight="1" s="253"/>
    <row r="614" ht="15.75" customHeight="1" s="253"/>
    <row r="615" ht="15.75" customHeight="1" s="253"/>
    <row r="616" ht="15.75" customHeight="1" s="253"/>
    <row r="617" ht="15.75" customHeight="1" s="253"/>
    <row r="618" ht="15.75" customHeight="1" s="253"/>
    <row r="619" ht="15.75" customHeight="1" s="253"/>
    <row r="620" ht="15.75" customHeight="1" s="253"/>
    <row r="621" ht="15.75" customHeight="1" s="253"/>
    <row r="622" ht="15.75" customHeight="1" s="253"/>
    <row r="623" ht="15.75" customHeight="1" s="253"/>
    <row r="624" ht="15.75" customHeight="1" s="253"/>
    <row r="625" ht="15.75" customHeight="1" s="253"/>
    <row r="626" ht="15.75" customHeight="1" s="253"/>
    <row r="627" ht="15.75" customHeight="1" s="253"/>
    <row r="628" ht="15.75" customHeight="1" s="253"/>
    <row r="629" ht="15.75" customHeight="1" s="253"/>
    <row r="630" ht="15.75" customHeight="1" s="253"/>
    <row r="631" ht="15.75" customHeight="1" s="253"/>
    <row r="632" ht="15.75" customHeight="1" s="253"/>
    <row r="633" ht="15.75" customHeight="1" s="253"/>
    <row r="634" ht="15.75" customHeight="1" s="253"/>
    <row r="635" ht="15.75" customHeight="1" s="253"/>
    <row r="636" ht="15.75" customHeight="1" s="253"/>
    <row r="637" ht="15.75" customHeight="1" s="253"/>
    <row r="638" ht="15.75" customHeight="1" s="253"/>
    <row r="639" ht="15.75" customHeight="1" s="253"/>
    <row r="640" ht="15.75" customHeight="1" s="253"/>
    <row r="641" ht="15.75" customHeight="1" s="253"/>
    <row r="642" ht="15.75" customHeight="1" s="253"/>
    <row r="643" ht="15.75" customHeight="1" s="253"/>
    <row r="644" ht="15.75" customHeight="1" s="253"/>
    <row r="645" ht="15.75" customHeight="1" s="253"/>
    <row r="646" ht="15.75" customHeight="1" s="253"/>
    <row r="647" ht="15.75" customHeight="1" s="253"/>
    <row r="648" ht="15.75" customHeight="1" s="253"/>
    <row r="649" ht="15.75" customHeight="1" s="253"/>
    <row r="650" ht="15.75" customHeight="1" s="253"/>
    <row r="651" ht="15.75" customHeight="1" s="253"/>
    <row r="652" ht="15.75" customHeight="1" s="253"/>
    <row r="653" ht="15.75" customHeight="1" s="253"/>
    <row r="654" ht="15.75" customHeight="1" s="253"/>
    <row r="655" ht="15.75" customHeight="1" s="253"/>
    <row r="656" ht="15.75" customHeight="1" s="253"/>
    <row r="657" ht="15.75" customHeight="1" s="253"/>
    <row r="658" ht="15.75" customHeight="1" s="253"/>
    <row r="659" ht="15.75" customHeight="1" s="253"/>
    <row r="660" ht="15.75" customHeight="1" s="253"/>
    <row r="661" ht="15.75" customHeight="1" s="253"/>
    <row r="662" ht="15.75" customHeight="1" s="253"/>
    <row r="663" ht="15.75" customHeight="1" s="253"/>
    <row r="664" ht="15.75" customHeight="1" s="253"/>
    <row r="665" ht="15.75" customHeight="1" s="253"/>
    <row r="666" ht="15.75" customHeight="1" s="253"/>
    <row r="667" ht="15.75" customHeight="1" s="253"/>
    <row r="668" ht="15.75" customHeight="1" s="253"/>
    <row r="669" ht="15.75" customHeight="1" s="253"/>
    <row r="670" ht="15.75" customHeight="1" s="253"/>
    <row r="671" ht="15.75" customHeight="1" s="253"/>
    <row r="672" ht="15.75" customHeight="1" s="253"/>
    <row r="673" ht="15.75" customHeight="1" s="253"/>
    <row r="674" ht="15.75" customHeight="1" s="253"/>
    <row r="675" ht="15.75" customHeight="1" s="253"/>
    <row r="676" ht="15.75" customHeight="1" s="253"/>
    <row r="677" ht="15.75" customHeight="1" s="253"/>
    <row r="678" ht="15.75" customHeight="1" s="253"/>
    <row r="679" ht="15.75" customHeight="1" s="253"/>
    <row r="680" ht="15.75" customHeight="1" s="253"/>
    <row r="681" ht="15.75" customHeight="1" s="253"/>
    <row r="682" ht="15.75" customHeight="1" s="253"/>
    <row r="683" ht="15.75" customHeight="1" s="253"/>
    <row r="684" ht="15.75" customHeight="1" s="253"/>
    <row r="685" ht="15.75" customHeight="1" s="253"/>
    <row r="686" ht="15.75" customHeight="1" s="253"/>
    <row r="687" ht="15.75" customHeight="1" s="253"/>
    <row r="688" ht="15.75" customHeight="1" s="253"/>
    <row r="689" ht="15.75" customHeight="1" s="253"/>
    <row r="690" ht="15.75" customHeight="1" s="253"/>
    <row r="691" ht="15.75" customHeight="1" s="253"/>
    <row r="692" ht="15.75" customHeight="1" s="253"/>
    <row r="693" ht="15.75" customHeight="1" s="253"/>
    <row r="694" ht="15.75" customHeight="1" s="253"/>
    <row r="695" ht="15.75" customHeight="1" s="253"/>
    <row r="696" ht="15.75" customHeight="1" s="253"/>
    <row r="697" ht="15.75" customHeight="1" s="253"/>
    <row r="698" ht="15.75" customHeight="1" s="253"/>
    <row r="699" ht="15.75" customHeight="1" s="253"/>
    <row r="700" ht="15.75" customHeight="1" s="253"/>
    <row r="701" ht="15.75" customHeight="1" s="253"/>
    <row r="702" ht="15.75" customHeight="1" s="253"/>
    <row r="703" ht="15.75" customHeight="1" s="253"/>
    <row r="704" ht="15.75" customHeight="1" s="253"/>
    <row r="705" ht="15.75" customHeight="1" s="253"/>
    <row r="706" ht="15.75" customHeight="1" s="253"/>
    <row r="707" ht="15.75" customHeight="1" s="253"/>
    <row r="708" ht="15.75" customHeight="1" s="253"/>
    <row r="709" ht="15.75" customHeight="1" s="253"/>
    <row r="710" ht="15.75" customHeight="1" s="253"/>
    <row r="711" ht="15.75" customHeight="1" s="253"/>
    <row r="712" ht="15.75" customHeight="1" s="253"/>
    <row r="713" ht="15.75" customHeight="1" s="253"/>
    <row r="714" ht="15.75" customHeight="1" s="253"/>
    <row r="715" ht="15.75" customHeight="1" s="253"/>
    <row r="716" ht="15.75" customHeight="1" s="253"/>
    <row r="717" ht="15.75" customHeight="1" s="253"/>
    <row r="718" ht="15.75" customHeight="1" s="253"/>
    <row r="719" ht="15.75" customHeight="1" s="253"/>
    <row r="720" ht="15.75" customHeight="1" s="253"/>
    <row r="721" ht="15.75" customHeight="1" s="253"/>
    <row r="722" ht="15.75" customHeight="1" s="253"/>
    <row r="723" ht="15.75" customHeight="1" s="253"/>
    <row r="724" ht="15.75" customHeight="1" s="253"/>
    <row r="725" ht="15.75" customHeight="1" s="253"/>
    <row r="726" ht="15.75" customHeight="1" s="253"/>
    <row r="727" ht="15.75" customHeight="1" s="253"/>
    <row r="728" ht="15.75" customHeight="1" s="253"/>
    <row r="729" ht="15.75" customHeight="1" s="253"/>
    <row r="730" ht="15.75" customHeight="1" s="253"/>
    <row r="731" ht="15.75" customHeight="1" s="253"/>
    <row r="732" ht="15.75" customHeight="1" s="253"/>
    <row r="733" ht="15.75" customHeight="1" s="253"/>
    <row r="734" ht="15.75" customHeight="1" s="253"/>
    <row r="735" ht="15.75" customHeight="1" s="253"/>
    <row r="736" ht="15.75" customHeight="1" s="253"/>
    <row r="737" ht="15.75" customHeight="1" s="253"/>
    <row r="738" ht="15.75" customHeight="1" s="253"/>
    <row r="739" ht="15.75" customHeight="1" s="253"/>
    <row r="740" ht="15.75" customHeight="1" s="253"/>
    <row r="741" ht="15.75" customHeight="1" s="253"/>
    <row r="742" ht="15.75" customHeight="1" s="253"/>
    <row r="743" ht="15.75" customHeight="1" s="253"/>
    <row r="744" ht="15.75" customHeight="1" s="253"/>
    <row r="745" ht="15.75" customHeight="1" s="253"/>
    <row r="746" ht="15.75" customHeight="1" s="253"/>
    <row r="747" ht="15.75" customHeight="1" s="253"/>
    <row r="748" ht="15.75" customHeight="1" s="253"/>
    <row r="749" ht="15.75" customHeight="1" s="253"/>
    <row r="750" ht="15.75" customHeight="1" s="253"/>
    <row r="751" ht="15.75" customHeight="1" s="253"/>
    <row r="752" ht="15.75" customHeight="1" s="253"/>
    <row r="753" ht="15.75" customHeight="1" s="253"/>
    <row r="754" ht="15.75" customHeight="1" s="253"/>
    <row r="755" ht="15.75" customHeight="1" s="253"/>
    <row r="756" ht="15.75" customHeight="1" s="253"/>
    <row r="757" ht="15.75" customHeight="1" s="253"/>
    <row r="758" ht="15.75" customHeight="1" s="253"/>
    <row r="759" ht="15.75" customHeight="1" s="253"/>
    <row r="760" ht="15.75" customHeight="1" s="253"/>
    <row r="761" ht="15.75" customHeight="1" s="253"/>
    <row r="762" ht="15.75" customHeight="1" s="253"/>
    <row r="763" ht="15.75" customHeight="1" s="253"/>
    <row r="764" ht="15.75" customHeight="1" s="253"/>
    <row r="765" ht="15.75" customHeight="1" s="253"/>
    <row r="766" ht="15.75" customHeight="1" s="253"/>
    <row r="767" ht="15.75" customHeight="1" s="253"/>
    <row r="768" ht="15.75" customHeight="1" s="253"/>
    <row r="769" ht="15.75" customHeight="1" s="253"/>
    <row r="770" ht="15.75" customHeight="1" s="253"/>
    <row r="771" ht="15.75" customHeight="1" s="253"/>
    <row r="772" ht="15.75" customHeight="1" s="253"/>
    <row r="773" ht="15.75" customHeight="1" s="253"/>
    <row r="774" ht="15.75" customHeight="1" s="253"/>
    <row r="775" ht="15.75" customHeight="1" s="253"/>
    <row r="776" ht="15.75" customHeight="1" s="253"/>
    <row r="777" ht="15.75" customHeight="1" s="253"/>
    <row r="778" ht="15.75" customHeight="1" s="253"/>
    <row r="779" ht="15.75" customHeight="1" s="253"/>
    <row r="780" ht="15.75" customHeight="1" s="253"/>
    <row r="781" ht="15.75" customHeight="1" s="253"/>
    <row r="782" ht="15.75" customHeight="1" s="253"/>
    <row r="783" ht="15.75" customHeight="1" s="253"/>
    <row r="784" ht="15.75" customHeight="1" s="253"/>
    <row r="785" ht="15.75" customHeight="1" s="253"/>
    <row r="786" ht="15.75" customHeight="1" s="253"/>
    <row r="787" ht="15.75" customHeight="1" s="253"/>
    <row r="788" ht="15.75" customHeight="1" s="253"/>
    <row r="789" ht="15.75" customHeight="1" s="253"/>
    <row r="790" ht="15.75" customHeight="1" s="253"/>
    <row r="791" ht="15.75" customHeight="1" s="253"/>
    <row r="792" ht="15.75" customHeight="1" s="253"/>
    <row r="793" ht="15.75" customHeight="1" s="253"/>
    <row r="794" ht="15.75" customHeight="1" s="253"/>
    <row r="795" ht="15.75" customHeight="1" s="253"/>
    <row r="796" ht="15.75" customHeight="1" s="253"/>
    <row r="797" ht="15.75" customHeight="1" s="253"/>
    <row r="798" ht="15.75" customHeight="1" s="253"/>
    <row r="799" ht="15.75" customHeight="1" s="253"/>
    <row r="800" ht="15.75" customHeight="1" s="253"/>
    <row r="801" ht="15.75" customHeight="1" s="253"/>
    <row r="802" ht="15.75" customHeight="1" s="253"/>
    <row r="803" ht="15.75" customHeight="1" s="253"/>
    <row r="804" ht="15.75" customHeight="1" s="253"/>
    <row r="805" ht="15.75" customHeight="1" s="253"/>
    <row r="806" ht="15.75" customHeight="1" s="253"/>
    <row r="807" ht="15.75" customHeight="1" s="253"/>
    <row r="808" ht="15.75" customHeight="1" s="253"/>
    <row r="809" ht="15.75" customHeight="1" s="253"/>
    <row r="810" ht="15.75" customHeight="1" s="253"/>
    <row r="811" ht="15.75" customHeight="1" s="253"/>
    <row r="812" ht="15.75" customHeight="1" s="253"/>
    <row r="813" ht="15.75" customHeight="1" s="253"/>
    <row r="814" ht="15.75" customHeight="1" s="253"/>
    <row r="815" ht="15.75" customHeight="1" s="253"/>
    <row r="816" ht="15.75" customHeight="1" s="253"/>
    <row r="817" ht="15.75" customHeight="1" s="253"/>
    <row r="818" ht="15.75" customHeight="1" s="253"/>
    <row r="819" ht="15.75" customHeight="1" s="253"/>
    <row r="820" ht="15.75" customHeight="1" s="253"/>
    <row r="821" ht="15.75" customHeight="1" s="253"/>
    <row r="822" ht="15.75" customHeight="1" s="253"/>
    <row r="823" ht="15.75" customHeight="1" s="253"/>
    <row r="824" ht="15.75" customHeight="1" s="253"/>
    <row r="825" ht="15.75" customHeight="1" s="253"/>
    <row r="826" ht="15.75" customHeight="1" s="253"/>
    <row r="827" ht="15.75" customHeight="1" s="253"/>
    <row r="828" ht="15.75" customHeight="1" s="253"/>
    <row r="829" ht="15.75" customHeight="1" s="253"/>
    <row r="830" ht="15.75" customHeight="1" s="253"/>
    <row r="831" ht="15.75" customHeight="1" s="253"/>
    <row r="832" ht="15.75" customHeight="1" s="253"/>
    <row r="833" ht="15.75" customHeight="1" s="253"/>
    <row r="834" ht="15.75" customHeight="1" s="253"/>
    <row r="835" ht="15.75" customHeight="1" s="253"/>
    <row r="836" ht="15.75" customHeight="1" s="253"/>
    <row r="837" ht="15.75" customHeight="1" s="253"/>
    <row r="838" ht="15.75" customHeight="1" s="253"/>
    <row r="839" ht="15.75" customHeight="1" s="253"/>
    <row r="840" ht="15.75" customHeight="1" s="253"/>
    <row r="841" ht="15.75" customHeight="1" s="253"/>
    <row r="842" ht="15.75" customHeight="1" s="253"/>
    <row r="843" ht="15.75" customHeight="1" s="253"/>
    <row r="844" ht="15.75" customHeight="1" s="253"/>
    <row r="845" ht="15.75" customHeight="1" s="253"/>
    <row r="846" ht="15.75" customHeight="1" s="253"/>
    <row r="847" ht="15.75" customHeight="1" s="253"/>
    <row r="848" ht="15.75" customHeight="1" s="253"/>
    <row r="849" ht="15.75" customHeight="1" s="253"/>
    <row r="850" ht="15.75" customHeight="1" s="253"/>
    <row r="851" ht="15.75" customHeight="1" s="253"/>
    <row r="852" ht="15.75" customHeight="1" s="253"/>
    <row r="853" ht="15.75" customHeight="1" s="253"/>
    <row r="854" ht="15.75" customHeight="1" s="253"/>
    <row r="855" ht="15.75" customHeight="1" s="253"/>
    <row r="856" ht="15.75" customHeight="1" s="253"/>
    <row r="857" ht="15.75" customHeight="1" s="253"/>
    <row r="858" ht="15.75" customHeight="1" s="253"/>
    <row r="859" ht="15.75" customHeight="1" s="253"/>
    <row r="860" ht="15.75" customHeight="1" s="253"/>
    <row r="861" ht="15.75" customHeight="1" s="253"/>
    <row r="862" ht="15.75" customHeight="1" s="253"/>
    <row r="863" ht="15.75" customHeight="1" s="253"/>
    <row r="864" ht="15.75" customHeight="1" s="253"/>
    <row r="865" ht="15.75" customHeight="1" s="253"/>
    <row r="866" ht="15.75" customHeight="1" s="253"/>
    <row r="867" ht="15.75" customHeight="1" s="253"/>
    <row r="868" ht="15.75" customHeight="1" s="253"/>
    <row r="869" ht="15.75" customHeight="1" s="253"/>
    <row r="870" ht="15.75" customHeight="1" s="253"/>
    <row r="871" ht="15.75" customHeight="1" s="253"/>
    <row r="872" ht="15.75" customHeight="1" s="253"/>
    <row r="873" ht="15.75" customHeight="1" s="253"/>
    <row r="874" ht="15.75" customHeight="1" s="253"/>
    <row r="875" ht="15.75" customHeight="1" s="253"/>
    <row r="876" ht="15.75" customHeight="1" s="253"/>
    <row r="877" ht="15.75" customHeight="1" s="253"/>
    <row r="878" ht="15.75" customHeight="1" s="253"/>
    <row r="879" ht="15.75" customHeight="1" s="253"/>
    <row r="880" ht="15.75" customHeight="1" s="253"/>
    <row r="881" ht="15.75" customHeight="1" s="253"/>
    <row r="882" ht="15.75" customHeight="1" s="253"/>
    <row r="883" ht="15.75" customHeight="1" s="253"/>
    <row r="884" ht="15.75" customHeight="1" s="253"/>
    <row r="885" ht="15.75" customHeight="1" s="253"/>
    <row r="886" ht="15.75" customHeight="1" s="253"/>
    <row r="887" ht="15.75" customHeight="1" s="253"/>
    <row r="888" ht="15.75" customHeight="1" s="253"/>
    <row r="889" ht="15.75" customHeight="1" s="253"/>
    <row r="890" ht="15.75" customHeight="1" s="253"/>
    <row r="891" ht="15.75" customHeight="1" s="253"/>
    <row r="892" ht="15.75" customHeight="1" s="253"/>
    <row r="893" ht="15.75" customHeight="1" s="253"/>
    <row r="894" ht="15.75" customHeight="1" s="253"/>
    <row r="895" ht="15.75" customHeight="1" s="253"/>
    <row r="896" ht="15.75" customHeight="1" s="253"/>
    <row r="897" ht="15.75" customHeight="1" s="253"/>
    <row r="898" ht="15.75" customHeight="1" s="253"/>
    <row r="899" ht="15.75" customHeight="1" s="253"/>
    <row r="900" ht="15.75" customHeight="1" s="253"/>
    <row r="901" ht="15.75" customHeight="1" s="253"/>
    <row r="902" ht="15.75" customHeight="1" s="253"/>
    <row r="903" ht="15.75" customHeight="1" s="253"/>
    <row r="904" ht="15.75" customHeight="1" s="253"/>
    <row r="905" ht="15.75" customHeight="1" s="253"/>
    <row r="906" ht="15.75" customHeight="1" s="253"/>
    <row r="907" ht="15.75" customHeight="1" s="253"/>
    <row r="908" ht="15.75" customHeight="1" s="253"/>
    <row r="909" ht="15.75" customHeight="1" s="253"/>
    <row r="910" ht="15.75" customHeight="1" s="253"/>
    <row r="911" ht="15.75" customHeight="1" s="253"/>
    <row r="912" ht="15.75" customHeight="1" s="253"/>
    <row r="913" ht="15.75" customHeight="1" s="253"/>
    <row r="914" ht="15.75" customHeight="1" s="253"/>
    <row r="915" ht="15.75" customHeight="1" s="253"/>
    <row r="916" ht="15.75" customHeight="1" s="253"/>
    <row r="917" ht="15.75" customHeight="1" s="253"/>
    <row r="918" ht="15.75" customHeight="1" s="253"/>
    <row r="919" ht="15.75" customHeight="1" s="253"/>
    <row r="920" ht="15.75" customHeight="1" s="253"/>
    <row r="921" ht="15.75" customHeight="1" s="253"/>
    <row r="922" ht="15.75" customHeight="1" s="253"/>
    <row r="923" ht="15.75" customHeight="1" s="253"/>
    <row r="924" ht="15.75" customHeight="1" s="253"/>
    <row r="925" ht="15.75" customHeight="1" s="253"/>
    <row r="926" ht="15.75" customHeight="1" s="253"/>
    <row r="927" ht="15.75" customHeight="1" s="253"/>
    <row r="928" ht="15.75" customHeight="1" s="253"/>
    <row r="929" ht="15.75" customHeight="1" s="253"/>
    <row r="930" ht="15.75" customHeight="1" s="253"/>
    <row r="931" ht="15.75" customHeight="1" s="253"/>
    <row r="932" ht="15.75" customHeight="1" s="253"/>
    <row r="933" ht="15.75" customHeight="1" s="253"/>
    <row r="934" ht="15.75" customHeight="1" s="253"/>
    <row r="935" ht="15.75" customHeight="1" s="253"/>
    <row r="936" ht="15.75" customHeight="1" s="253"/>
    <row r="937" ht="15.75" customHeight="1" s="253"/>
    <row r="938" ht="15.75" customHeight="1" s="25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E1471"/>
  <sheetViews>
    <sheetView showFormulas="0" showGridLines="1" showRowColHeaders="1" showZeros="1" rightToLeft="0" tabSelected="0" showOutlineSymbols="1" defaultGridColor="1" view="normal" topLeftCell="C398" colorId="64" zoomScale="70" zoomScaleNormal="70" zoomScalePageLayoutView="100" workbookViewId="0">
      <selection pane="topLeft" activeCell="AC4" activeCellId="0" sqref="AC4"/>
    </sheetView>
  </sheetViews>
  <sheetFormatPr baseColWidth="8" defaultColWidth="12.62890625" defaultRowHeight="15" zeroHeight="0" outlineLevelRow="0"/>
  <cols>
    <col width="23.45" customWidth="1" style="341" min="1" max="1"/>
    <col width="24.54" customWidth="1" style="341" min="2" max="2"/>
    <col width="41.54" customWidth="1" style="341" min="3" max="3"/>
    <col width="33" customWidth="1" style="341" min="4" max="4"/>
    <col hidden="1" width="10" customWidth="1" style="341" min="5" max="5"/>
    <col width="14" customWidth="1" style="341" min="6" max="6"/>
    <col width="13.18" customWidth="1" style="341" min="7" max="7"/>
    <col width="33.9" customWidth="1" style="341" min="8" max="8"/>
    <col width="12.82" customWidth="1" style="342" min="9" max="9"/>
    <col width="14.54" customWidth="1" style="341" min="10" max="10"/>
    <col width="12.54" customWidth="1" style="343" min="11" max="11"/>
    <col width="10.54" customWidth="1" style="341" min="12" max="12"/>
    <col width="13.9" customWidth="1" style="341" min="13" max="13"/>
    <col width="12.18" customWidth="1" style="344" min="14" max="14"/>
    <col width="13.54" customWidth="1" style="344" min="15" max="15"/>
    <col width="13.36" customWidth="1" style="344" min="16" max="16"/>
    <col width="12.63" customWidth="1" style="341" min="17" max="19"/>
    <col width="12.63" customWidth="1" style="343" min="20" max="20"/>
    <col width="12.63" customWidth="1" style="341" min="21" max="21"/>
    <col width="12.63" customWidth="1" style="343" min="22" max="22"/>
    <col width="12.63" customWidth="1" style="345" min="23" max="23"/>
    <col width="12.63" customWidth="1" style="341" min="24" max="24"/>
    <col width="21.27" customWidth="1" style="343" min="25" max="25"/>
    <col width="12.63" customWidth="1" style="341" min="26" max="28"/>
    <col width="12.63" customWidth="1" style="346" min="29" max="31"/>
    <col width="12.63" customWidth="1" style="341" min="32" max="16384"/>
  </cols>
  <sheetData>
    <row r="1" ht="31.5" customFormat="1" customHeight="1" s="347">
      <c r="A1" s="348" t="inlineStr">
        <is>
          <t>Coresphere100 Technologies Pvt. Ltd.</t>
        </is>
      </c>
      <c r="F1" s="349" t="inlineStr">
        <is>
          <t xml:space="preserve">Contracts expiring within </t>
        </is>
      </c>
      <c r="G1" s="350" t="n">
        <v>30</v>
      </c>
      <c r="H1" s="351" t="n">
        <v>45777</v>
      </c>
      <c r="I1" s="352" t="n">
        <v>45748</v>
      </c>
      <c r="J1" s="353" t="n"/>
      <c r="K1" s="354" t="n"/>
      <c r="M1" s="355" t="n"/>
      <c r="N1" s="356" t="n">
        <v>45778</v>
      </c>
      <c r="O1" s="356" t="n">
        <v>45808</v>
      </c>
      <c r="P1" s="353" t="n"/>
      <c r="Q1" s="355" t="n"/>
      <c r="R1" s="352" t="n">
        <v>45809</v>
      </c>
      <c r="S1" s="355" t="n"/>
      <c r="T1" s="353" t="n"/>
      <c r="V1" s="353" t="n"/>
      <c r="W1" s="352" t="n">
        <v>45870</v>
      </c>
      <c r="X1" s="355" t="n"/>
      <c r="Y1" s="353" t="n"/>
      <c r="AC1" s="357" t="n"/>
      <c r="AD1" s="357" t="n"/>
      <c r="AE1" s="357" t="n"/>
    </row>
    <row r="2" ht="31.5" customFormat="1" customHeight="1" s="347">
      <c r="A2" s="358" t="inlineStr">
        <is>
          <t>Invoices Details</t>
        </is>
      </c>
      <c r="F2" s="349" t="n"/>
      <c r="G2" s="350" t="n"/>
      <c r="H2" s="359" t="n"/>
      <c r="I2" s="354">
        <f>SUBTOTAL(9,I4:I1944)</f>
        <v/>
      </c>
      <c r="J2" s="354">
        <f>SUBTOTAL(9,J4:J1944)</f>
        <v/>
      </c>
      <c r="K2" s="354">
        <f>SUBTOTAL(9,K4:K1944)</f>
        <v/>
      </c>
      <c r="N2" s="354">
        <f>SUBTOTAL(9,N4:N1944)</f>
        <v/>
      </c>
      <c r="O2" s="356" t="n"/>
      <c r="P2" s="354">
        <f>SUBTOTAL(9,P4:P1944)</f>
        <v/>
      </c>
      <c r="Q2" s="354">
        <f>SUBTOTAL(9,Q4:Q1944)</f>
        <v/>
      </c>
      <c r="R2" s="352" t="n">
        <v>45838</v>
      </c>
      <c r="S2" s="354">
        <f>SUBTOTAL(9,S4:S1944)</f>
        <v/>
      </c>
      <c r="T2" s="354">
        <f>SUBTOTAL(9,T4:T1944)</f>
        <v/>
      </c>
      <c r="U2" s="352" t="n">
        <v>45869</v>
      </c>
      <c r="V2" s="354">
        <f>SUBTOTAL(9,V4:V1944)</f>
        <v/>
      </c>
      <c r="W2" s="352" t="n">
        <v>45900</v>
      </c>
      <c r="X2" s="354">
        <f>SUBTOTAL(9,X4:X1944)</f>
        <v/>
      </c>
      <c r="Y2" s="354">
        <f>SUBTOTAL(9,Y4:Y1944)</f>
        <v/>
      </c>
      <c r="Z2" s="352" t="n">
        <v>45930</v>
      </c>
      <c r="AA2" s="354">
        <f>SUBTOTAL(9,AA4:AA1944)</f>
        <v/>
      </c>
      <c r="AB2" s="354">
        <f>SUBTOTAL(9,AB4:AB1944)</f>
        <v/>
      </c>
      <c r="AC2" s="360" t="n">
        <v>45961</v>
      </c>
      <c r="AD2" s="354">
        <f>SUBTOTAL(9,AD4:AD1944)</f>
        <v/>
      </c>
      <c r="AE2" s="354">
        <f>SUBTOTAL(9,AE4:AE1944)</f>
        <v/>
      </c>
    </row>
    <row r="3" ht="61.5" customFormat="1" customHeight="1" s="361">
      <c r="A3" s="362" t="inlineStr">
        <is>
          <t>Contract</t>
        </is>
      </c>
      <c r="B3" s="362" t="inlineStr">
        <is>
          <t>Months</t>
        </is>
      </c>
      <c r="C3" s="362" t="inlineStr">
        <is>
          <t>Customer Name</t>
        </is>
      </c>
      <c r="D3" s="363" t="inlineStr">
        <is>
          <t>Invoice Number</t>
        </is>
      </c>
      <c r="E3" s="362" t="inlineStr">
        <is>
          <t>Nature of service</t>
        </is>
      </c>
      <c r="F3" s="362" t="inlineStr">
        <is>
          <t>Start Date</t>
        </is>
      </c>
      <c r="G3" s="362" t="inlineStr">
        <is>
          <t>End Date</t>
        </is>
      </c>
      <c r="H3" s="362" t="inlineStr">
        <is>
          <t>Payment Cycle</t>
        </is>
      </c>
      <c r="I3" s="364" t="inlineStr">
        <is>
          <t>Contract Amount</t>
        </is>
      </c>
      <c r="J3" s="365" t="inlineStr">
        <is>
          <t>Invoiced amount for April</t>
        </is>
      </c>
      <c r="K3" s="366" t="inlineStr">
        <is>
          <t>Invoiced amount for MAY</t>
        </is>
      </c>
      <c r="L3" s="365" t="inlineStr">
        <is>
          <t>Contract period</t>
        </is>
      </c>
      <c r="M3" s="365" t="inlineStr">
        <is>
          <t>Days in April</t>
        </is>
      </c>
      <c r="N3" s="365" t="inlineStr">
        <is>
          <t>April Sales (Days Wise)</t>
        </is>
      </c>
      <c r="O3" s="365" t="inlineStr">
        <is>
          <t>Days in May</t>
        </is>
      </c>
      <c r="P3" s="365" t="inlineStr">
        <is>
          <t>May Sales (Days Wise)</t>
        </is>
      </c>
      <c r="Q3" s="367" t="inlineStr">
        <is>
          <t>June in months</t>
        </is>
      </c>
      <c r="R3" s="367" t="inlineStr">
        <is>
          <t>Days in June</t>
        </is>
      </c>
      <c r="S3" s="368" t="inlineStr">
        <is>
          <t>June in days</t>
        </is>
      </c>
      <c r="T3" s="369" t="inlineStr">
        <is>
          <t>July in months</t>
        </is>
      </c>
      <c r="U3" s="367" t="inlineStr">
        <is>
          <t>Days in July</t>
        </is>
      </c>
      <c r="V3" s="370" t="inlineStr">
        <is>
          <t>July in days</t>
        </is>
      </c>
      <c r="W3" s="367" t="inlineStr">
        <is>
          <t>Days in Aug</t>
        </is>
      </c>
      <c r="X3" s="371" t="inlineStr">
        <is>
          <t>Aug Sales in months</t>
        </is>
      </c>
      <c r="Y3" s="370" t="inlineStr">
        <is>
          <t>Aug Sales in days</t>
        </is>
      </c>
      <c r="Z3" s="367" t="inlineStr">
        <is>
          <t>Days in Sept</t>
        </is>
      </c>
      <c r="AA3" s="371" t="inlineStr">
        <is>
          <t>Sept Sales in months</t>
        </is>
      </c>
      <c r="AB3" s="369" t="inlineStr">
        <is>
          <t>Sept Sales in days</t>
        </is>
      </c>
      <c r="AC3" s="372" t="inlineStr">
        <is>
          <t>Days in Oct</t>
        </is>
      </c>
      <c r="AD3" s="373" t="inlineStr">
        <is>
          <t>Oct Sales in months</t>
        </is>
      </c>
      <c r="AE3" s="374" t="inlineStr">
        <is>
          <t>Oct Sales in days</t>
        </is>
      </c>
    </row>
    <row r="4" ht="15" customHeight="1" s="253">
      <c r="A4" s="375" t="n">
        <v>0</v>
      </c>
      <c r="B4" s="376" t="n">
        <v>45748</v>
      </c>
      <c r="C4" s="377" t="inlineStr">
        <is>
          <t>Touchstone Partners</t>
        </is>
      </c>
      <c r="D4" s="377" t="inlineStr">
        <is>
          <t>INV-25-26-000001, INV-25-26-000507</t>
        </is>
      </c>
      <c r="E4" s="377" t="inlineStr">
        <is>
          <t>subscription based service</t>
        </is>
      </c>
      <c r="F4" s="378" t="n">
        <v>45748</v>
      </c>
      <c r="G4" s="378" t="n">
        <v>45838</v>
      </c>
      <c r="H4" s="379" t="inlineStr">
        <is>
          <t>3 months subscription, upfront</t>
        </is>
      </c>
      <c r="I4" s="380" t="n">
        <v>70800</v>
      </c>
      <c r="J4" s="381" t="n">
        <v>23600</v>
      </c>
      <c r="K4" s="381" t="n">
        <v>23600</v>
      </c>
      <c r="L4" s="377" t="n">
        <v>91</v>
      </c>
      <c r="M4" s="377" t="n">
        <v>30</v>
      </c>
      <c r="N4" s="381" t="n">
        <v>23340.659</v>
      </c>
      <c r="O4" s="381" t="n">
        <v>31</v>
      </c>
      <c r="P4" s="380" t="n">
        <v>24118.681</v>
      </c>
      <c r="Q4" s="382" t="n">
        <v>23600</v>
      </c>
      <c r="R4" s="377" t="n">
        <v>30</v>
      </c>
      <c r="S4" s="383" t="n">
        <v>23340.6593406593</v>
      </c>
      <c r="T4" s="377" t="n"/>
      <c r="U4" s="381" t="n">
        <v>31</v>
      </c>
      <c r="V4" s="377" t="n"/>
      <c r="W4" s="384" t="n">
        <v>0</v>
      </c>
      <c r="X4" s="381" t="n">
        <v>0</v>
      </c>
      <c r="Y4" s="377" t="n">
        <v>0</v>
      </c>
      <c r="Z4" s="377" t="n"/>
      <c r="AA4" s="377" t="n"/>
      <c r="AB4" s="377" t="n"/>
      <c r="AC4" s="385" t="n"/>
      <c r="AD4" s="385" t="n"/>
      <c r="AE4" s="385" t="n"/>
    </row>
    <row r="5" ht="15" customHeight="1" s="253">
      <c r="A5" s="375" t="inlineStr">
        <is>
          <t>Closed- May 25</t>
        </is>
      </c>
      <c r="B5" s="376" t="n">
        <v>45748</v>
      </c>
      <c r="C5" s="377" t="inlineStr">
        <is>
          <t>Bimal Rajasekhar</t>
        </is>
      </c>
      <c r="D5" s="377" t="inlineStr">
        <is>
          <t>INV-25-26-000002</t>
        </is>
      </c>
      <c r="E5" s="377" t="inlineStr">
        <is>
          <t>subscription based service</t>
        </is>
      </c>
      <c r="F5" s="378" t="n">
        <v>45748</v>
      </c>
      <c r="G5" s="378" t="n">
        <v>45808</v>
      </c>
      <c r="H5" s="377" t="inlineStr">
        <is>
          <t>2 months- Upfront</t>
        </is>
      </c>
      <c r="I5" s="380" t="n">
        <v>35400</v>
      </c>
      <c r="J5" s="381" t="n">
        <v>17700</v>
      </c>
      <c r="K5" s="381" t="n">
        <v>17700</v>
      </c>
      <c r="L5" s="377" t="n">
        <v>61</v>
      </c>
      <c r="M5" s="377" t="n">
        <v>30</v>
      </c>
      <c r="N5" s="381" t="n">
        <v>17409.836</v>
      </c>
      <c r="O5" s="381" t="n">
        <v>31</v>
      </c>
      <c r="P5" s="380" t="n">
        <v>17990.164</v>
      </c>
      <c r="Q5" s="377" t="n"/>
      <c r="R5" s="377" t="n">
        <v>30</v>
      </c>
      <c r="S5" s="377" t="n"/>
      <c r="T5" s="377" t="n"/>
      <c r="U5" s="381" t="n">
        <v>31</v>
      </c>
      <c r="V5" s="377" t="n"/>
      <c r="W5" s="384" t="n">
        <v>0</v>
      </c>
      <c r="X5" s="381" t="n">
        <v>0</v>
      </c>
      <c r="Y5" s="377" t="n">
        <v>0</v>
      </c>
      <c r="Z5" s="377" t="n"/>
      <c r="AA5" s="377" t="n"/>
      <c r="AB5" s="377" t="n"/>
      <c r="AC5" s="385" t="n"/>
      <c r="AD5" s="385" t="n"/>
      <c r="AE5" s="385" t="n"/>
    </row>
    <row r="6" ht="15" customHeight="1" s="253">
      <c r="A6" s="375" t="n">
        <v>0</v>
      </c>
      <c r="B6" s="376" t="n">
        <v>45748</v>
      </c>
      <c r="C6" s="377" t="inlineStr">
        <is>
          <t>Veritas Legal Advocates and Solicitors</t>
        </is>
      </c>
      <c r="D6" s="377" t="inlineStr">
        <is>
          <t>INV-25-26-000003, INV-25-26-000534</t>
        </is>
      </c>
      <c r="E6" s="377" t="inlineStr">
        <is>
          <t>subscription based service</t>
        </is>
      </c>
      <c r="F6" s="378" t="n">
        <v>45749</v>
      </c>
      <c r="G6" s="378" t="n">
        <v>45932</v>
      </c>
      <c r="H6" s="386" t="inlineStr">
        <is>
          <t>6 month-Upfront</t>
        </is>
      </c>
      <c r="I6" s="380" t="n">
        <v>1172448</v>
      </c>
      <c r="J6" s="381" t="n">
        <v>195408</v>
      </c>
      <c r="K6" s="381" t="n">
        <v>195408</v>
      </c>
      <c r="L6" s="377" t="n">
        <v>184</v>
      </c>
      <c r="M6" s="377" t="n">
        <v>29</v>
      </c>
      <c r="N6" s="381" t="n">
        <v>184788</v>
      </c>
      <c r="O6" s="381" t="n">
        <v>31</v>
      </c>
      <c r="P6" s="380" t="n">
        <v>197532</v>
      </c>
      <c r="Q6" s="382" t="n">
        <v>195408</v>
      </c>
      <c r="R6" s="377" t="n">
        <v>30</v>
      </c>
      <c r="S6" s="382" t="n">
        <v>191160</v>
      </c>
      <c r="T6" s="382" t="n">
        <v>195408</v>
      </c>
      <c r="U6" s="381" t="n">
        <v>31</v>
      </c>
      <c r="V6" s="380" t="n">
        <v>197532</v>
      </c>
      <c r="W6" s="384" t="n">
        <v>31</v>
      </c>
      <c r="X6" s="381" t="n">
        <v>195408</v>
      </c>
      <c r="Y6" s="380" t="n">
        <v>197532</v>
      </c>
      <c r="Z6" s="384" t="n">
        <v>30</v>
      </c>
      <c r="AA6" s="383" t="n">
        <v>195408</v>
      </c>
      <c r="AB6" s="383" t="n">
        <v>191160</v>
      </c>
      <c r="AC6" s="387" t="n">
        <v>2</v>
      </c>
      <c r="AD6" s="385" t="n">
        <v>167492.571</v>
      </c>
      <c r="AE6" s="388" t="n">
        <v>12744</v>
      </c>
    </row>
    <row r="7" ht="15" customHeight="1" s="253">
      <c r="A7" s="375" t="n">
        <v>0</v>
      </c>
      <c r="B7" s="376" t="inlineStr">
        <is>
          <t>Apr &amp; May 25</t>
        </is>
      </c>
      <c r="C7" s="377" t="inlineStr">
        <is>
          <t>LEGALOGIC CONSULTING LLP</t>
        </is>
      </c>
      <c r="D7" s="377" t="inlineStr">
        <is>
          <t>INV-25-26-000004, 104, INV-25-26-000490</t>
        </is>
      </c>
      <c r="E7" s="377" t="inlineStr">
        <is>
          <t>subscription based service</t>
        </is>
      </c>
      <c r="F7" s="378" t="n">
        <v>45748</v>
      </c>
      <c r="G7" s="378" t="n">
        <v>45808</v>
      </c>
      <c r="H7" s="386" t="inlineStr">
        <is>
          <t>2 months subscription, Monthly</t>
        </is>
      </c>
      <c r="I7" s="380" t="n">
        <v>70800</v>
      </c>
      <c r="J7" s="381" t="n">
        <v>35400</v>
      </c>
      <c r="K7" s="381" t="n">
        <v>35400</v>
      </c>
      <c r="L7" s="377" t="n">
        <v>61</v>
      </c>
      <c r="M7" s="377" t="n">
        <v>30</v>
      </c>
      <c r="N7" s="381" t="n">
        <v>34819.672</v>
      </c>
      <c r="O7" s="381" t="n">
        <v>31</v>
      </c>
      <c r="P7" s="380" t="n">
        <v>35980.328</v>
      </c>
      <c r="Q7" s="377" t="n"/>
      <c r="R7" s="377" t="n">
        <v>30</v>
      </c>
      <c r="S7" s="377" t="n"/>
      <c r="T7" s="377" t="n"/>
      <c r="U7" s="381" t="n">
        <v>31</v>
      </c>
      <c r="V7" s="377" t="n"/>
      <c r="W7" s="384" t="n">
        <v>0</v>
      </c>
      <c r="X7" s="381" t="n">
        <v>0</v>
      </c>
      <c r="Y7" s="377" t="n">
        <v>0</v>
      </c>
      <c r="Z7" s="377" t="n"/>
      <c r="AA7" s="377" t="n"/>
      <c r="AB7" s="377" t="n"/>
      <c r="AC7" s="385" t="n"/>
      <c r="AD7" s="385" t="n"/>
      <c r="AE7" s="385" t="n"/>
    </row>
    <row r="8" ht="15" customHeight="1" s="253">
      <c r="A8" s="375" t="n">
        <v>0</v>
      </c>
      <c r="B8" s="376" t="n">
        <v>45748</v>
      </c>
      <c r="C8" s="377" t="inlineStr">
        <is>
          <t>VACUITAS COUNSELLOR LLP</t>
        </is>
      </c>
      <c r="D8" s="377" t="inlineStr">
        <is>
          <t>INV-25-26-000005</t>
        </is>
      </c>
      <c r="E8" s="377" t="inlineStr">
        <is>
          <t>subscription based service</t>
        </is>
      </c>
      <c r="F8" s="378" t="n">
        <v>45750</v>
      </c>
      <c r="G8" s="378" t="n">
        <v>46114</v>
      </c>
      <c r="H8" s="386" t="inlineStr">
        <is>
          <t>Annual Upfront</t>
        </is>
      </c>
      <c r="I8" s="380" t="n">
        <v>116820</v>
      </c>
      <c r="J8" s="381" t="n">
        <v>9735</v>
      </c>
      <c r="K8" s="381" t="n">
        <v>9735</v>
      </c>
      <c r="L8" s="377" t="n">
        <v>365</v>
      </c>
      <c r="M8" s="377" t="n">
        <v>28</v>
      </c>
      <c r="N8" s="381" t="n">
        <v>8961.534</v>
      </c>
      <c r="O8" s="381" t="n">
        <v>31</v>
      </c>
      <c r="P8" s="380" t="n">
        <v>9921.699000000001</v>
      </c>
      <c r="Q8" s="382" t="n">
        <v>9735</v>
      </c>
      <c r="R8" s="377" t="n">
        <v>30</v>
      </c>
      <c r="S8" s="382" t="n">
        <v>9601.64383561644</v>
      </c>
      <c r="T8" s="382" t="n">
        <v>9735</v>
      </c>
      <c r="U8" s="381" t="n">
        <v>31</v>
      </c>
      <c r="V8" s="380" t="n">
        <v>9921.698630136991</v>
      </c>
      <c r="W8" s="384" t="n">
        <v>31</v>
      </c>
      <c r="X8" s="381" t="n">
        <v>9735</v>
      </c>
      <c r="Y8" s="380" t="n">
        <v>9921.699000000001</v>
      </c>
      <c r="Z8" s="384" t="n">
        <v>30</v>
      </c>
      <c r="AA8" s="383" t="n">
        <v>9735</v>
      </c>
      <c r="AB8" s="383" t="n">
        <v>9601.644</v>
      </c>
      <c r="AC8" s="387" t="n">
        <v>31</v>
      </c>
      <c r="AD8" s="388" t="n">
        <v>9735</v>
      </c>
      <c r="AE8" s="388" t="n">
        <v>9921.699000000001</v>
      </c>
    </row>
    <row r="9" ht="15" customHeight="1" s="253">
      <c r="A9" s="375" t="inlineStr">
        <is>
          <t>Closed-Apr 25</t>
        </is>
      </c>
      <c r="B9" s="376" t="n">
        <v>45748</v>
      </c>
      <c r="C9" s="377" t="inlineStr">
        <is>
          <t>Tvashta Law</t>
        </is>
      </c>
      <c r="D9" s="377" t="inlineStr">
        <is>
          <t>INV-25-26-000006</t>
        </is>
      </c>
      <c r="E9" s="377" t="inlineStr">
        <is>
          <t>One time work</t>
        </is>
      </c>
      <c r="F9" s="378" t="n">
        <v>45748</v>
      </c>
      <c r="G9" s="389" t="n">
        <v>45777</v>
      </c>
      <c r="H9" s="386" t="inlineStr">
        <is>
          <t>1 month-Upfront</t>
        </is>
      </c>
      <c r="I9" s="380" t="n">
        <v>2360</v>
      </c>
      <c r="J9" s="381" t="n">
        <v>2360</v>
      </c>
      <c r="K9" s="381" t="n"/>
      <c r="L9" s="377" t="n">
        <v>30</v>
      </c>
      <c r="M9" s="377" t="n">
        <v>30</v>
      </c>
      <c r="N9" s="381" t="n">
        <v>2360</v>
      </c>
      <c r="O9" s="381" t="n">
        <v>0</v>
      </c>
      <c r="P9" s="380" t="n">
        <v>0</v>
      </c>
      <c r="Q9" s="377" t="n"/>
      <c r="R9" s="377" t="n">
        <v>30</v>
      </c>
      <c r="S9" s="377" t="n"/>
      <c r="T9" s="377" t="n"/>
      <c r="U9" s="381" t="n">
        <v>31</v>
      </c>
      <c r="V9" s="377" t="n"/>
      <c r="W9" s="384" t="n">
        <v>0</v>
      </c>
      <c r="X9" s="381" t="n">
        <v>0</v>
      </c>
      <c r="Y9" s="377" t="n">
        <v>0</v>
      </c>
      <c r="Z9" s="377" t="n"/>
      <c r="AA9" s="377" t="n"/>
      <c r="AB9" s="377" t="n"/>
      <c r="AC9" s="385" t="n"/>
      <c r="AD9" s="385" t="n"/>
      <c r="AE9" s="385" t="n"/>
    </row>
    <row r="10" ht="15" customHeight="1" s="253">
      <c r="A10" s="375" t="n">
        <v>0</v>
      </c>
      <c r="B10" s="376" t="n">
        <v>45748</v>
      </c>
      <c r="C10" s="377" t="inlineStr">
        <is>
          <t>U. S. GANDHI &amp; CO.</t>
        </is>
      </c>
      <c r="D10" s="377" t="inlineStr">
        <is>
          <t>INV-25-26-000007</t>
        </is>
      </c>
      <c r="E10" s="377" t="inlineStr">
        <is>
          <t>subscription based service</t>
        </is>
      </c>
      <c r="F10" s="378" t="n">
        <v>45754</v>
      </c>
      <c r="G10" s="378" t="n">
        <v>45814</v>
      </c>
      <c r="H10" s="377" t="inlineStr">
        <is>
          <t>2 months- Upfront</t>
        </is>
      </c>
      <c r="I10" s="380" t="n">
        <v>9440</v>
      </c>
      <c r="J10" s="381" t="n">
        <v>4720</v>
      </c>
      <c r="K10" s="381" t="n">
        <v>4720</v>
      </c>
      <c r="L10" s="377" t="n">
        <v>61</v>
      </c>
      <c r="M10" s="377" t="n">
        <v>24</v>
      </c>
      <c r="N10" s="381" t="n">
        <v>3714.098</v>
      </c>
      <c r="O10" s="381" t="n">
        <v>31</v>
      </c>
      <c r="P10" s="380" t="n">
        <v>4797.377</v>
      </c>
      <c r="Q10" s="381" t="n"/>
      <c r="R10" s="377" t="n">
        <v>6</v>
      </c>
      <c r="S10" s="382" t="n">
        <v>928.524590163935</v>
      </c>
      <c r="T10" s="377" t="n"/>
      <c r="U10" s="381" t="n">
        <v>31</v>
      </c>
      <c r="V10" s="377" t="n"/>
      <c r="W10" s="384" t="n">
        <v>0</v>
      </c>
      <c r="X10" s="381" t="n">
        <v>0</v>
      </c>
      <c r="Y10" s="377" t="n">
        <v>0</v>
      </c>
      <c r="Z10" s="377" t="n"/>
      <c r="AA10" s="377" t="n"/>
      <c r="AB10" s="377" t="n"/>
      <c r="AC10" s="385" t="n"/>
      <c r="AD10" s="385" t="n"/>
      <c r="AE10" s="385" t="n"/>
    </row>
    <row r="11" ht="15" customHeight="1" s="253">
      <c r="A11" s="375" t="inlineStr">
        <is>
          <t>Credit Note Issue</t>
        </is>
      </c>
      <c r="B11" s="376" t="n">
        <v>45748</v>
      </c>
      <c r="C11" s="377" t="inlineStr">
        <is>
          <t>Advocate Rohit Jaiswal</t>
        </is>
      </c>
      <c r="D11" s="377" t="inlineStr">
        <is>
          <t>INV-25-26-000009,00107,00177</t>
        </is>
      </c>
      <c r="E11" s="377" t="inlineStr">
        <is>
          <t>subscription based service</t>
        </is>
      </c>
      <c r="F11" s="378" t="n">
        <v>45762</v>
      </c>
      <c r="G11" s="378" t="n">
        <v>45791</v>
      </c>
      <c r="H11" s="386" t="inlineStr">
        <is>
          <t>1 month-Upfront</t>
        </is>
      </c>
      <c r="I11" s="380" t="n">
        <v>5900</v>
      </c>
      <c r="J11" s="381" t="n">
        <v>5900</v>
      </c>
      <c r="K11" s="381" t="n">
        <v>0</v>
      </c>
      <c r="L11" s="377" t="n">
        <v>30</v>
      </c>
      <c r="M11" s="377" t="n">
        <v>16</v>
      </c>
      <c r="N11" s="381" t="n">
        <v>3146.667</v>
      </c>
      <c r="O11" s="381" t="n">
        <v>14</v>
      </c>
      <c r="P11" s="380" t="n">
        <v>2753.333</v>
      </c>
      <c r="Q11" s="382" t="n"/>
      <c r="R11" s="377" t="n"/>
      <c r="S11" s="382" t="n">
        <v>0</v>
      </c>
      <c r="T11" s="382" t="n"/>
      <c r="U11" s="381" t="n"/>
      <c r="V11" s="380" t="n">
        <v>0</v>
      </c>
      <c r="W11" s="384" t="n">
        <v>0</v>
      </c>
      <c r="X11" s="381" t="n">
        <v>0</v>
      </c>
      <c r="Y11" s="377" t="n">
        <v>0</v>
      </c>
      <c r="Z11" s="377" t="n"/>
      <c r="AA11" s="377" t="n"/>
      <c r="AB11" s="377" t="n"/>
      <c r="AC11" s="385" t="n"/>
      <c r="AD11" s="385" t="n"/>
      <c r="AE11" s="385" t="n"/>
    </row>
    <row r="12" ht="15" customHeight="1" s="253">
      <c r="A12" s="375" t="n">
        <v>0</v>
      </c>
      <c r="B12" s="376" t="n">
        <v>45748</v>
      </c>
      <c r="C12" s="377" t="inlineStr">
        <is>
          <t>Dileep Poolakkot</t>
        </is>
      </c>
      <c r="D12" s="377" t="inlineStr">
        <is>
          <t>INV-25-26-000010</t>
        </is>
      </c>
      <c r="E12" s="377" t="inlineStr">
        <is>
          <t>subscription based service</t>
        </is>
      </c>
      <c r="F12" s="378" t="n">
        <v>45755</v>
      </c>
      <c r="G12" s="378" t="n">
        <v>46119</v>
      </c>
      <c r="H12" s="386" t="inlineStr">
        <is>
          <t>Annual Upfront</t>
        </is>
      </c>
      <c r="I12" s="380" t="n">
        <v>70800</v>
      </c>
      <c r="J12" s="381" t="n">
        <v>5900</v>
      </c>
      <c r="K12" s="381" t="n">
        <v>5900</v>
      </c>
      <c r="L12" s="377" t="n">
        <v>365</v>
      </c>
      <c r="M12" s="377" t="n">
        <v>23</v>
      </c>
      <c r="N12" s="381" t="n">
        <v>4461.37</v>
      </c>
      <c r="O12" s="381" t="n">
        <v>31</v>
      </c>
      <c r="P12" s="380" t="n">
        <v>6013.151</v>
      </c>
      <c r="Q12" s="382" t="n">
        <v>5900</v>
      </c>
      <c r="R12" s="377" t="n">
        <v>30</v>
      </c>
      <c r="S12" s="382" t="n">
        <v>5819.17808219178</v>
      </c>
      <c r="T12" s="382" t="n">
        <v>5900</v>
      </c>
      <c r="U12" s="381" t="n">
        <v>31</v>
      </c>
      <c r="V12" s="380" t="n">
        <v>6013.15068493151</v>
      </c>
      <c r="W12" s="384" t="n">
        <v>31</v>
      </c>
      <c r="X12" s="381" t="n">
        <v>5900</v>
      </c>
      <c r="Y12" s="380" t="n">
        <v>6013.151</v>
      </c>
      <c r="Z12" s="384" t="n">
        <v>30</v>
      </c>
      <c r="AA12" s="383" t="n">
        <v>5900</v>
      </c>
      <c r="AB12" s="383" t="n">
        <v>5819.178</v>
      </c>
      <c r="AC12" s="387" t="n">
        <v>31</v>
      </c>
      <c r="AD12" s="388" t="n">
        <v>5900</v>
      </c>
      <c r="AE12" s="388" t="n">
        <v>6013.151</v>
      </c>
    </row>
    <row r="13" ht="15" customHeight="1" s="253">
      <c r="A13" s="375" t="n">
        <v>0</v>
      </c>
      <c r="B13" s="376" t="n">
        <v>45748</v>
      </c>
      <c r="C13" s="377" t="inlineStr">
        <is>
          <t>Utkarsh Joshi</t>
        </is>
      </c>
      <c r="D13" s="377" t="inlineStr">
        <is>
          <t>INV-25-26-000011</t>
        </is>
      </c>
      <c r="E13" s="377" t="inlineStr">
        <is>
          <t>subscription based service</t>
        </is>
      </c>
      <c r="F13" s="378" t="n">
        <v>45755</v>
      </c>
      <c r="G13" s="378" t="n">
        <v>45815</v>
      </c>
      <c r="H13" s="377" t="inlineStr">
        <is>
          <t>2 months- Upfront</t>
        </is>
      </c>
      <c r="I13" s="380" t="n">
        <v>7080</v>
      </c>
      <c r="J13" s="381" t="n">
        <v>3540</v>
      </c>
      <c r="K13" s="381" t="n">
        <v>3540</v>
      </c>
      <c r="L13" s="377" t="n">
        <v>61</v>
      </c>
      <c r="M13" s="377" t="n">
        <v>23</v>
      </c>
      <c r="N13" s="381" t="n">
        <v>2669.508</v>
      </c>
      <c r="O13" s="381" t="n">
        <v>31</v>
      </c>
      <c r="P13" s="380" t="n">
        <v>3598.033</v>
      </c>
      <c r="Q13" s="377" t="n"/>
      <c r="R13" s="377" t="n">
        <v>7</v>
      </c>
      <c r="S13" s="383" t="n">
        <v>812.459016393443</v>
      </c>
      <c r="T13" s="377" t="n"/>
      <c r="U13" s="381" t="n">
        <v>31</v>
      </c>
      <c r="V13" s="377" t="n"/>
      <c r="W13" s="384" t="n">
        <v>0</v>
      </c>
      <c r="X13" s="381" t="n">
        <v>0</v>
      </c>
      <c r="Y13" s="377" t="n">
        <v>0</v>
      </c>
      <c r="Z13" s="377" t="n"/>
      <c r="AA13" s="377" t="n"/>
      <c r="AB13" s="377" t="n"/>
      <c r="AC13" s="385" t="n"/>
      <c r="AD13" s="385" t="n"/>
      <c r="AE13" s="385" t="n"/>
    </row>
    <row r="14" ht="15" customHeight="1" s="253">
      <c r="A14" s="375" t="n">
        <v>0</v>
      </c>
      <c r="B14" s="376" t="n">
        <v>45748</v>
      </c>
      <c r="C14" s="377" t="inlineStr">
        <is>
          <t>Karan Butalia</t>
        </is>
      </c>
      <c r="D14" s="377" t="inlineStr">
        <is>
          <t>INV-25-26-000012</t>
        </is>
      </c>
      <c r="E14" s="377" t="inlineStr">
        <is>
          <t>subscription based service</t>
        </is>
      </c>
      <c r="F14" s="378" t="n">
        <v>45755</v>
      </c>
      <c r="G14" s="378" t="n">
        <v>45815</v>
      </c>
      <c r="H14" s="377" t="inlineStr">
        <is>
          <t>2 months- Upfront</t>
        </is>
      </c>
      <c r="I14" s="380" t="n">
        <v>4720</v>
      </c>
      <c r="J14" s="381" t="n">
        <v>2360</v>
      </c>
      <c r="K14" s="381" t="n">
        <v>2360</v>
      </c>
      <c r="L14" s="377" t="n">
        <v>61</v>
      </c>
      <c r="M14" s="377" t="n">
        <v>23</v>
      </c>
      <c r="N14" s="381" t="n">
        <v>1779.672</v>
      </c>
      <c r="O14" s="381" t="n">
        <v>31</v>
      </c>
      <c r="P14" s="380" t="n">
        <v>2398.689</v>
      </c>
      <c r="Q14" s="377" t="n"/>
      <c r="R14" s="377" t="n">
        <v>7</v>
      </c>
      <c r="S14" s="383" t="n">
        <v>541.639344262295</v>
      </c>
      <c r="T14" s="377" t="n"/>
      <c r="U14" s="381" t="n">
        <v>31</v>
      </c>
      <c r="V14" s="377" t="n"/>
      <c r="W14" s="384" t="n">
        <v>0</v>
      </c>
      <c r="X14" s="381" t="n">
        <v>0</v>
      </c>
      <c r="Y14" s="377" t="n">
        <v>0</v>
      </c>
      <c r="Z14" s="377" t="n"/>
      <c r="AA14" s="377" t="n"/>
      <c r="AB14" s="377" t="n"/>
      <c r="AC14" s="385" t="n"/>
      <c r="AD14" s="385" t="n"/>
      <c r="AE14" s="385" t="n"/>
    </row>
    <row r="15" ht="16.5" customHeight="1" s="253">
      <c r="A15" s="375" t="n">
        <v>0</v>
      </c>
      <c r="B15" s="376" t="inlineStr">
        <is>
          <t>Jan &amp; Apr &amp; July &amp; Oct 25</t>
        </is>
      </c>
      <c r="C15" s="377" t="inlineStr">
        <is>
          <t>Agama Law Associates</t>
        </is>
      </c>
      <c r="D15" s="377" t="inlineStr">
        <is>
          <t>INV- 46, INV-25-26-000013, 277, 483, INV-25-26- (46-jan), 000013, 000277, 000483</t>
        </is>
      </c>
      <c r="E15" s="377" t="inlineStr">
        <is>
          <t>subscription based service</t>
        </is>
      </c>
      <c r="F15" s="378" t="n">
        <v>45658</v>
      </c>
      <c r="G15" s="378" t="n">
        <v>46022</v>
      </c>
      <c r="H15" s="390" t="inlineStr">
        <is>
          <t>Annual subscription, Quarterly upfront</t>
        </is>
      </c>
      <c r="I15" s="380" t="n">
        <v>320000</v>
      </c>
      <c r="J15" s="381" t="n">
        <v>26666.667</v>
      </c>
      <c r="K15" s="381" t="n">
        <v>26666.667</v>
      </c>
      <c r="L15" s="377" t="n">
        <v>365</v>
      </c>
      <c r="M15" s="377" t="n">
        <v>30</v>
      </c>
      <c r="N15" s="381" t="n">
        <v>26301.37</v>
      </c>
      <c r="O15" s="381" t="n">
        <v>31</v>
      </c>
      <c r="P15" s="380" t="n">
        <v>27178.082</v>
      </c>
      <c r="Q15" s="383" t="n">
        <v>26666.6666666667</v>
      </c>
      <c r="R15" s="377" t="n">
        <v>30</v>
      </c>
      <c r="S15" s="382" t="n">
        <v>26301.3698630137</v>
      </c>
      <c r="T15" s="382" t="n">
        <v>26666.6666666667</v>
      </c>
      <c r="U15" s="381" t="n">
        <v>31</v>
      </c>
      <c r="V15" s="380" t="n">
        <v>27178.0821917808</v>
      </c>
      <c r="W15" s="384" t="n">
        <v>31</v>
      </c>
      <c r="X15" s="381" t="n">
        <v>26666.667</v>
      </c>
      <c r="Y15" s="380" t="n">
        <v>27178.082</v>
      </c>
      <c r="Z15" s="384" t="n">
        <v>30</v>
      </c>
      <c r="AA15" s="383" t="n">
        <v>26666.667</v>
      </c>
      <c r="AB15" s="383" t="n">
        <v>26301.37</v>
      </c>
      <c r="AC15" s="387" t="n">
        <v>31</v>
      </c>
      <c r="AD15" s="388" t="n">
        <v>26666.667</v>
      </c>
      <c r="AE15" s="388" t="n">
        <v>27178.082</v>
      </c>
    </row>
    <row r="16" ht="15" customHeight="1" s="253">
      <c r="A16" s="375" t="inlineStr">
        <is>
          <t>Closed- May 25</t>
        </is>
      </c>
      <c r="B16" s="376" t="n">
        <v>45748</v>
      </c>
      <c r="C16" s="377" t="inlineStr">
        <is>
          <t>RAJANI ASSOCIATES</t>
        </is>
      </c>
      <c r="D16" s="377" t="inlineStr">
        <is>
          <t>INV-25-26-000014</t>
        </is>
      </c>
      <c r="E16" s="377" t="inlineStr">
        <is>
          <t>subscription based service</t>
        </is>
      </c>
      <c r="F16" s="378" t="n">
        <v>45757</v>
      </c>
      <c r="G16" s="378" t="n">
        <v>45786</v>
      </c>
      <c r="H16" s="386" t="inlineStr">
        <is>
          <t>1 month-Upfront</t>
        </is>
      </c>
      <c r="I16" s="380" t="n">
        <v>24780</v>
      </c>
      <c r="J16" s="381" t="n">
        <v>24780</v>
      </c>
      <c r="K16" s="381" t="n"/>
      <c r="L16" s="377" t="n">
        <v>30</v>
      </c>
      <c r="M16" s="377" t="n">
        <v>21</v>
      </c>
      <c r="N16" s="381" t="n">
        <v>17346</v>
      </c>
      <c r="O16" s="381" t="n">
        <v>9</v>
      </c>
      <c r="P16" s="380" t="n">
        <v>7434</v>
      </c>
      <c r="Q16" s="377" t="n"/>
      <c r="R16" s="377" t="n">
        <v>30</v>
      </c>
      <c r="S16" s="377" t="n"/>
      <c r="T16" s="377" t="n"/>
      <c r="U16" s="381" t="n">
        <v>31</v>
      </c>
      <c r="V16" s="377" t="n"/>
      <c r="W16" s="384" t="n">
        <v>0</v>
      </c>
      <c r="X16" s="381" t="n">
        <v>0</v>
      </c>
      <c r="Y16" s="377" t="n">
        <v>0</v>
      </c>
      <c r="Z16" s="377" t="n"/>
      <c r="AA16" s="377" t="n"/>
      <c r="AB16" s="377" t="n"/>
      <c r="AC16" s="385" t="n"/>
      <c r="AD16" s="385" t="n"/>
      <c r="AE16" s="385" t="n"/>
    </row>
    <row r="17" ht="15" customHeight="1" s="253">
      <c r="A17" s="375" t="n">
        <v>0</v>
      </c>
      <c r="B17" s="376" t="n">
        <v>45748</v>
      </c>
      <c r="C17" s="377" t="inlineStr">
        <is>
          <t>Venkatesh Dhond</t>
        </is>
      </c>
      <c r="D17" s="377" t="inlineStr">
        <is>
          <t>INV-25-26-000015</t>
        </is>
      </c>
      <c r="E17" s="377" t="inlineStr">
        <is>
          <t>subscription based service</t>
        </is>
      </c>
      <c r="F17" s="378" t="n">
        <v>45716</v>
      </c>
      <c r="G17" s="378" t="n">
        <v>45896</v>
      </c>
      <c r="H17" s="386" t="inlineStr">
        <is>
          <t>6 month-Upfront</t>
        </is>
      </c>
      <c r="I17" s="380" t="n">
        <v>100890</v>
      </c>
      <c r="J17" s="381" t="n">
        <v>16815</v>
      </c>
      <c r="K17" s="381" t="n">
        <v>16815</v>
      </c>
      <c r="L17" s="377" t="n">
        <v>181</v>
      </c>
      <c r="M17" s="377" t="n">
        <v>30</v>
      </c>
      <c r="N17" s="381" t="n">
        <v>16722.099</v>
      </c>
      <c r="O17" s="381" t="n">
        <v>31</v>
      </c>
      <c r="P17" s="380" t="n">
        <v>17279.503</v>
      </c>
      <c r="Q17" s="382" t="n">
        <v>16815</v>
      </c>
      <c r="R17" s="377" t="n">
        <v>30</v>
      </c>
      <c r="S17" s="382" t="n">
        <v>16722.0994475138</v>
      </c>
      <c r="T17" s="382" t="n">
        <v>16815</v>
      </c>
      <c r="U17" s="381" t="n">
        <v>31</v>
      </c>
      <c r="V17" s="380" t="n">
        <v>17279.5027624309</v>
      </c>
      <c r="W17" s="384" t="n">
        <v>27</v>
      </c>
      <c r="X17" s="381" t="n">
        <v>0</v>
      </c>
      <c r="Y17" s="380" t="n">
        <v>15049.89</v>
      </c>
      <c r="Z17" s="377" t="n"/>
      <c r="AA17" s="377" t="n"/>
      <c r="AB17" s="377" t="n"/>
      <c r="AC17" s="385" t="n"/>
      <c r="AD17" s="385" t="n"/>
      <c r="AE17" s="385" t="n"/>
    </row>
    <row r="18" ht="15" customHeight="1" s="253">
      <c r="A18" s="375" t="n">
        <v>0</v>
      </c>
      <c r="B18" s="376" t="inlineStr">
        <is>
          <t>Mar to June 25</t>
        </is>
      </c>
      <c r="C18" s="377" t="inlineStr">
        <is>
          <t>Harshit Malik</t>
        </is>
      </c>
      <c r="D18" s="377" t="inlineStr">
        <is>
          <t>INV-000111, INV-25-26-000016, 0109</t>
        </is>
      </c>
      <c r="E18" s="377" t="inlineStr">
        <is>
          <t>subscription based service</t>
        </is>
      </c>
      <c r="F18" s="378" t="n">
        <v>45725</v>
      </c>
      <c r="G18" s="378" t="n">
        <v>45786</v>
      </c>
      <c r="H18" s="386" t="inlineStr">
        <is>
          <t>2 months subscription, Monthly</t>
        </is>
      </c>
      <c r="I18" s="380" t="n">
        <v>23600</v>
      </c>
      <c r="J18" s="381" t="n">
        <v>11800</v>
      </c>
      <c r="K18" s="381" t="n"/>
      <c r="L18" s="377" t="n">
        <v>62</v>
      </c>
      <c r="M18" s="377" t="n">
        <v>30</v>
      </c>
      <c r="N18" s="381" t="n">
        <v>11419.355</v>
      </c>
      <c r="O18" s="381" t="n">
        <v>9</v>
      </c>
      <c r="P18" s="380" t="n">
        <v>3425.806</v>
      </c>
      <c r="Q18" s="382" t="n"/>
      <c r="R18" s="377" t="n">
        <v>30</v>
      </c>
      <c r="S18" s="383" t="n"/>
      <c r="T18" s="377" t="n"/>
      <c r="U18" s="381" t="n">
        <v>31</v>
      </c>
      <c r="V18" s="377" t="n"/>
      <c r="W18" s="384" t="n">
        <v>0</v>
      </c>
      <c r="X18" s="381" t="n">
        <v>0</v>
      </c>
      <c r="Y18" s="377" t="n">
        <v>0</v>
      </c>
      <c r="Z18" s="377" t="n"/>
      <c r="AA18" s="377" t="n"/>
      <c r="AB18" s="377" t="n"/>
      <c r="AC18" s="385" t="n"/>
      <c r="AD18" s="385" t="n"/>
      <c r="AE18" s="385" t="n"/>
    </row>
    <row r="19" ht="15" customHeight="1" s="253">
      <c r="A19" s="375" t="n">
        <v>0</v>
      </c>
      <c r="B19" s="376" t="n">
        <v>45748</v>
      </c>
      <c r="C19" s="377" t="inlineStr">
        <is>
          <t>PSN Legal Advocates and Legal Consultants</t>
        </is>
      </c>
      <c r="D19" s="377" t="inlineStr">
        <is>
          <t>INV-25-26-000017</t>
        </is>
      </c>
      <c r="E19" s="377" t="inlineStr">
        <is>
          <t>subscription based service</t>
        </is>
      </c>
      <c r="F19" s="378" t="n">
        <v>45757</v>
      </c>
      <c r="G19" s="378" t="n">
        <v>46121</v>
      </c>
      <c r="H19" s="386" t="inlineStr">
        <is>
          <t>Annual Upfront</t>
        </is>
      </c>
      <c r="I19" s="380" t="n">
        <v>177015</v>
      </c>
      <c r="J19" s="381" t="n">
        <v>14751.25</v>
      </c>
      <c r="K19" s="381" t="n">
        <v>14751.25</v>
      </c>
      <c r="L19" s="377" t="n">
        <v>365</v>
      </c>
      <c r="M19" s="377" t="n">
        <v>21</v>
      </c>
      <c r="N19" s="381" t="n">
        <v>10184.425</v>
      </c>
      <c r="O19" s="381" t="n">
        <v>31</v>
      </c>
      <c r="P19" s="380" t="n">
        <v>15034.151</v>
      </c>
      <c r="Q19" s="382" t="n">
        <v>14751.25</v>
      </c>
      <c r="R19" s="377" t="n">
        <v>30</v>
      </c>
      <c r="S19" s="382" t="n">
        <v>14549.1780821918</v>
      </c>
      <c r="T19" s="382" t="n">
        <v>14751.25</v>
      </c>
      <c r="U19" s="381" t="n">
        <v>31</v>
      </c>
      <c r="V19" s="380" t="n">
        <v>15034.1506849315</v>
      </c>
      <c r="W19" s="384" t="n">
        <v>31</v>
      </c>
      <c r="X19" s="381" t="n">
        <v>14751.25</v>
      </c>
      <c r="Y19" s="380" t="n">
        <v>15034.151</v>
      </c>
      <c r="Z19" s="384" t="n">
        <v>30</v>
      </c>
      <c r="AA19" s="383" t="n">
        <v>14751.25</v>
      </c>
      <c r="AB19" s="383" t="n">
        <v>14549.178</v>
      </c>
      <c r="AC19" s="387" t="n">
        <v>31</v>
      </c>
      <c r="AD19" s="388" t="n">
        <v>14751.25</v>
      </c>
      <c r="AE19" s="388" t="n">
        <v>15034.151</v>
      </c>
    </row>
    <row r="20" ht="15" customHeight="1" s="253">
      <c r="A20" s="375" t="n">
        <v>0</v>
      </c>
      <c r="B20" s="376" t="inlineStr">
        <is>
          <t>Apr to July 25</t>
        </is>
      </c>
      <c r="C20" s="377" t="inlineStr">
        <is>
          <t>Swapna Sheshadri</t>
        </is>
      </c>
      <c r="D20" s="377" t="inlineStr">
        <is>
          <t>INV-25-26-000019, 113, 0184, 259, INV-25-26-000304, 000376, 000459, 000551, 000673</t>
        </is>
      </c>
      <c r="E20" s="377" t="inlineStr">
        <is>
          <t>subscription based service</t>
        </is>
      </c>
      <c r="F20" s="378" t="n">
        <v>45757</v>
      </c>
      <c r="G20" s="378" t="n">
        <v>45878</v>
      </c>
      <c r="H20" s="386" t="inlineStr">
        <is>
          <t>4 months subscription, Monthly</t>
        </is>
      </c>
      <c r="I20" s="380" t="n">
        <v>47200</v>
      </c>
      <c r="J20" s="381" t="n">
        <v>11800</v>
      </c>
      <c r="K20" s="381" t="n">
        <v>11800</v>
      </c>
      <c r="L20" s="377" t="n">
        <v>122</v>
      </c>
      <c r="M20" s="377" t="n">
        <v>21</v>
      </c>
      <c r="N20" s="381" t="n">
        <v>8124.59</v>
      </c>
      <c r="O20" s="381" t="n">
        <v>31</v>
      </c>
      <c r="P20" s="380" t="n">
        <v>11993.443</v>
      </c>
      <c r="Q20" s="382" t="n">
        <v>11800</v>
      </c>
      <c r="R20" s="377" t="n">
        <v>30</v>
      </c>
      <c r="S20" s="382" t="n">
        <v>11606.5573770492</v>
      </c>
      <c r="T20" s="382" t="n">
        <v>11800</v>
      </c>
      <c r="U20" s="381" t="n">
        <v>31</v>
      </c>
      <c r="V20" s="380" t="n">
        <v>11993.4426229508</v>
      </c>
      <c r="W20" s="384" t="n">
        <v>9</v>
      </c>
      <c r="X20" s="381" t="n"/>
      <c r="Y20" s="380" t="n">
        <v>3481.967</v>
      </c>
      <c r="Z20" s="377" t="n"/>
      <c r="AA20" s="377" t="n"/>
      <c r="AB20" s="377" t="n"/>
      <c r="AC20" s="385" t="n"/>
      <c r="AD20" s="385" t="n"/>
      <c r="AE20" s="385" t="n"/>
    </row>
    <row r="21" ht="15" customHeight="1" s="253">
      <c r="A21" s="375" t="n">
        <v>0</v>
      </c>
      <c r="B21" s="376" t="n">
        <v>45748</v>
      </c>
      <c r="C21" s="377" t="inlineStr">
        <is>
          <t>Vutts &amp; Associates LLP</t>
        </is>
      </c>
      <c r="D21" s="377" t="inlineStr">
        <is>
          <t>INV-25-26-000020</t>
        </is>
      </c>
      <c r="E21" s="377" t="inlineStr">
        <is>
          <t>subscription based service</t>
        </is>
      </c>
      <c r="F21" s="378" t="n">
        <v>45758</v>
      </c>
      <c r="G21" s="378" t="n">
        <v>45848</v>
      </c>
      <c r="H21" s="379" t="inlineStr">
        <is>
          <t>3 months subscription, upfront</t>
        </is>
      </c>
      <c r="I21" s="380" t="n">
        <v>35400</v>
      </c>
      <c r="J21" s="381" t="n">
        <v>11800</v>
      </c>
      <c r="K21" s="381" t="n">
        <v>11800</v>
      </c>
      <c r="L21" s="377" t="n">
        <v>91</v>
      </c>
      <c r="M21" s="377" t="n">
        <v>20</v>
      </c>
      <c r="N21" s="381" t="n">
        <v>7780.22</v>
      </c>
      <c r="O21" s="381" t="n">
        <v>31</v>
      </c>
      <c r="P21" s="380" t="n">
        <v>12059.341</v>
      </c>
      <c r="Q21" s="382" t="n">
        <v>11800</v>
      </c>
      <c r="R21" s="377" t="n">
        <v>30</v>
      </c>
      <c r="S21" s="382" t="n">
        <v>11670.3296703297</v>
      </c>
      <c r="T21" s="377" t="n"/>
      <c r="U21" s="381" t="n">
        <v>10</v>
      </c>
      <c r="V21" s="381" t="n">
        <v>3890.10989010989</v>
      </c>
      <c r="W21" s="384" t="n">
        <v>0</v>
      </c>
      <c r="X21" s="381" t="n">
        <v>0</v>
      </c>
      <c r="Y21" s="377" t="n">
        <v>0</v>
      </c>
      <c r="Z21" s="377" t="n"/>
      <c r="AA21" s="377" t="n"/>
      <c r="AB21" s="377" t="n"/>
      <c r="AC21" s="385" t="n"/>
      <c r="AD21" s="385" t="n"/>
      <c r="AE21" s="385" t="n"/>
    </row>
    <row r="22" ht="15" customHeight="1" s="253">
      <c r="A22" s="375" t="n">
        <v>0</v>
      </c>
      <c r="B22" s="376" t="inlineStr">
        <is>
          <t>Feb Apr to Oct 25</t>
        </is>
      </c>
      <c r="C22" s="377" t="inlineStr">
        <is>
          <t>Darius J. Khambata</t>
        </is>
      </c>
      <c r="D22" s="377" t="inlineStr">
        <is>
          <t>INV-000085, INV-25-26-000021, INV-25-26-000022, 148, 178, 248, 337, 416, 500, 000178, 000248, 000022, 000148, 000337, 000416, 000500, 000600</t>
        </is>
      </c>
      <c r="E22" s="377" t="inlineStr">
        <is>
          <t>subscription based service</t>
        </is>
      </c>
      <c r="F22" s="378" t="n">
        <v>45695</v>
      </c>
      <c r="G22" s="378" t="n">
        <v>46059</v>
      </c>
      <c r="H22" s="391" t="inlineStr">
        <is>
          <t>Annual-Monthly</t>
        </is>
      </c>
      <c r="I22" s="380" t="n">
        <v>240000</v>
      </c>
      <c r="J22" s="381" t="n">
        <v>20000</v>
      </c>
      <c r="K22" s="381" t="n">
        <v>20000</v>
      </c>
      <c r="L22" s="377" t="n">
        <v>365</v>
      </c>
      <c r="M22" s="377" t="n">
        <v>30</v>
      </c>
      <c r="N22" s="381" t="n">
        <v>19726.027</v>
      </c>
      <c r="O22" s="381" t="n">
        <v>31</v>
      </c>
      <c r="P22" s="380" t="n">
        <v>20383.562</v>
      </c>
      <c r="Q22" s="382" t="n">
        <v>20000</v>
      </c>
      <c r="R22" s="377" t="n">
        <v>30</v>
      </c>
      <c r="S22" s="382" t="n">
        <v>19726.0273972603</v>
      </c>
      <c r="T22" s="382" t="n">
        <v>20000</v>
      </c>
      <c r="U22" s="381" t="n">
        <v>31</v>
      </c>
      <c r="V22" s="380" t="n">
        <v>20383.5616438356</v>
      </c>
      <c r="W22" s="384" t="n">
        <v>31</v>
      </c>
      <c r="X22" s="381" t="n">
        <v>20000</v>
      </c>
      <c r="Y22" s="380" t="n">
        <v>20383.562</v>
      </c>
      <c r="Z22" s="384" t="n">
        <v>30</v>
      </c>
      <c r="AA22" s="383" t="n">
        <v>20000</v>
      </c>
      <c r="AB22" s="383" t="n">
        <v>19726.027</v>
      </c>
      <c r="AC22" s="387" t="n">
        <v>31</v>
      </c>
      <c r="AD22" s="388" t="n">
        <v>20000</v>
      </c>
      <c r="AE22" s="388" t="n">
        <v>20383.562</v>
      </c>
    </row>
    <row r="23" ht="15" customHeight="1" s="253">
      <c r="A23" s="375" t="n">
        <v>0</v>
      </c>
      <c r="B23" s="376" t="n">
        <v>45748</v>
      </c>
      <c r="C23" s="377" t="inlineStr">
        <is>
          <t>Miglani Varma &amp; Co.</t>
        </is>
      </c>
      <c r="D23" s="377" t="inlineStr">
        <is>
          <t>INV-25-26-000023</t>
        </is>
      </c>
      <c r="E23" s="377" t="inlineStr">
        <is>
          <t>subscription based service</t>
        </is>
      </c>
      <c r="F23" s="378" t="n">
        <v>45758</v>
      </c>
      <c r="G23" s="378" t="n">
        <v>45848</v>
      </c>
      <c r="H23" s="379" t="inlineStr">
        <is>
          <t>3 months subscription, upfront</t>
        </is>
      </c>
      <c r="I23" s="380" t="n">
        <v>17700</v>
      </c>
      <c r="J23" s="381" t="n">
        <v>5900</v>
      </c>
      <c r="K23" s="381" t="n">
        <v>5900</v>
      </c>
      <c r="L23" s="377" t="n">
        <v>91</v>
      </c>
      <c r="M23" s="377" t="n">
        <v>20</v>
      </c>
      <c r="N23" s="381" t="n">
        <v>3890.11</v>
      </c>
      <c r="O23" s="381" t="n">
        <v>31</v>
      </c>
      <c r="P23" s="380" t="n">
        <v>6029.67</v>
      </c>
      <c r="Q23" s="382" t="n">
        <v>5900</v>
      </c>
      <c r="R23" s="377" t="n">
        <v>30</v>
      </c>
      <c r="S23" s="382" t="n">
        <v>5835.16483516484</v>
      </c>
      <c r="T23" s="377" t="n"/>
      <c r="U23" s="381" t="n">
        <v>10</v>
      </c>
      <c r="V23" s="381" t="n">
        <v>1945.05494505495</v>
      </c>
      <c r="W23" s="384" t="n">
        <v>0</v>
      </c>
      <c r="X23" s="381" t="n">
        <v>0</v>
      </c>
      <c r="Y23" s="377" t="n">
        <v>0</v>
      </c>
      <c r="Z23" s="377" t="n"/>
      <c r="AA23" s="377" t="n"/>
      <c r="AB23" s="377" t="n"/>
      <c r="AC23" s="385" t="n"/>
      <c r="AD23" s="385" t="n"/>
      <c r="AE23" s="385" t="n"/>
    </row>
    <row r="24" ht="15" customHeight="1" s="253">
      <c r="A24" s="375" t="inlineStr">
        <is>
          <t>Closed- May 25</t>
        </is>
      </c>
      <c r="B24" s="376" t="n">
        <v>45748</v>
      </c>
      <c r="C24" s="377" t="inlineStr">
        <is>
          <t>Venkatesh Mohanraj</t>
        </is>
      </c>
      <c r="D24" s="377" t="inlineStr">
        <is>
          <t>INV-25-26-000024</t>
        </is>
      </c>
      <c r="E24" s="377" t="inlineStr">
        <is>
          <t>subscription based service</t>
        </is>
      </c>
      <c r="F24" s="378" t="n">
        <v>45759</v>
      </c>
      <c r="G24" s="378" t="n">
        <v>45788</v>
      </c>
      <c r="H24" s="386" t="inlineStr">
        <is>
          <t>1 month-Upfront</t>
        </is>
      </c>
      <c r="I24" s="380" t="n">
        <v>5900</v>
      </c>
      <c r="J24" s="381" t="n">
        <v>5900</v>
      </c>
      <c r="K24" s="381" t="n"/>
      <c r="L24" s="377" t="n">
        <v>30</v>
      </c>
      <c r="M24" s="377" t="n">
        <v>19</v>
      </c>
      <c r="N24" s="381" t="n">
        <v>3736.667</v>
      </c>
      <c r="O24" s="381" t="n">
        <v>11</v>
      </c>
      <c r="P24" s="380" t="n">
        <v>2163.333</v>
      </c>
      <c r="Q24" s="377" t="n"/>
      <c r="R24" s="377" t="n">
        <v>30</v>
      </c>
      <c r="S24" s="377" t="n"/>
      <c r="T24" s="377" t="n"/>
      <c r="U24" s="381" t="n">
        <v>31</v>
      </c>
      <c r="V24" s="377" t="n"/>
      <c r="W24" s="384" t="n">
        <v>0</v>
      </c>
      <c r="X24" s="381" t="n">
        <v>0</v>
      </c>
      <c r="Y24" s="377" t="n">
        <v>0</v>
      </c>
      <c r="Z24" s="377" t="n"/>
      <c r="AA24" s="377" t="n"/>
      <c r="AB24" s="377" t="n"/>
      <c r="AC24" s="385" t="n"/>
      <c r="AD24" s="385" t="n"/>
      <c r="AE24" s="385" t="n"/>
    </row>
    <row r="25" ht="15" customHeight="1" s="253">
      <c r="A25" s="375" t="inlineStr">
        <is>
          <t>Closed- May 25</t>
        </is>
      </c>
      <c r="B25" s="376" t="n">
        <v>45748</v>
      </c>
      <c r="C25" s="377" t="inlineStr">
        <is>
          <t>Jade Lex Partners</t>
        </is>
      </c>
      <c r="D25" s="377" t="inlineStr">
        <is>
          <t>INV-25-26-000025</t>
        </is>
      </c>
      <c r="E25" s="377" t="inlineStr">
        <is>
          <t>subscription based service</t>
        </is>
      </c>
      <c r="F25" s="378" t="n">
        <v>45759</v>
      </c>
      <c r="G25" s="378" t="n">
        <v>45788</v>
      </c>
      <c r="H25" s="386" t="inlineStr">
        <is>
          <t>1 month-Upfront</t>
        </is>
      </c>
      <c r="I25" s="380" t="n">
        <v>7080</v>
      </c>
      <c r="J25" s="381" t="n">
        <v>7080</v>
      </c>
      <c r="K25" s="381" t="n"/>
      <c r="L25" s="377" t="n">
        <v>30</v>
      </c>
      <c r="M25" s="377" t="n">
        <v>19</v>
      </c>
      <c r="N25" s="381" t="n">
        <v>4484</v>
      </c>
      <c r="O25" s="381" t="n">
        <v>11</v>
      </c>
      <c r="P25" s="380" t="n">
        <v>2596</v>
      </c>
      <c r="Q25" s="377" t="n"/>
      <c r="R25" s="377" t="n">
        <v>30</v>
      </c>
      <c r="S25" s="377" t="n"/>
      <c r="T25" s="377" t="n"/>
      <c r="U25" s="381" t="n">
        <v>31</v>
      </c>
      <c r="V25" s="377" t="n"/>
      <c r="W25" s="384" t="n">
        <v>0</v>
      </c>
      <c r="X25" s="381" t="n">
        <v>0</v>
      </c>
      <c r="Y25" s="377" t="n">
        <v>0</v>
      </c>
      <c r="Z25" s="377" t="n"/>
      <c r="AA25" s="377" t="n"/>
      <c r="AB25" s="377" t="n"/>
      <c r="AC25" s="385" t="n"/>
      <c r="AD25" s="385" t="n"/>
      <c r="AE25" s="385" t="n"/>
    </row>
    <row r="26" ht="15" customHeight="1" s="253">
      <c r="A26" s="375" t="inlineStr">
        <is>
          <t>Closed- May 25</t>
        </is>
      </c>
      <c r="B26" s="376" t="n">
        <v>45748</v>
      </c>
      <c r="C26" s="377" t="inlineStr">
        <is>
          <t>Alankrit Bajpai</t>
        </is>
      </c>
      <c r="D26" s="377" t="inlineStr">
        <is>
          <t>INV-25-26-000026</t>
        </is>
      </c>
      <c r="E26" s="377" t="inlineStr">
        <is>
          <t>subscription based service</t>
        </is>
      </c>
      <c r="F26" s="378" t="n">
        <v>45759</v>
      </c>
      <c r="G26" s="378" t="n">
        <v>45788</v>
      </c>
      <c r="H26" s="386" t="inlineStr">
        <is>
          <t>1 month-Upfront</t>
        </is>
      </c>
      <c r="I26" s="380" t="n">
        <v>5900</v>
      </c>
      <c r="J26" s="381" t="n">
        <v>5900</v>
      </c>
      <c r="K26" s="381" t="n"/>
      <c r="L26" s="377" t="n">
        <v>30</v>
      </c>
      <c r="M26" s="377" t="n">
        <v>19</v>
      </c>
      <c r="N26" s="381" t="n">
        <v>3736.667</v>
      </c>
      <c r="O26" s="381" t="n">
        <v>11</v>
      </c>
      <c r="P26" s="380" t="n">
        <v>2163.333</v>
      </c>
      <c r="Q26" s="377" t="n"/>
      <c r="R26" s="377" t="n">
        <v>30</v>
      </c>
      <c r="S26" s="377" t="n"/>
      <c r="T26" s="377" t="n"/>
      <c r="U26" s="381" t="n">
        <v>31</v>
      </c>
      <c r="V26" s="377" t="n"/>
      <c r="W26" s="384" t="n">
        <v>0</v>
      </c>
      <c r="X26" s="381" t="n">
        <v>0</v>
      </c>
      <c r="Y26" s="377" t="n">
        <v>0</v>
      </c>
      <c r="Z26" s="377" t="n"/>
      <c r="AA26" s="377" t="n"/>
      <c r="AB26" s="377" t="n"/>
      <c r="AC26" s="385" t="n"/>
      <c r="AD26" s="385" t="n"/>
      <c r="AE26" s="385" t="n"/>
    </row>
    <row r="27" ht="15" customHeight="1" s="253">
      <c r="A27" s="375" t="inlineStr">
        <is>
          <t>Closed- May 25</t>
        </is>
      </c>
      <c r="B27" s="376" t="n">
        <v>45748</v>
      </c>
      <c r="C27" s="377" t="inlineStr">
        <is>
          <t>Badar Durrez</t>
        </is>
      </c>
      <c r="D27" s="377" t="inlineStr">
        <is>
          <t>INV-25-26-000028</t>
        </is>
      </c>
      <c r="E27" s="377" t="inlineStr">
        <is>
          <t>subscription based service</t>
        </is>
      </c>
      <c r="F27" s="378" t="n">
        <v>45760</v>
      </c>
      <c r="G27" s="378" t="n">
        <v>45789</v>
      </c>
      <c r="H27" s="386" t="inlineStr">
        <is>
          <t>1 month-Upfront</t>
        </is>
      </c>
      <c r="I27" s="380" t="n">
        <v>5900</v>
      </c>
      <c r="J27" s="381" t="n">
        <v>5900</v>
      </c>
      <c r="K27" s="381" t="n"/>
      <c r="L27" s="377" t="n">
        <v>30</v>
      </c>
      <c r="M27" s="377" t="n">
        <v>18</v>
      </c>
      <c r="N27" s="381" t="n">
        <v>3540</v>
      </c>
      <c r="O27" s="381" t="n">
        <v>12</v>
      </c>
      <c r="P27" s="380" t="n">
        <v>2360</v>
      </c>
      <c r="Q27" s="377" t="n"/>
      <c r="R27" s="377" t="n">
        <v>30</v>
      </c>
      <c r="S27" s="377" t="n"/>
      <c r="T27" s="377" t="n"/>
      <c r="U27" s="381" t="n">
        <v>31</v>
      </c>
      <c r="V27" s="377" t="n"/>
      <c r="W27" s="384" t="n">
        <v>0</v>
      </c>
      <c r="X27" s="381" t="n">
        <v>0</v>
      </c>
      <c r="Y27" s="377" t="n">
        <v>0</v>
      </c>
      <c r="Z27" s="377" t="n"/>
      <c r="AA27" s="377" t="n"/>
      <c r="AB27" s="377" t="n"/>
      <c r="AC27" s="385" t="n"/>
      <c r="AD27" s="385" t="n"/>
      <c r="AE27" s="385" t="n"/>
    </row>
    <row r="28" ht="15" customHeight="1" s="253">
      <c r="A28" s="375" t="n">
        <v>0</v>
      </c>
      <c r="B28" s="376" t="n">
        <v>45748</v>
      </c>
      <c r="C28" s="377" t="inlineStr">
        <is>
          <t>Rashmikant and Partners</t>
        </is>
      </c>
      <c r="D28" s="377" t="inlineStr">
        <is>
          <t>INV-25-26-000029</t>
        </is>
      </c>
      <c r="E28" s="377" t="inlineStr">
        <is>
          <t>subscription based service</t>
        </is>
      </c>
      <c r="F28" s="378" t="n">
        <v>45761</v>
      </c>
      <c r="G28" s="378" t="n">
        <v>46125</v>
      </c>
      <c r="H28" s="386" t="inlineStr">
        <is>
          <t>Annual Upfront</t>
        </is>
      </c>
      <c r="I28" s="380" t="n">
        <v>259600</v>
      </c>
      <c r="J28" s="381" t="n">
        <v>21633.333</v>
      </c>
      <c r="K28" s="381" t="n">
        <v>21633.333</v>
      </c>
      <c r="L28" s="377" t="n">
        <v>365</v>
      </c>
      <c r="M28" s="377" t="n">
        <v>17</v>
      </c>
      <c r="N28" s="381" t="n">
        <v>12090.959</v>
      </c>
      <c r="O28" s="381" t="n">
        <v>31</v>
      </c>
      <c r="P28" s="380" t="n">
        <v>22048.219</v>
      </c>
      <c r="Q28" s="382" t="n">
        <v>21633.3333333333</v>
      </c>
      <c r="R28" s="377" t="n">
        <v>30</v>
      </c>
      <c r="S28" s="382" t="n">
        <v>21336.9863013699</v>
      </c>
      <c r="T28" s="382" t="n">
        <v>21633.3333333333</v>
      </c>
      <c r="U28" s="381" t="n">
        <v>31</v>
      </c>
      <c r="V28" s="380" t="n">
        <v>22048.2191780822</v>
      </c>
      <c r="W28" s="384" t="n">
        <v>31</v>
      </c>
      <c r="X28" s="381" t="n">
        <v>21633.333</v>
      </c>
      <c r="Y28" s="380" t="n">
        <v>22048.219</v>
      </c>
      <c r="Z28" s="384" t="n">
        <v>30</v>
      </c>
      <c r="AA28" s="383" t="n">
        <v>21633.333</v>
      </c>
      <c r="AB28" s="383" t="n">
        <v>21336.986</v>
      </c>
      <c r="AC28" s="387" t="n">
        <v>31</v>
      </c>
      <c r="AD28" s="388" t="n">
        <v>21633.333</v>
      </c>
      <c r="AE28" s="388" t="n">
        <v>22048.219</v>
      </c>
    </row>
    <row r="29" ht="15" customHeight="1" s="253">
      <c r="A29" s="375" t="n">
        <v>0</v>
      </c>
      <c r="B29" s="376" t="inlineStr">
        <is>
          <t>Apr to June 25</t>
        </is>
      </c>
      <c r="C29" s="377" t="inlineStr">
        <is>
          <t>TLH, Advocates &amp; Solicitors</t>
        </is>
      </c>
      <c r="D29" s="377" t="inlineStr">
        <is>
          <t>INV-25-26-000030, 124, 198,271</t>
        </is>
      </c>
      <c r="E29" s="377" t="inlineStr">
        <is>
          <t>subscription based service</t>
        </is>
      </c>
      <c r="F29" s="378" t="n">
        <v>45762</v>
      </c>
      <c r="G29" s="378" t="n">
        <v>45852</v>
      </c>
      <c r="H29" s="386" t="inlineStr">
        <is>
          <t>3 months subscription, Monthly</t>
        </is>
      </c>
      <c r="I29" s="380" t="n">
        <v>531000</v>
      </c>
      <c r="J29" s="381" t="n">
        <v>177000</v>
      </c>
      <c r="K29" s="381" t="n">
        <v>177000</v>
      </c>
      <c r="L29" s="377" t="n">
        <v>91</v>
      </c>
      <c r="M29" s="377" t="n">
        <v>16</v>
      </c>
      <c r="N29" s="381" t="n">
        <v>93362.637</v>
      </c>
      <c r="O29" s="381" t="n">
        <v>31</v>
      </c>
      <c r="P29" s="380" t="n">
        <v>180890.11</v>
      </c>
      <c r="Q29" s="382" t="n">
        <v>177000</v>
      </c>
      <c r="R29" s="377" t="n">
        <v>30</v>
      </c>
      <c r="S29" s="382" t="n">
        <v>175054.945054945</v>
      </c>
      <c r="T29" s="382" t="n"/>
      <c r="U29" s="381" t="n">
        <v>14</v>
      </c>
      <c r="V29" s="380" t="n">
        <v>81692.3076923077</v>
      </c>
      <c r="W29" s="384" t="n">
        <v>0</v>
      </c>
      <c r="X29" s="381" t="n">
        <v>0</v>
      </c>
      <c r="Y29" s="377" t="n">
        <v>0</v>
      </c>
      <c r="Z29" s="377" t="n"/>
      <c r="AA29" s="377" t="n"/>
      <c r="AB29" s="377" t="n"/>
      <c r="AC29" s="385" t="n"/>
      <c r="AD29" s="385" t="n"/>
      <c r="AE29" s="385" t="n"/>
    </row>
    <row r="30" ht="15" customHeight="1" s="253">
      <c r="A30" s="375" t="n">
        <v>0</v>
      </c>
      <c r="B30" s="376" t="n">
        <v>45748</v>
      </c>
      <c r="C30" s="377" t="inlineStr">
        <is>
          <t>Shreeyash Lalit</t>
        </is>
      </c>
      <c r="D30" s="377" t="inlineStr">
        <is>
          <t>INV-25-26-000032</t>
        </is>
      </c>
      <c r="E30" s="377" t="inlineStr">
        <is>
          <t>subscription based service</t>
        </is>
      </c>
      <c r="F30" s="378" t="n">
        <v>45762</v>
      </c>
      <c r="G30" s="378" t="n">
        <v>45944</v>
      </c>
      <c r="H30" s="386" t="inlineStr">
        <is>
          <t>6 month-Upfront</t>
        </is>
      </c>
      <c r="I30" s="380" t="n">
        <v>42480</v>
      </c>
      <c r="J30" s="381" t="n">
        <v>7080</v>
      </c>
      <c r="K30" s="381" t="n">
        <v>7080</v>
      </c>
      <c r="L30" s="377" t="n">
        <v>183</v>
      </c>
      <c r="M30" s="377" t="n">
        <v>16</v>
      </c>
      <c r="N30" s="381" t="n">
        <v>3714.098</v>
      </c>
      <c r="O30" s="381" t="n">
        <v>31</v>
      </c>
      <c r="P30" s="380" t="n">
        <v>7196.066</v>
      </c>
      <c r="Q30" s="382" t="n">
        <v>7080</v>
      </c>
      <c r="R30" s="377" t="n">
        <v>30</v>
      </c>
      <c r="S30" s="382" t="n">
        <v>6963.93442622951</v>
      </c>
      <c r="T30" s="382" t="n">
        <v>7080</v>
      </c>
      <c r="U30" s="381" t="n">
        <v>31</v>
      </c>
      <c r="V30" s="380" t="n">
        <v>7196.06557377049</v>
      </c>
      <c r="W30" s="384" t="n">
        <v>31</v>
      </c>
      <c r="X30" s="381" t="n">
        <v>7080</v>
      </c>
      <c r="Y30" s="380" t="n">
        <v>7196.066</v>
      </c>
      <c r="Z30" s="384" t="n">
        <v>30</v>
      </c>
      <c r="AA30" s="383" t="n">
        <v>7080</v>
      </c>
      <c r="AB30" s="383" t="n">
        <v>6963.934</v>
      </c>
      <c r="AC30" s="387" t="n">
        <v>14</v>
      </c>
      <c r="AD30" s="385" t="n">
        <v>7080</v>
      </c>
      <c r="AE30" s="388" t="n">
        <v>3249.836</v>
      </c>
    </row>
    <row r="31" ht="15" customHeight="1" s="253">
      <c r="A31" s="375" t="n">
        <v>0</v>
      </c>
      <c r="B31" s="376" t="n">
        <v>45748</v>
      </c>
      <c r="C31" s="377" t="inlineStr">
        <is>
          <t>Dewani Associates</t>
        </is>
      </c>
      <c r="D31" s="377" t="inlineStr">
        <is>
          <t>INV-25-26-000033</t>
        </is>
      </c>
      <c r="E31" s="377" t="inlineStr">
        <is>
          <t>subscription based service</t>
        </is>
      </c>
      <c r="F31" s="378" t="n">
        <v>45762</v>
      </c>
      <c r="G31" s="378" t="n">
        <v>45823</v>
      </c>
      <c r="H31" s="377" t="inlineStr">
        <is>
          <t>2 months- Upfront</t>
        </is>
      </c>
      <c r="I31" s="380" t="n">
        <v>23600</v>
      </c>
      <c r="J31" s="381" t="n">
        <v>11800</v>
      </c>
      <c r="K31" s="381" t="n">
        <v>11800</v>
      </c>
      <c r="L31" s="377" t="n">
        <v>62</v>
      </c>
      <c r="M31" s="377" t="n">
        <v>16</v>
      </c>
      <c r="N31" s="381" t="n">
        <v>6090.323</v>
      </c>
      <c r="O31" s="381" t="n">
        <v>31</v>
      </c>
      <c r="P31" s="380" t="n">
        <v>11800</v>
      </c>
      <c r="Q31" s="377" t="n"/>
      <c r="R31" s="377" t="n">
        <v>15</v>
      </c>
      <c r="S31" s="383" t="n">
        <v>5709.67741935484</v>
      </c>
      <c r="T31" s="377" t="n"/>
      <c r="U31" s="381" t="n">
        <v>31</v>
      </c>
      <c r="V31" s="377" t="n"/>
      <c r="W31" s="384" t="n">
        <v>0</v>
      </c>
      <c r="X31" s="381" t="n">
        <v>0</v>
      </c>
      <c r="Y31" s="377" t="n">
        <v>0</v>
      </c>
      <c r="Z31" s="377" t="n"/>
      <c r="AA31" s="377" t="n"/>
      <c r="AB31" s="377" t="n"/>
      <c r="AC31" s="385" t="n"/>
      <c r="AD31" s="385" t="n"/>
      <c r="AE31" s="385" t="n"/>
    </row>
    <row r="32" ht="15" customHeight="1" s="253">
      <c r="A32" s="375" t="n">
        <v>0</v>
      </c>
      <c r="B32" s="376" t="inlineStr">
        <is>
          <t>Apr to Oct 25</t>
        </is>
      </c>
      <c r="C32" s="377" t="inlineStr">
        <is>
          <t>R. Vishnu Kumar, Advocate</t>
        </is>
      </c>
      <c r="D32" s="377" t="inlineStr">
        <is>
          <t>INV-25-26-000034, 125, 199, 272, 358, 528, INV-25-26-000034-000125, 000199, 000272, 000358, 000432, 000528, 000631</t>
        </is>
      </c>
      <c r="E32" s="377" t="inlineStr">
        <is>
          <t>subscription based service</t>
        </is>
      </c>
      <c r="F32" s="378" t="n">
        <v>45762</v>
      </c>
      <c r="G32" s="378" t="n">
        <v>46126</v>
      </c>
      <c r="H32" s="386" t="inlineStr">
        <is>
          <t>Annual-Monthly</t>
        </is>
      </c>
      <c r="I32" s="380" t="n">
        <v>240000</v>
      </c>
      <c r="J32" s="381" t="n">
        <v>20000</v>
      </c>
      <c r="K32" s="381" t="n">
        <v>20000</v>
      </c>
      <c r="L32" s="377" t="n">
        <v>365</v>
      </c>
      <c r="M32" s="377" t="n">
        <v>16</v>
      </c>
      <c r="N32" s="381" t="n">
        <v>10520.548</v>
      </c>
      <c r="O32" s="381" t="n">
        <v>31</v>
      </c>
      <c r="P32" s="380" t="n">
        <v>20383.562</v>
      </c>
      <c r="Q32" s="382" t="n">
        <v>20000</v>
      </c>
      <c r="R32" s="377" t="n">
        <v>30</v>
      </c>
      <c r="S32" s="382" t="n">
        <v>19726.0273972603</v>
      </c>
      <c r="T32" s="382" t="n">
        <v>20000</v>
      </c>
      <c r="U32" s="381" t="n">
        <v>31</v>
      </c>
      <c r="V32" s="380" t="n">
        <v>20383.5616438356</v>
      </c>
      <c r="W32" s="384" t="n">
        <v>31</v>
      </c>
      <c r="X32" s="381" t="n">
        <v>20000</v>
      </c>
      <c r="Y32" s="380" t="n">
        <v>20383.562</v>
      </c>
      <c r="Z32" s="384" t="n">
        <v>30</v>
      </c>
      <c r="AA32" s="383" t="n">
        <v>20000</v>
      </c>
      <c r="AB32" s="383" t="n">
        <v>19726.027</v>
      </c>
      <c r="AC32" s="387" t="n">
        <v>31</v>
      </c>
      <c r="AD32" s="388" t="n">
        <v>20000</v>
      </c>
      <c r="AE32" s="388" t="n">
        <v>20383.562</v>
      </c>
    </row>
    <row r="33" ht="15" customHeight="1" s="253">
      <c r="A33" s="375" t="n">
        <v>0</v>
      </c>
      <c r="B33" s="376" t="inlineStr">
        <is>
          <t>Mar &amp; Apr 25</t>
        </is>
      </c>
      <c r="C33" s="392" t="inlineStr">
        <is>
          <t>Yash Momaya</t>
        </is>
      </c>
      <c r="D33" s="377" t="inlineStr">
        <is>
          <t>INV-25-26-000035, 0127, 0200</t>
        </is>
      </c>
      <c r="E33" s="377" t="inlineStr">
        <is>
          <t>subscription based service</t>
        </is>
      </c>
      <c r="F33" s="378" t="n">
        <v>45763</v>
      </c>
      <c r="G33" s="378" t="n">
        <v>45792</v>
      </c>
      <c r="H33" s="386" t="inlineStr">
        <is>
          <t>1 month-Upfront</t>
        </is>
      </c>
      <c r="I33" s="380" t="n">
        <v>11800</v>
      </c>
      <c r="J33" s="381" t="n">
        <v>11800</v>
      </c>
      <c r="K33" s="381" t="n"/>
      <c r="L33" s="377" t="n">
        <v>30</v>
      </c>
      <c r="M33" s="377" t="n">
        <v>15</v>
      </c>
      <c r="N33" s="381" t="n">
        <v>5900</v>
      </c>
      <c r="O33" s="381" t="n">
        <v>15</v>
      </c>
      <c r="P33" s="380" t="n">
        <v>5900</v>
      </c>
      <c r="Q33" s="382" t="n">
        <v>0</v>
      </c>
      <c r="R33" s="377" t="n">
        <v>30</v>
      </c>
      <c r="S33" s="382" t="n">
        <v>0</v>
      </c>
      <c r="T33" s="382" t="n">
        <v>0</v>
      </c>
      <c r="U33" s="381" t="n">
        <v>31</v>
      </c>
      <c r="V33" s="380" t="n">
        <v>0</v>
      </c>
      <c r="W33" s="384" t="n">
        <v>0</v>
      </c>
      <c r="X33" s="381" t="n">
        <v>0</v>
      </c>
      <c r="Y33" s="377" t="n">
        <v>0</v>
      </c>
      <c r="Z33" s="377" t="n"/>
      <c r="AA33" s="377" t="n"/>
      <c r="AB33" s="377" t="n"/>
      <c r="AC33" s="385" t="n"/>
      <c r="AD33" s="385" t="n"/>
      <c r="AE33" s="385" t="n"/>
    </row>
    <row r="34" ht="15" customHeight="1" s="253">
      <c r="A34" s="375" t="inlineStr">
        <is>
          <t>Closed- May 25</t>
        </is>
      </c>
      <c r="B34" s="376" t="n">
        <v>45748</v>
      </c>
      <c r="C34" s="377" t="inlineStr">
        <is>
          <t>Chetan Dedhia</t>
        </is>
      </c>
      <c r="D34" s="377" t="inlineStr">
        <is>
          <t>INV-25-26-000036</t>
        </is>
      </c>
      <c r="E34" s="377" t="inlineStr">
        <is>
          <t>subscription based service</t>
        </is>
      </c>
      <c r="F34" s="378" t="n">
        <v>45763</v>
      </c>
      <c r="G34" s="378" t="n">
        <v>45792</v>
      </c>
      <c r="H34" s="386" t="inlineStr">
        <is>
          <t>1 month-Upfront</t>
        </is>
      </c>
      <c r="I34" s="380" t="n">
        <v>17700</v>
      </c>
      <c r="J34" s="381" t="n">
        <v>17700</v>
      </c>
      <c r="K34" s="381" t="n"/>
      <c r="L34" s="377" t="n">
        <v>30</v>
      </c>
      <c r="M34" s="377" t="n">
        <v>15</v>
      </c>
      <c r="N34" s="381" t="n">
        <v>8850</v>
      </c>
      <c r="O34" s="381" t="n">
        <v>15</v>
      </c>
      <c r="P34" s="380" t="n">
        <v>8850</v>
      </c>
      <c r="Q34" s="377" t="n"/>
      <c r="R34" s="377" t="n">
        <v>30</v>
      </c>
      <c r="S34" s="377" t="n"/>
      <c r="T34" s="377" t="n"/>
      <c r="U34" s="381" t="n">
        <v>31</v>
      </c>
      <c r="V34" s="377" t="n"/>
      <c r="W34" s="384" t="n">
        <v>0</v>
      </c>
      <c r="X34" s="381" t="n">
        <v>0</v>
      </c>
      <c r="Y34" s="377" t="n">
        <v>0</v>
      </c>
      <c r="Z34" s="377" t="n"/>
      <c r="AA34" s="377" t="n"/>
      <c r="AB34" s="377" t="n"/>
      <c r="AC34" s="385" t="n"/>
      <c r="AD34" s="385" t="n"/>
      <c r="AE34" s="385" t="n"/>
    </row>
    <row r="35" ht="15" customHeight="1" s="253">
      <c r="A35" s="375" t="n">
        <v>0</v>
      </c>
      <c r="B35" s="376" t="n">
        <v>45748</v>
      </c>
      <c r="C35" s="377" t="inlineStr">
        <is>
          <t>NC Legal</t>
        </is>
      </c>
      <c r="D35" s="377" t="inlineStr">
        <is>
          <t>INV-25-26-000037</t>
        </is>
      </c>
      <c r="E35" s="377" t="inlineStr">
        <is>
          <t>subscription based service</t>
        </is>
      </c>
      <c r="F35" s="378" t="n">
        <v>45778</v>
      </c>
      <c r="G35" s="378" t="n">
        <v>46142</v>
      </c>
      <c r="H35" s="386" t="inlineStr">
        <is>
          <t>Annual Upfront</t>
        </is>
      </c>
      <c r="I35" s="380" t="n">
        <v>80240</v>
      </c>
      <c r="J35" s="381" t="n"/>
      <c r="K35" s="381" t="n">
        <v>6686.667</v>
      </c>
      <c r="L35" s="377" t="n">
        <v>365</v>
      </c>
      <c r="M35" s="377" t="n">
        <v>0</v>
      </c>
      <c r="N35" s="381" t="n">
        <v>0</v>
      </c>
      <c r="O35" s="381" t="n">
        <v>31</v>
      </c>
      <c r="P35" s="380" t="n">
        <v>6814.904</v>
      </c>
      <c r="Q35" s="382" t="n">
        <v>6686.66666666667</v>
      </c>
      <c r="R35" s="377" t="n">
        <v>30</v>
      </c>
      <c r="S35" s="382" t="n">
        <v>6595.06849315069</v>
      </c>
      <c r="T35" s="382" t="n">
        <v>6686.66666666667</v>
      </c>
      <c r="U35" s="381" t="n">
        <v>31</v>
      </c>
      <c r="V35" s="380" t="n">
        <v>6814.90410958904</v>
      </c>
      <c r="W35" s="384" t="n">
        <v>31</v>
      </c>
      <c r="X35" s="381" t="n">
        <v>6686.667</v>
      </c>
      <c r="Y35" s="380" t="n">
        <v>6814.904</v>
      </c>
      <c r="Z35" s="384" t="n">
        <v>30</v>
      </c>
      <c r="AA35" s="383" t="n">
        <v>6686.667</v>
      </c>
      <c r="AB35" s="383" t="n">
        <v>6595.068</v>
      </c>
      <c r="AC35" s="387" t="n">
        <v>31</v>
      </c>
      <c r="AD35" s="388" t="n">
        <v>6686.667</v>
      </c>
      <c r="AE35" s="388" t="n">
        <v>6814.904</v>
      </c>
    </row>
    <row r="36" ht="15.75" customHeight="1" s="253">
      <c r="A36" s="375" t="inlineStr">
        <is>
          <t>Closed- May 25</t>
        </is>
      </c>
      <c r="B36" s="376" t="n">
        <v>45748</v>
      </c>
      <c r="C36" s="377" t="inlineStr">
        <is>
          <t>Aakash Sharma</t>
        </is>
      </c>
      <c r="D36" s="377" t="inlineStr">
        <is>
          <t>INV-25-26-000038</t>
        </is>
      </c>
      <c r="E36" s="377" t="inlineStr">
        <is>
          <t>subscription based service</t>
        </is>
      </c>
      <c r="F36" s="378" t="n">
        <v>45765</v>
      </c>
      <c r="G36" s="378" t="n">
        <v>45795</v>
      </c>
      <c r="H36" s="386" t="inlineStr">
        <is>
          <t>1 month-Upfront</t>
        </is>
      </c>
      <c r="I36" s="380" t="n">
        <v>5900</v>
      </c>
      <c r="J36" s="381" t="n">
        <v>5900</v>
      </c>
      <c r="K36" s="381" t="n"/>
      <c r="L36" s="377" t="n">
        <v>31</v>
      </c>
      <c r="M36" s="377" t="n">
        <v>13</v>
      </c>
      <c r="N36" s="381" t="n">
        <v>2474.194</v>
      </c>
      <c r="O36" s="381" t="n">
        <v>18</v>
      </c>
      <c r="P36" s="380" t="n">
        <v>3425.806</v>
      </c>
      <c r="Q36" s="377" t="n"/>
      <c r="R36" s="377" t="n">
        <v>30</v>
      </c>
      <c r="S36" s="377" t="n"/>
      <c r="T36" s="377" t="n"/>
      <c r="U36" s="381" t="n">
        <v>31</v>
      </c>
      <c r="V36" s="377" t="n"/>
      <c r="W36" s="384" t="n">
        <v>0</v>
      </c>
      <c r="X36" s="381" t="n">
        <v>0</v>
      </c>
      <c r="Y36" s="377" t="n">
        <v>0</v>
      </c>
      <c r="Z36" s="377" t="n"/>
      <c r="AA36" s="377" t="n"/>
      <c r="AB36" s="377" t="n"/>
      <c r="AC36" s="385" t="n"/>
      <c r="AD36" s="385" t="n"/>
      <c r="AE36" s="385" t="n"/>
    </row>
    <row r="37" ht="15.75" customHeight="1" s="253">
      <c r="A37" s="375" t="inlineStr">
        <is>
          <t>Closed- May 25</t>
        </is>
      </c>
      <c r="B37" s="376" t="n">
        <v>45748</v>
      </c>
      <c r="C37" s="377" t="inlineStr">
        <is>
          <t>Saga Legal</t>
        </is>
      </c>
      <c r="D37" s="377" t="inlineStr">
        <is>
          <t>INV-25-26-000039</t>
        </is>
      </c>
      <c r="E37" s="377" t="inlineStr">
        <is>
          <t>subscription based service</t>
        </is>
      </c>
      <c r="F37" s="378" t="n">
        <v>45761</v>
      </c>
      <c r="G37" s="378" t="n">
        <v>45791</v>
      </c>
      <c r="H37" s="386" t="inlineStr">
        <is>
          <t>1 month-Upfront</t>
        </is>
      </c>
      <c r="I37" s="380" t="n">
        <v>23600</v>
      </c>
      <c r="J37" s="381" t="n">
        <v>23600</v>
      </c>
      <c r="K37" s="381" t="n"/>
      <c r="L37" s="377" t="n">
        <v>31</v>
      </c>
      <c r="M37" s="377" t="n">
        <v>17</v>
      </c>
      <c r="N37" s="381" t="n">
        <v>12941.935</v>
      </c>
      <c r="O37" s="381" t="n">
        <v>14</v>
      </c>
      <c r="P37" s="380" t="n">
        <v>10658.065</v>
      </c>
      <c r="Q37" s="377" t="n"/>
      <c r="R37" s="377" t="n">
        <v>30</v>
      </c>
      <c r="S37" s="377" t="n"/>
      <c r="T37" s="377" t="n"/>
      <c r="U37" s="381" t="n">
        <v>31</v>
      </c>
      <c r="V37" s="377" t="n"/>
      <c r="W37" s="384" t="n">
        <v>0</v>
      </c>
      <c r="X37" s="381" t="n">
        <v>0</v>
      </c>
      <c r="Y37" s="377" t="n">
        <v>0</v>
      </c>
      <c r="Z37" s="377" t="n"/>
      <c r="AA37" s="377" t="n"/>
      <c r="AB37" s="377" t="n"/>
      <c r="AC37" s="385" t="n"/>
      <c r="AD37" s="385" t="n"/>
      <c r="AE37" s="385" t="n"/>
    </row>
    <row r="38" ht="15.75" customHeight="1" s="253">
      <c r="A38" s="375" t="n">
        <v>0</v>
      </c>
      <c r="B38" s="376" t="n">
        <v>45748</v>
      </c>
      <c r="C38" s="377" t="inlineStr">
        <is>
          <t>RPV LEGAL</t>
        </is>
      </c>
      <c r="D38" s="377" t="inlineStr">
        <is>
          <t>INV-25-26-000040</t>
        </is>
      </c>
      <c r="E38" s="377" t="inlineStr">
        <is>
          <t>subscription based service</t>
        </is>
      </c>
      <c r="F38" s="378" t="n">
        <v>45769</v>
      </c>
      <c r="G38" s="378" t="n">
        <v>46133</v>
      </c>
      <c r="H38" s="386" t="inlineStr">
        <is>
          <t>Annual Upfront</t>
        </is>
      </c>
      <c r="I38" s="380" t="n">
        <v>175000</v>
      </c>
      <c r="J38" s="381" t="n">
        <v>14583.333</v>
      </c>
      <c r="K38" s="381" t="n">
        <v>14583.333</v>
      </c>
      <c r="L38" s="377" t="n">
        <v>365</v>
      </c>
      <c r="M38" s="377" t="n">
        <v>9</v>
      </c>
      <c r="N38" s="381" t="n">
        <v>4315.068</v>
      </c>
      <c r="O38" s="381" t="n">
        <v>31</v>
      </c>
      <c r="P38" s="380" t="n">
        <v>14863.014</v>
      </c>
      <c r="Q38" s="382" t="n">
        <v>14583.3333333333</v>
      </c>
      <c r="R38" s="377" t="n">
        <v>30</v>
      </c>
      <c r="S38" s="382" t="n">
        <v>14383.5616438356</v>
      </c>
      <c r="T38" s="382" t="n">
        <v>14583.3333333333</v>
      </c>
      <c r="U38" s="381" t="n">
        <v>31</v>
      </c>
      <c r="V38" s="380" t="n">
        <v>14863.0136986301</v>
      </c>
      <c r="W38" s="384" t="n">
        <v>31</v>
      </c>
      <c r="X38" s="381" t="n">
        <v>14583.333</v>
      </c>
      <c r="Y38" s="380" t="n">
        <v>14863.014</v>
      </c>
      <c r="Z38" s="384" t="n">
        <v>30</v>
      </c>
      <c r="AA38" s="383" t="n">
        <v>14583.333</v>
      </c>
      <c r="AB38" s="383" t="n">
        <v>14383.562</v>
      </c>
      <c r="AC38" s="387" t="n">
        <v>31</v>
      </c>
      <c r="AD38" s="388" t="n">
        <v>14583.333</v>
      </c>
      <c r="AE38" s="388" t="n">
        <v>14863.014</v>
      </c>
    </row>
    <row r="39" ht="15.75" customHeight="1" s="253">
      <c r="A39" s="375" t="n">
        <v>0</v>
      </c>
      <c r="B39" s="376" t="n">
        <v>45748</v>
      </c>
      <c r="C39" s="377" t="inlineStr">
        <is>
          <t>AP &amp; Partners, Advocates</t>
        </is>
      </c>
      <c r="D39" s="377" t="inlineStr">
        <is>
          <t>INV-25-26-000041</t>
        </is>
      </c>
      <c r="E39" s="377" t="inlineStr">
        <is>
          <t>subscription based service</t>
        </is>
      </c>
      <c r="F39" s="378" t="n">
        <v>45771</v>
      </c>
      <c r="G39" s="378" t="n">
        <v>45860</v>
      </c>
      <c r="H39" s="379" t="inlineStr">
        <is>
          <t>3 months subscription, upfront</t>
        </is>
      </c>
      <c r="I39" s="380" t="n">
        <v>28320</v>
      </c>
      <c r="J39" s="381" t="n">
        <v>9440</v>
      </c>
      <c r="K39" s="381" t="n">
        <v>9440</v>
      </c>
      <c r="L39" s="377" t="n">
        <v>90</v>
      </c>
      <c r="M39" s="377" t="n">
        <v>7</v>
      </c>
      <c r="N39" s="381" t="n">
        <v>2202.667</v>
      </c>
      <c r="O39" s="381" t="n">
        <v>31</v>
      </c>
      <c r="P39" s="380" t="n">
        <v>9754.666999999999</v>
      </c>
      <c r="Q39" s="382" t="n">
        <v>9440</v>
      </c>
      <c r="R39" s="377" t="n">
        <v>30</v>
      </c>
      <c r="S39" s="382" t="n">
        <v>9440</v>
      </c>
      <c r="T39" s="377" t="n"/>
      <c r="U39" s="381" t="n">
        <v>22</v>
      </c>
      <c r="V39" s="381" t="n">
        <v>6922.66666666667</v>
      </c>
      <c r="W39" s="384" t="n">
        <v>0</v>
      </c>
      <c r="X39" s="381" t="n">
        <v>0</v>
      </c>
      <c r="Y39" s="377" t="n">
        <v>0</v>
      </c>
      <c r="Z39" s="377" t="n"/>
      <c r="AA39" s="377" t="n"/>
      <c r="AB39" s="377" t="n"/>
      <c r="AC39" s="385" t="n"/>
      <c r="AD39" s="385" t="n"/>
      <c r="AE39" s="385" t="n"/>
    </row>
    <row r="40" ht="15.75" customHeight="1" s="253">
      <c r="A40" s="375" t="inlineStr">
        <is>
          <t>Credit Note Issue</t>
        </is>
      </c>
      <c r="B40" s="376" t="inlineStr">
        <is>
          <t>Apr to June 25</t>
        </is>
      </c>
      <c r="C40" s="377" t="inlineStr">
        <is>
          <t>Pranay Chitale</t>
        </is>
      </c>
      <c r="D40" s="377" t="inlineStr">
        <is>
          <t>INV-25-26-000042, 137, 213</t>
        </is>
      </c>
      <c r="E40" s="377" t="inlineStr">
        <is>
          <t>subscription based service</t>
        </is>
      </c>
      <c r="F40" s="378" t="n">
        <v>45770</v>
      </c>
      <c r="G40" s="378" t="n">
        <v>45799</v>
      </c>
      <c r="H40" s="386" t="inlineStr">
        <is>
          <t>1 month-Upfront</t>
        </is>
      </c>
      <c r="I40" s="380" t="n">
        <v>17700</v>
      </c>
      <c r="J40" s="381" t="n">
        <v>17700</v>
      </c>
      <c r="K40" s="381" t="n"/>
      <c r="L40" s="377" t="n">
        <v>30</v>
      </c>
      <c r="M40" s="377" t="n">
        <v>8</v>
      </c>
      <c r="N40" s="381" t="n">
        <v>4720</v>
      </c>
      <c r="O40" s="381" t="n">
        <v>22</v>
      </c>
      <c r="P40" s="380" t="n">
        <v>12980</v>
      </c>
      <c r="Q40" s="382" t="n"/>
      <c r="R40" s="377" t="n"/>
      <c r="S40" s="382" t="n"/>
      <c r="T40" s="382" t="n"/>
      <c r="U40" s="381" t="n"/>
      <c r="V40" s="380" t="n"/>
      <c r="W40" s="384" t="n">
        <v>0</v>
      </c>
      <c r="X40" s="381" t="n">
        <v>0</v>
      </c>
      <c r="Y40" s="377" t="n">
        <v>0</v>
      </c>
      <c r="Z40" s="377" t="n"/>
      <c r="AA40" s="377" t="n"/>
      <c r="AB40" s="377" t="n"/>
      <c r="AC40" s="385" t="n"/>
      <c r="AD40" s="385" t="n"/>
      <c r="AE40" s="385" t="n"/>
    </row>
    <row r="41" ht="15.75" customHeight="1" s="253">
      <c r="A41" s="375" t="inlineStr">
        <is>
          <t>Closed- May 25</t>
        </is>
      </c>
      <c r="B41" s="376" t="n">
        <v>45748</v>
      </c>
      <c r="C41" s="377" t="inlineStr">
        <is>
          <t>Spark Legal</t>
        </is>
      </c>
      <c r="D41" s="377" t="inlineStr">
        <is>
          <t>INV-25-26-000043</t>
        </is>
      </c>
      <c r="E41" s="377" t="inlineStr">
        <is>
          <t>subscription based service</t>
        </is>
      </c>
      <c r="F41" s="378" t="n">
        <v>45771</v>
      </c>
      <c r="G41" s="378" t="n">
        <v>45800</v>
      </c>
      <c r="H41" s="386" t="inlineStr">
        <is>
          <t>1 month-Upfront</t>
        </is>
      </c>
      <c r="I41" s="380" t="n">
        <v>11800</v>
      </c>
      <c r="J41" s="381" t="n">
        <v>11800</v>
      </c>
      <c r="K41" s="381" t="n"/>
      <c r="L41" s="377" t="n">
        <v>30</v>
      </c>
      <c r="M41" s="377" t="n">
        <v>7</v>
      </c>
      <c r="N41" s="381" t="n">
        <v>2753.333</v>
      </c>
      <c r="O41" s="381" t="n">
        <v>23</v>
      </c>
      <c r="P41" s="380" t="n">
        <v>9046.666999999999</v>
      </c>
      <c r="Q41" s="377" t="n"/>
      <c r="R41" s="377" t="n">
        <v>30</v>
      </c>
      <c r="S41" s="377" t="n"/>
      <c r="T41" s="377" t="n"/>
      <c r="U41" s="381" t="n">
        <v>31</v>
      </c>
      <c r="V41" s="377" t="n"/>
      <c r="W41" s="384" t="n">
        <v>0</v>
      </c>
      <c r="X41" s="381" t="n">
        <v>0</v>
      </c>
      <c r="Y41" s="377" t="n">
        <v>0</v>
      </c>
      <c r="Z41" s="377" t="n"/>
      <c r="AA41" s="377" t="n"/>
      <c r="AB41" s="377" t="n"/>
      <c r="AC41" s="385" t="n"/>
      <c r="AD41" s="385" t="n"/>
      <c r="AE41" s="385" t="n"/>
    </row>
    <row r="42" ht="15.75" customHeight="1" s="253">
      <c r="A42" s="375" t="n">
        <v>0</v>
      </c>
      <c r="B42" s="376" t="n">
        <v>45748</v>
      </c>
      <c r="C42" s="377" t="inlineStr">
        <is>
          <t>Bathiya Legal</t>
        </is>
      </c>
      <c r="D42" s="377" t="inlineStr">
        <is>
          <t>INV-25-26-000044</t>
        </is>
      </c>
      <c r="E42" s="377" t="inlineStr">
        <is>
          <t>subscription based service</t>
        </is>
      </c>
      <c r="F42" s="378" t="n">
        <v>45771</v>
      </c>
      <c r="G42" s="378" t="n">
        <v>45862</v>
      </c>
      <c r="H42" s="379" t="inlineStr">
        <is>
          <t>3 months subscription, upfront</t>
        </is>
      </c>
      <c r="I42" s="380" t="n">
        <v>35400</v>
      </c>
      <c r="J42" s="381" t="n">
        <v>11800</v>
      </c>
      <c r="K42" s="381" t="n">
        <v>11800</v>
      </c>
      <c r="L42" s="377" t="n">
        <v>92</v>
      </c>
      <c r="M42" s="377" t="n">
        <v>7</v>
      </c>
      <c r="N42" s="381" t="n">
        <v>2693.478</v>
      </c>
      <c r="O42" s="381" t="n">
        <v>31</v>
      </c>
      <c r="P42" s="380" t="n">
        <v>11928.261</v>
      </c>
      <c r="Q42" s="382" t="n">
        <v>11800</v>
      </c>
      <c r="R42" s="377" t="n">
        <v>30</v>
      </c>
      <c r="S42" s="382" t="n">
        <v>11543.4782608696</v>
      </c>
      <c r="T42" s="377" t="n"/>
      <c r="U42" s="381" t="n">
        <v>24</v>
      </c>
      <c r="V42" s="381" t="n">
        <v>9234.78260869565</v>
      </c>
      <c r="W42" s="384" t="n">
        <v>0</v>
      </c>
      <c r="X42" s="381" t="n">
        <v>0</v>
      </c>
      <c r="Y42" s="377" t="n">
        <v>0</v>
      </c>
      <c r="Z42" s="377" t="n"/>
      <c r="AA42" s="377" t="n"/>
      <c r="AB42" s="377" t="n"/>
      <c r="AC42" s="385" t="n"/>
      <c r="AD42" s="385" t="n"/>
      <c r="AE42" s="385" t="n"/>
    </row>
    <row r="43" ht="15.75" customHeight="1" s="253">
      <c r="A43" s="375" t="n">
        <v>0</v>
      </c>
      <c r="B43" s="376" t="n">
        <v>45748</v>
      </c>
      <c r="C43" s="377" t="inlineStr">
        <is>
          <t>Justice (Retd.) Kurian Joseph</t>
        </is>
      </c>
      <c r="D43" s="377" t="inlineStr">
        <is>
          <t>INV-25-26-000045</t>
        </is>
      </c>
      <c r="E43" s="377" t="inlineStr">
        <is>
          <t>subscription based service</t>
        </is>
      </c>
      <c r="F43" s="378" t="n">
        <v>45774</v>
      </c>
      <c r="G43" s="378" t="n">
        <v>46138</v>
      </c>
      <c r="H43" s="386" t="inlineStr">
        <is>
          <t>Annual Upfront</t>
        </is>
      </c>
      <c r="I43" s="380" t="n">
        <v>177000</v>
      </c>
      <c r="J43" s="381" t="n">
        <v>14750</v>
      </c>
      <c r="K43" s="381" t="n">
        <v>14750</v>
      </c>
      <c r="L43" s="377" t="n">
        <v>365</v>
      </c>
      <c r="M43" s="377" t="n">
        <v>4</v>
      </c>
      <c r="N43" s="381" t="n">
        <v>1939.726</v>
      </c>
      <c r="O43" s="381" t="n">
        <v>31</v>
      </c>
      <c r="P43" s="380" t="n">
        <v>15032.877</v>
      </c>
      <c r="Q43" s="382" t="n">
        <v>14750</v>
      </c>
      <c r="R43" s="377" t="n">
        <v>30</v>
      </c>
      <c r="S43" s="382" t="n">
        <v>14547.9452054795</v>
      </c>
      <c r="T43" s="382" t="n">
        <v>14750</v>
      </c>
      <c r="U43" s="381" t="n">
        <v>31</v>
      </c>
      <c r="V43" s="380" t="n">
        <v>15032.8767123288</v>
      </c>
      <c r="W43" s="384" t="n">
        <v>31</v>
      </c>
      <c r="X43" s="381" t="n">
        <v>14750</v>
      </c>
      <c r="Y43" s="380" t="n">
        <v>15032.877</v>
      </c>
      <c r="Z43" s="384" t="n">
        <v>30</v>
      </c>
      <c r="AA43" s="383" t="n">
        <v>14750</v>
      </c>
      <c r="AB43" s="383" t="n">
        <v>14547.945</v>
      </c>
      <c r="AC43" s="387" t="n">
        <v>31</v>
      </c>
      <c r="AD43" s="388" t="n">
        <v>14750</v>
      </c>
      <c r="AE43" s="388" t="n">
        <v>15032.877</v>
      </c>
    </row>
    <row r="44" ht="15.75" customHeight="1" s="253">
      <c r="A44" s="375" t="n">
        <v>0</v>
      </c>
      <c r="B44" s="376" t="n">
        <v>45748</v>
      </c>
      <c r="C44" s="392" t="inlineStr">
        <is>
          <t xml:space="preserve">SINHA &amp; COMPANY
</t>
        </is>
      </c>
      <c r="D44" s="377" t="inlineStr">
        <is>
          <t>INV-25-26-000046</t>
        </is>
      </c>
      <c r="E44" s="377" t="inlineStr">
        <is>
          <t>subscription based service</t>
        </is>
      </c>
      <c r="F44" s="389" t="n">
        <v>45772</v>
      </c>
      <c r="G44" s="378" t="n">
        <v>46136</v>
      </c>
      <c r="H44" s="386" t="inlineStr">
        <is>
          <t>Annual Upfront</t>
        </is>
      </c>
      <c r="I44" s="393" t="n">
        <v>203904</v>
      </c>
      <c r="J44" s="381" t="n">
        <v>16992</v>
      </c>
      <c r="K44" s="381" t="n">
        <v>16992</v>
      </c>
      <c r="L44" s="377" t="n">
        <v>365</v>
      </c>
      <c r="M44" s="377" t="n">
        <v>6</v>
      </c>
      <c r="N44" s="381" t="n">
        <v>3351.847</v>
      </c>
      <c r="O44" s="381" t="n">
        <v>31</v>
      </c>
      <c r="P44" s="380" t="n">
        <v>17317.874</v>
      </c>
      <c r="Q44" s="382" t="n">
        <v>16992</v>
      </c>
      <c r="R44" s="377" t="n">
        <v>30</v>
      </c>
      <c r="S44" s="382" t="n">
        <v>16759.2328767123</v>
      </c>
      <c r="T44" s="382" t="n">
        <v>16992</v>
      </c>
      <c r="U44" s="381" t="n">
        <v>31</v>
      </c>
      <c r="V44" s="380" t="n">
        <v>17317.8739726027</v>
      </c>
      <c r="W44" s="384" t="n">
        <v>31</v>
      </c>
      <c r="X44" s="381" t="n">
        <v>16992</v>
      </c>
      <c r="Y44" s="380" t="n">
        <v>17317.874</v>
      </c>
      <c r="Z44" s="384" t="n">
        <v>30</v>
      </c>
      <c r="AA44" s="383" t="n">
        <v>16992</v>
      </c>
      <c r="AB44" s="383" t="n">
        <v>16759.233</v>
      </c>
      <c r="AC44" s="387" t="n">
        <v>31</v>
      </c>
      <c r="AD44" s="388" t="n">
        <v>16992</v>
      </c>
      <c r="AE44" s="388" t="n">
        <v>17317.874</v>
      </c>
    </row>
    <row r="45" ht="15.75" customHeight="1" s="253">
      <c r="A45" s="375" t="n">
        <v>0</v>
      </c>
      <c r="B45" s="376" t="n">
        <v>45748</v>
      </c>
      <c r="C45" s="377" t="inlineStr">
        <is>
          <t>Darshit Jain</t>
        </is>
      </c>
      <c r="D45" s="377" t="inlineStr">
        <is>
          <t>INV-25-26-000047</t>
        </is>
      </c>
      <c r="E45" s="377" t="inlineStr">
        <is>
          <t>subscription based service</t>
        </is>
      </c>
      <c r="F45" s="389" t="n">
        <v>45772</v>
      </c>
      <c r="G45" s="378" t="n">
        <v>46136</v>
      </c>
      <c r="H45" s="386" t="inlineStr">
        <is>
          <t>Annual Upfront</t>
        </is>
      </c>
      <c r="I45" s="393" t="n">
        <v>25488</v>
      </c>
      <c r="J45" s="381" t="n">
        <v>2124</v>
      </c>
      <c r="K45" s="381" t="n">
        <v>2124</v>
      </c>
      <c r="L45" s="377" t="n">
        <v>365</v>
      </c>
      <c r="M45" s="377" t="n">
        <v>6</v>
      </c>
      <c r="N45" s="381" t="n">
        <v>418.981</v>
      </c>
      <c r="O45" s="381" t="n">
        <v>31</v>
      </c>
      <c r="P45" s="380" t="n">
        <v>2164.734</v>
      </c>
      <c r="Q45" s="382" t="n">
        <v>2124</v>
      </c>
      <c r="R45" s="377" t="n">
        <v>30</v>
      </c>
      <c r="S45" s="382" t="n">
        <v>2094.90410958904</v>
      </c>
      <c r="T45" s="382" t="n">
        <v>2124</v>
      </c>
      <c r="U45" s="381" t="n">
        <v>31</v>
      </c>
      <c r="V45" s="380" t="n">
        <v>2164.73424657534</v>
      </c>
      <c r="W45" s="384" t="n">
        <v>31</v>
      </c>
      <c r="X45" s="381" t="n">
        <v>2124</v>
      </c>
      <c r="Y45" s="380" t="n">
        <v>2164.734</v>
      </c>
      <c r="Z45" s="384" t="n">
        <v>30</v>
      </c>
      <c r="AA45" s="383" t="n">
        <v>2124</v>
      </c>
      <c r="AB45" s="383" t="n">
        <v>2094.904</v>
      </c>
      <c r="AC45" s="387" t="n">
        <v>31</v>
      </c>
      <c r="AD45" s="388" t="n">
        <v>2124</v>
      </c>
      <c r="AE45" s="388" t="n">
        <v>2164.734</v>
      </c>
    </row>
    <row r="46" ht="15.75" customHeight="1" s="253">
      <c r="A46" s="375" t="n">
        <v>0</v>
      </c>
      <c r="B46" s="376" t="n">
        <v>45748</v>
      </c>
      <c r="C46" s="377" t="inlineStr">
        <is>
          <t>Sagar Ghogre</t>
        </is>
      </c>
      <c r="D46" s="377" t="inlineStr">
        <is>
          <t>INV-25-26-000048</t>
        </is>
      </c>
      <c r="E46" s="377" t="inlineStr">
        <is>
          <t>subscription based service</t>
        </is>
      </c>
      <c r="F46" s="389" t="n">
        <v>45772</v>
      </c>
      <c r="G46" s="378" t="n">
        <v>46136</v>
      </c>
      <c r="H46" s="386" t="inlineStr">
        <is>
          <t>Annual Upfront</t>
        </is>
      </c>
      <c r="I46" s="393" t="n">
        <v>25488</v>
      </c>
      <c r="J46" s="381" t="n">
        <v>2124</v>
      </c>
      <c r="K46" s="381" t="n">
        <v>2124</v>
      </c>
      <c r="L46" s="377" t="n">
        <v>365</v>
      </c>
      <c r="M46" s="377" t="n">
        <v>6</v>
      </c>
      <c r="N46" s="381" t="n">
        <v>418.981</v>
      </c>
      <c r="O46" s="381" t="n">
        <v>31</v>
      </c>
      <c r="P46" s="380" t="n">
        <v>2164.734</v>
      </c>
      <c r="Q46" s="382" t="n">
        <v>2124</v>
      </c>
      <c r="R46" s="377" t="n">
        <v>30</v>
      </c>
      <c r="S46" s="382" t="n">
        <v>2094.90410958904</v>
      </c>
      <c r="T46" s="382" t="n">
        <v>2124</v>
      </c>
      <c r="U46" s="381" t="n">
        <v>31</v>
      </c>
      <c r="V46" s="380" t="n">
        <v>2164.73424657534</v>
      </c>
      <c r="W46" s="384" t="n">
        <v>31</v>
      </c>
      <c r="X46" s="381" t="n">
        <v>2124</v>
      </c>
      <c r="Y46" s="380" t="n">
        <v>2164.734</v>
      </c>
      <c r="Z46" s="384" t="n">
        <v>30</v>
      </c>
      <c r="AA46" s="383" t="n">
        <v>2124</v>
      </c>
      <c r="AB46" s="383" t="n">
        <v>2094.904</v>
      </c>
      <c r="AC46" s="387" t="n">
        <v>31</v>
      </c>
      <c r="AD46" s="388" t="n">
        <v>2124</v>
      </c>
      <c r="AE46" s="388" t="n">
        <v>2164.734</v>
      </c>
    </row>
    <row r="47" ht="15.75" customHeight="1" s="253">
      <c r="A47" s="375" t="n">
        <v>0</v>
      </c>
      <c r="B47" s="376" t="n">
        <v>45748</v>
      </c>
      <c r="C47" s="377" t="inlineStr">
        <is>
          <t>Chetan shah</t>
        </is>
      </c>
      <c r="D47" s="377" t="inlineStr">
        <is>
          <t>INV-25-26-000049</t>
        </is>
      </c>
      <c r="E47" s="377" t="inlineStr">
        <is>
          <t>subscription based service</t>
        </is>
      </c>
      <c r="F47" s="389" t="n">
        <v>45772</v>
      </c>
      <c r="G47" s="378" t="n">
        <v>46136</v>
      </c>
      <c r="H47" s="386" t="inlineStr">
        <is>
          <t>Annual Upfront</t>
        </is>
      </c>
      <c r="I47" s="393" t="n">
        <v>25488</v>
      </c>
      <c r="J47" s="381" t="n">
        <v>2124</v>
      </c>
      <c r="K47" s="381" t="n">
        <v>2124</v>
      </c>
      <c r="L47" s="377" t="n">
        <v>365</v>
      </c>
      <c r="M47" s="377" t="n">
        <v>6</v>
      </c>
      <c r="N47" s="381" t="n">
        <v>418.981</v>
      </c>
      <c r="O47" s="381" t="n">
        <v>31</v>
      </c>
      <c r="P47" s="380" t="n">
        <v>2164.734</v>
      </c>
      <c r="Q47" s="382" t="n">
        <v>2124</v>
      </c>
      <c r="R47" s="377" t="n">
        <v>30</v>
      </c>
      <c r="S47" s="382" t="n">
        <v>2094.90410958904</v>
      </c>
      <c r="T47" s="382" t="n">
        <v>2124</v>
      </c>
      <c r="U47" s="381" t="n">
        <v>31</v>
      </c>
      <c r="V47" s="380" t="n">
        <v>2164.73424657534</v>
      </c>
      <c r="W47" s="384" t="n">
        <v>31</v>
      </c>
      <c r="X47" s="381" t="n">
        <v>2124</v>
      </c>
      <c r="Y47" s="380" t="n">
        <v>2164.734</v>
      </c>
      <c r="Z47" s="384" t="n">
        <v>30</v>
      </c>
      <c r="AA47" s="383" t="n">
        <v>2124</v>
      </c>
      <c r="AB47" s="383" t="n">
        <v>2094.904</v>
      </c>
      <c r="AC47" s="387" t="n">
        <v>31</v>
      </c>
      <c r="AD47" s="388" t="n">
        <v>2124</v>
      </c>
      <c r="AE47" s="388" t="n">
        <v>2164.734</v>
      </c>
    </row>
    <row r="48" ht="15.75" customHeight="1" s="253">
      <c r="A48" s="375" t="n">
        <v>0</v>
      </c>
      <c r="B48" s="376" t="n">
        <v>45748</v>
      </c>
      <c r="C48" s="377" t="inlineStr">
        <is>
          <t>Sneha Phene</t>
        </is>
      </c>
      <c r="D48" s="377" t="inlineStr">
        <is>
          <t>INV-25-26-000050</t>
        </is>
      </c>
      <c r="E48" s="377" t="inlineStr">
        <is>
          <t>subscription based service</t>
        </is>
      </c>
      <c r="F48" s="389" t="n">
        <v>45772</v>
      </c>
      <c r="G48" s="378" t="n">
        <v>46136</v>
      </c>
      <c r="H48" s="386" t="inlineStr">
        <is>
          <t>Annual Upfront</t>
        </is>
      </c>
      <c r="I48" s="393" t="n">
        <v>25488</v>
      </c>
      <c r="J48" s="381" t="n">
        <v>2124</v>
      </c>
      <c r="K48" s="381" t="n">
        <v>2124</v>
      </c>
      <c r="L48" s="377" t="n">
        <v>365</v>
      </c>
      <c r="M48" s="377" t="n">
        <v>6</v>
      </c>
      <c r="N48" s="381" t="n">
        <v>418.981</v>
      </c>
      <c r="O48" s="381" t="n">
        <v>31</v>
      </c>
      <c r="P48" s="380" t="n">
        <v>2164.734</v>
      </c>
      <c r="Q48" s="382" t="n">
        <v>2124</v>
      </c>
      <c r="R48" s="377" t="n">
        <v>30</v>
      </c>
      <c r="S48" s="382" t="n">
        <v>2094.90410958904</v>
      </c>
      <c r="T48" s="382" t="n">
        <v>2124</v>
      </c>
      <c r="U48" s="381" t="n">
        <v>31</v>
      </c>
      <c r="V48" s="380" t="n">
        <v>2164.73424657534</v>
      </c>
      <c r="W48" s="384" t="n">
        <v>31</v>
      </c>
      <c r="X48" s="381" t="n">
        <v>2124</v>
      </c>
      <c r="Y48" s="380" t="n">
        <v>2164.734</v>
      </c>
      <c r="Z48" s="384" t="n">
        <v>30</v>
      </c>
      <c r="AA48" s="383" t="n">
        <v>2124</v>
      </c>
      <c r="AB48" s="383" t="n">
        <v>2094.904</v>
      </c>
      <c r="AC48" s="387" t="n">
        <v>31</v>
      </c>
      <c r="AD48" s="388" t="n">
        <v>2124</v>
      </c>
      <c r="AE48" s="388" t="n">
        <v>2164.734</v>
      </c>
    </row>
    <row r="49" ht="15.75" customHeight="1" s="253">
      <c r="A49" s="375" t="n">
        <v>0</v>
      </c>
      <c r="B49" s="376" t="n">
        <v>45748</v>
      </c>
      <c r="C49" s="377" t="inlineStr">
        <is>
          <t>Gunjan Mangla</t>
        </is>
      </c>
      <c r="D49" s="377" t="inlineStr">
        <is>
          <t>INV-25-26-000051</t>
        </is>
      </c>
      <c r="E49" s="377" t="inlineStr">
        <is>
          <t>subscription based service</t>
        </is>
      </c>
      <c r="F49" s="389" t="n">
        <v>45772</v>
      </c>
      <c r="G49" s="378" t="n">
        <v>46136</v>
      </c>
      <c r="H49" s="386" t="inlineStr">
        <is>
          <t>Annual Upfront</t>
        </is>
      </c>
      <c r="I49" s="393" t="n">
        <v>25488</v>
      </c>
      <c r="J49" s="381" t="n">
        <v>2124</v>
      </c>
      <c r="K49" s="381" t="n">
        <v>2124</v>
      </c>
      <c r="L49" s="377" t="n">
        <v>365</v>
      </c>
      <c r="M49" s="377" t="n">
        <v>6</v>
      </c>
      <c r="N49" s="381" t="n">
        <v>418.981</v>
      </c>
      <c r="O49" s="381" t="n">
        <v>31</v>
      </c>
      <c r="P49" s="380" t="n">
        <v>2164.734</v>
      </c>
      <c r="Q49" s="382" t="n">
        <v>2124</v>
      </c>
      <c r="R49" s="377" t="n">
        <v>30</v>
      </c>
      <c r="S49" s="382" t="n">
        <v>2094.90410958904</v>
      </c>
      <c r="T49" s="382" t="n">
        <v>2124</v>
      </c>
      <c r="U49" s="381" t="n">
        <v>31</v>
      </c>
      <c r="V49" s="380" t="n">
        <v>2164.73424657534</v>
      </c>
      <c r="W49" s="384" t="n">
        <v>31</v>
      </c>
      <c r="X49" s="381" t="n">
        <v>2124</v>
      </c>
      <c r="Y49" s="380" t="n">
        <v>2164.734</v>
      </c>
      <c r="Z49" s="384" t="n">
        <v>30</v>
      </c>
      <c r="AA49" s="383" t="n">
        <v>2124</v>
      </c>
      <c r="AB49" s="383" t="n">
        <v>2094.904</v>
      </c>
      <c r="AC49" s="387" t="n">
        <v>31</v>
      </c>
      <c r="AD49" s="388" t="n">
        <v>2124</v>
      </c>
      <c r="AE49" s="388" t="n">
        <v>2164.734</v>
      </c>
    </row>
    <row r="50" ht="15.75" customHeight="1" s="253">
      <c r="A50" s="375" t="n">
        <v>0</v>
      </c>
      <c r="B50" s="376" t="n">
        <v>45748</v>
      </c>
      <c r="C50" s="377" t="inlineStr">
        <is>
          <t>Zulfiqar Jariwala</t>
        </is>
      </c>
      <c r="D50" s="377" t="inlineStr">
        <is>
          <t>INV-25-26-000052</t>
        </is>
      </c>
      <c r="E50" s="377" t="inlineStr">
        <is>
          <t>subscription based service</t>
        </is>
      </c>
      <c r="F50" s="389" t="n">
        <v>45772</v>
      </c>
      <c r="G50" s="378" t="n">
        <v>46136</v>
      </c>
      <c r="H50" s="386" t="inlineStr">
        <is>
          <t>Annual Upfront</t>
        </is>
      </c>
      <c r="I50" s="393" t="n">
        <v>25488</v>
      </c>
      <c r="J50" s="381" t="n">
        <v>2124</v>
      </c>
      <c r="K50" s="381" t="n">
        <v>2124</v>
      </c>
      <c r="L50" s="377" t="n">
        <v>365</v>
      </c>
      <c r="M50" s="377" t="n">
        <v>6</v>
      </c>
      <c r="N50" s="381" t="n">
        <v>418.981</v>
      </c>
      <c r="O50" s="381" t="n">
        <v>31</v>
      </c>
      <c r="P50" s="380" t="n">
        <v>2164.734</v>
      </c>
      <c r="Q50" s="382" t="n">
        <v>2124</v>
      </c>
      <c r="R50" s="377" t="n">
        <v>30</v>
      </c>
      <c r="S50" s="382" t="n">
        <v>2094.90410958904</v>
      </c>
      <c r="T50" s="382" t="n">
        <v>2124</v>
      </c>
      <c r="U50" s="381" t="n">
        <v>31</v>
      </c>
      <c r="V50" s="380" t="n">
        <v>2164.73424657534</v>
      </c>
      <c r="W50" s="384" t="n">
        <v>31</v>
      </c>
      <c r="X50" s="381" t="n">
        <v>2124</v>
      </c>
      <c r="Y50" s="380" t="n">
        <v>2164.734</v>
      </c>
      <c r="Z50" s="384" t="n">
        <v>30</v>
      </c>
      <c r="AA50" s="383" t="n">
        <v>2124</v>
      </c>
      <c r="AB50" s="383" t="n">
        <v>2094.904</v>
      </c>
      <c r="AC50" s="387" t="n">
        <v>31</v>
      </c>
      <c r="AD50" s="388" t="n">
        <v>2124</v>
      </c>
      <c r="AE50" s="388" t="n">
        <v>2164.734</v>
      </c>
    </row>
    <row r="51" ht="15.75" customHeight="1" s="253">
      <c r="A51" s="375" t="n">
        <v>0</v>
      </c>
      <c r="B51" s="376" t="n">
        <v>45748</v>
      </c>
      <c r="C51" s="377" t="inlineStr">
        <is>
          <t>Manjari Shah</t>
        </is>
      </c>
      <c r="D51" s="377" t="inlineStr">
        <is>
          <t>INV-25-26-000053</t>
        </is>
      </c>
      <c r="E51" s="377" t="inlineStr">
        <is>
          <t>subscription based service</t>
        </is>
      </c>
      <c r="F51" s="389" t="n">
        <v>45772</v>
      </c>
      <c r="G51" s="378" t="n">
        <v>46136</v>
      </c>
      <c r="H51" s="386" t="inlineStr">
        <is>
          <t>Annual Upfront</t>
        </is>
      </c>
      <c r="I51" s="393" t="n">
        <v>25488</v>
      </c>
      <c r="J51" s="381" t="n">
        <v>2124</v>
      </c>
      <c r="K51" s="381" t="n">
        <v>2124</v>
      </c>
      <c r="L51" s="377" t="n">
        <v>365</v>
      </c>
      <c r="M51" s="377" t="n">
        <v>6</v>
      </c>
      <c r="N51" s="381" t="n">
        <v>418.981</v>
      </c>
      <c r="O51" s="381" t="n">
        <v>31</v>
      </c>
      <c r="P51" s="380" t="n">
        <v>2164.734</v>
      </c>
      <c r="Q51" s="382" t="n">
        <v>2124</v>
      </c>
      <c r="R51" s="377" t="n">
        <v>30</v>
      </c>
      <c r="S51" s="382" t="n">
        <v>2094.90410958904</v>
      </c>
      <c r="T51" s="382" t="n">
        <v>2124</v>
      </c>
      <c r="U51" s="381" t="n">
        <v>31</v>
      </c>
      <c r="V51" s="380" t="n">
        <v>2164.73424657534</v>
      </c>
      <c r="W51" s="384" t="n">
        <v>31</v>
      </c>
      <c r="X51" s="381" t="n">
        <v>2124</v>
      </c>
      <c r="Y51" s="380" t="n">
        <v>2164.734</v>
      </c>
      <c r="Z51" s="384" t="n">
        <v>30</v>
      </c>
      <c r="AA51" s="383" t="n">
        <v>2124</v>
      </c>
      <c r="AB51" s="383" t="n">
        <v>2094.904</v>
      </c>
      <c r="AC51" s="387" t="n">
        <v>31</v>
      </c>
      <c r="AD51" s="388" t="n">
        <v>2124</v>
      </c>
      <c r="AE51" s="388" t="n">
        <v>2164.734</v>
      </c>
    </row>
    <row r="52" ht="15.75" customHeight="1" s="253">
      <c r="A52" s="375" t="n">
        <v>0</v>
      </c>
      <c r="B52" s="376" t="n">
        <v>45748</v>
      </c>
      <c r="C52" s="377" t="inlineStr">
        <is>
          <t>Sagar Sheth</t>
        </is>
      </c>
      <c r="D52" s="377" t="inlineStr">
        <is>
          <t>INV-25-26-000054</t>
        </is>
      </c>
      <c r="E52" s="377" t="inlineStr">
        <is>
          <t>subscription based service</t>
        </is>
      </c>
      <c r="F52" s="389" t="n">
        <v>45772</v>
      </c>
      <c r="G52" s="378" t="n">
        <v>46136</v>
      </c>
      <c r="H52" s="386" t="inlineStr">
        <is>
          <t>Annual Upfront</t>
        </is>
      </c>
      <c r="I52" s="393" t="n">
        <v>25488</v>
      </c>
      <c r="J52" s="381" t="n">
        <v>2124</v>
      </c>
      <c r="K52" s="381" t="n">
        <v>2124</v>
      </c>
      <c r="L52" s="377" t="n">
        <v>365</v>
      </c>
      <c r="M52" s="377" t="n">
        <v>6</v>
      </c>
      <c r="N52" s="381" t="n">
        <v>418.981</v>
      </c>
      <c r="O52" s="381" t="n">
        <v>31</v>
      </c>
      <c r="P52" s="380" t="n">
        <v>2164.734</v>
      </c>
      <c r="Q52" s="382" t="n">
        <v>2124</v>
      </c>
      <c r="R52" s="377" t="n">
        <v>30</v>
      </c>
      <c r="S52" s="382" t="n">
        <v>2094.90410958904</v>
      </c>
      <c r="T52" s="382" t="n">
        <v>2124</v>
      </c>
      <c r="U52" s="381" t="n">
        <v>31</v>
      </c>
      <c r="V52" s="380" t="n">
        <v>2164.73424657534</v>
      </c>
      <c r="W52" s="384" t="n">
        <v>31</v>
      </c>
      <c r="X52" s="381" t="n">
        <v>2124</v>
      </c>
      <c r="Y52" s="380" t="n">
        <v>2164.734</v>
      </c>
      <c r="Z52" s="384" t="n">
        <v>30</v>
      </c>
      <c r="AA52" s="383" t="n">
        <v>2124</v>
      </c>
      <c r="AB52" s="383" t="n">
        <v>2094.904</v>
      </c>
      <c r="AC52" s="387" t="n">
        <v>31</v>
      </c>
      <c r="AD52" s="388" t="n">
        <v>2124</v>
      </c>
      <c r="AE52" s="388" t="n">
        <v>2164.734</v>
      </c>
    </row>
    <row r="53" ht="15.75" customHeight="1" s="253">
      <c r="A53" s="375" t="n">
        <v>0</v>
      </c>
      <c r="B53" s="376" t="n">
        <v>45748</v>
      </c>
      <c r="C53" s="377" t="inlineStr">
        <is>
          <t>Mahek Bookwala</t>
        </is>
      </c>
      <c r="D53" s="377" t="inlineStr">
        <is>
          <t>INV-25-26-000055</t>
        </is>
      </c>
      <c r="E53" s="377" t="inlineStr">
        <is>
          <t>subscription based service</t>
        </is>
      </c>
      <c r="F53" s="389" t="n">
        <v>45772</v>
      </c>
      <c r="G53" s="378" t="n">
        <v>46136</v>
      </c>
      <c r="H53" s="386" t="inlineStr">
        <is>
          <t>Annual Upfront</t>
        </is>
      </c>
      <c r="I53" s="393" t="n">
        <v>25488</v>
      </c>
      <c r="J53" s="381" t="n">
        <v>2124</v>
      </c>
      <c r="K53" s="381" t="n">
        <v>2124</v>
      </c>
      <c r="L53" s="377" t="n">
        <v>365</v>
      </c>
      <c r="M53" s="377" t="n">
        <v>6</v>
      </c>
      <c r="N53" s="381" t="n">
        <v>418.981</v>
      </c>
      <c r="O53" s="381" t="n">
        <v>31</v>
      </c>
      <c r="P53" s="380" t="n">
        <v>2164.734</v>
      </c>
      <c r="Q53" s="382" t="n">
        <v>2124</v>
      </c>
      <c r="R53" s="377" t="n">
        <v>30</v>
      </c>
      <c r="S53" s="382" t="n">
        <v>2094.90410958904</v>
      </c>
      <c r="T53" s="382" t="n">
        <v>2124</v>
      </c>
      <c r="U53" s="381" t="n">
        <v>31</v>
      </c>
      <c r="V53" s="380" t="n">
        <v>2164.73424657534</v>
      </c>
      <c r="W53" s="384" t="n">
        <v>31</v>
      </c>
      <c r="X53" s="381" t="n">
        <v>2124</v>
      </c>
      <c r="Y53" s="380" t="n">
        <v>2164.734</v>
      </c>
      <c r="Z53" s="384" t="n">
        <v>30</v>
      </c>
      <c r="AA53" s="383" t="n">
        <v>2124</v>
      </c>
      <c r="AB53" s="383" t="n">
        <v>2094.904</v>
      </c>
      <c r="AC53" s="387" t="n">
        <v>31</v>
      </c>
      <c r="AD53" s="388" t="n">
        <v>2124</v>
      </c>
      <c r="AE53" s="388" t="n">
        <v>2164.734</v>
      </c>
    </row>
    <row r="54" ht="15.75" customHeight="1" s="253">
      <c r="A54" s="375" t="n">
        <v>0</v>
      </c>
      <c r="B54" s="376" t="inlineStr">
        <is>
          <t>Apr 25 &amp; sept 25</t>
        </is>
      </c>
      <c r="C54" s="377" t="inlineStr">
        <is>
          <t>Pradeep Sancheti</t>
        </is>
      </c>
      <c r="D54" s="377" t="inlineStr">
        <is>
          <t>INV-25-26-000056, CN 25</t>
        </is>
      </c>
      <c r="E54" s="377" t="inlineStr">
        <is>
          <t>subscription based service</t>
        </is>
      </c>
      <c r="F54" s="389" t="n">
        <v>45772</v>
      </c>
      <c r="G54" s="378" t="n">
        <v>46136</v>
      </c>
      <c r="H54" s="386" t="inlineStr">
        <is>
          <t>Annual Upfront</t>
        </is>
      </c>
      <c r="I54" s="393" t="n">
        <v>0</v>
      </c>
      <c r="J54" s="381" t="n">
        <v>0</v>
      </c>
      <c r="K54" s="381" t="n">
        <v>0</v>
      </c>
      <c r="L54" s="377" t="n">
        <v>365</v>
      </c>
      <c r="M54" s="377" t="n">
        <v>6</v>
      </c>
      <c r="N54" s="381" t="n">
        <v>0</v>
      </c>
      <c r="O54" s="381" t="n">
        <v>31</v>
      </c>
      <c r="P54" s="380" t="n">
        <v>0</v>
      </c>
      <c r="Q54" s="382" t="n">
        <v>0</v>
      </c>
      <c r="R54" s="377" t="n">
        <v>30</v>
      </c>
      <c r="S54" s="382" t="n">
        <v>0</v>
      </c>
      <c r="T54" s="382" t="n">
        <v>0</v>
      </c>
      <c r="U54" s="381" t="n">
        <v>31</v>
      </c>
      <c r="V54" s="380" t="n">
        <v>0</v>
      </c>
      <c r="W54" s="384" t="n">
        <v>31</v>
      </c>
      <c r="X54" s="381" t="n">
        <v>0</v>
      </c>
      <c r="Y54" s="380" t="n">
        <v>0</v>
      </c>
      <c r="Z54" s="384" t="n">
        <v>30</v>
      </c>
      <c r="AA54" s="383" t="n">
        <v>0</v>
      </c>
      <c r="AB54" s="383" t="n">
        <v>0</v>
      </c>
      <c r="AC54" s="387" t="n">
        <v>31</v>
      </c>
      <c r="AD54" s="388" t="n">
        <v>0</v>
      </c>
      <c r="AE54" s="388" t="n">
        <v>0</v>
      </c>
    </row>
    <row r="55" ht="15.75" customHeight="1" s="253">
      <c r="A55" s="375" t="n">
        <v>0</v>
      </c>
      <c r="B55" s="376" t="n">
        <v>45748</v>
      </c>
      <c r="C55" s="377" t="inlineStr">
        <is>
          <t>AHUJA VALECHA &amp; ASSOCIATES LLP</t>
        </is>
      </c>
      <c r="D55" s="377" t="inlineStr">
        <is>
          <t>INV-25-26-000057</t>
        </is>
      </c>
      <c r="E55" s="377" t="inlineStr">
        <is>
          <t>subscription based service</t>
        </is>
      </c>
      <c r="F55" s="389" t="n">
        <v>45775</v>
      </c>
      <c r="G55" s="378" t="n">
        <v>45865</v>
      </c>
      <c r="H55" s="379" t="inlineStr">
        <is>
          <t>3 months subscription, upfront</t>
        </is>
      </c>
      <c r="I55" s="380" t="n">
        <v>88500</v>
      </c>
      <c r="J55" s="381" t="n">
        <v>29500</v>
      </c>
      <c r="K55" s="381" t="n">
        <v>29500</v>
      </c>
      <c r="L55" s="377" t="n">
        <v>91</v>
      </c>
      <c r="M55" s="377" t="n">
        <v>3</v>
      </c>
      <c r="N55" s="381" t="n">
        <v>2917.582</v>
      </c>
      <c r="O55" s="381" t="n">
        <v>31</v>
      </c>
      <c r="P55" s="380" t="n">
        <v>30148.352</v>
      </c>
      <c r="Q55" s="382" t="n">
        <v>29500</v>
      </c>
      <c r="R55" s="377" t="n">
        <v>30</v>
      </c>
      <c r="S55" s="382" t="n">
        <v>29175.8241758242</v>
      </c>
      <c r="T55" s="377" t="n"/>
      <c r="U55" s="381" t="n">
        <v>27</v>
      </c>
      <c r="V55" s="381" t="n">
        <v>26258.2417582418</v>
      </c>
      <c r="W55" s="384" t="n">
        <v>0</v>
      </c>
      <c r="X55" s="381" t="n">
        <v>0</v>
      </c>
      <c r="Y55" s="377" t="n">
        <v>0</v>
      </c>
      <c r="Z55" s="377" t="n"/>
      <c r="AA55" s="377" t="n"/>
      <c r="AB55" s="377" t="n"/>
      <c r="AC55" s="385" t="n"/>
      <c r="AD55" s="385" t="n"/>
      <c r="AE55" s="385" t="n"/>
    </row>
    <row r="56" ht="15.75" customHeight="1" s="253">
      <c r="A56" s="375" t="n">
        <v>0</v>
      </c>
      <c r="B56" s="376" t="n">
        <v>45748</v>
      </c>
      <c r="C56" s="394" t="inlineStr">
        <is>
          <t>ICL CORPORATE ADVISORY PRIVATE LIMITED</t>
        </is>
      </c>
      <c r="D56" s="377" t="inlineStr">
        <is>
          <t>INV-25-26-000058, INV-25-26-000499</t>
        </is>
      </c>
      <c r="E56" s="377" t="inlineStr">
        <is>
          <t>subscription based service</t>
        </is>
      </c>
      <c r="F56" s="389" t="n">
        <v>45772</v>
      </c>
      <c r="G56" s="378" t="n">
        <v>45832</v>
      </c>
      <c r="H56" s="386" t="inlineStr">
        <is>
          <t>2 months- Upfront</t>
        </is>
      </c>
      <c r="I56" s="380" t="n">
        <v>47200</v>
      </c>
      <c r="J56" s="380" t="n">
        <v>23600</v>
      </c>
      <c r="K56" s="380" t="n">
        <v>23600</v>
      </c>
      <c r="L56" s="377" t="n">
        <v>61</v>
      </c>
      <c r="M56" s="377" t="n">
        <v>6</v>
      </c>
      <c r="N56" s="380" t="n">
        <v>4642.623</v>
      </c>
      <c r="O56" s="381" t="n">
        <v>31</v>
      </c>
      <c r="P56" s="380" t="n">
        <v>23986.885</v>
      </c>
      <c r="Q56" s="383" t="n"/>
      <c r="R56" s="377" t="n">
        <v>24</v>
      </c>
      <c r="S56" s="382" t="n">
        <v>18570.4918032787</v>
      </c>
      <c r="T56" s="382" t="n"/>
      <c r="U56" s="381" t="n"/>
      <c r="V56" s="380" t="n"/>
      <c r="W56" s="384" t="n"/>
      <c r="X56" s="381" t="n"/>
      <c r="Y56" s="380" t="n"/>
      <c r="Z56" s="377" t="n"/>
      <c r="AA56" s="377" t="n"/>
      <c r="AB56" s="377" t="n"/>
      <c r="AC56" s="385" t="n"/>
      <c r="AD56" s="385" t="n"/>
      <c r="AE56" s="385" t="n"/>
    </row>
    <row r="57" ht="15.75" customHeight="1" s="253">
      <c r="A57" s="375" t="inlineStr">
        <is>
          <t>Closed- May 25</t>
        </is>
      </c>
      <c r="B57" s="376" t="n">
        <v>45748</v>
      </c>
      <c r="C57" s="377" t="inlineStr">
        <is>
          <t>Argus Partners</t>
        </is>
      </c>
      <c r="D57" s="377" t="inlineStr">
        <is>
          <t>INV-25-26-000059</t>
        </is>
      </c>
      <c r="E57" s="377" t="inlineStr">
        <is>
          <t>subscription based service</t>
        </is>
      </c>
      <c r="F57" s="378" t="n">
        <v>45773</v>
      </c>
      <c r="G57" s="378" t="n">
        <v>45803</v>
      </c>
      <c r="H57" s="386" t="inlineStr">
        <is>
          <t>1 month-Upfront</t>
        </is>
      </c>
      <c r="I57" s="380" t="n">
        <v>11800</v>
      </c>
      <c r="J57" s="381" t="n">
        <v>11800</v>
      </c>
      <c r="K57" s="381" t="n"/>
      <c r="L57" s="377" t="n">
        <v>31</v>
      </c>
      <c r="M57" s="377" t="n">
        <v>5</v>
      </c>
      <c r="N57" s="381" t="n">
        <v>1903.226</v>
      </c>
      <c r="O57" s="381" t="n">
        <v>26</v>
      </c>
      <c r="P57" s="380" t="n">
        <v>9896.773999999999</v>
      </c>
      <c r="Q57" s="377" t="n"/>
      <c r="R57" s="377" t="n">
        <v>30</v>
      </c>
      <c r="S57" s="377" t="n"/>
      <c r="T57" s="377" t="n"/>
      <c r="U57" s="381" t="n">
        <v>31</v>
      </c>
      <c r="V57" s="377" t="n"/>
      <c r="W57" s="384" t="n">
        <v>0</v>
      </c>
      <c r="X57" s="381" t="n">
        <v>0</v>
      </c>
      <c r="Y57" s="377" t="n">
        <v>0</v>
      </c>
      <c r="Z57" s="377" t="n"/>
      <c r="AA57" s="377" t="n"/>
      <c r="AB57" s="377" t="n"/>
      <c r="AC57" s="385" t="n"/>
      <c r="AD57" s="385" t="n"/>
      <c r="AE57" s="385" t="n"/>
    </row>
    <row r="58" ht="15.75" customHeight="1" s="253">
      <c r="A58" s="375" t="n"/>
      <c r="B58" s="376" t="inlineStr">
        <is>
          <t>Apr to Oct 25</t>
        </is>
      </c>
      <c r="C58" s="377" t="inlineStr">
        <is>
          <t>Pratik Patnaik</t>
        </is>
      </c>
      <c r="D58" s="377" t="inlineStr">
        <is>
          <t>INV-25-26-000060, 144, 230, 333, 382, 468, 558, INV-25-26-0060, 0144, 0230, 0333, 0382, 0468, 0558, 0688</t>
        </is>
      </c>
      <c r="E58" s="377" t="inlineStr">
        <is>
          <t>subscription based service</t>
        </is>
      </c>
      <c r="F58" s="389" t="n">
        <v>45773</v>
      </c>
      <c r="G58" s="378" t="n">
        <v>46137</v>
      </c>
      <c r="H58" s="386" t="inlineStr">
        <is>
          <t>Annual-Monthly</t>
        </is>
      </c>
      <c r="I58" s="380" t="n">
        <v>169920</v>
      </c>
      <c r="J58" s="381" t="n">
        <v>14160</v>
      </c>
      <c r="K58" s="381" t="n">
        <v>14160</v>
      </c>
      <c r="L58" s="377" t="n">
        <v>365</v>
      </c>
      <c r="M58" s="377" t="n">
        <v>5</v>
      </c>
      <c r="N58" s="381" t="n">
        <v>2327.671</v>
      </c>
      <c r="O58" s="381" t="n">
        <v>360</v>
      </c>
      <c r="P58" s="380" t="n">
        <v>167592.329</v>
      </c>
      <c r="Q58" s="382" t="n">
        <v>14160</v>
      </c>
      <c r="R58" s="377" t="n">
        <v>30</v>
      </c>
      <c r="S58" s="382" t="n">
        <v>13966.0273972603</v>
      </c>
      <c r="T58" s="382" t="n">
        <v>14160</v>
      </c>
      <c r="U58" s="381" t="n">
        <v>31</v>
      </c>
      <c r="V58" s="380" t="n">
        <v>14431.5616438356</v>
      </c>
      <c r="W58" s="384" t="n">
        <v>31</v>
      </c>
      <c r="X58" s="381" t="n">
        <v>14160</v>
      </c>
      <c r="Y58" s="380" t="n">
        <v>14431.562</v>
      </c>
      <c r="Z58" s="384" t="n">
        <v>30</v>
      </c>
      <c r="AA58" s="383" t="n">
        <v>14160</v>
      </c>
      <c r="AB58" s="383" t="n">
        <v>13966.027</v>
      </c>
      <c r="AC58" s="387" t="n">
        <v>31</v>
      </c>
      <c r="AD58" s="388" t="n">
        <v>14160</v>
      </c>
      <c r="AE58" s="388" t="n">
        <v>14431.562</v>
      </c>
    </row>
    <row r="59" ht="15.75" customHeight="1" s="253">
      <c r="A59" s="375" t="n">
        <v>0</v>
      </c>
      <c r="B59" s="376" t="inlineStr">
        <is>
          <t>Jan, Apr &amp; May 25</t>
        </is>
      </c>
      <c r="C59" s="377" t="inlineStr">
        <is>
          <t>Saswat Mohanty</t>
        </is>
      </c>
      <c r="D59" s="377" t="inlineStr">
        <is>
          <t>INV-25-26-000061, 145</t>
        </is>
      </c>
      <c r="E59" s="377" t="inlineStr">
        <is>
          <t>subscription based service</t>
        </is>
      </c>
      <c r="F59" s="389" t="n">
        <v>45687</v>
      </c>
      <c r="G59" s="378" t="n">
        <v>46052</v>
      </c>
      <c r="H59" s="386" t="inlineStr">
        <is>
          <t>Three Installments of 50k</t>
        </is>
      </c>
      <c r="I59" s="380" t="n">
        <v>159000</v>
      </c>
      <c r="J59" s="381" t="n">
        <v>13250</v>
      </c>
      <c r="K59" s="381" t="n">
        <v>13250</v>
      </c>
      <c r="L59" s="377" t="n">
        <v>366</v>
      </c>
      <c r="M59" s="377" t="n">
        <v>30</v>
      </c>
      <c r="N59" s="381" t="n">
        <v>13032.787</v>
      </c>
      <c r="O59" s="381" t="n">
        <v>31</v>
      </c>
      <c r="P59" s="380" t="n">
        <v>13467.213</v>
      </c>
      <c r="Q59" s="382" t="n">
        <v>13250</v>
      </c>
      <c r="R59" s="377" t="n">
        <v>30</v>
      </c>
      <c r="S59" s="382" t="n">
        <v>13032.7868852459</v>
      </c>
      <c r="T59" s="382" t="n">
        <v>13250</v>
      </c>
      <c r="U59" s="381" t="n">
        <v>31</v>
      </c>
      <c r="V59" s="380" t="n">
        <v>13467.2131147541</v>
      </c>
      <c r="W59" s="384" t="n">
        <v>31</v>
      </c>
      <c r="X59" s="381" t="n">
        <v>13250</v>
      </c>
      <c r="Y59" s="380" t="n">
        <v>13467.213</v>
      </c>
      <c r="Z59" s="384" t="n">
        <v>30</v>
      </c>
      <c r="AA59" s="383" t="n">
        <v>13250</v>
      </c>
      <c r="AB59" s="383" t="n">
        <v>13032.787</v>
      </c>
      <c r="AC59" s="387" t="n">
        <v>31</v>
      </c>
      <c r="AD59" s="388" t="n">
        <v>12230.769</v>
      </c>
      <c r="AE59" s="388" t="n">
        <v>13467.213</v>
      </c>
    </row>
    <row r="60" ht="15.75" customHeight="1" s="253">
      <c r="A60" s="375" t="n">
        <v>0</v>
      </c>
      <c r="B60" s="376" t="n">
        <v>45748</v>
      </c>
      <c r="C60" s="377" t="inlineStr">
        <is>
          <t>Chambers of Aman Vachher</t>
        </is>
      </c>
      <c r="D60" s="377" t="inlineStr">
        <is>
          <t>INV-25-26-000062</t>
        </is>
      </c>
      <c r="E60" s="377" t="inlineStr">
        <is>
          <t>subscription based service</t>
        </is>
      </c>
      <c r="F60" s="389" t="n">
        <v>45744</v>
      </c>
      <c r="G60" s="378" t="n">
        <v>46109</v>
      </c>
      <c r="H60" s="386" t="inlineStr">
        <is>
          <t>Annual Upfront</t>
        </is>
      </c>
      <c r="I60" s="393" t="n">
        <v>203904</v>
      </c>
      <c r="J60" s="381" t="n">
        <v>16992</v>
      </c>
      <c r="K60" s="381" t="n">
        <v>16992</v>
      </c>
      <c r="L60" s="377" t="n">
        <v>366</v>
      </c>
      <c r="M60" s="377" t="n">
        <v>30</v>
      </c>
      <c r="N60" s="381" t="n">
        <v>16713.443</v>
      </c>
      <c r="O60" s="381" t="n">
        <v>31</v>
      </c>
      <c r="P60" s="380" t="n">
        <v>17270.557</v>
      </c>
      <c r="Q60" s="382" t="n">
        <v>16992</v>
      </c>
      <c r="R60" s="377" t="n">
        <v>30</v>
      </c>
      <c r="S60" s="382" t="n">
        <v>16713.4426229508</v>
      </c>
      <c r="T60" s="382" t="n">
        <v>16992</v>
      </c>
      <c r="U60" s="381" t="n">
        <v>31</v>
      </c>
      <c r="V60" s="380" t="n">
        <v>17270.5573770492</v>
      </c>
      <c r="W60" s="384" t="n">
        <v>31</v>
      </c>
      <c r="X60" s="381" t="n">
        <v>16992</v>
      </c>
      <c r="Y60" s="380" t="n">
        <v>17270.557</v>
      </c>
      <c r="Z60" s="384" t="n">
        <v>30</v>
      </c>
      <c r="AA60" s="383" t="n">
        <v>16992</v>
      </c>
      <c r="AB60" s="383" t="n">
        <v>16713.443</v>
      </c>
      <c r="AC60" s="387" t="n">
        <v>31</v>
      </c>
      <c r="AD60" s="388" t="n">
        <v>15684.923</v>
      </c>
      <c r="AE60" s="388" t="n">
        <v>17270.557</v>
      </c>
    </row>
    <row r="61" ht="15.75" customHeight="1" s="253">
      <c r="A61" s="375" t="n">
        <v>0</v>
      </c>
      <c r="B61" s="376" t="n">
        <v>45748</v>
      </c>
      <c r="C61" s="377" t="inlineStr">
        <is>
          <t>SK Singhi and Partners</t>
        </is>
      </c>
      <c r="D61" s="377" t="inlineStr">
        <is>
          <t>INV-25-26-000063</t>
        </is>
      </c>
      <c r="E61" s="377" t="inlineStr">
        <is>
          <t>subscription based service</t>
        </is>
      </c>
      <c r="F61" s="389" t="n">
        <v>45744</v>
      </c>
      <c r="G61" s="378" t="n">
        <v>46109</v>
      </c>
      <c r="H61" s="386" t="inlineStr">
        <is>
          <t>Annual Upfront</t>
        </is>
      </c>
      <c r="I61" s="380" t="n">
        <v>318600</v>
      </c>
      <c r="J61" s="381" t="n">
        <v>26550</v>
      </c>
      <c r="K61" s="381" t="n">
        <v>26550</v>
      </c>
      <c r="L61" s="377" t="n">
        <v>366</v>
      </c>
      <c r="M61" s="377" t="n">
        <v>30</v>
      </c>
      <c r="N61" s="381" t="n">
        <v>26114.754</v>
      </c>
      <c r="O61" s="381" t="n">
        <v>31</v>
      </c>
      <c r="P61" s="380" t="n">
        <v>26985.246</v>
      </c>
      <c r="Q61" s="382" t="n">
        <v>26550</v>
      </c>
      <c r="R61" s="377" t="n">
        <v>30</v>
      </c>
      <c r="S61" s="382" t="n">
        <v>26114.7540983607</v>
      </c>
      <c r="T61" s="382" t="n">
        <v>26550</v>
      </c>
      <c r="U61" s="381" t="n">
        <v>31</v>
      </c>
      <c r="V61" s="380" t="n">
        <v>26985.2459016393</v>
      </c>
      <c r="W61" s="384" t="n">
        <v>31</v>
      </c>
      <c r="X61" s="381" t="n">
        <v>26550</v>
      </c>
      <c r="Y61" s="380" t="n">
        <v>26985.246</v>
      </c>
      <c r="Z61" s="384" t="n">
        <v>30</v>
      </c>
      <c r="AA61" s="383" t="n">
        <v>26550</v>
      </c>
      <c r="AB61" s="383" t="n">
        <v>26114.754</v>
      </c>
      <c r="AC61" s="387" t="n">
        <v>31</v>
      </c>
      <c r="AD61" s="388" t="n">
        <v>24507.692</v>
      </c>
      <c r="AE61" s="388" t="n">
        <v>26985.246</v>
      </c>
    </row>
    <row r="62" ht="15.75" customHeight="1" s="253">
      <c r="A62" s="375" t="inlineStr">
        <is>
          <t>Closed- May 25</t>
        </is>
      </c>
      <c r="B62" s="376" t="n">
        <v>45748</v>
      </c>
      <c r="C62" s="377" t="inlineStr">
        <is>
          <t>Centre for Law and Policy Research Trust</t>
        </is>
      </c>
      <c r="D62" s="377" t="inlineStr">
        <is>
          <t>INV-25-26-000064</t>
        </is>
      </c>
      <c r="E62" s="377" t="inlineStr">
        <is>
          <t>subscription based service</t>
        </is>
      </c>
      <c r="F62" s="389" t="n">
        <v>45776</v>
      </c>
      <c r="G62" s="378" t="n">
        <v>45805</v>
      </c>
      <c r="H62" s="386" t="inlineStr">
        <is>
          <t>1 month-Upfront</t>
        </is>
      </c>
      <c r="I62" s="380" t="n">
        <v>4720</v>
      </c>
      <c r="J62" s="381" t="n">
        <v>4720</v>
      </c>
      <c r="K62" s="381" t="n"/>
      <c r="L62" s="377" t="n">
        <v>30</v>
      </c>
      <c r="M62" s="377" t="n">
        <v>2</v>
      </c>
      <c r="N62" s="381" t="n">
        <v>314.667</v>
      </c>
      <c r="O62" s="381" t="n">
        <v>28</v>
      </c>
      <c r="P62" s="380" t="n">
        <v>4405.333</v>
      </c>
      <c r="Q62" s="377" t="n"/>
      <c r="R62" s="377" t="n">
        <v>30</v>
      </c>
      <c r="S62" s="377" t="n"/>
      <c r="T62" s="377" t="n"/>
      <c r="U62" s="381" t="n">
        <v>31</v>
      </c>
      <c r="V62" s="377" t="n"/>
      <c r="W62" s="384" t="n">
        <v>0</v>
      </c>
      <c r="X62" s="381" t="n">
        <v>0</v>
      </c>
      <c r="Y62" s="377" t="n">
        <v>0</v>
      </c>
      <c r="Z62" s="377" t="n"/>
      <c r="AA62" s="377" t="n"/>
      <c r="AB62" s="377" t="n"/>
      <c r="AC62" s="385" t="n"/>
      <c r="AD62" s="385" t="n"/>
      <c r="AE62" s="385" t="n"/>
    </row>
    <row r="63" ht="15.75" customHeight="1" s="253">
      <c r="A63" s="375" t="n">
        <v>0</v>
      </c>
      <c r="B63" s="376" t="inlineStr">
        <is>
          <t>Apr to Oct 25</t>
        </is>
      </c>
      <c r="C63" s="377" t="inlineStr">
        <is>
          <t>SKR &amp; associates</t>
        </is>
      </c>
      <c r="D63" s="377" t="inlineStr">
        <is>
          <t>INV-25-26-000065, 114, 0185, 260, 344, 425, 510, INV-25-26-000065-000114' 000185, 000260, 000344, 000425, 000510, 000607</t>
        </is>
      </c>
      <c r="E63" s="377" t="inlineStr">
        <is>
          <t>subscription based service</t>
        </is>
      </c>
      <c r="F63" s="389" t="n">
        <v>45757</v>
      </c>
      <c r="G63" s="378" t="n">
        <v>46121</v>
      </c>
      <c r="H63" s="386" t="inlineStr">
        <is>
          <t>Annual-Monthly</t>
        </is>
      </c>
      <c r="I63" s="380" t="n">
        <v>123600</v>
      </c>
      <c r="J63" s="381" t="n">
        <v>10300</v>
      </c>
      <c r="K63" s="381" t="n">
        <v>10300</v>
      </c>
      <c r="L63" s="377" t="n">
        <v>365</v>
      </c>
      <c r="M63" s="377" t="n">
        <v>21</v>
      </c>
      <c r="N63" s="381" t="n">
        <v>7111.233</v>
      </c>
      <c r="O63" s="381" t="n">
        <v>31</v>
      </c>
      <c r="P63" s="380" t="n">
        <v>10497.534</v>
      </c>
      <c r="Q63" s="382" t="n">
        <v>10300</v>
      </c>
      <c r="R63" s="377" t="n">
        <v>30</v>
      </c>
      <c r="S63" s="382" t="n">
        <v>10158.904109589</v>
      </c>
      <c r="T63" s="382" t="n">
        <v>10300</v>
      </c>
      <c r="U63" s="381" t="n">
        <v>31</v>
      </c>
      <c r="V63" s="380" t="n">
        <v>10497.5342465753</v>
      </c>
      <c r="W63" s="384" t="n">
        <v>31</v>
      </c>
      <c r="X63" s="381" t="n">
        <v>10300</v>
      </c>
      <c r="Y63" s="380" t="n">
        <v>10497.534</v>
      </c>
      <c r="Z63" s="384" t="n">
        <v>30</v>
      </c>
      <c r="AA63" s="383" t="n">
        <v>10300</v>
      </c>
      <c r="AB63" s="383" t="n">
        <v>10158.904</v>
      </c>
      <c r="AC63" s="387" t="n">
        <v>31</v>
      </c>
      <c r="AD63" s="388" t="n">
        <v>10300</v>
      </c>
      <c r="AE63" s="388" t="n">
        <v>10497.534</v>
      </c>
    </row>
    <row r="64" ht="15.75" customHeight="1" s="253">
      <c r="A64" s="375" t="n">
        <v>0</v>
      </c>
      <c r="B64" s="376" t="inlineStr">
        <is>
          <t>Apr &amp; Oct 25</t>
        </is>
      </c>
      <c r="C64" s="377" t="inlineStr">
        <is>
          <t>Srivastava &amp; Company</t>
        </is>
      </c>
      <c r="D64" s="377" t="inlineStr">
        <is>
          <t>INV-25-26-000066, 564, 000564</t>
        </is>
      </c>
      <c r="E64" s="377" t="inlineStr">
        <is>
          <t>subscription based service</t>
        </is>
      </c>
      <c r="F64" s="389" t="n">
        <v>45776</v>
      </c>
      <c r="G64" s="378" t="n">
        <v>46140</v>
      </c>
      <c r="H64" s="386" t="inlineStr">
        <is>
          <t>Annual- Half Yearly Payment</t>
        </is>
      </c>
      <c r="I64" s="380" t="n">
        <v>80000</v>
      </c>
      <c r="J64" s="381" t="n">
        <v>6666.667</v>
      </c>
      <c r="K64" s="381" t="n">
        <v>6666.667</v>
      </c>
      <c r="L64" s="377" t="n">
        <v>365</v>
      </c>
      <c r="M64" s="377" t="n">
        <v>2</v>
      </c>
      <c r="N64" s="381" t="n">
        <v>438.356</v>
      </c>
      <c r="O64" s="381" t="n">
        <v>31</v>
      </c>
      <c r="P64" s="380" t="n">
        <v>6794.521</v>
      </c>
      <c r="Q64" s="383" t="n">
        <v>6666.66666666667</v>
      </c>
      <c r="R64" s="377" t="n">
        <v>30</v>
      </c>
      <c r="S64" s="382" t="n">
        <v>6575.34246575342</v>
      </c>
      <c r="T64" s="382" t="n">
        <v>6666.66666666667</v>
      </c>
      <c r="U64" s="381" t="n">
        <v>31</v>
      </c>
      <c r="V64" s="380" t="n">
        <v>6794.52054794521</v>
      </c>
      <c r="W64" s="384" t="n">
        <v>31</v>
      </c>
      <c r="X64" s="381" t="n">
        <v>6666.667</v>
      </c>
      <c r="Y64" s="380" t="n">
        <v>6794.521</v>
      </c>
      <c r="Z64" s="384" t="n">
        <v>30</v>
      </c>
      <c r="AA64" s="383" t="n">
        <v>6666.667</v>
      </c>
      <c r="AB64" s="383" t="n">
        <v>6575.342</v>
      </c>
      <c r="AC64" s="387" t="n">
        <v>31</v>
      </c>
      <c r="AD64" s="388" t="n">
        <v>6666.667</v>
      </c>
      <c r="AE64" s="388" t="n">
        <v>6794.521</v>
      </c>
    </row>
    <row r="65" ht="15.75" customHeight="1" s="253">
      <c r="A65" s="375" t="n">
        <v>0</v>
      </c>
      <c r="B65" s="376" t="n">
        <v>45748</v>
      </c>
      <c r="C65" s="377" t="inlineStr">
        <is>
          <t>Piyush Raheja</t>
        </is>
      </c>
      <c r="D65" s="377" t="inlineStr">
        <is>
          <t>INV-25-26-000067</t>
        </is>
      </c>
      <c r="E65" s="377" t="inlineStr">
        <is>
          <t>subscription based service</t>
        </is>
      </c>
      <c r="F65" s="389" t="n">
        <v>45776</v>
      </c>
      <c r="G65" s="378" t="n">
        <v>46140</v>
      </c>
      <c r="H65" s="386" t="inlineStr">
        <is>
          <t>Annual Upfront</t>
        </is>
      </c>
      <c r="I65" s="380" t="n">
        <v>26000</v>
      </c>
      <c r="J65" s="381" t="n">
        <v>2166.667</v>
      </c>
      <c r="K65" s="381" t="n">
        <v>2166.667</v>
      </c>
      <c r="L65" s="377" t="n">
        <v>365</v>
      </c>
      <c r="M65" s="377" t="n">
        <v>2</v>
      </c>
      <c r="N65" s="381" t="n">
        <v>142.466</v>
      </c>
      <c r="O65" s="381" t="n">
        <v>31</v>
      </c>
      <c r="P65" s="380" t="n">
        <v>2208.219</v>
      </c>
      <c r="Q65" s="382" t="n">
        <v>2166.66666666667</v>
      </c>
      <c r="R65" s="377" t="n">
        <v>30</v>
      </c>
      <c r="S65" s="382" t="n">
        <v>2136.98630136986</v>
      </c>
      <c r="T65" s="382" t="n">
        <v>2166.66666666667</v>
      </c>
      <c r="U65" s="381" t="n">
        <v>31</v>
      </c>
      <c r="V65" s="380" t="n">
        <v>2208.21917808219</v>
      </c>
      <c r="W65" s="384" t="n">
        <v>31</v>
      </c>
      <c r="X65" s="381" t="n">
        <v>2166.667</v>
      </c>
      <c r="Y65" s="380" t="n">
        <v>2208.219</v>
      </c>
      <c r="Z65" s="384" t="n">
        <v>30</v>
      </c>
      <c r="AA65" s="383" t="n">
        <v>2166.667</v>
      </c>
      <c r="AB65" s="383" t="n">
        <v>2136.986</v>
      </c>
      <c r="AC65" s="387" t="n">
        <v>31</v>
      </c>
      <c r="AD65" s="388" t="n">
        <v>2166.667</v>
      </c>
      <c r="AE65" s="388" t="n">
        <v>2208.219</v>
      </c>
    </row>
    <row r="66" ht="15.75" customHeight="1" s="253">
      <c r="A66" s="375" t="n">
        <v>0</v>
      </c>
      <c r="B66" s="376" t="n">
        <v>45748</v>
      </c>
      <c r="C66" s="377" t="inlineStr">
        <is>
          <t>⁠Feroze Patel</t>
        </is>
      </c>
      <c r="D66" s="377" t="inlineStr">
        <is>
          <t>INV-25-26-000068</t>
        </is>
      </c>
      <c r="E66" s="377" t="inlineStr">
        <is>
          <t>subscription based service</t>
        </is>
      </c>
      <c r="F66" s="389" t="n">
        <v>45776</v>
      </c>
      <c r="G66" s="378" t="n">
        <v>46140</v>
      </c>
      <c r="H66" s="386" t="inlineStr">
        <is>
          <t>Annual Upfront</t>
        </is>
      </c>
      <c r="I66" s="380" t="n">
        <v>26000</v>
      </c>
      <c r="J66" s="381" t="n">
        <v>2166.667</v>
      </c>
      <c r="K66" s="381" t="n">
        <v>2166.667</v>
      </c>
      <c r="L66" s="377" t="n">
        <v>365</v>
      </c>
      <c r="M66" s="377" t="n">
        <v>2</v>
      </c>
      <c r="N66" s="381" t="n">
        <v>142.466</v>
      </c>
      <c r="O66" s="381" t="n">
        <v>31</v>
      </c>
      <c r="P66" s="380" t="n">
        <v>2208.219</v>
      </c>
      <c r="Q66" s="382" t="n">
        <v>2166.66666666667</v>
      </c>
      <c r="R66" s="377" t="n">
        <v>30</v>
      </c>
      <c r="S66" s="382" t="n">
        <v>2136.98630136986</v>
      </c>
      <c r="T66" s="382" t="n">
        <v>2166.66666666667</v>
      </c>
      <c r="U66" s="381" t="n">
        <v>31</v>
      </c>
      <c r="V66" s="380" t="n">
        <v>2208.21917808219</v>
      </c>
      <c r="W66" s="384" t="n">
        <v>31</v>
      </c>
      <c r="X66" s="381" t="n">
        <v>2166.667</v>
      </c>
      <c r="Y66" s="380" t="n">
        <v>2208.219</v>
      </c>
      <c r="Z66" s="384" t="n">
        <v>30</v>
      </c>
      <c r="AA66" s="383" t="n">
        <v>2166.667</v>
      </c>
      <c r="AB66" s="383" t="n">
        <v>2136.986</v>
      </c>
      <c r="AC66" s="387" t="n">
        <v>31</v>
      </c>
      <c r="AD66" s="388" t="n">
        <v>2166.667</v>
      </c>
      <c r="AE66" s="388" t="n">
        <v>2208.219</v>
      </c>
    </row>
    <row r="67" ht="15.75" customHeight="1" s="253">
      <c r="A67" s="375" t="n">
        <v>0</v>
      </c>
      <c r="B67" s="376" t="n">
        <v>45748</v>
      </c>
      <c r="C67" s="377" t="inlineStr">
        <is>
          <t>Kazan Shroff</t>
        </is>
      </c>
      <c r="D67" s="377" t="inlineStr">
        <is>
          <t>INV-25-26-000069</t>
        </is>
      </c>
      <c r="E67" s="377" t="inlineStr">
        <is>
          <t>subscription based service</t>
        </is>
      </c>
      <c r="F67" s="389" t="n">
        <v>45776</v>
      </c>
      <c r="G67" s="378" t="n">
        <v>46140</v>
      </c>
      <c r="H67" s="386" t="inlineStr">
        <is>
          <t>Annual Upfront</t>
        </is>
      </c>
      <c r="I67" s="380" t="n">
        <v>26000</v>
      </c>
      <c r="J67" s="381" t="n">
        <v>2166.667</v>
      </c>
      <c r="K67" s="381" t="n">
        <v>2166.667</v>
      </c>
      <c r="L67" s="377" t="n">
        <v>365</v>
      </c>
      <c r="M67" s="377" t="n">
        <v>2</v>
      </c>
      <c r="N67" s="381" t="n">
        <v>142.466</v>
      </c>
      <c r="O67" s="381" t="n">
        <v>31</v>
      </c>
      <c r="P67" s="380" t="n">
        <v>2208.219</v>
      </c>
      <c r="Q67" s="382" t="n">
        <v>2166.66666666667</v>
      </c>
      <c r="R67" s="377" t="n">
        <v>30</v>
      </c>
      <c r="S67" s="382" t="n">
        <v>2136.98630136986</v>
      </c>
      <c r="T67" s="382" t="n">
        <v>2166.66666666667</v>
      </c>
      <c r="U67" s="381" t="n">
        <v>31</v>
      </c>
      <c r="V67" s="380" t="n">
        <v>2208.21917808219</v>
      </c>
      <c r="W67" s="384" t="n">
        <v>31</v>
      </c>
      <c r="X67" s="381" t="n">
        <v>2166.667</v>
      </c>
      <c r="Y67" s="380" t="n">
        <v>2208.219</v>
      </c>
      <c r="Z67" s="384" t="n">
        <v>30</v>
      </c>
      <c r="AA67" s="383" t="n">
        <v>2166.667</v>
      </c>
      <c r="AB67" s="383" t="n">
        <v>2136.986</v>
      </c>
      <c r="AC67" s="387" t="n">
        <v>31</v>
      </c>
      <c r="AD67" s="388" t="n">
        <v>2166.667</v>
      </c>
      <c r="AE67" s="388" t="n">
        <v>2208.219</v>
      </c>
    </row>
    <row r="68" ht="15.75" customHeight="1" s="253">
      <c r="A68" s="375" t="n">
        <v>0</v>
      </c>
      <c r="B68" s="376" t="n">
        <v>45748</v>
      </c>
      <c r="C68" s="377" t="inlineStr">
        <is>
          <t>Kajol Punjabi</t>
        </is>
      </c>
      <c r="D68" s="377" t="inlineStr">
        <is>
          <t>INV-25-26-000070</t>
        </is>
      </c>
      <c r="E68" s="377" t="inlineStr">
        <is>
          <t>subscription based service</t>
        </is>
      </c>
      <c r="F68" s="389" t="n">
        <v>45776</v>
      </c>
      <c r="G68" s="378" t="n">
        <v>46140</v>
      </c>
      <c r="H68" s="386" t="inlineStr">
        <is>
          <t>Annual Upfront</t>
        </is>
      </c>
      <c r="I68" s="380" t="n">
        <v>26000</v>
      </c>
      <c r="J68" s="381" t="n">
        <v>2166.667</v>
      </c>
      <c r="K68" s="381" t="n">
        <v>2166.667</v>
      </c>
      <c r="L68" s="377" t="n">
        <v>365</v>
      </c>
      <c r="M68" s="377" t="n">
        <v>2</v>
      </c>
      <c r="N68" s="381" t="n">
        <v>142.466</v>
      </c>
      <c r="O68" s="381" t="n">
        <v>31</v>
      </c>
      <c r="P68" s="380" t="n">
        <v>2208.219</v>
      </c>
      <c r="Q68" s="382" t="n">
        <v>2166.66666666667</v>
      </c>
      <c r="R68" s="377" t="n">
        <v>30</v>
      </c>
      <c r="S68" s="382" t="n">
        <v>2136.98630136986</v>
      </c>
      <c r="T68" s="382" t="n">
        <v>2166.66666666667</v>
      </c>
      <c r="U68" s="381" t="n">
        <v>31</v>
      </c>
      <c r="V68" s="380" t="n">
        <v>2208.21917808219</v>
      </c>
      <c r="W68" s="384" t="n">
        <v>31</v>
      </c>
      <c r="X68" s="381" t="n">
        <v>2166.667</v>
      </c>
      <c r="Y68" s="380" t="n">
        <v>2208.219</v>
      </c>
      <c r="Z68" s="384" t="n">
        <v>30</v>
      </c>
      <c r="AA68" s="383" t="n">
        <v>2166.667</v>
      </c>
      <c r="AB68" s="383" t="n">
        <v>2136.986</v>
      </c>
      <c r="AC68" s="387" t="n">
        <v>31</v>
      </c>
      <c r="AD68" s="388" t="n">
        <v>2166.667</v>
      </c>
      <c r="AE68" s="388" t="n">
        <v>2208.219</v>
      </c>
    </row>
    <row r="69" ht="15.75" customHeight="1" s="253">
      <c r="A69" s="375" t="n">
        <v>0</v>
      </c>
      <c r="B69" s="376" t="n">
        <v>45748</v>
      </c>
      <c r="C69" s="377" t="inlineStr">
        <is>
          <t>Neeta Jain</t>
        </is>
      </c>
      <c r="D69" s="377" t="inlineStr">
        <is>
          <t>INV-25-26-000071</t>
        </is>
      </c>
      <c r="E69" s="377" t="inlineStr">
        <is>
          <t>subscription based service</t>
        </is>
      </c>
      <c r="F69" s="389" t="n">
        <v>45776</v>
      </c>
      <c r="G69" s="378" t="n">
        <v>46140</v>
      </c>
      <c r="H69" s="386" t="inlineStr">
        <is>
          <t>Annual Upfront</t>
        </is>
      </c>
      <c r="I69" s="380" t="n">
        <v>26000</v>
      </c>
      <c r="J69" s="381" t="n">
        <v>2166.667</v>
      </c>
      <c r="K69" s="381" t="n">
        <v>2166.667</v>
      </c>
      <c r="L69" s="377" t="n">
        <v>365</v>
      </c>
      <c r="M69" s="377" t="n">
        <v>2</v>
      </c>
      <c r="N69" s="381" t="n">
        <v>142.466</v>
      </c>
      <c r="O69" s="381" t="n">
        <v>31</v>
      </c>
      <c r="P69" s="380" t="n">
        <v>2208.219</v>
      </c>
      <c r="Q69" s="382" t="n">
        <v>2166.66666666667</v>
      </c>
      <c r="R69" s="377" t="n">
        <v>30</v>
      </c>
      <c r="S69" s="382" t="n">
        <v>2136.98630136986</v>
      </c>
      <c r="T69" s="382" t="n">
        <v>2166.66666666667</v>
      </c>
      <c r="U69" s="381" t="n">
        <v>31</v>
      </c>
      <c r="V69" s="380" t="n">
        <v>2208.21917808219</v>
      </c>
      <c r="W69" s="384" t="n">
        <v>31</v>
      </c>
      <c r="X69" s="381" t="n">
        <v>2166.667</v>
      </c>
      <c r="Y69" s="380" t="n">
        <v>2208.219</v>
      </c>
      <c r="Z69" s="384" t="n">
        <v>30</v>
      </c>
      <c r="AA69" s="383" t="n">
        <v>2166.667</v>
      </c>
      <c r="AB69" s="383" t="n">
        <v>2136.986</v>
      </c>
      <c r="AC69" s="387" t="n">
        <v>31</v>
      </c>
      <c r="AD69" s="388" t="n">
        <v>2166.667</v>
      </c>
      <c r="AE69" s="388" t="n">
        <v>2208.219</v>
      </c>
    </row>
    <row r="70" ht="15.75" customHeight="1" s="253">
      <c r="A70" s="375" t="n">
        <v>0</v>
      </c>
      <c r="B70" s="376" t="n">
        <v>45748</v>
      </c>
      <c r="C70" s="377" t="inlineStr">
        <is>
          <t>Amrut Joshi</t>
        </is>
      </c>
      <c r="D70" s="377" t="inlineStr">
        <is>
          <t>INV-25-26-000072</t>
        </is>
      </c>
      <c r="E70" s="377" t="inlineStr">
        <is>
          <t>subscription based service</t>
        </is>
      </c>
      <c r="F70" s="389" t="n">
        <v>45776</v>
      </c>
      <c r="G70" s="378" t="n">
        <v>46140</v>
      </c>
      <c r="H70" s="386" t="inlineStr">
        <is>
          <t>Annual Upfront</t>
        </is>
      </c>
      <c r="I70" s="380" t="n">
        <v>26000</v>
      </c>
      <c r="J70" s="381" t="n">
        <v>2166.667</v>
      </c>
      <c r="K70" s="381" t="n">
        <v>2166.667</v>
      </c>
      <c r="L70" s="377" t="n">
        <v>365</v>
      </c>
      <c r="M70" s="377" t="n">
        <v>2</v>
      </c>
      <c r="N70" s="381" t="n">
        <v>142.466</v>
      </c>
      <c r="O70" s="381" t="n">
        <v>31</v>
      </c>
      <c r="P70" s="380" t="n">
        <v>2208.219</v>
      </c>
      <c r="Q70" s="382" t="n">
        <v>2166.66666666667</v>
      </c>
      <c r="R70" s="377" t="n">
        <v>30</v>
      </c>
      <c r="S70" s="382" t="n">
        <v>2136.98630136986</v>
      </c>
      <c r="T70" s="382" t="n">
        <v>2166.66666666667</v>
      </c>
      <c r="U70" s="381" t="n">
        <v>31</v>
      </c>
      <c r="V70" s="380" t="n">
        <v>2208.21917808219</v>
      </c>
      <c r="W70" s="384" t="n">
        <v>31</v>
      </c>
      <c r="X70" s="381" t="n">
        <v>2166.667</v>
      </c>
      <c r="Y70" s="380" t="n">
        <v>2208.219</v>
      </c>
      <c r="Z70" s="384" t="n">
        <v>30</v>
      </c>
      <c r="AA70" s="383" t="n">
        <v>2166.667</v>
      </c>
      <c r="AB70" s="383" t="n">
        <v>2136.986</v>
      </c>
      <c r="AC70" s="387" t="n">
        <v>31</v>
      </c>
      <c r="AD70" s="388" t="n">
        <v>2166.667</v>
      </c>
      <c r="AE70" s="388" t="n">
        <v>2208.219</v>
      </c>
    </row>
    <row r="71" ht="15" customHeight="1" s="253">
      <c r="A71" s="375" t="n">
        <v>0</v>
      </c>
      <c r="B71" s="376" t="inlineStr">
        <is>
          <t>Jan &amp; Apr 25</t>
        </is>
      </c>
      <c r="C71" s="377" t="inlineStr">
        <is>
          <t>Gaurav Joshi</t>
        </is>
      </c>
      <c r="D71" s="377" t="inlineStr">
        <is>
          <t>INV-25-26-000073</t>
        </is>
      </c>
      <c r="E71" s="377" t="inlineStr">
        <is>
          <t>subscription based service</t>
        </is>
      </c>
      <c r="F71" s="389" t="n">
        <v>45776</v>
      </c>
      <c r="G71" s="378" t="n">
        <v>46140</v>
      </c>
      <c r="H71" s="390" t="inlineStr">
        <is>
          <t>Annual subscription, Quarterly upfront</t>
        </is>
      </c>
      <c r="I71" s="380" t="n">
        <v>216000</v>
      </c>
      <c r="J71" s="381" t="n">
        <v>18000</v>
      </c>
      <c r="K71" s="381" t="n">
        <v>18000</v>
      </c>
      <c r="L71" s="377" t="n">
        <v>365</v>
      </c>
      <c r="M71" s="377" t="n">
        <v>30</v>
      </c>
      <c r="N71" s="381" t="n">
        <v>17753.425</v>
      </c>
      <c r="O71" s="381" t="n">
        <v>31</v>
      </c>
      <c r="P71" s="380" t="n">
        <v>18345.205</v>
      </c>
      <c r="Q71" s="383" t="n">
        <v>18000</v>
      </c>
      <c r="R71" s="377" t="n">
        <v>30</v>
      </c>
      <c r="S71" s="382" t="n">
        <v>17753.4246575342</v>
      </c>
      <c r="T71" s="382" t="n">
        <v>18000</v>
      </c>
      <c r="U71" s="381" t="n">
        <v>31</v>
      </c>
      <c r="V71" s="380" t="n">
        <v>18345.2054794521</v>
      </c>
      <c r="W71" s="384" t="n">
        <v>31</v>
      </c>
      <c r="X71" s="381" t="n">
        <v>18000</v>
      </c>
      <c r="Y71" s="380" t="n">
        <v>18345.205</v>
      </c>
      <c r="Z71" s="384" t="n">
        <v>30</v>
      </c>
      <c r="AA71" s="383" t="n">
        <v>18000</v>
      </c>
      <c r="AB71" s="383" t="n">
        <v>17753.425</v>
      </c>
      <c r="AC71" s="387" t="n">
        <v>31</v>
      </c>
      <c r="AD71" s="388" t="n">
        <v>18000</v>
      </c>
      <c r="AE71" s="388" t="n">
        <v>18345.205</v>
      </c>
    </row>
    <row r="72" ht="15.75" customHeight="1" s="253">
      <c r="A72" s="375" t="n">
        <v>0</v>
      </c>
      <c r="B72" s="376" t="n">
        <v>45748</v>
      </c>
      <c r="C72" s="377" t="inlineStr">
        <is>
          <t>Kamaljeet Singh</t>
        </is>
      </c>
      <c r="D72" s="377" t="inlineStr">
        <is>
          <t>INV-25-26-000074</t>
        </is>
      </c>
      <c r="E72" s="377" t="inlineStr">
        <is>
          <t>subscription based service</t>
        </is>
      </c>
      <c r="F72" s="389" t="n">
        <v>45776</v>
      </c>
      <c r="G72" s="378" t="n">
        <v>45958</v>
      </c>
      <c r="H72" s="386" t="inlineStr">
        <is>
          <t>6 month-Upfront</t>
        </is>
      </c>
      <c r="I72" s="380" t="n">
        <v>42480</v>
      </c>
      <c r="J72" s="381" t="n">
        <v>7080</v>
      </c>
      <c r="K72" s="381" t="n">
        <v>7080</v>
      </c>
      <c r="L72" s="377" t="n">
        <v>183</v>
      </c>
      <c r="M72" s="377" t="n">
        <v>2</v>
      </c>
      <c r="N72" s="381" t="n">
        <v>464.262</v>
      </c>
      <c r="O72" s="381" t="n">
        <v>31</v>
      </c>
      <c r="P72" s="380" t="n">
        <v>7196.066</v>
      </c>
      <c r="Q72" s="382" t="n">
        <v>7080</v>
      </c>
      <c r="R72" s="377" t="n">
        <v>30</v>
      </c>
      <c r="S72" s="382" t="n">
        <v>6963.93442622951</v>
      </c>
      <c r="T72" s="382" t="n">
        <v>7080</v>
      </c>
      <c r="U72" s="381" t="n">
        <v>31</v>
      </c>
      <c r="V72" s="380" t="n">
        <v>7196.06557377049</v>
      </c>
      <c r="W72" s="384" t="n">
        <v>31</v>
      </c>
      <c r="X72" s="381" t="n">
        <v>7080</v>
      </c>
      <c r="Y72" s="380" t="n">
        <v>7196.066</v>
      </c>
      <c r="Z72" s="384" t="n">
        <v>30</v>
      </c>
      <c r="AA72" s="383" t="n">
        <v>7080</v>
      </c>
      <c r="AB72" s="383" t="n">
        <v>6963.934</v>
      </c>
      <c r="AC72" s="387" t="n">
        <v>28</v>
      </c>
      <c r="AD72" s="385" t="n">
        <v>7080</v>
      </c>
      <c r="AE72" s="388" t="n">
        <v>6499.672</v>
      </c>
    </row>
    <row r="73" ht="15.75" customHeight="1" s="253">
      <c r="A73" s="375" t="inlineStr">
        <is>
          <t>Closed- May 25</t>
        </is>
      </c>
      <c r="B73" s="376" t="n">
        <v>45748</v>
      </c>
      <c r="C73" s="377" t="inlineStr">
        <is>
          <t>Saraf and Partners</t>
        </is>
      </c>
      <c r="D73" s="377" t="inlineStr">
        <is>
          <t>INV-25-26-000075</t>
        </is>
      </c>
      <c r="E73" s="377" t="inlineStr">
        <is>
          <t>subscription based service</t>
        </is>
      </c>
      <c r="F73" s="389" t="n">
        <v>45778</v>
      </c>
      <c r="G73" s="378" t="n">
        <v>45808</v>
      </c>
      <c r="H73" s="386" t="inlineStr">
        <is>
          <t>1 month-Upfront</t>
        </is>
      </c>
      <c r="I73" s="380" t="n">
        <v>50150</v>
      </c>
      <c r="J73" s="381" t="n"/>
      <c r="K73" s="381" t="n">
        <v>50150</v>
      </c>
      <c r="L73" s="377" t="n">
        <v>31</v>
      </c>
      <c r="M73" s="377" t="n">
        <v>0</v>
      </c>
      <c r="N73" s="381" t="n">
        <v>0</v>
      </c>
      <c r="O73" s="381" t="n">
        <v>31</v>
      </c>
      <c r="P73" s="380" t="n">
        <v>50150</v>
      </c>
      <c r="Q73" s="377" t="n"/>
      <c r="R73" s="377" t="n">
        <v>30</v>
      </c>
      <c r="S73" s="377" t="n"/>
      <c r="T73" s="377" t="n"/>
      <c r="U73" s="381" t="n">
        <v>31</v>
      </c>
      <c r="V73" s="377" t="n"/>
      <c r="W73" s="384" t="n">
        <v>0</v>
      </c>
      <c r="X73" s="381" t="n">
        <v>0</v>
      </c>
      <c r="Y73" s="377" t="n">
        <v>0</v>
      </c>
      <c r="Z73" s="377" t="n"/>
      <c r="AA73" s="377" t="n"/>
      <c r="AB73" s="377" t="n"/>
      <c r="AC73" s="385" t="n"/>
      <c r="AD73" s="385" t="n"/>
      <c r="AE73" s="385" t="n"/>
    </row>
    <row r="74" ht="15.75" customHeight="1" s="253">
      <c r="A74" s="375" t="inlineStr">
        <is>
          <t>Closed- May 25</t>
        </is>
      </c>
      <c r="B74" s="376" t="n">
        <v>45748</v>
      </c>
      <c r="C74" s="377" t="inlineStr">
        <is>
          <t>Pioneer Legal</t>
        </is>
      </c>
      <c r="D74" s="377" t="inlineStr">
        <is>
          <t>INV-25-26-000076, INV-25-26-000492</t>
        </is>
      </c>
      <c r="E74" s="377" t="inlineStr">
        <is>
          <t>subscription based service</t>
        </is>
      </c>
      <c r="F74" s="389" t="n">
        <v>45776</v>
      </c>
      <c r="G74" s="378" t="n">
        <v>45808</v>
      </c>
      <c r="H74" s="386" t="inlineStr">
        <is>
          <t>1 month-Upfront</t>
        </is>
      </c>
      <c r="I74" s="380" t="n">
        <v>17700</v>
      </c>
      <c r="J74" s="381" t="n">
        <v>17700</v>
      </c>
      <c r="K74" s="381" t="n"/>
      <c r="L74" s="377" t="n">
        <v>33</v>
      </c>
      <c r="M74" s="377" t="n">
        <v>2</v>
      </c>
      <c r="N74" s="381" t="n">
        <v>1072.727</v>
      </c>
      <c r="O74" s="381" t="n">
        <v>31</v>
      </c>
      <c r="P74" s="380" t="n">
        <v>16627.273</v>
      </c>
      <c r="Q74" s="377" t="n"/>
      <c r="R74" s="377" t="n">
        <v>30</v>
      </c>
      <c r="S74" s="377" t="n"/>
      <c r="T74" s="377" t="n"/>
      <c r="U74" s="381" t="n">
        <v>31</v>
      </c>
      <c r="V74" s="377" t="n"/>
      <c r="W74" s="384" t="n">
        <v>0</v>
      </c>
      <c r="X74" s="381" t="n">
        <v>0</v>
      </c>
      <c r="Y74" s="377" t="n">
        <v>0</v>
      </c>
      <c r="Z74" s="377" t="n"/>
      <c r="AA74" s="377" t="n"/>
      <c r="AB74" s="377" t="n"/>
      <c r="AC74" s="385" t="n"/>
      <c r="AD74" s="385" t="n"/>
      <c r="AE74" s="385" t="n"/>
    </row>
    <row r="75" ht="15.75" customHeight="1" s="253">
      <c r="A75" s="375" t="n">
        <v>0</v>
      </c>
      <c r="B75" s="376" t="n">
        <v>45748</v>
      </c>
      <c r="C75" s="377" t="inlineStr">
        <is>
          <t>Dua Associates</t>
        </is>
      </c>
      <c r="D75" s="377" t="inlineStr">
        <is>
          <t>INV-25-26-000077</t>
        </is>
      </c>
      <c r="E75" s="377" t="inlineStr">
        <is>
          <t>subscription based service</t>
        </is>
      </c>
      <c r="F75" s="389" t="n">
        <v>45778</v>
      </c>
      <c r="G75" s="378" t="n">
        <v>45838</v>
      </c>
      <c r="H75" s="377" t="inlineStr">
        <is>
          <t>2 months- Upfront</t>
        </is>
      </c>
      <c r="I75" s="380" t="n">
        <v>18880</v>
      </c>
      <c r="J75" s="381" t="n"/>
      <c r="K75" s="381" t="n">
        <v>9440</v>
      </c>
      <c r="L75" s="377" t="n">
        <v>61</v>
      </c>
      <c r="M75" s="377" t="n">
        <v>0</v>
      </c>
      <c r="N75" s="381" t="n">
        <v>0</v>
      </c>
      <c r="O75" s="381" t="n">
        <v>31</v>
      </c>
      <c r="P75" s="380" t="n">
        <v>9594.754000000001</v>
      </c>
      <c r="Q75" s="382" t="n">
        <v>9440</v>
      </c>
      <c r="R75" s="377" t="n">
        <v>30</v>
      </c>
      <c r="S75" s="383" t="n">
        <v>9285.24590163934</v>
      </c>
      <c r="T75" s="377" t="n"/>
      <c r="U75" s="381" t="n">
        <v>31</v>
      </c>
      <c r="V75" s="377" t="n"/>
      <c r="W75" s="384" t="n">
        <v>0</v>
      </c>
      <c r="X75" s="381" t="n">
        <v>0</v>
      </c>
      <c r="Y75" s="377" t="n">
        <v>0</v>
      </c>
      <c r="Z75" s="377" t="n"/>
      <c r="AA75" s="377" t="n"/>
      <c r="AB75" s="377" t="n"/>
      <c r="AC75" s="385" t="n"/>
      <c r="AD75" s="385" t="n"/>
      <c r="AE75" s="385" t="n"/>
    </row>
    <row r="76" ht="15.75" customHeight="1" s="253">
      <c r="A76" s="375" t="n">
        <v>0</v>
      </c>
      <c r="B76" s="376" t="inlineStr">
        <is>
          <t>Nov 24 to Oct 25</t>
        </is>
      </c>
      <c r="C76" s="377" t="inlineStr">
        <is>
          <t>Manish kelker</t>
        </is>
      </c>
      <c r="D76" s="377" t="inlineStr">
        <is>
          <t>40, INV-000088, 0112, INV-25-26-000078, 111, 0180, 256, 343, 420, 505, 000111'000180, 000256, 000343, 000420, 000505</t>
        </is>
      </c>
      <c r="E76" s="377" t="inlineStr">
        <is>
          <t>subscription based service</t>
        </is>
      </c>
      <c r="F76" s="389" t="n">
        <v>45605</v>
      </c>
      <c r="G76" s="389" t="n">
        <v>45970</v>
      </c>
      <c r="H76" s="386" t="inlineStr">
        <is>
          <t>Annual-Monthly</t>
        </is>
      </c>
      <c r="I76" s="380" t="n">
        <v>47988</v>
      </c>
      <c r="J76" s="381" t="n">
        <v>3999</v>
      </c>
      <c r="K76" s="381" t="n">
        <v>3999</v>
      </c>
      <c r="L76" s="377" t="n">
        <v>366</v>
      </c>
      <c r="M76" s="377" t="n">
        <v>30</v>
      </c>
      <c r="N76" s="381" t="n">
        <v>3933.443</v>
      </c>
      <c r="O76" s="381" t="n">
        <v>31</v>
      </c>
      <c r="P76" s="380" t="n">
        <v>4064.557</v>
      </c>
      <c r="Q76" s="382" t="n">
        <v>3999</v>
      </c>
      <c r="R76" s="377" t="n">
        <v>30</v>
      </c>
      <c r="S76" s="382" t="n">
        <v>3933.44262295082</v>
      </c>
      <c r="T76" s="382" t="n">
        <v>3999</v>
      </c>
      <c r="U76" s="381" t="n">
        <v>31</v>
      </c>
      <c r="V76" s="380" t="n">
        <v>4064.55737704918</v>
      </c>
      <c r="W76" s="384" t="n">
        <v>31</v>
      </c>
      <c r="X76" s="381" t="n">
        <v>3999</v>
      </c>
      <c r="Y76" s="380" t="n">
        <v>4064.557</v>
      </c>
      <c r="Z76" s="384" t="n">
        <v>30</v>
      </c>
      <c r="AA76" s="383" t="n">
        <v>3999</v>
      </c>
      <c r="AB76" s="383" t="n">
        <v>3933.443</v>
      </c>
      <c r="AC76" s="387" t="n">
        <v>31</v>
      </c>
      <c r="AD76" s="388" t="n">
        <v>3691.385</v>
      </c>
      <c r="AE76" s="388" t="n">
        <v>4064.557</v>
      </c>
    </row>
    <row r="77" ht="15.75" customHeight="1" s="253">
      <c r="A77" s="375" t="n">
        <v>0</v>
      </c>
      <c r="B77" s="376" t="inlineStr">
        <is>
          <t>Dec 24 to Oct 25</t>
        </is>
      </c>
      <c r="C77" s="377" t="inlineStr">
        <is>
          <t>Diwan Law Associates</t>
        </is>
      </c>
      <c r="D77" s="377" t="inlineStr">
        <is>
          <t>INV-000091, 0114, INV-25-26-000079, 115, 191, 263, 346, 513, INV-25-26-000079-000115'000191, 000263, 000346, 000429, 000513, 000612</t>
        </is>
      </c>
      <c r="E77" s="377" t="inlineStr">
        <is>
          <t>subscription based service</t>
        </is>
      </c>
      <c r="F77" s="378" t="n">
        <v>45637</v>
      </c>
      <c r="G77" s="378" t="n">
        <v>46002</v>
      </c>
      <c r="H77" s="386" t="inlineStr">
        <is>
          <t>Annual-Monthly</t>
        </is>
      </c>
      <c r="I77" s="380" t="n">
        <v>60000</v>
      </c>
      <c r="J77" s="381" t="n">
        <v>5000</v>
      </c>
      <c r="K77" s="381" t="n">
        <v>5000</v>
      </c>
      <c r="L77" s="377" t="n">
        <v>366</v>
      </c>
      <c r="M77" s="377" t="n">
        <v>30</v>
      </c>
      <c r="N77" s="381" t="n">
        <v>4918.033</v>
      </c>
      <c r="O77" s="381" t="n">
        <v>31</v>
      </c>
      <c r="P77" s="380" t="n">
        <v>5081.967</v>
      </c>
      <c r="Q77" s="382" t="n">
        <v>5000</v>
      </c>
      <c r="R77" s="377" t="n">
        <v>30</v>
      </c>
      <c r="S77" s="382" t="n">
        <v>4918.03278688525</v>
      </c>
      <c r="T77" s="382" t="n">
        <v>5000</v>
      </c>
      <c r="U77" s="381" t="n">
        <v>31</v>
      </c>
      <c r="V77" s="380" t="n">
        <v>5081.96721311475</v>
      </c>
      <c r="W77" s="384" t="n">
        <v>31</v>
      </c>
      <c r="X77" s="381" t="n">
        <v>5000</v>
      </c>
      <c r="Y77" s="380" t="n">
        <v>5081.967</v>
      </c>
      <c r="Z77" s="384" t="n">
        <v>30</v>
      </c>
      <c r="AA77" s="383" t="n">
        <v>5000</v>
      </c>
      <c r="AB77" s="383" t="n">
        <v>4918.033</v>
      </c>
      <c r="AC77" s="387" t="n">
        <v>31</v>
      </c>
      <c r="AD77" s="388" t="n">
        <v>4615.385</v>
      </c>
      <c r="AE77" s="388" t="n">
        <v>5081.967</v>
      </c>
    </row>
    <row r="78" ht="15.75" customHeight="1" s="253">
      <c r="A78" s="375" t="n">
        <v>0</v>
      </c>
      <c r="B78" s="376" t="inlineStr">
        <is>
          <t>Sept to Sept 25</t>
        </is>
      </c>
      <c r="C78" s="377" t="inlineStr">
        <is>
          <t>SRCO Legal / Salvador Raghav &amp; Co.</t>
        </is>
      </c>
      <c r="D78" s="377" t="inlineStr">
        <is>
          <t>INV-000145,00011, INV-25-26-000080,0106, 0223, 312, 390, 474</t>
        </is>
      </c>
      <c r="E78" s="377" t="inlineStr">
        <is>
          <t>subscription based service</t>
        </is>
      </c>
      <c r="F78" s="378" t="n">
        <v>45594</v>
      </c>
      <c r="G78" s="378" t="n">
        <v>45959</v>
      </c>
      <c r="H78" s="386" t="inlineStr">
        <is>
          <t>Annual-Monthly</t>
        </is>
      </c>
      <c r="I78" s="380" t="n">
        <v>96000</v>
      </c>
      <c r="J78" s="381" t="n">
        <v>8000</v>
      </c>
      <c r="K78" s="381" t="n">
        <v>8000</v>
      </c>
      <c r="L78" s="377" t="n">
        <v>366</v>
      </c>
      <c r="M78" s="377" t="n">
        <v>30</v>
      </c>
      <c r="N78" s="381" t="n">
        <v>7868.852</v>
      </c>
      <c r="O78" s="381" t="n">
        <v>31</v>
      </c>
      <c r="P78" s="380" t="n">
        <v>8131.148</v>
      </c>
      <c r="Q78" s="382" t="n">
        <v>8000</v>
      </c>
      <c r="R78" s="377" t="n">
        <v>30</v>
      </c>
      <c r="S78" s="382" t="n">
        <v>7868.85245901639</v>
      </c>
      <c r="T78" s="382" t="n">
        <v>8000</v>
      </c>
      <c r="U78" s="381" t="n">
        <v>31</v>
      </c>
      <c r="V78" s="380" t="n">
        <v>8131.14754098361</v>
      </c>
      <c r="W78" s="384" t="n">
        <v>31</v>
      </c>
      <c r="X78" s="381" t="n">
        <v>8000</v>
      </c>
      <c r="Y78" s="380" t="n">
        <v>8131.148</v>
      </c>
      <c r="Z78" s="384" t="n">
        <v>30</v>
      </c>
      <c r="AA78" s="383" t="n">
        <v>8000</v>
      </c>
      <c r="AB78" s="383" t="n">
        <v>7868.852</v>
      </c>
      <c r="AC78" s="387" t="n">
        <v>29</v>
      </c>
      <c r="AD78" s="385" t="n">
        <v>7384.615</v>
      </c>
      <c r="AE78" s="388" t="n">
        <v>7606.557</v>
      </c>
    </row>
    <row r="79" ht="15.75" customHeight="1" s="253">
      <c r="A79" s="375" t="n">
        <v>0</v>
      </c>
      <c r="B79" s="376" t="n">
        <v>45778</v>
      </c>
      <c r="C79" s="377" t="inlineStr">
        <is>
          <t>Sarthak Advocates &amp; Solicitors</t>
        </is>
      </c>
      <c r="D79" s="377" t="inlineStr">
        <is>
          <t>INV-25-26-000096, INV-25-26-000297, 000373, 000458, 000550, 000666</t>
        </is>
      </c>
      <c r="E79" s="377" t="inlineStr">
        <is>
          <t>One time work</t>
        </is>
      </c>
      <c r="F79" s="378" t="n">
        <v>45779</v>
      </c>
      <c r="G79" s="378" t="n">
        <v>45809</v>
      </c>
      <c r="H79" s="386" t="inlineStr">
        <is>
          <t>1 month-Upfront</t>
        </is>
      </c>
      <c r="I79" s="380" t="n">
        <v>11800</v>
      </c>
      <c r="J79" s="381" t="n"/>
      <c r="K79" s="381" t="n">
        <v>11800</v>
      </c>
      <c r="L79" s="377" t="n">
        <v>31</v>
      </c>
      <c r="M79" s="377" t="n"/>
      <c r="N79" s="381" t="n"/>
      <c r="O79" s="381" t="n">
        <v>30</v>
      </c>
      <c r="P79" s="380" t="n">
        <v>11419.355</v>
      </c>
      <c r="Q79" s="377" t="n"/>
      <c r="R79" s="377" t="n">
        <v>1</v>
      </c>
      <c r="S79" s="383" t="n">
        <v>380.645161290323</v>
      </c>
      <c r="T79" s="377" t="n"/>
      <c r="U79" s="381" t="n">
        <v>31</v>
      </c>
      <c r="V79" s="377" t="n"/>
      <c r="W79" s="384" t="n">
        <v>0</v>
      </c>
      <c r="X79" s="381" t="n">
        <v>0</v>
      </c>
      <c r="Y79" s="377" t="n">
        <v>0</v>
      </c>
      <c r="Z79" s="377" t="n"/>
      <c r="AA79" s="377" t="n"/>
      <c r="AB79" s="377" t="n"/>
      <c r="AC79" s="385" t="n"/>
      <c r="AD79" s="385" t="n"/>
      <c r="AE79" s="385" t="n"/>
    </row>
    <row r="80" ht="15.75" customHeight="1" s="253">
      <c r="A80" s="375" t="n">
        <v>0</v>
      </c>
      <c r="B80" s="376" t="n">
        <v>45778</v>
      </c>
      <c r="C80" s="377" t="inlineStr">
        <is>
          <t>Gupta Law Associates</t>
        </is>
      </c>
      <c r="D80" s="377" t="inlineStr">
        <is>
          <t>INV-25-26-000097</t>
        </is>
      </c>
      <c r="E80" s="377" t="inlineStr">
        <is>
          <t>One time work</t>
        </is>
      </c>
      <c r="F80" s="378" t="n">
        <v>45779</v>
      </c>
      <c r="G80" s="378" t="n">
        <v>45809</v>
      </c>
      <c r="H80" s="386" t="inlineStr">
        <is>
          <t>1 month-Upfront</t>
        </is>
      </c>
      <c r="I80" s="380" t="n">
        <v>17700</v>
      </c>
      <c r="J80" s="381" t="n"/>
      <c r="K80" s="381" t="n">
        <v>17700</v>
      </c>
      <c r="L80" s="377" t="n">
        <v>31</v>
      </c>
      <c r="M80" s="377" t="n"/>
      <c r="N80" s="381" t="n"/>
      <c r="O80" s="381" t="n">
        <v>30</v>
      </c>
      <c r="P80" s="380" t="n">
        <v>17129.032</v>
      </c>
      <c r="Q80" s="377" t="n"/>
      <c r="R80" s="377" t="n">
        <v>1</v>
      </c>
      <c r="S80" s="383" t="n">
        <v>570.967741935484</v>
      </c>
      <c r="T80" s="377" t="n"/>
      <c r="U80" s="381" t="n">
        <v>31</v>
      </c>
      <c r="V80" s="377" t="n"/>
      <c r="W80" s="384" t="n">
        <v>0</v>
      </c>
      <c r="X80" s="381" t="n">
        <v>0</v>
      </c>
      <c r="Y80" s="377" t="n">
        <v>0</v>
      </c>
      <c r="Z80" s="377" t="n"/>
      <c r="AA80" s="377" t="n"/>
      <c r="AB80" s="377" t="n"/>
      <c r="AC80" s="385" t="n"/>
      <c r="AD80" s="385" t="n"/>
      <c r="AE80" s="385" t="n"/>
    </row>
    <row r="81" ht="15.75" customHeight="1" s="253">
      <c r="A81" s="375" t="inlineStr">
        <is>
          <t>Closed- May 25</t>
        </is>
      </c>
      <c r="B81" s="376" t="n">
        <v>45778</v>
      </c>
      <c r="C81" s="377" t="inlineStr">
        <is>
          <t>Saraf and Partners</t>
        </is>
      </c>
      <c r="D81" s="377" t="inlineStr">
        <is>
          <t>INV-25-26-000100</t>
        </is>
      </c>
      <c r="E81" s="377" t="inlineStr">
        <is>
          <t>One time work</t>
        </is>
      </c>
      <c r="F81" s="378" t="n">
        <v>45778</v>
      </c>
      <c r="G81" s="378" t="n">
        <v>45808</v>
      </c>
      <c r="H81" s="386" t="inlineStr">
        <is>
          <t>1 month-Upfront</t>
        </is>
      </c>
      <c r="I81" s="380" t="n">
        <v>11800</v>
      </c>
      <c r="J81" s="381" t="n"/>
      <c r="K81" s="381" t="n">
        <v>11800</v>
      </c>
      <c r="L81" s="377" t="n">
        <v>31</v>
      </c>
      <c r="M81" s="377" t="n"/>
      <c r="N81" s="381" t="n"/>
      <c r="O81" s="381" t="n">
        <v>31</v>
      </c>
      <c r="P81" s="380" t="n">
        <v>11800</v>
      </c>
      <c r="Q81" s="377" t="n"/>
      <c r="R81" s="377" t="n">
        <v>30</v>
      </c>
      <c r="S81" s="377" t="n"/>
      <c r="T81" s="377" t="n"/>
      <c r="U81" s="381" t="n">
        <v>31</v>
      </c>
      <c r="V81" s="377" t="n"/>
      <c r="W81" s="384" t="n">
        <v>0</v>
      </c>
      <c r="X81" s="381" t="n">
        <v>0</v>
      </c>
      <c r="Y81" s="377" t="n">
        <v>0</v>
      </c>
      <c r="Z81" s="377" t="n"/>
      <c r="AA81" s="377" t="n"/>
      <c r="AB81" s="377" t="n"/>
      <c r="AC81" s="385" t="n"/>
      <c r="AD81" s="385" t="n"/>
      <c r="AE81" s="385" t="n"/>
    </row>
    <row r="82" ht="15.75" customHeight="1" s="253">
      <c r="A82" s="375" t="n">
        <v>0</v>
      </c>
      <c r="B82" s="376" t="n">
        <v>45778</v>
      </c>
      <c r="C82" s="377" t="inlineStr">
        <is>
          <t>Kunal Kunango</t>
        </is>
      </c>
      <c r="D82" s="377" t="inlineStr">
        <is>
          <t>INV-25-26-000101</t>
        </is>
      </c>
      <c r="E82" s="377" t="inlineStr">
        <is>
          <t>subscription based service</t>
        </is>
      </c>
      <c r="F82" s="378" t="n">
        <v>45780</v>
      </c>
      <c r="G82" s="378" t="n">
        <v>46144</v>
      </c>
      <c r="H82" s="386" t="inlineStr">
        <is>
          <t>Annual Upfront</t>
        </is>
      </c>
      <c r="I82" s="380" t="n">
        <v>47988</v>
      </c>
      <c r="J82" s="381" t="n"/>
      <c r="K82" s="381" t="n">
        <v>3999</v>
      </c>
      <c r="L82" s="377" t="n">
        <v>365</v>
      </c>
      <c r="M82" s="377" t="n"/>
      <c r="N82" s="381" t="n"/>
      <c r="O82" s="381" t="n">
        <v>29</v>
      </c>
      <c r="P82" s="380" t="n">
        <v>3812.745</v>
      </c>
      <c r="Q82" s="382" t="n">
        <v>3999</v>
      </c>
      <c r="R82" s="377" t="n">
        <v>30</v>
      </c>
      <c r="S82" s="382" t="n">
        <v>3944.21917808219</v>
      </c>
      <c r="T82" s="382" t="n">
        <v>3999</v>
      </c>
      <c r="U82" s="381" t="n">
        <v>31</v>
      </c>
      <c r="V82" s="380" t="n">
        <v>4075.69315068493</v>
      </c>
      <c r="W82" s="384" t="n">
        <v>31</v>
      </c>
      <c r="X82" s="381" t="n">
        <v>3999</v>
      </c>
      <c r="Y82" s="380" t="n">
        <v>4075.693</v>
      </c>
      <c r="Z82" s="384" t="n">
        <v>30</v>
      </c>
      <c r="AA82" s="383" t="n">
        <v>3999</v>
      </c>
      <c r="AB82" s="383" t="n">
        <v>3944.219</v>
      </c>
      <c r="AC82" s="387" t="n">
        <v>31</v>
      </c>
      <c r="AD82" s="388" t="n">
        <v>3999</v>
      </c>
      <c r="AE82" s="388" t="n">
        <v>4075.693</v>
      </c>
    </row>
    <row r="83" ht="15.75" customHeight="1" s="253">
      <c r="A83" s="375" t="n">
        <v>0</v>
      </c>
      <c r="B83" s="376" t="n">
        <v>45778</v>
      </c>
      <c r="C83" s="377" t="inlineStr">
        <is>
          <t>Divyanshu Rai</t>
        </is>
      </c>
      <c r="D83" s="377" t="inlineStr">
        <is>
          <t>INV-25-26-000102</t>
        </is>
      </c>
      <c r="E83" s="377" t="inlineStr">
        <is>
          <t>subscription based service</t>
        </is>
      </c>
      <c r="F83" s="378" t="n">
        <v>45782</v>
      </c>
      <c r="G83" s="378" t="n">
        <v>46146</v>
      </c>
      <c r="H83" s="386" t="inlineStr">
        <is>
          <t>Annual Upfront</t>
        </is>
      </c>
      <c r="I83" s="380" t="n">
        <v>76464</v>
      </c>
      <c r="J83" s="381" t="n"/>
      <c r="K83" s="381" t="n">
        <v>6372</v>
      </c>
      <c r="L83" s="377" t="n">
        <v>365</v>
      </c>
      <c r="M83" s="377" t="n"/>
      <c r="N83" s="381" t="n"/>
      <c r="O83" s="381" t="n">
        <v>27</v>
      </c>
      <c r="P83" s="380" t="n">
        <v>5656.241</v>
      </c>
      <c r="Q83" s="382" t="n">
        <v>6372</v>
      </c>
      <c r="R83" s="377" t="n">
        <v>30</v>
      </c>
      <c r="S83" s="382" t="n">
        <v>6284.71232876712</v>
      </c>
      <c r="T83" s="382" t="n">
        <v>6372</v>
      </c>
      <c r="U83" s="381" t="n">
        <v>31</v>
      </c>
      <c r="V83" s="380" t="n">
        <v>6494.20273972603</v>
      </c>
      <c r="W83" s="384" t="n">
        <v>31</v>
      </c>
      <c r="X83" s="381" t="n">
        <v>6372</v>
      </c>
      <c r="Y83" s="380" t="n">
        <v>6494.203</v>
      </c>
      <c r="Z83" s="384" t="n">
        <v>30</v>
      </c>
      <c r="AA83" s="383" t="n">
        <v>6372</v>
      </c>
      <c r="AB83" s="383" t="n">
        <v>6284.712</v>
      </c>
      <c r="AC83" s="387" t="n">
        <v>31</v>
      </c>
      <c r="AD83" s="388" t="n">
        <v>6372</v>
      </c>
      <c r="AE83" s="388" t="n">
        <v>6494.203</v>
      </c>
    </row>
    <row r="84" ht="15.75" customHeight="1" s="253">
      <c r="A84" s="375" t="n"/>
      <c r="B84" s="376" t="inlineStr">
        <is>
          <t>May &amp; Aug 25</t>
        </is>
      </c>
      <c r="C84" s="377" t="inlineStr">
        <is>
          <t>Hamza mir</t>
        </is>
      </c>
      <c r="D84" s="377" t="inlineStr">
        <is>
          <t>INV-25-26-000103, 212, 265, 365, INV-25-26-000449, 000544, 000649</t>
        </is>
      </c>
      <c r="E84" s="377" t="inlineStr">
        <is>
          <t>One time work</t>
        </is>
      </c>
      <c r="F84" s="378" t="n">
        <v>45727</v>
      </c>
      <c r="G84" s="378" t="n">
        <v>45910</v>
      </c>
      <c r="H84" s="391" t="inlineStr">
        <is>
          <t>6 months subscription, Monthly</t>
        </is>
      </c>
      <c r="I84" s="380" t="n">
        <v>35400</v>
      </c>
      <c r="J84" s="381" t="n">
        <v>5900</v>
      </c>
      <c r="K84" s="381" t="n">
        <v>5900</v>
      </c>
      <c r="L84" s="377" t="n">
        <v>184</v>
      </c>
      <c r="M84" s="377" t="n">
        <v>30</v>
      </c>
      <c r="N84" s="381" t="n">
        <v>5771.739</v>
      </c>
      <c r="O84" s="381" t="n">
        <v>31</v>
      </c>
      <c r="P84" s="380" t="n">
        <v>5964.13</v>
      </c>
      <c r="Q84" s="382" t="n">
        <v>5900</v>
      </c>
      <c r="R84" s="377" t="n">
        <v>30</v>
      </c>
      <c r="S84" s="383" t="n">
        <v>5771.73913043478</v>
      </c>
      <c r="T84" s="382" t="n">
        <v>5900</v>
      </c>
      <c r="U84" s="381" t="n">
        <v>31</v>
      </c>
      <c r="V84" s="380" t="n">
        <v>5964.13043478261</v>
      </c>
      <c r="W84" s="384" t="n">
        <v>31</v>
      </c>
      <c r="X84" s="381" t="n">
        <v>5900</v>
      </c>
      <c r="Y84" s="380" t="n">
        <v>5964.13</v>
      </c>
      <c r="Z84" s="384" t="n">
        <v>10</v>
      </c>
      <c r="AA84" s="383" t="n"/>
      <c r="AB84" s="383" t="n">
        <v>1923.913</v>
      </c>
      <c r="AC84" s="385" t="n"/>
      <c r="AD84" s="385" t="n"/>
      <c r="AE84" s="385" t="n"/>
    </row>
    <row r="85" ht="15.75" customHeight="1" s="253">
      <c r="A85" s="375" t="n">
        <v>0</v>
      </c>
      <c r="B85" s="376" t="inlineStr">
        <is>
          <t>May to Oct 25</t>
        </is>
      </c>
      <c r="C85" s="377" t="inlineStr">
        <is>
          <t>Chambers of Ninad Laud</t>
        </is>
      </c>
      <c r="D85" s="392" t="inlineStr">
        <is>
          <t>INV-25-26-000105, 0171, 246, 332, 415, CN-00029, 496, 000171, 000246, 000332, 000415, 000496, 000596</t>
        </is>
      </c>
      <c r="E85" s="377" t="inlineStr">
        <is>
          <t>subscription based service</t>
        </is>
      </c>
      <c r="F85" s="378" t="n">
        <v>45783</v>
      </c>
      <c r="G85" s="378" t="n">
        <v>46117</v>
      </c>
      <c r="H85" s="391" t="inlineStr">
        <is>
          <t>Annual-Monthly</t>
        </is>
      </c>
      <c r="I85" s="380" t="n">
        <v>129800</v>
      </c>
      <c r="J85" s="381" t="n"/>
      <c r="K85" s="381" t="n">
        <v>10816.667</v>
      </c>
      <c r="L85" s="377" t="n">
        <v>335</v>
      </c>
      <c r="M85" s="377" t="n"/>
      <c r="N85" s="381" t="n"/>
      <c r="O85" s="381" t="n">
        <v>26</v>
      </c>
      <c r="P85" s="380" t="n">
        <v>10074.03</v>
      </c>
      <c r="Q85" s="382" t="n">
        <v>10816.6666666667</v>
      </c>
      <c r="R85" s="377" t="n">
        <v>30</v>
      </c>
      <c r="S85" s="382" t="n">
        <v>11638.3561643836</v>
      </c>
      <c r="T85" s="382" t="n">
        <v>10816.6666666667</v>
      </c>
      <c r="U85" s="381" t="n">
        <v>31</v>
      </c>
      <c r="V85" s="380" t="n">
        <v>12026.301369863</v>
      </c>
      <c r="W85" s="384" t="n">
        <v>31</v>
      </c>
      <c r="X85" s="381" t="n">
        <v>10816.667</v>
      </c>
      <c r="Y85" s="380" t="n">
        <v>12026.301</v>
      </c>
      <c r="Z85" s="384" t="n">
        <v>30</v>
      </c>
      <c r="AA85" s="383" t="n">
        <v>10816.667</v>
      </c>
      <c r="AB85" s="383" t="n">
        <v>11623.881</v>
      </c>
      <c r="AC85" s="387" t="n">
        <v>31</v>
      </c>
      <c r="AD85" s="388" t="n">
        <v>11800</v>
      </c>
      <c r="AE85" s="388" t="n">
        <v>12011.343</v>
      </c>
    </row>
    <row r="86" ht="15.75" customHeight="1" s="253">
      <c r="A86" s="375" t="n">
        <v>0</v>
      </c>
      <c r="B86" s="376" t="n">
        <v>45778</v>
      </c>
      <c r="C86" s="377" t="inlineStr">
        <is>
          <t>Gera Developments Pvt. Ltd.</t>
        </is>
      </c>
      <c r="D86" s="377" t="inlineStr">
        <is>
          <t>INV-25-26-000106</t>
        </is>
      </c>
      <c r="E86" s="377" t="inlineStr">
        <is>
          <t>subscription based service</t>
        </is>
      </c>
      <c r="F86" s="378" t="n">
        <v>45783</v>
      </c>
      <c r="G86" s="378" t="n">
        <v>45813</v>
      </c>
      <c r="H86" s="386" t="inlineStr">
        <is>
          <t>1 month-Upfront</t>
        </is>
      </c>
      <c r="I86" s="380" t="n">
        <v>16520</v>
      </c>
      <c r="J86" s="381" t="n"/>
      <c r="K86" s="381" t="n">
        <v>16520</v>
      </c>
      <c r="L86" s="377" t="n">
        <v>31</v>
      </c>
      <c r="M86" s="377" t="n"/>
      <c r="N86" s="381" t="n"/>
      <c r="O86" s="381" t="n">
        <v>26</v>
      </c>
      <c r="P86" s="380" t="n">
        <v>13855.484</v>
      </c>
      <c r="Q86" s="377" t="n"/>
      <c r="R86" s="377" t="n">
        <v>5</v>
      </c>
      <c r="S86" s="383" t="n">
        <v>2664.51612903226</v>
      </c>
      <c r="T86" s="377" t="n"/>
      <c r="U86" s="381" t="n">
        <v>31</v>
      </c>
      <c r="V86" s="377" t="n"/>
      <c r="W86" s="384" t="n">
        <v>0</v>
      </c>
      <c r="X86" s="381" t="n">
        <v>0</v>
      </c>
      <c r="Y86" s="377" t="n">
        <v>0</v>
      </c>
      <c r="Z86" s="377" t="n"/>
      <c r="AA86" s="377" t="n"/>
      <c r="AB86" s="377" t="n"/>
      <c r="AC86" s="385" t="n"/>
      <c r="AD86" s="385" t="n"/>
      <c r="AE86" s="385" t="n"/>
    </row>
    <row r="87" ht="15.75" customHeight="1" s="253">
      <c r="A87" s="375" t="n">
        <v>0</v>
      </c>
      <c r="B87" s="376" t="n">
        <v>45778</v>
      </c>
      <c r="C87" s="377" t="inlineStr">
        <is>
          <t>Gaurav Mehta</t>
        </is>
      </c>
      <c r="D87" s="377" t="inlineStr">
        <is>
          <t>INV-25-26-000108</t>
        </is>
      </c>
      <c r="E87" s="377" t="inlineStr">
        <is>
          <t>subscription based service</t>
        </is>
      </c>
      <c r="F87" s="378" t="n">
        <v>45784</v>
      </c>
      <c r="G87" s="378" t="n">
        <v>45875</v>
      </c>
      <c r="H87" s="379" t="inlineStr">
        <is>
          <t>3 months subscription, upfront</t>
        </is>
      </c>
      <c r="I87" s="380" t="n">
        <v>37760</v>
      </c>
      <c r="J87" s="381" t="n"/>
      <c r="K87" s="381" t="n">
        <v>12586.667</v>
      </c>
      <c r="L87" s="377" t="n">
        <v>92</v>
      </c>
      <c r="M87" s="377" t="n"/>
      <c r="N87" s="381" t="n"/>
      <c r="O87" s="381" t="n">
        <v>25</v>
      </c>
      <c r="P87" s="380" t="n">
        <v>10260.87</v>
      </c>
      <c r="Q87" s="382" t="n">
        <v>12586.6666666667</v>
      </c>
      <c r="R87" s="377" t="n">
        <v>30</v>
      </c>
      <c r="S87" s="382" t="n">
        <v>12313.0434782609</v>
      </c>
      <c r="T87" s="383" t="n">
        <v>12586.6666666667</v>
      </c>
      <c r="U87" s="381" t="n">
        <v>31</v>
      </c>
      <c r="V87" s="380" t="n">
        <v>12723.4782608696</v>
      </c>
      <c r="W87" s="384" t="n">
        <v>6</v>
      </c>
      <c r="X87" s="381" t="n">
        <v>0</v>
      </c>
      <c r="Y87" s="380" t="n">
        <v>2462.609</v>
      </c>
      <c r="Z87" s="377" t="n"/>
      <c r="AA87" s="377" t="n"/>
      <c r="AB87" s="377" t="n"/>
      <c r="AC87" s="385" t="n"/>
      <c r="AD87" s="385" t="n"/>
      <c r="AE87" s="385" t="n"/>
    </row>
    <row r="88" ht="15.75" customHeight="1" s="253">
      <c r="A88" s="375" t="n">
        <v>0</v>
      </c>
      <c r="B88" s="376" t="n">
        <v>45778</v>
      </c>
      <c r="C88" s="377" t="inlineStr">
        <is>
          <t>MD&amp;T Partners</t>
        </is>
      </c>
      <c r="D88" s="377" t="inlineStr">
        <is>
          <t>INV-25-26-000110</t>
        </is>
      </c>
      <c r="E88" s="377" t="inlineStr">
        <is>
          <t>One time work</t>
        </is>
      </c>
      <c r="F88" s="378" t="n">
        <v>45785</v>
      </c>
      <c r="G88" s="378" t="n">
        <v>45815</v>
      </c>
      <c r="H88" s="386" t="inlineStr">
        <is>
          <t>1 month-Upfront</t>
        </is>
      </c>
      <c r="I88" s="380" t="n">
        <v>4720</v>
      </c>
      <c r="J88" s="381" t="n"/>
      <c r="K88" s="381" t="n">
        <v>4720</v>
      </c>
      <c r="L88" s="377" t="n">
        <v>31</v>
      </c>
      <c r="M88" s="377" t="n"/>
      <c r="N88" s="381" t="n"/>
      <c r="O88" s="381" t="n">
        <v>24</v>
      </c>
      <c r="P88" s="380" t="n">
        <v>3654.194</v>
      </c>
      <c r="Q88" s="377" t="n"/>
      <c r="R88" s="377" t="n">
        <v>7</v>
      </c>
      <c r="S88" s="383" t="n">
        <v>1065.8064516129</v>
      </c>
      <c r="T88" s="377" t="n"/>
      <c r="U88" s="381" t="n">
        <v>31</v>
      </c>
      <c r="V88" s="377" t="n"/>
      <c r="W88" s="384" t="n">
        <v>0</v>
      </c>
      <c r="X88" s="381" t="n">
        <v>0</v>
      </c>
      <c r="Y88" s="377" t="n">
        <v>0</v>
      </c>
      <c r="Z88" s="377" t="n"/>
      <c r="AA88" s="377" t="n"/>
      <c r="AB88" s="377" t="n"/>
      <c r="AC88" s="385" t="n"/>
      <c r="AD88" s="385" t="n"/>
      <c r="AE88" s="385" t="n"/>
    </row>
    <row r="89" ht="15.75" customHeight="1" s="253">
      <c r="A89" s="375" t="n">
        <v>0</v>
      </c>
      <c r="B89" s="376" t="n">
        <v>45778</v>
      </c>
      <c r="C89" s="377" t="inlineStr">
        <is>
          <t>Kachwaha &amp; Partners</t>
        </is>
      </c>
      <c r="D89" s="377" t="inlineStr">
        <is>
          <t>INV-25-26-000112</t>
        </is>
      </c>
      <c r="E89" s="377" t="inlineStr">
        <is>
          <t>subscription based service</t>
        </is>
      </c>
      <c r="F89" s="378" t="n">
        <v>45789</v>
      </c>
      <c r="G89" s="378" t="n">
        <v>46153</v>
      </c>
      <c r="H89" s="386" t="inlineStr">
        <is>
          <t>Annual Upfront</t>
        </is>
      </c>
      <c r="I89" s="380" t="n">
        <v>254880</v>
      </c>
      <c r="J89" s="381" t="n"/>
      <c r="K89" s="381" t="n">
        <v>21240</v>
      </c>
      <c r="L89" s="377" t="n">
        <v>365</v>
      </c>
      <c r="M89" s="377" t="n"/>
      <c r="N89" s="381" t="n"/>
      <c r="O89" s="381" t="n">
        <v>20</v>
      </c>
      <c r="P89" s="380" t="n">
        <v>13966.027</v>
      </c>
      <c r="Q89" s="382" t="n">
        <v>21240</v>
      </c>
      <c r="R89" s="377" t="n">
        <v>30</v>
      </c>
      <c r="S89" s="382" t="n">
        <v>20949.0410958904</v>
      </c>
      <c r="T89" s="382" t="n">
        <v>21240</v>
      </c>
      <c r="U89" s="381" t="n">
        <v>31</v>
      </c>
      <c r="V89" s="380" t="n">
        <v>21647.3424657534</v>
      </c>
      <c r="W89" s="384" t="n">
        <v>31</v>
      </c>
      <c r="X89" s="381" t="n">
        <v>21240</v>
      </c>
      <c r="Y89" s="380" t="n">
        <v>21647.342</v>
      </c>
      <c r="Z89" s="384" t="n">
        <v>30</v>
      </c>
      <c r="AA89" s="383" t="n">
        <v>21240</v>
      </c>
      <c r="AB89" s="383" t="n">
        <v>20949.041</v>
      </c>
      <c r="AC89" s="387" t="n">
        <v>31</v>
      </c>
      <c r="AD89" s="388" t="n">
        <v>21240</v>
      </c>
      <c r="AE89" s="388" t="n">
        <v>21647.342</v>
      </c>
    </row>
    <row r="90" ht="15.75" customHeight="1" s="253">
      <c r="A90" s="375" t="inlineStr">
        <is>
          <t>Closed- May 25</t>
        </is>
      </c>
      <c r="B90" s="376" t="n">
        <v>45778</v>
      </c>
      <c r="C90" s="377" t="inlineStr">
        <is>
          <t>Zoheb Hossain</t>
        </is>
      </c>
      <c r="D90" s="377" t="inlineStr">
        <is>
          <t>INV-25-26-000116</t>
        </is>
      </c>
      <c r="E90" s="377" t="inlineStr">
        <is>
          <t>One time work</t>
        </is>
      </c>
      <c r="F90" s="378" t="n">
        <v>45773</v>
      </c>
      <c r="G90" s="378" t="n">
        <v>45802</v>
      </c>
      <c r="H90" s="386" t="inlineStr">
        <is>
          <t>1 month-Upfront</t>
        </is>
      </c>
      <c r="I90" s="380" t="n">
        <v>15000</v>
      </c>
      <c r="J90" s="381" t="n">
        <v>15000</v>
      </c>
      <c r="K90" s="381" t="n"/>
      <c r="L90" s="377" t="n">
        <v>30</v>
      </c>
      <c r="M90" s="377" t="n">
        <v>5</v>
      </c>
      <c r="N90" s="381" t="n">
        <v>2500</v>
      </c>
      <c r="O90" s="381" t="n">
        <v>25</v>
      </c>
      <c r="P90" s="380" t="n">
        <v>12500</v>
      </c>
      <c r="Q90" s="377" t="n"/>
      <c r="R90" s="377" t="n">
        <v>30</v>
      </c>
      <c r="S90" s="377" t="n"/>
      <c r="T90" s="377" t="n"/>
      <c r="U90" s="381" t="n">
        <v>31</v>
      </c>
      <c r="V90" s="377" t="n"/>
      <c r="W90" s="384" t="n">
        <v>0</v>
      </c>
      <c r="X90" s="381" t="n">
        <v>0</v>
      </c>
      <c r="Y90" s="377" t="n">
        <v>0</v>
      </c>
      <c r="Z90" s="377" t="n"/>
      <c r="AA90" s="377" t="n"/>
      <c r="AB90" s="377" t="n"/>
      <c r="AC90" s="385" t="n"/>
      <c r="AD90" s="385" t="n"/>
      <c r="AE90" s="385" t="n"/>
    </row>
    <row r="91" ht="15.75" customHeight="1" s="253">
      <c r="A91" s="375" t="n">
        <v>0</v>
      </c>
      <c r="B91" s="376" t="n">
        <v>45778</v>
      </c>
      <c r="C91" s="377" t="inlineStr">
        <is>
          <t>Vishal Kanade</t>
        </is>
      </c>
      <c r="D91" s="377" t="inlineStr">
        <is>
          <t>INV-25-26-000117</t>
        </is>
      </c>
      <c r="E91" s="377" t="inlineStr">
        <is>
          <t>subscription based service</t>
        </is>
      </c>
      <c r="F91" s="378" t="n">
        <v>45793</v>
      </c>
      <c r="G91" s="378" t="n">
        <v>45823</v>
      </c>
      <c r="H91" s="386" t="inlineStr">
        <is>
          <t>1 month-Upfront</t>
        </is>
      </c>
      <c r="I91" s="380" t="n">
        <v>15000</v>
      </c>
      <c r="J91" s="381" t="n"/>
      <c r="K91" s="381" t="n">
        <v>15000.007</v>
      </c>
      <c r="L91" s="377" t="n">
        <v>31</v>
      </c>
      <c r="M91" s="377" t="n"/>
      <c r="N91" s="381" t="n"/>
      <c r="O91" s="381" t="n">
        <v>16</v>
      </c>
      <c r="P91" s="380" t="n">
        <v>7741.935</v>
      </c>
      <c r="Q91" s="377" t="n"/>
      <c r="R91" s="377" t="n">
        <v>15</v>
      </c>
      <c r="S91" s="383" t="n">
        <v>7258.06451612903</v>
      </c>
      <c r="T91" s="377" t="n"/>
      <c r="U91" s="381" t="n">
        <v>31</v>
      </c>
      <c r="V91" s="377" t="n"/>
      <c r="W91" s="384" t="n">
        <v>0</v>
      </c>
      <c r="X91" s="381" t="n">
        <v>0</v>
      </c>
      <c r="Y91" s="377" t="n">
        <v>0</v>
      </c>
      <c r="Z91" s="377" t="n"/>
      <c r="AA91" s="377" t="n"/>
      <c r="AB91" s="377" t="n"/>
      <c r="AC91" s="385" t="n"/>
      <c r="AD91" s="385" t="n"/>
      <c r="AE91" s="385" t="n"/>
    </row>
    <row r="92" ht="15.75" customHeight="1" s="253">
      <c r="A92" s="375" t="n">
        <v>0</v>
      </c>
      <c r="B92" s="376" t="n">
        <v>45778</v>
      </c>
      <c r="C92" s="377" t="inlineStr">
        <is>
          <t>Vritti Law Partners</t>
        </is>
      </c>
      <c r="D92" s="377" t="inlineStr">
        <is>
          <t>INV-25-26-000118</t>
        </is>
      </c>
      <c r="E92" s="377" t="inlineStr">
        <is>
          <t>One time work</t>
        </is>
      </c>
      <c r="F92" s="378" t="n">
        <v>45789</v>
      </c>
      <c r="G92" s="378" t="n">
        <v>45819</v>
      </c>
      <c r="H92" s="386" t="inlineStr">
        <is>
          <t>1 month-Upfront</t>
        </is>
      </c>
      <c r="I92" s="380" t="n">
        <v>7080</v>
      </c>
      <c r="J92" s="381" t="n"/>
      <c r="K92" s="381" t="n">
        <v>7080</v>
      </c>
      <c r="L92" s="377" t="n">
        <v>31</v>
      </c>
      <c r="M92" s="377" t="n"/>
      <c r="N92" s="381" t="n"/>
      <c r="O92" s="381" t="n">
        <v>20</v>
      </c>
      <c r="P92" s="380" t="n">
        <v>4567.742</v>
      </c>
      <c r="Q92" s="377" t="n"/>
      <c r="R92" s="377" t="n">
        <v>11</v>
      </c>
      <c r="S92" s="383" t="n">
        <v>2512.25806451613</v>
      </c>
      <c r="T92" s="377" t="n"/>
      <c r="U92" s="381" t="n">
        <v>31</v>
      </c>
      <c r="V92" s="377" t="n"/>
      <c r="W92" s="384" t="n">
        <v>0</v>
      </c>
      <c r="X92" s="381" t="n">
        <v>0</v>
      </c>
      <c r="Y92" s="377" t="n">
        <v>0</v>
      </c>
      <c r="Z92" s="377" t="n"/>
      <c r="AA92" s="377" t="n"/>
      <c r="AB92" s="377" t="n"/>
      <c r="AC92" s="385" t="n"/>
      <c r="AD92" s="385" t="n"/>
      <c r="AE92" s="385" t="n"/>
    </row>
    <row r="93" ht="15.75" customHeight="1" s="253">
      <c r="A93" s="375" t="n">
        <v>0</v>
      </c>
      <c r="B93" s="376" t="n">
        <v>45778</v>
      </c>
      <c r="C93" s="392" t="inlineStr">
        <is>
          <t xml:space="preserve">SINHA &amp; COMPANY
</t>
        </is>
      </c>
      <c r="D93" s="377" t="inlineStr">
        <is>
          <t>INV-25-26-000119</t>
        </is>
      </c>
      <c r="E93" s="377" t="inlineStr">
        <is>
          <t>subscription based service</t>
        </is>
      </c>
      <c r="F93" s="378" t="n">
        <v>45790</v>
      </c>
      <c r="G93" s="378" t="n">
        <v>46154</v>
      </c>
      <c r="H93" s="386" t="inlineStr">
        <is>
          <t>Annual Upfront</t>
        </is>
      </c>
      <c r="I93" s="380" t="n">
        <v>177000</v>
      </c>
      <c r="J93" s="381" t="n"/>
      <c r="K93" s="381" t="n">
        <v>14750</v>
      </c>
      <c r="L93" s="377" t="n">
        <v>365</v>
      </c>
      <c r="M93" s="377" t="n"/>
      <c r="N93" s="381" t="n"/>
      <c r="O93" s="381" t="n">
        <v>19</v>
      </c>
      <c r="P93" s="380" t="n">
        <v>9213.699000000001</v>
      </c>
      <c r="Q93" s="382" t="n">
        <v>14750</v>
      </c>
      <c r="R93" s="377" t="n">
        <v>30</v>
      </c>
      <c r="S93" s="382" t="n">
        <v>14547.9452054795</v>
      </c>
      <c r="T93" s="382" t="n">
        <v>14750</v>
      </c>
      <c r="U93" s="381" t="n">
        <v>31</v>
      </c>
      <c r="V93" s="380" t="n">
        <v>15032.8767123288</v>
      </c>
      <c r="W93" s="384" t="n">
        <v>31</v>
      </c>
      <c r="X93" s="381" t="n">
        <v>14750</v>
      </c>
      <c r="Y93" s="380" t="n">
        <v>15032.877</v>
      </c>
      <c r="Z93" s="384" t="n">
        <v>30</v>
      </c>
      <c r="AA93" s="383" t="n">
        <v>14750</v>
      </c>
      <c r="AB93" s="383" t="n">
        <v>14547.945</v>
      </c>
      <c r="AC93" s="387" t="n">
        <v>31</v>
      </c>
      <c r="AD93" s="388" t="n">
        <v>14750</v>
      </c>
      <c r="AE93" s="388" t="n">
        <v>15032.877</v>
      </c>
    </row>
    <row r="94" ht="15.75" customHeight="1" s="253">
      <c r="A94" s="375" t="n">
        <v>0</v>
      </c>
      <c r="B94" s="376" t="n">
        <v>45778</v>
      </c>
      <c r="C94" s="377" t="inlineStr">
        <is>
          <t>C&amp;S Partners</t>
        </is>
      </c>
      <c r="D94" s="377" t="inlineStr">
        <is>
          <t>INV-25-26-000120</t>
        </is>
      </c>
      <c r="E94" s="377" t="inlineStr">
        <is>
          <t>One time work</t>
        </is>
      </c>
      <c r="F94" s="378" t="n">
        <v>45791</v>
      </c>
      <c r="G94" s="378" t="n">
        <v>45821</v>
      </c>
      <c r="H94" s="386" t="inlineStr">
        <is>
          <t>1 month-Upfront</t>
        </is>
      </c>
      <c r="I94" s="380" t="n">
        <v>14160</v>
      </c>
      <c r="J94" s="381" t="n"/>
      <c r="K94" s="381" t="n">
        <v>14160</v>
      </c>
      <c r="L94" s="377" t="n">
        <v>31</v>
      </c>
      <c r="M94" s="377" t="n"/>
      <c r="N94" s="381" t="n"/>
      <c r="O94" s="381" t="n">
        <v>18</v>
      </c>
      <c r="P94" s="380" t="n">
        <v>8221.934999999999</v>
      </c>
      <c r="Q94" s="377" t="n"/>
      <c r="R94" s="377" t="n">
        <v>13</v>
      </c>
      <c r="S94" s="383" t="n">
        <v>5938.06451612903</v>
      </c>
      <c r="T94" s="377" t="n"/>
      <c r="U94" s="381" t="n">
        <v>31</v>
      </c>
      <c r="V94" s="377" t="n"/>
      <c r="W94" s="384" t="n">
        <v>0</v>
      </c>
      <c r="X94" s="381" t="n">
        <v>0</v>
      </c>
      <c r="Y94" s="377" t="n">
        <v>0</v>
      </c>
      <c r="Z94" s="377" t="n"/>
      <c r="AA94" s="377" t="n"/>
      <c r="AB94" s="377" t="n"/>
      <c r="AC94" s="385" t="n"/>
      <c r="AD94" s="385" t="n"/>
      <c r="AE94" s="385" t="n"/>
    </row>
    <row r="95" ht="15.75" customHeight="1" s="253">
      <c r="A95" s="375" t="n">
        <v>0</v>
      </c>
      <c r="B95" s="376" t="n">
        <v>45778</v>
      </c>
      <c r="C95" s="377" t="inlineStr">
        <is>
          <t>Asahi Legal LLP</t>
        </is>
      </c>
      <c r="D95" s="377" t="inlineStr">
        <is>
          <t>INV-25-26-000121</t>
        </is>
      </c>
      <c r="E95" s="377" t="inlineStr">
        <is>
          <t>subscription based service</t>
        </is>
      </c>
      <c r="F95" s="378" t="n">
        <v>45781</v>
      </c>
      <c r="G95" s="378" t="n">
        <v>45873</v>
      </c>
      <c r="H95" s="379" t="inlineStr">
        <is>
          <t>3 months subscription, upfront</t>
        </is>
      </c>
      <c r="I95" s="380" t="n">
        <v>22500</v>
      </c>
      <c r="J95" s="381" t="n"/>
      <c r="K95" s="381" t="n">
        <v>7500</v>
      </c>
      <c r="L95" s="377" t="n">
        <v>93</v>
      </c>
      <c r="M95" s="377" t="n"/>
      <c r="N95" s="381" t="n"/>
      <c r="O95" s="381" t="n">
        <v>28</v>
      </c>
      <c r="P95" s="380" t="n">
        <v>6774.194</v>
      </c>
      <c r="Q95" s="382" t="n">
        <v>7500</v>
      </c>
      <c r="R95" s="377" t="n">
        <v>30</v>
      </c>
      <c r="S95" s="382" t="n">
        <v>7258.06451612903</v>
      </c>
      <c r="T95" s="383" t="n">
        <v>7500</v>
      </c>
      <c r="U95" s="381" t="n">
        <v>31</v>
      </c>
      <c r="V95" s="380" t="n">
        <v>7500</v>
      </c>
      <c r="W95" s="384" t="n">
        <v>4</v>
      </c>
      <c r="X95" s="381" t="n">
        <v>0</v>
      </c>
      <c r="Y95" s="380" t="n">
        <v>967.742</v>
      </c>
      <c r="Z95" s="377" t="n"/>
      <c r="AA95" s="377" t="n"/>
      <c r="AB95" s="377" t="n"/>
      <c r="AC95" s="385" t="n"/>
      <c r="AD95" s="385" t="n"/>
      <c r="AE95" s="385" t="n"/>
    </row>
    <row r="96" ht="15.75" customHeight="1" s="253">
      <c r="A96" s="375" t="n">
        <v>0</v>
      </c>
      <c r="B96" s="376" t="n">
        <v>45778</v>
      </c>
      <c r="C96" s="377" t="inlineStr">
        <is>
          <t>Chambers of Moazzam Khan</t>
        </is>
      </c>
      <c r="D96" s="377" t="inlineStr">
        <is>
          <t>INV-25-26-000122</t>
        </is>
      </c>
      <c r="E96" s="377" t="inlineStr">
        <is>
          <t>subscription based service</t>
        </is>
      </c>
      <c r="F96" s="378" t="n">
        <v>45790</v>
      </c>
      <c r="G96" s="378" t="n">
        <v>45973</v>
      </c>
      <c r="H96" s="386" t="inlineStr">
        <is>
          <t>6 month-Upfront</t>
        </is>
      </c>
      <c r="I96" s="380" t="n">
        <v>95580</v>
      </c>
      <c r="J96" s="381" t="n"/>
      <c r="K96" s="381" t="n">
        <v>15930</v>
      </c>
      <c r="L96" s="377" t="n">
        <v>184</v>
      </c>
      <c r="M96" s="377" t="n"/>
      <c r="N96" s="381" t="n"/>
      <c r="O96" s="381" t="n">
        <v>19</v>
      </c>
      <c r="P96" s="380" t="n">
        <v>9869.674000000001</v>
      </c>
      <c r="Q96" s="382" t="n">
        <v>15930</v>
      </c>
      <c r="R96" s="377" t="n">
        <v>30</v>
      </c>
      <c r="S96" s="382" t="n">
        <v>15583.6956521739</v>
      </c>
      <c r="T96" s="382" t="n">
        <v>15930</v>
      </c>
      <c r="U96" s="381" t="n">
        <v>31</v>
      </c>
      <c r="V96" s="380" t="n">
        <v>16103.152173913</v>
      </c>
      <c r="W96" s="384" t="n">
        <v>31</v>
      </c>
      <c r="X96" s="381" t="n">
        <v>15930</v>
      </c>
      <c r="Y96" s="380" t="n">
        <v>16103.152</v>
      </c>
      <c r="Z96" s="384" t="n">
        <v>30</v>
      </c>
      <c r="AA96" s="383" t="n">
        <v>15930</v>
      </c>
      <c r="AB96" s="383" t="n">
        <v>15583.696</v>
      </c>
      <c r="AC96" s="387" t="n">
        <v>31</v>
      </c>
      <c r="AD96" s="388" t="n">
        <v>15930</v>
      </c>
      <c r="AE96" s="388" t="n">
        <v>16103.152</v>
      </c>
    </row>
    <row r="97" ht="15.75" customHeight="1" s="253">
      <c r="A97" s="375" t="n">
        <v>0</v>
      </c>
      <c r="B97" s="376" t="n">
        <v>45778</v>
      </c>
      <c r="C97" s="377" t="inlineStr">
        <is>
          <t>Vis Legis Law Practice</t>
        </is>
      </c>
      <c r="D97" s="377" t="inlineStr">
        <is>
          <t>INV-25-26-000123, INV-25-26-000511</t>
        </is>
      </c>
      <c r="E97" s="377" t="inlineStr">
        <is>
          <t>subscription based service</t>
        </is>
      </c>
      <c r="F97" s="378" t="n">
        <v>45782</v>
      </c>
      <c r="G97" s="378" t="n">
        <v>45813</v>
      </c>
      <c r="H97" s="386" t="inlineStr">
        <is>
          <t>1 month-Upfront</t>
        </is>
      </c>
      <c r="I97" s="380" t="n">
        <v>23600</v>
      </c>
      <c r="J97" s="381" t="n"/>
      <c r="K97" s="381" t="n">
        <v>23600</v>
      </c>
      <c r="L97" s="377" t="n">
        <v>32</v>
      </c>
      <c r="M97" s="377" t="n"/>
      <c r="N97" s="381" t="n"/>
      <c r="O97" s="381" t="n">
        <v>27</v>
      </c>
      <c r="P97" s="380" t="n">
        <v>19912.5</v>
      </c>
      <c r="Q97" s="377" t="n"/>
      <c r="R97" s="377" t="n">
        <v>5</v>
      </c>
      <c r="S97" s="383" t="n">
        <v>3687.5</v>
      </c>
      <c r="T97" s="377" t="n"/>
      <c r="U97" s="381" t="n">
        <v>31</v>
      </c>
      <c r="V97" s="377" t="n"/>
      <c r="W97" s="384" t="n">
        <v>0</v>
      </c>
      <c r="X97" s="381" t="n">
        <v>0</v>
      </c>
      <c r="Y97" s="377" t="n">
        <v>0</v>
      </c>
      <c r="Z97" s="377" t="n"/>
      <c r="AA97" s="377" t="n"/>
      <c r="AB97" s="377" t="n"/>
      <c r="AC97" s="385" t="n"/>
      <c r="AD97" s="385" t="n"/>
      <c r="AE97" s="385" t="n"/>
    </row>
    <row r="98" ht="15.75" customHeight="1" s="253">
      <c r="A98" s="375" t="n">
        <v>0</v>
      </c>
      <c r="B98" s="376" t="n">
        <v>45778</v>
      </c>
      <c r="C98" s="377" t="inlineStr">
        <is>
          <t>Phoenix Legal</t>
        </is>
      </c>
      <c r="D98" s="377" t="inlineStr">
        <is>
          <t>INV-25-26-000126</t>
        </is>
      </c>
      <c r="E98" s="377" t="inlineStr">
        <is>
          <t>subscription based service</t>
        </is>
      </c>
      <c r="F98" s="378" t="n">
        <v>45793</v>
      </c>
      <c r="G98" s="378" t="n">
        <v>45854</v>
      </c>
      <c r="H98" s="377" t="inlineStr">
        <is>
          <t>2 months- Upfront</t>
        </is>
      </c>
      <c r="I98" s="380" t="n">
        <v>118000</v>
      </c>
      <c r="J98" s="381" t="n"/>
      <c r="K98" s="381" t="n">
        <v>59000</v>
      </c>
      <c r="L98" s="377" t="n">
        <v>62</v>
      </c>
      <c r="M98" s="377" t="n"/>
      <c r="N98" s="381" t="n"/>
      <c r="O98" s="381" t="n">
        <v>16</v>
      </c>
      <c r="P98" s="380" t="n">
        <v>30451.613</v>
      </c>
      <c r="Q98" s="382" t="n">
        <v>59000</v>
      </c>
      <c r="R98" s="377" t="n">
        <v>30</v>
      </c>
      <c r="S98" s="382" t="n">
        <v>57096.7741935484</v>
      </c>
      <c r="T98" s="377" t="n"/>
      <c r="U98" s="381" t="n">
        <v>16</v>
      </c>
      <c r="V98" s="377" t="n">
        <v>30451.6129032258</v>
      </c>
      <c r="W98" s="384" t="n">
        <v>0</v>
      </c>
      <c r="X98" s="381" t="n">
        <v>0</v>
      </c>
      <c r="Y98" s="377" t="n">
        <v>0</v>
      </c>
      <c r="Z98" s="377" t="n"/>
      <c r="AA98" s="377" t="n"/>
      <c r="AB98" s="377" t="n"/>
      <c r="AC98" s="385" t="n"/>
      <c r="AD98" s="385" t="n"/>
      <c r="AE98" s="385" t="n"/>
    </row>
    <row r="99" ht="15.75" customHeight="1" s="253">
      <c r="A99" s="375" t="n">
        <v>0</v>
      </c>
      <c r="B99" s="376" t="n">
        <v>45778</v>
      </c>
      <c r="C99" s="377" t="inlineStr">
        <is>
          <t>Nikhil Pai</t>
        </is>
      </c>
      <c r="D99" s="377" t="inlineStr">
        <is>
          <t>INV-25-26-000128</t>
        </is>
      </c>
      <c r="E99" s="377" t="inlineStr">
        <is>
          <t>subscription based service</t>
        </is>
      </c>
      <c r="F99" s="378" t="n">
        <v>45793</v>
      </c>
      <c r="G99" s="378" t="n">
        <v>46157</v>
      </c>
      <c r="H99" s="386" t="inlineStr">
        <is>
          <t>Annual Upfront</t>
        </is>
      </c>
      <c r="I99" s="380" t="n">
        <v>64900</v>
      </c>
      <c r="J99" s="381" t="n"/>
      <c r="K99" s="381" t="n">
        <v>5408.333</v>
      </c>
      <c r="L99" s="377" t="n">
        <v>365</v>
      </c>
      <c r="M99" s="377" t="n"/>
      <c r="N99" s="381" t="n"/>
      <c r="O99" s="381" t="n">
        <v>16</v>
      </c>
      <c r="P99" s="380" t="n">
        <v>2844.932</v>
      </c>
      <c r="Q99" s="382" t="n">
        <v>5408.33333333333</v>
      </c>
      <c r="R99" s="377" t="n">
        <v>30</v>
      </c>
      <c r="S99" s="382" t="n">
        <v>5334.24657534247</v>
      </c>
      <c r="T99" s="382" t="n">
        <v>5408.33333333333</v>
      </c>
      <c r="U99" s="381" t="n">
        <v>31</v>
      </c>
      <c r="V99" s="380" t="n">
        <v>5512.05479452055</v>
      </c>
      <c r="W99" s="384" t="n">
        <v>31</v>
      </c>
      <c r="X99" s="381" t="n">
        <v>5408.333</v>
      </c>
      <c r="Y99" s="380" t="n">
        <v>5512.055</v>
      </c>
      <c r="Z99" s="384" t="n">
        <v>30</v>
      </c>
      <c r="AA99" s="383" t="n">
        <v>5408.333</v>
      </c>
      <c r="AB99" s="383" t="n">
        <v>5334.247</v>
      </c>
      <c r="AC99" s="387" t="n">
        <v>31</v>
      </c>
      <c r="AD99" s="388" t="n">
        <v>5408.333</v>
      </c>
      <c r="AE99" s="388" t="n">
        <v>5512.055</v>
      </c>
    </row>
    <row r="100" ht="15.75" customHeight="1" s="253">
      <c r="A100" s="375" t="n">
        <v>0</v>
      </c>
      <c r="B100" s="376" t="n">
        <v>45778</v>
      </c>
      <c r="C100" s="377" t="inlineStr">
        <is>
          <t>J INFRATECH LIMITED</t>
        </is>
      </c>
      <c r="D100" s="377" t="inlineStr">
        <is>
          <t>INV-25-26-000129</t>
        </is>
      </c>
      <c r="E100" s="377" t="inlineStr">
        <is>
          <t>One time work</t>
        </is>
      </c>
      <c r="F100" s="378" t="n">
        <v>45793</v>
      </c>
      <c r="G100" s="378" t="n">
        <v>45824</v>
      </c>
      <c r="H100" s="386" t="inlineStr">
        <is>
          <t>1 month-Upfront</t>
        </is>
      </c>
      <c r="I100" s="380" t="n">
        <v>4720</v>
      </c>
      <c r="J100" s="381" t="n"/>
      <c r="K100" s="381" t="n">
        <v>4720</v>
      </c>
      <c r="L100" s="377" t="n">
        <v>32</v>
      </c>
      <c r="M100" s="377" t="n"/>
      <c r="N100" s="381" t="n"/>
      <c r="O100" s="381" t="n">
        <v>16</v>
      </c>
      <c r="P100" s="380" t="n">
        <v>2360</v>
      </c>
      <c r="Q100" s="377" t="n"/>
      <c r="R100" s="377" t="n">
        <v>16</v>
      </c>
      <c r="S100" s="383" t="n">
        <v>2360</v>
      </c>
      <c r="T100" s="377" t="n"/>
      <c r="U100" s="381" t="n">
        <v>31</v>
      </c>
      <c r="V100" s="377" t="n"/>
      <c r="W100" s="384" t="n">
        <v>0</v>
      </c>
      <c r="X100" s="381" t="n">
        <v>0</v>
      </c>
      <c r="Y100" s="377" t="n">
        <v>0</v>
      </c>
      <c r="Z100" s="377" t="n"/>
      <c r="AA100" s="377" t="n"/>
      <c r="AB100" s="377" t="n"/>
      <c r="AC100" s="385" t="n"/>
      <c r="AD100" s="385" t="n"/>
      <c r="AE100" s="385" t="n"/>
    </row>
    <row r="101" ht="15.75" customHeight="1" s="253">
      <c r="A101" s="375" t="n">
        <v>0</v>
      </c>
      <c r="B101" s="376" t="inlineStr">
        <is>
          <t>Feb 25, May, Aug 25, Oct 25</t>
        </is>
      </c>
      <c r="C101" s="377" t="inlineStr">
        <is>
          <t>Vesta Legal</t>
        </is>
      </c>
      <c r="D101" s="377" t="inlineStr">
        <is>
          <t>INV-25-26-000130, INV-000081, 366, CN-00037</t>
        </is>
      </c>
      <c r="E101" s="377" t="inlineStr">
        <is>
          <t>subscription based service</t>
        </is>
      </c>
      <c r="F101" s="389" t="n">
        <v>45692</v>
      </c>
      <c r="G101" s="378" t="n">
        <v>46237</v>
      </c>
      <c r="H101" s="390" t="inlineStr">
        <is>
          <t>6 months subscription, Quarterly upfront</t>
        </is>
      </c>
      <c r="I101" s="380" t="n">
        <v>218394</v>
      </c>
      <c r="J101" s="381" t="n">
        <v>36399</v>
      </c>
      <c r="K101" s="381" t="n">
        <v>36399</v>
      </c>
      <c r="L101" s="377" t="n">
        <v>546</v>
      </c>
      <c r="M101" s="377" t="n">
        <v>30</v>
      </c>
      <c r="N101" s="381" t="n">
        <v>11999.67</v>
      </c>
      <c r="O101" s="381" t="n">
        <v>31</v>
      </c>
      <c r="P101" s="380" t="n">
        <v>12399.659</v>
      </c>
      <c r="Q101" s="383" t="n">
        <v>36399</v>
      </c>
      <c r="R101" s="377" t="n">
        <v>30</v>
      </c>
      <c r="S101" s="382" t="n">
        <v>11999.6703296703</v>
      </c>
      <c r="T101" s="382" t="n">
        <v>36399</v>
      </c>
      <c r="U101" s="381" t="n">
        <v>31</v>
      </c>
      <c r="V101" s="380" t="n">
        <v>12399.6593406593</v>
      </c>
      <c r="W101" s="384" t="n">
        <v>2</v>
      </c>
      <c r="X101" s="381" t="n"/>
      <c r="Y101" s="380" t="n">
        <v>799.978</v>
      </c>
      <c r="Z101" s="384" t="n"/>
      <c r="AA101" s="383" t="n"/>
      <c r="AB101" s="383" t="n"/>
      <c r="AC101" s="387" t="n">
        <v>31</v>
      </c>
      <c r="AD101" s="388" t="n">
        <v>12133</v>
      </c>
      <c r="AE101" s="388" t="n">
        <v>12399.659</v>
      </c>
    </row>
    <row r="102" ht="15.75" customHeight="1" s="253">
      <c r="A102" s="375" t="n">
        <v>0</v>
      </c>
      <c r="B102" s="376" t="n">
        <v>45778</v>
      </c>
      <c r="C102" s="377" t="inlineStr">
        <is>
          <t>Vyom Shah</t>
        </is>
      </c>
      <c r="D102" s="377" t="inlineStr">
        <is>
          <t>INV-25-26-000131</t>
        </is>
      </c>
      <c r="E102" s="377" t="inlineStr">
        <is>
          <t>subscription based service</t>
        </is>
      </c>
      <c r="F102" s="378" t="n">
        <v>45797</v>
      </c>
      <c r="G102" s="378" t="n">
        <v>46161</v>
      </c>
      <c r="H102" s="386" t="inlineStr">
        <is>
          <t>Annual Upfront</t>
        </is>
      </c>
      <c r="I102" s="380" t="n">
        <v>43011</v>
      </c>
      <c r="J102" s="381" t="n"/>
      <c r="K102" s="381" t="n">
        <v>3584.25</v>
      </c>
      <c r="L102" s="377" t="n">
        <v>365</v>
      </c>
      <c r="M102" s="377" t="n"/>
      <c r="N102" s="381" t="n"/>
      <c r="O102" s="381" t="n">
        <v>12</v>
      </c>
      <c r="P102" s="380" t="n">
        <v>1414.06</v>
      </c>
      <c r="Q102" s="382" t="n">
        <v>3584.25</v>
      </c>
      <c r="R102" s="377" t="n">
        <v>30</v>
      </c>
      <c r="S102" s="382" t="n">
        <v>3535.15068493151</v>
      </c>
      <c r="T102" s="382" t="n">
        <v>3584.25</v>
      </c>
      <c r="U102" s="381" t="n">
        <v>31</v>
      </c>
      <c r="V102" s="380" t="n">
        <v>3652.98904109589</v>
      </c>
      <c r="W102" s="384" t="n">
        <v>31</v>
      </c>
      <c r="X102" s="381" t="n">
        <v>3584.25</v>
      </c>
      <c r="Y102" s="380" t="n">
        <v>3652.989</v>
      </c>
      <c r="Z102" s="384" t="n">
        <v>30</v>
      </c>
      <c r="AA102" s="383" t="n">
        <v>3584.25</v>
      </c>
      <c r="AB102" s="383" t="n">
        <v>3535.151</v>
      </c>
      <c r="AC102" s="387" t="n">
        <v>31</v>
      </c>
      <c r="AD102" s="388" t="n">
        <v>3584.25</v>
      </c>
      <c r="AE102" s="388" t="n">
        <v>3652.989</v>
      </c>
    </row>
    <row r="103" ht="15.75" customHeight="1" s="253">
      <c r="A103" s="375" t="n">
        <v>0</v>
      </c>
      <c r="B103" s="376" t="n">
        <v>45778</v>
      </c>
      <c r="C103" s="377" t="inlineStr">
        <is>
          <t>Zubin Behramkamdin</t>
        </is>
      </c>
      <c r="D103" s="377" t="inlineStr">
        <is>
          <t>INV-25-26-000132</t>
        </is>
      </c>
      <c r="E103" s="377" t="inlineStr">
        <is>
          <t>subscription based service</t>
        </is>
      </c>
      <c r="F103" s="378" t="n">
        <v>45797</v>
      </c>
      <c r="G103" s="378" t="n">
        <v>46161</v>
      </c>
      <c r="H103" s="386" t="inlineStr">
        <is>
          <t>Annual Upfront</t>
        </is>
      </c>
      <c r="I103" s="380" t="n">
        <v>43011</v>
      </c>
      <c r="J103" s="381" t="n"/>
      <c r="K103" s="381" t="n">
        <v>3584.25</v>
      </c>
      <c r="L103" s="377" t="n">
        <v>365</v>
      </c>
      <c r="M103" s="377" t="n"/>
      <c r="N103" s="381" t="n"/>
      <c r="O103" s="381" t="n">
        <v>12</v>
      </c>
      <c r="P103" s="380" t="n">
        <v>1414.06</v>
      </c>
      <c r="Q103" s="382" t="n">
        <v>3584.25</v>
      </c>
      <c r="R103" s="377" t="n">
        <v>30</v>
      </c>
      <c r="S103" s="382" t="n">
        <v>3535.15068493151</v>
      </c>
      <c r="T103" s="382" t="n">
        <v>3584.25</v>
      </c>
      <c r="U103" s="381" t="n">
        <v>31</v>
      </c>
      <c r="V103" s="380" t="n">
        <v>3652.98904109589</v>
      </c>
      <c r="W103" s="384" t="n">
        <v>31</v>
      </c>
      <c r="X103" s="381" t="n">
        <v>3584.25</v>
      </c>
      <c r="Y103" s="380" t="n">
        <v>3652.989</v>
      </c>
      <c r="Z103" s="384" t="n">
        <v>30</v>
      </c>
      <c r="AA103" s="383" t="n">
        <v>3584.25</v>
      </c>
      <c r="AB103" s="383" t="n">
        <v>3535.151</v>
      </c>
      <c r="AC103" s="387" t="n">
        <v>31</v>
      </c>
      <c r="AD103" s="388" t="n">
        <v>3584.25</v>
      </c>
      <c r="AE103" s="388" t="n">
        <v>3652.989</v>
      </c>
    </row>
    <row r="104" ht="15.75" customHeight="1" s="253">
      <c r="A104" s="375" t="n">
        <v>0</v>
      </c>
      <c r="B104" s="376" t="n">
        <v>45778</v>
      </c>
      <c r="C104" s="377" t="inlineStr">
        <is>
          <t>Jennifer Michael</t>
        </is>
      </c>
      <c r="D104" s="377" t="inlineStr">
        <is>
          <t>INV-25-26-000133</t>
        </is>
      </c>
      <c r="E104" s="377" t="inlineStr">
        <is>
          <t>subscription based service</t>
        </is>
      </c>
      <c r="F104" s="378" t="n">
        <v>45797</v>
      </c>
      <c r="G104" s="378" t="n">
        <v>46161</v>
      </c>
      <c r="H104" s="386" t="inlineStr">
        <is>
          <t>Annual Upfront</t>
        </is>
      </c>
      <c r="I104" s="380" t="n">
        <v>43011</v>
      </c>
      <c r="J104" s="381" t="n"/>
      <c r="K104" s="381" t="n">
        <v>3584.25</v>
      </c>
      <c r="L104" s="377" t="n">
        <v>365</v>
      </c>
      <c r="M104" s="377" t="n"/>
      <c r="N104" s="381" t="n"/>
      <c r="O104" s="381" t="n">
        <v>12</v>
      </c>
      <c r="P104" s="380" t="n">
        <v>1414.06</v>
      </c>
      <c r="Q104" s="382" t="n">
        <v>3584.25</v>
      </c>
      <c r="R104" s="377" t="n">
        <v>30</v>
      </c>
      <c r="S104" s="382" t="n">
        <v>3535.15068493151</v>
      </c>
      <c r="T104" s="382" t="n">
        <v>3584.25</v>
      </c>
      <c r="U104" s="381" t="n">
        <v>31</v>
      </c>
      <c r="V104" s="380" t="n">
        <v>3652.98904109589</v>
      </c>
      <c r="W104" s="384" t="n">
        <v>31</v>
      </c>
      <c r="X104" s="381" t="n">
        <v>3584.25</v>
      </c>
      <c r="Y104" s="380" t="n">
        <v>3652.989</v>
      </c>
      <c r="Z104" s="384" t="n">
        <v>30</v>
      </c>
      <c r="AA104" s="383" t="n">
        <v>3584.25</v>
      </c>
      <c r="AB104" s="383" t="n">
        <v>3535.151</v>
      </c>
      <c r="AC104" s="387" t="n">
        <v>31</v>
      </c>
      <c r="AD104" s="388" t="n">
        <v>3584.25</v>
      </c>
      <c r="AE104" s="388" t="n">
        <v>3652.989</v>
      </c>
    </row>
    <row r="105" ht="15.75" customHeight="1" s="253">
      <c r="A105" s="375" t="n">
        <v>0</v>
      </c>
      <c r="B105" s="376" t="n">
        <v>45778</v>
      </c>
      <c r="C105" s="377" t="inlineStr">
        <is>
          <t>SomÂ Sinha &amp; Associates</t>
        </is>
      </c>
      <c r="D105" s="377" t="inlineStr">
        <is>
          <t>INV-25-26-000134</t>
        </is>
      </c>
      <c r="E105" s="377" t="inlineStr">
        <is>
          <t>subscription based service</t>
        </is>
      </c>
      <c r="F105" s="378" t="n">
        <v>45797</v>
      </c>
      <c r="G105" s="378" t="n">
        <v>46161</v>
      </c>
      <c r="H105" s="386" t="inlineStr">
        <is>
          <t>Annual Upfront</t>
        </is>
      </c>
      <c r="I105" s="380" t="n">
        <v>43011</v>
      </c>
      <c r="J105" s="381" t="n"/>
      <c r="K105" s="381" t="n">
        <v>3584.25</v>
      </c>
      <c r="L105" s="377" t="n">
        <v>365</v>
      </c>
      <c r="M105" s="377" t="n"/>
      <c r="N105" s="381" t="n"/>
      <c r="O105" s="381" t="n">
        <v>12</v>
      </c>
      <c r="P105" s="380" t="n">
        <v>1414.06</v>
      </c>
      <c r="Q105" s="382" t="n">
        <v>3584.25</v>
      </c>
      <c r="R105" s="377" t="n">
        <v>30</v>
      </c>
      <c r="S105" s="382" t="n">
        <v>3535.15068493151</v>
      </c>
      <c r="T105" s="382" t="n">
        <v>3584.25</v>
      </c>
      <c r="U105" s="381" t="n">
        <v>31</v>
      </c>
      <c r="V105" s="380" t="n">
        <v>3652.98904109589</v>
      </c>
      <c r="W105" s="384" t="n">
        <v>31</v>
      </c>
      <c r="X105" s="381" t="n">
        <v>3584.25</v>
      </c>
      <c r="Y105" s="380" t="n">
        <v>3652.989</v>
      </c>
      <c r="Z105" s="384" t="n">
        <v>30</v>
      </c>
      <c r="AA105" s="383" t="n">
        <v>3584.25</v>
      </c>
      <c r="AB105" s="383" t="n">
        <v>3535.151</v>
      </c>
      <c r="AC105" s="387" t="n">
        <v>31</v>
      </c>
      <c r="AD105" s="388" t="n">
        <v>3584.25</v>
      </c>
      <c r="AE105" s="388" t="n">
        <v>3652.989</v>
      </c>
    </row>
    <row r="106" ht="15.75" customHeight="1" s="253">
      <c r="A106" s="375" t="n">
        <v>0</v>
      </c>
      <c r="B106" s="376" t="n">
        <v>45778</v>
      </c>
      <c r="C106" s="377" t="inlineStr">
        <is>
          <t>MZM Legal LLP</t>
        </is>
      </c>
      <c r="D106" s="377" t="inlineStr">
        <is>
          <t>INV-25-26-000135</t>
        </is>
      </c>
      <c r="E106" s="377" t="inlineStr">
        <is>
          <t>subscription based service</t>
        </is>
      </c>
      <c r="F106" s="378" t="n">
        <v>45797</v>
      </c>
      <c r="G106" s="378" t="n">
        <v>46161</v>
      </c>
      <c r="H106" s="386" t="inlineStr">
        <is>
          <t>Annual Upfront</t>
        </is>
      </c>
      <c r="I106" s="380" t="n">
        <v>300900</v>
      </c>
      <c r="J106" s="381" t="n"/>
      <c r="K106" s="381" t="n">
        <v>25075</v>
      </c>
      <c r="L106" s="377" t="n">
        <v>365</v>
      </c>
      <c r="M106" s="377" t="n"/>
      <c r="N106" s="381" t="n"/>
      <c r="O106" s="381" t="n">
        <v>12</v>
      </c>
      <c r="P106" s="380" t="n">
        <v>9892.602999999999</v>
      </c>
      <c r="Q106" s="382" t="n">
        <v>25075</v>
      </c>
      <c r="R106" s="377" t="n">
        <v>30</v>
      </c>
      <c r="S106" s="382" t="n">
        <v>24731.5068493151</v>
      </c>
      <c r="T106" s="382" t="n">
        <v>25075</v>
      </c>
      <c r="U106" s="381" t="n">
        <v>31</v>
      </c>
      <c r="V106" s="380" t="n">
        <v>25555.8904109589</v>
      </c>
      <c r="W106" s="384" t="n">
        <v>31</v>
      </c>
      <c r="X106" s="381" t="n">
        <v>25075</v>
      </c>
      <c r="Y106" s="380" t="n">
        <v>25555.89</v>
      </c>
      <c r="Z106" s="384" t="n">
        <v>30</v>
      </c>
      <c r="AA106" s="383" t="n">
        <v>25075</v>
      </c>
      <c r="AB106" s="383" t="n">
        <v>24731.507</v>
      </c>
      <c r="AC106" s="387" t="n">
        <v>31</v>
      </c>
      <c r="AD106" s="388" t="n">
        <v>25075</v>
      </c>
      <c r="AE106" s="388" t="n">
        <v>25555.89</v>
      </c>
    </row>
    <row r="107" ht="15.75" customHeight="1" s="253">
      <c r="A107" s="375" t="n">
        <v>0</v>
      </c>
      <c r="B107" s="376" t="inlineStr">
        <is>
          <t>May to Sept 25</t>
        </is>
      </c>
      <c r="C107" s="377" t="inlineStr">
        <is>
          <t>Stride Legal</t>
        </is>
      </c>
      <c r="D107" s="377" t="inlineStr">
        <is>
          <t>INV-25-26-000136, 0210, 292, 372, 457, CN- 30 to 33</t>
        </is>
      </c>
      <c r="E107" s="377" t="inlineStr">
        <is>
          <t>subscription based service</t>
        </is>
      </c>
      <c r="F107" s="378" t="n">
        <v>45799</v>
      </c>
      <c r="G107" s="378" t="n">
        <v>45829</v>
      </c>
      <c r="H107" s="386" t="inlineStr">
        <is>
          <t>1 month-Upfront</t>
        </is>
      </c>
      <c r="I107" s="380" t="n">
        <v>11800</v>
      </c>
      <c r="J107" s="381" t="n"/>
      <c r="K107" s="381" t="n">
        <v>11800</v>
      </c>
      <c r="L107" s="377" t="n">
        <v>31</v>
      </c>
      <c r="M107" s="377" t="n"/>
      <c r="N107" s="381" t="n"/>
      <c r="O107" s="381" t="n">
        <v>10</v>
      </c>
      <c r="P107" s="380" t="n">
        <v>3806.452</v>
      </c>
      <c r="Q107" s="382" t="n"/>
      <c r="R107" s="377" t="n">
        <v>21</v>
      </c>
      <c r="S107" s="382" t="n">
        <v>7993.54838709678</v>
      </c>
      <c r="T107" s="382" t="n"/>
      <c r="U107" s="381" t="n"/>
      <c r="V107" s="380" t="n"/>
      <c r="W107" s="384" t="n"/>
      <c r="X107" s="381" t="n"/>
      <c r="Y107" s="380" t="n"/>
      <c r="Z107" s="377" t="n"/>
      <c r="AA107" s="377" t="n"/>
      <c r="AB107" s="377" t="n"/>
      <c r="AC107" s="385" t="n"/>
      <c r="AD107" s="385" t="n"/>
      <c r="AE107" s="385" t="n"/>
    </row>
    <row r="108" ht="15.75" customHeight="1" s="253">
      <c r="A108" s="375" t="n">
        <v>0</v>
      </c>
      <c r="B108" s="376" t="n">
        <v>45778</v>
      </c>
      <c r="C108" s="377" t="inlineStr">
        <is>
          <t>Rithin Rai</t>
        </is>
      </c>
      <c r="D108" s="377" t="inlineStr">
        <is>
          <t>INV-25-26-000138</t>
        </is>
      </c>
      <c r="E108" s="377" t="inlineStr">
        <is>
          <t>One time work</t>
        </is>
      </c>
      <c r="F108" s="378" t="n">
        <v>45783</v>
      </c>
      <c r="G108" s="378" t="n">
        <v>45813</v>
      </c>
      <c r="H108" s="386" t="inlineStr">
        <is>
          <t>1 month-Upfront</t>
        </is>
      </c>
      <c r="I108" s="380" t="n">
        <v>5900</v>
      </c>
      <c r="J108" s="381" t="n"/>
      <c r="K108" s="381" t="n">
        <v>5900</v>
      </c>
      <c r="L108" s="377" t="n">
        <v>31</v>
      </c>
      <c r="M108" s="377" t="n"/>
      <c r="N108" s="381" t="n"/>
      <c r="O108" s="381" t="n">
        <v>26</v>
      </c>
      <c r="P108" s="380" t="n">
        <v>4948.387</v>
      </c>
      <c r="Q108" s="377" t="n"/>
      <c r="R108" s="377" t="n">
        <v>5</v>
      </c>
      <c r="S108" s="383" t="n">
        <v>951.612903225807</v>
      </c>
      <c r="T108" s="377" t="n"/>
      <c r="U108" s="381" t="n">
        <v>31</v>
      </c>
      <c r="V108" s="377" t="n"/>
      <c r="W108" s="384" t="n">
        <v>0</v>
      </c>
      <c r="X108" s="381" t="n">
        <v>0</v>
      </c>
      <c r="Y108" s="377" t="n">
        <v>0</v>
      </c>
      <c r="Z108" s="377" t="n"/>
      <c r="AA108" s="377" t="n"/>
      <c r="AB108" s="377" t="n"/>
      <c r="AC108" s="385" t="n"/>
      <c r="AD108" s="385" t="n"/>
      <c r="AE108" s="385" t="n"/>
    </row>
    <row r="109" ht="15.75" customHeight="1" s="253">
      <c r="A109" s="375" t="n">
        <v>0</v>
      </c>
      <c r="B109" s="376" t="n">
        <v>45778</v>
      </c>
      <c r="C109" s="377" t="inlineStr">
        <is>
          <t>Chetan Dedhia</t>
        </is>
      </c>
      <c r="D109" s="377" t="inlineStr">
        <is>
          <t>INV-25-26-000139</t>
        </is>
      </c>
      <c r="E109" s="377" t="inlineStr">
        <is>
          <t>subscription based service</t>
        </is>
      </c>
      <c r="F109" s="378" t="n">
        <v>45800</v>
      </c>
      <c r="G109" s="378" t="n">
        <v>46164</v>
      </c>
      <c r="H109" s="386" t="inlineStr">
        <is>
          <t>Annual Upfront</t>
        </is>
      </c>
      <c r="I109" s="380" t="n">
        <v>169920</v>
      </c>
      <c r="J109" s="381" t="n"/>
      <c r="K109" s="381" t="n">
        <v>14160</v>
      </c>
      <c r="L109" s="377" t="n">
        <v>365</v>
      </c>
      <c r="M109" s="377" t="n"/>
      <c r="N109" s="381" t="n"/>
      <c r="O109" s="381" t="n">
        <v>9</v>
      </c>
      <c r="P109" s="380" t="n">
        <v>4189.808</v>
      </c>
      <c r="Q109" s="382" t="n">
        <v>14160</v>
      </c>
      <c r="R109" s="377" t="n">
        <v>30</v>
      </c>
      <c r="S109" s="382" t="n">
        <v>13966.0273972603</v>
      </c>
      <c r="T109" s="382" t="n">
        <v>14160</v>
      </c>
      <c r="U109" s="381" t="n">
        <v>31</v>
      </c>
      <c r="V109" s="380" t="n">
        <v>14431.5616438356</v>
      </c>
      <c r="W109" s="384" t="n">
        <v>31</v>
      </c>
      <c r="X109" s="381" t="n">
        <v>14160</v>
      </c>
      <c r="Y109" s="380" t="n">
        <v>14431.562</v>
      </c>
      <c r="Z109" s="384" t="n">
        <v>30</v>
      </c>
      <c r="AA109" s="383" t="n">
        <v>14160</v>
      </c>
      <c r="AB109" s="383" t="n">
        <v>13966.027</v>
      </c>
      <c r="AC109" s="387" t="n">
        <v>31</v>
      </c>
      <c r="AD109" s="388" t="n">
        <v>14160</v>
      </c>
      <c r="AE109" s="388" t="n">
        <v>14431.562</v>
      </c>
    </row>
    <row r="110" ht="15.75" customHeight="1" s="253">
      <c r="A110" s="375" t="n">
        <v>0</v>
      </c>
      <c r="B110" s="376" t="n">
        <v>45778</v>
      </c>
      <c r="C110" s="377" t="inlineStr">
        <is>
          <t>Zoheb Hossain</t>
        </is>
      </c>
      <c r="D110" s="377" t="inlineStr">
        <is>
          <t>INV-25-26-000140</t>
        </is>
      </c>
      <c r="E110" s="377" t="inlineStr">
        <is>
          <t>subscription based service</t>
        </is>
      </c>
      <c r="F110" s="378" t="n">
        <v>45803</v>
      </c>
      <c r="G110" s="378" t="n">
        <v>46167</v>
      </c>
      <c r="H110" s="386" t="inlineStr">
        <is>
          <t>Annual Upfront</t>
        </is>
      </c>
      <c r="I110" s="380" t="n">
        <v>162000</v>
      </c>
      <c r="J110" s="381" t="n"/>
      <c r="K110" s="381" t="n">
        <v>13500</v>
      </c>
      <c r="L110" s="377" t="n">
        <v>365</v>
      </c>
      <c r="M110" s="377" t="n"/>
      <c r="N110" s="381" t="n"/>
      <c r="O110" s="381" t="n">
        <v>6</v>
      </c>
      <c r="P110" s="380" t="n">
        <v>2663.014</v>
      </c>
      <c r="Q110" s="382" t="n">
        <v>13500</v>
      </c>
      <c r="R110" s="377" t="n">
        <v>30</v>
      </c>
      <c r="S110" s="382" t="n">
        <v>13315.0684931507</v>
      </c>
      <c r="T110" s="382" t="n">
        <v>13500</v>
      </c>
      <c r="U110" s="381" t="n">
        <v>31</v>
      </c>
      <c r="V110" s="380" t="n">
        <v>13758.904109589</v>
      </c>
      <c r="W110" s="384" t="n">
        <v>31</v>
      </c>
      <c r="X110" s="381" t="n">
        <v>13500</v>
      </c>
      <c r="Y110" s="380" t="n">
        <v>13758.904</v>
      </c>
      <c r="Z110" s="384" t="n">
        <v>30</v>
      </c>
      <c r="AA110" s="383" t="n">
        <v>13500</v>
      </c>
      <c r="AB110" s="383" t="n">
        <v>13315.068</v>
      </c>
      <c r="AC110" s="387" t="n">
        <v>31</v>
      </c>
      <c r="AD110" s="388" t="n">
        <v>13500</v>
      </c>
      <c r="AE110" s="388" t="n">
        <v>13758.904</v>
      </c>
    </row>
    <row r="111" ht="15.75" customHeight="1" s="253">
      <c r="A111" s="375" t="n">
        <v>0</v>
      </c>
      <c r="B111" s="376" t="n">
        <v>45778</v>
      </c>
      <c r="C111" s="377" t="inlineStr">
        <is>
          <t>Meghav Gupta</t>
        </is>
      </c>
      <c r="D111" s="377" t="inlineStr">
        <is>
          <t>INV-25-26-000141</t>
        </is>
      </c>
      <c r="E111" s="377" t="inlineStr">
        <is>
          <t>subscription based service</t>
        </is>
      </c>
      <c r="F111" s="378" t="n">
        <v>45803</v>
      </c>
      <c r="G111" s="378" t="n">
        <v>45986</v>
      </c>
      <c r="H111" s="386" t="inlineStr">
        <is>
          <t>6 month-Upfront</t>
        </is>
      </c>
      <c r="I111" s="380" t="n">
        <v>44604</v>
      </c>
      <c r="J111" s="381" t="n"/>
      <c r="K111" s="381" t="n">
        <v>7434</v>
      </c>
      <c r="L111" s="377" t="n">
        <v>184</v>
      </c>
      <c r="M111" s="377" t="n"/>
      <c r="N111" s="381" t="n"/>
      <c r="O111" s="381" t="n">
        <v>6</v>
      </c>
      <c r="P111" s="380" t="n">
        <v>1454.478</v>
      </c>
      <c r="Q111" s="382" t="n">
        <v>7434</v>
      </c>
      <c r="R111" s="377" t="n">
        <v>30</v>
      </c>
      <c r="S111" s="382" t="n">
        <v>7272.39130434783</v>
      </c>
      <c r="T111" s="382" t="n">
        <v>7434</v>
      </c>
      <c r="U111" s="381" t="n">
        <v>31</v>
      </c>
      <c r="V111" s="380" t="n">
        <v>7514.80434782609</v>
      </c>
      <c r="W111" s="384" t="n">
        <v>31</v>
      </c>
      <c r="X111" s="381" t="n">
        <v>7434</v>
      </c>
      <c r="Y111" s="380" t="n">
        <v>7514.804</v>
      </c>
      <c r="Z111" s="384" t="n">
        <v>30</v>
      </c>
      <c r="AA111" s="383" t="n">
        <v>7434</v>
      </c>
      <c r="AB111" s="383" t="n">
        <v>7272.391</v>
      </c>
      <c r="AC111" s="387" t="n">
        <v>31</v>
      </c>
      <c r="AD111" s="388" t="n">
        <v>7434</v>
      </c>
      <c r="AE111" s="388" t="n">
        <v>7514.804</v>
      </c>
    </row>
    <row r="112" ht="15.75" customHeight="1" s="253">
      <c r="A112" s="375" t="n">
        <v>0</v>
      </c>
      <c r="B112" s="376" t="n">
        <v>45778</v>
      </c>
      <c r="C112" s="377" t="inlineStr">
        <is>
          <t>Shashwat Bajpai</t>
        </is>
      </c>
      <c r="D112" s="377" t="inlineStr">
        <is>
          <t>INV-25-26-000142</t>
        </is>
      </c>
      <c r="E112" s="377" t="inlineStr">
        <is>
          <t>subscription based service</t>
        </is>
      </c>
      <c r="F112" s="378" t="n">
        <v>45804</v>
      </c>
      <c r="G112" s="378" t="n">
        <v>46168</v>
      </c>
      <c r="H112" s="386" t="inlineStr">
        <is>
          <t>Annual Upfront</t>
        </is>
      </c>
      <c r="I112" s="380" t="n">
        <v>82600</v>
      </c>
      <c r="J112" s="381" t="n"/>
      <c r="K112" s="381" t="n">
        <v>6883.333</v>
      </c>
      <c r="L112" s="377" t="n">
        <v>365</v>
      </c>
      <c r="M112" s="377" t="n"/>
      <c r="N112" s="381" t="n"/>
      <c r="O112" s="381" t="n">
        <v>5</v>
      </c>
      <c r="P112" s="380" t="n">
        <v>1131.507</v>
      </c>
      <c r="Q112" s="382" t="n">
        <v>6883.33333333333</v>
      </c>
      <c r="R112" s="377" t="n">
        <v>30</v>
      </c>
      <c r="S112" s="382" t="n">
        <v>6789.04109589041</v>
      </c>
      <c r="T112" s="382" t="n">
        <v>6883.33333333333</v>
      </c>
      <c r="U112" s="381" t="n">
        <v>31</v>
      </c>
      <c r="V112" s="380" t="n">
        <v>7015.34246575342</v>
      </c>
      <c r="W112" s="384" t="n">
        <v>31</v>
      </c>
      <c r="X112" s="381" t="n">
        <v>6883.333</v>
      </c>
      <c r="Y112" s="380" t="n">
        <v>7015.342</v>
      </c>
      <c r="Z112" s="384" t="n">
        <v>30</v>
      </c>
      <c r="AA112" s="383" t="n">
        <v>6883.333</v>
      </c>
      <c r="AB112" s="383" t="n">
        <v>6789.041</v>
      </c>
      <c r="AC112" s="387" t="n">
        <v>31</v>
      </c>
      <c r="AD112" s="388" t="n">
        <v>6883.333</v>
      </c>
      <c r="AE112" s="388" t="n">
        <v>7015.342</v>
      </c>
    </row>
    <row r="113" ht="15.75" customHeight="1" s="253">
      <c r="A113" s="375" t="n">
        <v>0</v>
      </c>
      <c r="B113" s="376" t="n">
        <v>45778</v>
      </c>
      <c r="C113" s="377" t="inlineStr">
        <is>
          <t>Manini Brar</t>
        </is>
      </c>
      <c r="D113" s="377" t="inlineStr">
        <is>
          <t>INV-25-26-000143</t>
        </is>
      </c>
      <c r="E113" s="377" t="inlineStr">
        <is>
          <t>subscription based service</t>
        </is>
      </c>
      <c r="F113" s="378" t="n">
        <v>45839</v>
      </c>
      <c r="G113" s="378" t="n">
        <v>45869</v>
      </c>
      <c r="H113" s="386" t="inlineStr">
        <is>
          <t>1 month-Upfront</t>
        </is>
      </c>
      <c r="I113" s="380" t="n">
        <v>11800</v>
      </c>
      <c r="J113" s="381" t="n"/>
      <c r="K113" s="381" t="n"/>
      <c r="L113" s="377" t="n">
        <v>31</v>
      </c>
      <c r="M113" s="377" t="n"/>
      <c r="N113" s="381" t="n"/>
      <c r="O113" s="381" t="n">
        <v>0</v>
      </c>
      <c r="P113" s="380" t="n">
        <v>0</v>
      </c>
      <c r="Q113" s="377" t="n"/>
      <c r="R113" s="377" t="n">
        <v>0</v>
      </c>
      <c r="S113" s="377" t="n"/>
      <c r="T113" s="382" t="n">
        <v>11800</v>
      </c>
      <c r="U113" s="381" t="n">
        <v>31</v>
      </c>
      <c r="V113" s="381" t="n">
        <v>11800</v>
      </c>
      <c r="W113" s="384" t="n">
        <v>0</v>
      </c>
      <c r="X113" s="381" t="n">
        <v>0</v>
      </c>
      <c r="Y113" s="377" t="n">
        <v>0</v>
      </c>
      <c r="Z113" s="377" t="n"/>
      <c r="AA113" s="377" t="n"/>
      <c r="AB113" s="377" t="n"/>
      <c r="AC113" s="385" t="n"/>
      <c r="AD113" s="385" t="n"/>
      <c r="AE113" s="385" t="n"/>
    </row>
    <row r="114" ht="15.75" customHeight="1" s="253">
      <c r="A114" s="375" t="n">
        <v>0</v>
      </c>
      <c r="B114" s="376" t="n">
        <v>45778</v>
      </c>
      <c r="C114" s="377" t="inlineStr">
        <is>
          <t>Nitish Raj</t>
        </is>
      </c>
      <c r="D114" s="377" t="inlineStr">
        <is>
          <t>INV-25-26-000146</t>
        </is>
      </c>
      <c r="E114" s="377" t="inlineStr">
        <is>
          <t>subscription based service</t>
        </is>
      </c>
      <c r="F114" s="378" t="n">
        <v>45804</v>
      </c>
      <c r="G114" s="378" t="n">
        <v>46169</v>
      </c>
      <c r="H114" s="386" t="inlineStr">
        <is>
          <t>Annual Upfront</t>
        </is>
      </c>
      <c r="I114" s="380" t="n">
        <v>70000</v>
      </c>
      <c r="J114" s="381" t="n"/>
      <c r="K114" s="381" t="n">
        <v>5833.333</v>
      </c>
      <c r="L114" s="377" t="n">
        <v>366</v>
      </c>
      <c r="M114" s="377" t="n"/>
      <c r="N114" s="381" t="n"/>
      <c r="O114" s="381" t="n">
        <v>5</v>
      </c>
      <c r="P114" s="380" t="n">
        <v>956.284</v>
      </c>
      <c r="Q114" s="382" t="n">
        <v>5833.33333333333</v>
      </c>
      <c r="R114" s="377" t="n">
        <v>30</v>
      </c>
      <c r="S114" s="382" t="n">
        <v>5737.70491803279</v>
      </c>
      <c r="T114" s="382" t="n">
        <v>5833.33333333333</v>
      </c>
      <c r="U114" s="381" t="n">
        <v>31</v>
      </c>
      <c r="V114" s="380" t="n">
        <v>5928.96174863388</v>
      </c>
      <c r="W114" s="384" t="n">
        <v>31</v>
      </c>
      <c r="X114" s="381" t="n">
        <v>5833.333</v>
      </c>
      <c r="Y114" s="380" t="n">
        <v>5928.962</v>
      </c>
      <c r="Z114" s="384" t="n">
        <v>30</v>
      </c>
      <c r="AA114" s="383" t="n">
        <v>5833.333</v>
      </c>
      <c r="AB114" s="383" t="n">
        <v>5737.705</v>
      </c>
      <c r="AC114" s="387" t="n">
        <v>31</v>
      </c>
      <c r="AD114" s="388" t="n">
        <v>5384.615</v>
      </c>
      <c r="AE114" s="388" t="n">
        <v>5928.962</v>
      </c>
    </row>
    <row r="115" ht="15.75" customHeight="1" s="253">
      <c r="A115" s="375" t="n">
        <v>0</v>
      </c>
      <c r="B115" s="376" t="n">
        <v>45778</v>
      </c>
      <c r="C115" s="377" t="inlineStr">
        <is>
          <t>Aquilaw</t>
        </is>
      </c>
      <c r="D115" s="377" t="inlineStr">
        <is>
          <t>INV-25-26-000147</t>
        </is>
      </c>
      <c r="E115" s="377" t="inlineStr">
        <is>
          <t>subscription based service</t>
        </is>
      </c>
      <c r="F115" s="378" t="n">
        <v>45805</v>
      </c>
      <c r="G115" s="378" t="n">
        <v>45835</v>
      </c>
      <c r="H115" s="386" t="inlineStr">
        <is>
          <t>1 month-Upfront</t>
        </is>
      </c>
      <c r="I115" s="380" t="n">
        <v>23600</v>
      </c>
      <c r="J115" s="381" t="n"/>
      <c r="K115" s="381" t="n">
        <v>23600</v>
      </c>
      <c r="L115" s="377" t="n">
        <v>31</v>
      </c>
      <c r="M115" s="377" t="n"/>
      <c r="N115" s="381" t="n"/>
      <c r="O115" s="381" t="n">
        <v>4</v>
      </c>
      <c r="P115" s="380" t="n">
        <v>3045.161</v>
      </c>
      <c r="Q115" s="377" t="n"/>
      <c r="R115" s="377" t="n">
        <v>27</v>
      </c>
      <c r="S115" s="383" t="n">
        <v>20554.8387096774</v>
      </c>
      <c r="T115" s="377" t="n"/>
      <c r="U115" s="381" t="n">
        <v>31</v>
      </c>
      <c r="V115" s="377" t="n"/>
      <c r="W115" s="384" t="n">
        <v>0</v>
      </c>
      <c r="X115" s="381" t="n">
        <v>0</v>
      </c>
      <c r="Y115" s="377" t="n">
        <v>0</v>
      </c>
      <c r="Z115" s="377" t="n"/>
      <c r="AA115" s="377" t="n"/>
      <c r="AB115" s="377" t="n"/>
      <c r="AC115" s="385" t="n"/>
      <c r="AD115" s="385" t="n"/>
      <c r="AE115" s="385" t="n"/>
    </row>
    <row r="116" ht="15.75" customHeight="1" s="253">
      <c r="A116" s="375" t="n">
        <v>0</v>
      </c>
      <c r="B116" s="376" t="n">
        <v>45778</v>
      </c>
      <c r="C116" s="377" t="inlineStr">
        <is>
          <t>Svarniti Law Offices</t>
        </is>
      </c>
      <c r="D116" s="377" t="inlineStr">
        <is>
          <t>INV-25-26-000150</t>
        </is>
      </c>
      <c r="E116" s="377" t="inlineStr">
        <is>
          <t>subscription based service</t>
        </is>
      </c>
      <c r="F116" s="378" t="n">
        <v>45806</v>
      </c>
      <c r="G116" s="378" t="n">
        <v>45836</v>
      </c>
      <c r="H116" s="386" t="inlineStr">
        <is>
          <t>1 month-Upfront</t>
        </is>
      </c>
      <c r="I116" s="380" t="n">
        <v>5900</v>
      </c>
      <c r="J116" s="381" t="n"/>
      <c r="K116" s="381" t="n">
        <v>5900</v>
      </c>
      <c r="L116" s="377" t="n">
        <v>31</v>
      </c>
      <c r="M116" s="377" t="n"/>
      <c r="N116" s="381" t="n"/>
      <c r="O116" s="381" t="n">
        <v>3</v>
      </c>
      <c r="P116" s="380" t="n">
        <v>570.968</v>
      </c>
      <c r="Q116" s="377" t="n"/>
      <c r="R116" s="377" t="n">
        <v>28</v>
      </c>
      <c r="S116" s="383" t="n">
        <v>5329.03225806452</v>
      </c>
      <c r="T116" s="377" t="n"/>
      <c r="U116" s="381" t="n">
        <v>31</v>
      </c>
      <c r="V116" s="377" t="n"/>
      <c r="W116" s="384" t="n">
        <v>0</v>
      </c>
      <c r="X116" s="381" t="n">
        <v>0</v>
      </c>
      <c r="Y116" s="377" t="n">
        <v>0</v>
      </c>
      <c r="Z116" s="377" t="n"/>
      <c r="AA116" s="377" t="n"/>
      <c r="AB116" s="377" t="n"/>
      <c r="AC116" s="385" t="n"/>
      <c r="AD116" s="385" t="n"/>
      <c r="AE116" s="385" t="n"/>
    </row>
    <row r="117" ht="15.75" customHeight="1" s="253">
      <c r="A117" s="375" t="n">
        <v>0</v>
      </c>
      <c r="B117" s="376" t="n">
        <v>45778</v>
      </c>
      <c r="C117" s="377" t="inlineStr">
        <is>
          <t>Daswani &amp; Daswani</t>
        </is>
      </c>
      <c r="D117" s="377" t="inlineStr">
        <is>
          <t>INV-25-26-000151</t>
        </is>
      </c>
      <c r="E117" s="377" t="inlineStr">
        <is>
          <t>subscription based service</t>
        </is>
      </c>
      <c r="F117" s="378" t="n">
        <v>45809</v>
      </c>
      <c r="G117" s="378" t="n">
        <v>46173</v>
      </c>
      <c r="H117" s="386" t="inlineStr">
        <is>
          <t>Annual Upfront</t>
        </is>
      </c>
      <c r="I117" s="380" t="n">
        <v>82600</v>
      </c>
      <c r="J117" s="381" t="n"/>
      <c r="K117" s="381" t="n"/>
      <c r="L117" s="377" t="n">
        <v>365</v>
      </c>
      <c r="M117" s="377" t="n"/>
      <c r="N117" s="381" t="n"/>
      <c r="O117" s="381" t="n">
        <v>0</v>
      </c>
      <c r="P117" s="380" t="n">
        <v>0</v>
      </c>
      <c r="Q117" s="382" t="n">
        <v>6883.33333333333</v>
      </c>
      <c r="R117" s="377" t="n">
        <v>30</v>
      </c>
      <c r="S117" s="383" t="n">
        <v>6789.04109589041</v>
      </c>
      <c r="T117" s="382" t="n">
        <v>6883.33333333333</v>
      </c>
      <c r="U117" s="381" t="n">
        <v>31</v>
      </c>
      <c r="V117" s="380" t="n">
        <v>7015.34246575342</v>
      </c>
      <c r="W117" s="384" t="n">
        <v>31</v>
      </c>
      <c r="X117" s="381" t="n">
        <v>6883.333</v>
      </c>
      <c r="Y117" s="380" t="n">
        <v>7015.342</v>
      </c>
      <c r="Z117" s="384" t="n">
        <v>30</v>
      </c>
      <c r="AA117" s="383" t="n">
        <v>6883.333</v>
      </c>
      <c r="AB117" s="383" t="n">
        <v>6789.041</v>
      </c>
      <c r="AC117" s="387" t="n">
        <v>31</v>
      </c>
      <c r="AD117" s="388" t="n">
        <v>6883.333</v>
      </c>
      <c r="AE117" s="388" t="n">
        <v>7015.342</v>
      </c>
    </row>
    <row r="118" ht="15.75" customHeight="1" s="253">
      <c r="A118" s="375" t="n">
        <v>0</v>
      </c>
      <c r="B118" s="376" t="n">
        <v>45778</v>
      </c>
      <c r="C118" s="377" t="inlineStr">
        <is>
          <t>Khaitan Legal Asscoiates</t>
        </is>
      </c>
      <c r="D118" s="377" t="inlineStr">
        <is>
          <t>INV-25-26-000152</t>
        </is>
      </c>
      <c r="E118" s="377" t="inlineStr">
        <is>
          <t>subscription based service</t>
        </is>
      </c>
      <c r="F118" s="378" t="n">
        <v>45806</v>
      </c>
      <c r="G118" s="378" t="n">
        <v>45836</v>
      </c>
      <c r="H118" s="386" t="inlineStr">
        <is>
          <t>1 month-Upfront</t>
        </is>
      </c>
      <c r="I118" s="380" t="n">
        <v>23600</v>
      </c>
      <c r="J118" s="381" t="n"/>
      <c r="K118" s="381" t="n">
        <v>23600</v>
      </c>
      <c r="L118" s="377" t="n">
        <v>31</v>
      </c>
      <c r="M118" s="377" t="n"/>
      <c r="N118" s="381" t="n"/>
      <c r="O118" s="381" t="n">
        <v>3</v>
      </c>
      <c r="P118" s="380" t="n">
        <v>2283.871</v>
      </c>
      <c r="Q118" s="377" t="n"/>
      <c r="R118" s="377" t="n">
        <v>28</v>
      </c>
      <c r="S118" s="383" t="n">
        <v>21316.1290322581</v>
      </c>
      <c r="T118" s="377" t="n"/>
      <c r="U118" s="381" t="n">
        <v>31</v>
      </c>
      <c r="V118" s="377" t="n"/>
      <c r="W118" s="384" t="n">
        <v>0</v>
      </c>
      <c r="X118" s="381" t="n">
        <v>0</v>
      </c>
      <c r="Y118" s="377" t="n">
        <v>0</v>
      </c>
      <c r="Z118" s="377" t="n"/>
      <c r="AA118" s="377" t="n"/>
      <c r="AB118" s="377" t="n"/>
      <c r="AC118" s="385" t="n"/>
      <c r="AD118" s="385" t="n"/>
      <c r="AE118" s="385" t="n"/>
    </row>
    <row r="119" ht="15.75" customHeight="1" s="253">
      <c r="A119" s="375" t="n">
        <v>0</v>
      </c>
      <c r="B119" s="376" t="n">
        <v>45778</v>
      </c>
      <c r="C119" s="377" t="inlineStr">
        <is>
          <t>Samya Law Chambers</t>
        </is>
      </c>
      <c r="D119" s="377" t="inlineStr">
        <is>
          <t>INV-25-26-000153</t>
        </is>
      </c>
      <c r="E119" s="377" t="inlineStr">
        <is>
          <t>subscription based service</t>
        </is>
      </c>
      <c r="F119" s="378" t="n">
        <v>45806</v>
      </c>
      <c r="G119" s="378" t="n">
        <v>46170</v>
      </c>
      <c r="H119" s="386" t="inlineStr">
        <is>
          <t>Annual Upfront</t>
        </is>
      </c>
      <c r="I119" s="380" t="n">
        <v>146556</v>
      </c>
      <c r="J119" s="381" t="n"/>
      <c r="K119" s="381" t="n">
        <v>12213</v>
      </c>
      <c r="L119" s="377" t="n">
        <v>365</v>
      </c>
      <c r="M119" s="377" t="n"/>
      <c r="N119" s="381" t="n"/>
      <c r="O119" s="381" t="n">
        <v>3</v>
      </c>
      <c r="P119" s="380" t="n">
        <v>1204.57</v>
      </c>
      <c r="Q119" s="382" t="n">
        <v>12213</v>
      </c>
      <c r="R119" s="377" t="n">
        <v>30</v>
      </c>
      <c r="S119" s="382" t="n">
        <v>12045.698630137</v>
      </c>
      <c r="T119" s="382" t="n">
        <v>12213</v>
      </c>
      <c r="U119" s="381" t="n">
        <v>31</v>
      </c>
      <c r="V119" s="380" t="n">
        <v>12447.2219178082</v>
      </c>
      <c r="W119" s="384" t="n">
        <v>31</v>
      </c>
      <c r="X119" s="381" t="n">
        <v>12213</v>
      </c>
      <c r="Y119" s="380" t="n">
        <v>12447.222</v>
      </c>
      <c r="Z119" s="384" t="n">
        <v>30</v>
      </c>
      <c r="AA119" s="383" t="n">
        <v>12213</v>
      </c>
      <c r="AB119" s="383" t="n">
        <v>12045.699</v>
      </c>
      <c r="AC119" s="387" t="n">
        <v>31</v>
      </c>
      <c r="AD119" s="388" t="n">
        <v>12213</v>
      </c>
      <c r="AE119" s="388" t="n">
        <v>12447.222</v>
      </c>
    </row>
    <row r="120" ht="15.75" customHeight="1" s="253">
      <c r="A120" s="375" t="n">
        <v>0</v>
      </c>
      <c r="B120" s="376" t="n">
        <v>45778</v>
      </c>
      <c r="C120" s="377" t="inlineStr">
        <is>
          <t>Shri Venkatesh , SKV law offices</t>
        </is>
      </c>
      <c r="D120" s="377" t="inlineStr">
        <is>
          <t>INV-25-26-000154</t>
        </is>
      </c>
      <c r="E120" s="377" t="inlineStr">
        <is>
          <t>subscription based service</t>
        </is>
      </c>
      <c r="F120" s="378" t="n">
        <v>45809</v>
      </c>
      <c r="G120" s="378" t="n">
        <v>46173</v>
      </c>
      <c r="H120" s="386" t="inlineStr">
        <is>
          <t>Annual Upfront</t>
        </is>
      </c>
      <c r="I120" s="380" t="n">
        <v>981000</v>
      </c>
      <c r="J120" s="381" t="n"/>
      <c r="K120" s="381" t="n"/>
      <c r="L120" s="377" t="n">
        <v>365</v>
      </c>
      <c r="M120" s="377" t="n"/>
      <c r="N120" s="381" t="n"/>
      <c r="O120" s="381" t="n">
        <v>0</v>
      </c>
      <c r="P120" s="380" t="n">
        <v>0</v>
      </c>
      <c r="Q120" s="382" t="n">
        <v>81750</v>
      </c>
      <c r="R120" s="377" t="n">
        <v>30</v>
      </c>
      <c r="S120" s="383" t="n">
        <v>80630.1369863014</v>
      </c>
      <c r="T120" s="382" t="n">
        <v>81750</v>
      </c>
      <c r="U120" s="381" t="n">
        <v>31</v>
      </c>
      <c r="V120" s="380" t="n">
        <v>83317.8082191781</v>
      </c>
      <c r="W120" s="384" t="n">
        <v>31</v>
      </c>
      <c r="X120" s="381" t="n">
        <v>81750</v>
      </c>
      <c r="Y120" s="380" t="n">
        <v>83317.808</v>
      </c>
      <c r="Z120" s="384" t="n">
        <v>30</v>
      </c>
      <c r="AA120" s="383" t="n">
        <v>81750</v>
      </c>
      <c r="AB120" s="383" t="n">
        <v>80630.137</v>
      </c>
      <c r="AC120" s="387" t="n">
        <v>31</v>
      </c>
      <c r="AD120" s="388" t="n">
        <v>81750</v>
      </c>
      <c r="AE120" s="388" t="n">
        <v>83317.808</v>
      </c>
    </row>
    <row r="121" ht="15.75" customHeight="1" s="253">
      <c r="A121" s="375" t="n">
        <v>0</v>
      </c>
      <c r="B121" s="376" t="n">
        <v>45778</v>
      </c>
      <c r="C121" s="377" t="inlineStr">
        <is>
          <t>Parakram Legal</t>
        </is>
      </c>
      <c r="D121" s="377" t="inlineStr">
        <is>
          <t>INV-25-26-000155</t>
        </is>
      </c>
      <c r="E121" s="377" t="inlineStr">
        <is>
          <t>subscription based service</t>
        </is>
      </c>
      <c r="F121" s="378" t="n">
        <v>45807</v>
      </c>
      <c r="G121" s="378" t="n">
        <v>45898</v>
      </c>
      <c r="H121" s="379" t="inlineStr">
        <is>
          <t>3 months subscription, upfront</t>
        </is>
      </c>
      <c r="I121" s="380" t="n">
        <v>17700</v>
      </c>
      <c r="J121" s="381" t="n"/>
      <c r="K121" s="381" t="n">
        <v>5900</v>
      </c>
      <c r="L121" s="377" t="n">
        <v>92</v>
      </c>
      <c r="M121" s="377" t="n"/>
      <c r="N121" s="381" t="n"/>
      <c r="O121" s="381" t="n">
        <v>2</v>
      </c>
      <c r="P121" s="380" t="n">
        <v>384.783</v>
      </c>
      <c r="Q121" s="382" t="n">
        <v>5900</v>
      </c>
      <c r="R121" s="377" t="n">
        <v>30</v>
      </c>
      <c r="S121" s="382" t="n">
        <v>5771.73913043478</v>
      </c>
      <c r="T121" s="383" t="n">
        <v>5900</v>
      </c>
      <c r="U121" s="381" t="n">
        <v>31</v>
      </c>
      <c r="V121" s="380" t="n">
        <v>5964.13043478261</v>
      </c>
      <c r="W121" s="384" t="n">
        <v>29</v>
      </c>
      <c r="X121" s="381" t="n">
        <v>0</v>
      </c>
      <c r="Y121" s="380" t="n">
        <v>5579.348</v>
      </c>
      <c r="Z121" s="377" t="n"/>
      <c r="AA121" s="377" t="n"/>
      <c r="AB121" s="377" t="n"/>
      <c r="AC121" s="385" t="n"/>
      <c r="AD121" s="385" t="n"/>
      <c r="AE121" s="385" t="n"/>
    </row>
    <row r="122" ht="15.75" customHeight="1" s="253">
      <c r="A122" s="375" t="n">
        <v>0</v>
      </c>
      <c r="B122" s="376" t="n">
        <v>45778</v>
      </c>
      <c r="C122" s="377" t="inlineStr">
        <is>
          <t>IndusLaw</t>
        </is>
      </c>
      <c r="D122" s="377" t="inlineStr">
        <is>
          <t>INV-25-26-000156</t>
        </is>
      </c>
      <c r="E122" s="377" t="inlineStr">
        <is>
          <t>subscription based service</t>
        </is>
      </c>
      <c r="F122" s="378" t="n">
        <v>45807</v>
      </c>
      <c r="G122" s="378" t="n">
        <v>46171</v>
      </c>
      <c r="H122" s="391" t="inlineStr">
        <is>
          <t>Annual- Half Yearly Payment</t>
        </is>
      </c>
      <c r="I122" s="380" t="n">
        <v>3440880</v>
      </c>
      <c r="J122" s="381" t="n"/>
      <c r="K122" s="381" t="n">
        <v>286740</v>
      </c>
      <c r="L122" s="377" t="n">
        <v>365</v>
      </c>
      <c r="M122" s="377" t="n"/>
      <c r="N122" s="381" t="n"/>
      <c r="O122" s="381" t="n">
        <v>2</v>
      </c>
      <c r="P122" s="380" t="n">
        <v>18854.137</v>
      </c>
      <c r="Q122" s="382" t="n">
        <v>286740</v>
      </c>
      <c r="R122" s="377" t="n">
        <v>30</v>
      </c>
      <c r="S122" s="382" t="n">
        <v>282812.054794521</v>
      </c>
      <c r="T122" s="382" t="n">
        <v>286740</v>
      </c>
      <c r="U122" s="381" t="n">
        <v>31</v>
      </c>
      <c r="V122" s="380" t="n">
        <v>292239.123287671</v>
      </c>
      <c r="W122" s="384" t="n">
        <v>31</v>
      </c>
      <c r="X122" s="381" t="n">
        <v>286740</v>
      </c>
      <c r="Y122" s="380" t="n">
        <v>292239.123</v>
      </c>
      <c r="Z122" s="384" t="n">
        <v>30</v>
      </c>
      <c r="AA122" s="383" t="n">
        <v>286740</v>
      </c>
      <c r="AB122" s="383" t="n">
        <v>282812.055</v>
      </c>
      <c r="AC122" s="387" t="n">
        <v>31</v>
      </c>
      <c r="AD122" s="388" t="n">
        <v>286740</v>
      </c>
      <c r="AE122" s="388" t="n">
        <v>292239.123</v>
      </c>
    </row>
    <row r="123" ht="15.75" customHeight="1" s="253">
      <c r="A123" s="375" t="n"/>
      <c r="B123" s="376" t="inlineStr">
        <is>
          <t>July 25 &amp; Ag 25</t>
        </is>
      </c>
      <c r="C123" s="377" t="inlineStr">
        <is>
          <t>Deep Cover Law- Chirag Narasimiah</t>
        </is>
      </c>
      <c r="D123" s="377" t="inlineStr">
        <is>
          <t>INV-25-26-000313 &amp; CN-00013</t>
        </is>
      </c>
      <c r="E123" s="377" t="n"/>
      <c r="F123" s="378" t="n">
        <v>45870</v>
      </c>
      <c r="G123" s="378" t="n">
        <v>45881</v>
      </c>
      <c r="H123" s="377" t="inlineStr">
        <is>
          <t>12 -Days -Upfront</t>
        </is>
      </c>
      <c r="I123" s="380" t="n">
        <v>4111</v>
      </c>
      <c r="J123" s="381" t="n"/>
      <c r="K123" s="381" t="n"/>
      <c r="L123" s="377" t="n">
        <v>12</v>
      </c>
      <c r="M123" s="377" t="n"/>
      <c r="N123" s="381" t="n"/>
      <c r="O123" s="381" t="n"/>
      <c r="P123" s="380" t="n"/>
      <c r="Q123" s="382" t="n"/>
      <c r="R123" s="377" t="n"/>
      <c r="S123" s="382" t="n"/>
      <c r="T123" s="382" t="n"/>
      <c r="U123" s="381" t="n"/>
      <c r="V123" s="380" t="n"/>
      <c r="W123" s="384" t="n">
        <v>12</v>
      </c>
      <c r="X123" s="381" t="n">
        <v>4111</v>
      </c>
      <c r="Y123" s="380" t="n">
        <v>4111</v>
      </c>
      <c r="Z123" s="377" t="inlineStr">
        <is>
          <t>CN</t>
        </is>
      </c>
      <c r="AA123" s="377" t="n"/>
      <c r="AB123" s="377" t="n"/>
      <c r="AC123" s="385" t="n"/>
      <c r="AD123" s="385" t="n"/>
      <c r="AE123" s="385" t="n"/>
    </row>
    <row r="124" ht="15.75" customHeight="1" s="253">
      <c r="A124" s="375" t="n">
        <v>0</v>
      </c>
      <c r="B124" s="376" t="inlineStr">
        <is>
          <t>May &amp; june 25</t>
        </is>
      </c>
      <c r="C124" s="377" t="inlineStr">
        <is>
          <t>Deep Cover Law- Chirag Narasimiah</t>
        </is>
      </c>
      <c r="D124" s="377" t="inlineStr">
        <is>
          <t>INV-25-26-000157,000224,313</t>
        </is>
      </c>
      <c r="E124" s="377" t="inlineStr">
        <is>
          <t>subscription based service</t>
        </is>
      </c>
      <c r="F124" s="378" t="n">
        <v>45809</v>
      </c>
      <c r="G124" s="378" t="n">
        <v>45869</v>
      </c>
      <c r="H124" s="391" t="inlineStr">
        <is>
          <t>2 months subscription, Monthly</t>
        </is>
      </c>
      <c r="I124" s="380" t="n">
        <v>21240</v>
      </c>
      <c r="J124" s="381" t="n"/>
      <c r="K124" s="381" t="n"/>
      <c r="L124" s="377" t="n">
        <v>61</v>
      </c>
      <c r="M124" s="377" t="n"/>
      <c r="N124" s="381" t="n"/>
      <c r="O124" s="381" t="n">
        <v>0</v>
      </c>
      <c r="P124" s="380" t="n">
        <v>0</v>
      </c>
      <c r="Q124" s="382" t="n">
        <v>10620</v>
      </c>
      <c r="R124" s="377" t="n">
        <v>30</v>
      </c>
      <c r="S124" s="383" t="n">
        <v>10445.9016393443</v>
      </c>
      <c r="T124" s="382" t="n">
        <v>10620</v>
      </c>
      <c r="U124" s="381" t="n">
        <v>31</v>
      </c>
      <c r="V124" s="380" t="n">
        <v>10794.0983606557</v>
      </c>
      <c r="W124" s="384" t="n">
        <v>0</v>
      </c>
      <c r="X124" s="381" t="n">
        <v>0</v>
      </c>
      <c r="Y124" s="377" t="n">
        <v>0</v>
      </c>
      <c r="Z124" s="377" t="n"/>
      <c r="AA124" s="377" t="n"/>
      <c r="AB124" s="377" t="n"/>
      <c r="AC124" s="385" t="n"/>
      <c r="AD124" s="385" t="n"/>
      <c r="AE124" s="385" t="n"/>
    </row>
    <row r="125" ht="15.75" customHeight="1" s="253">
      <c r="A125" s="375" t="n">
        <v>0</v>
      </c>
      <c r="B125" s="376" t="n">
        <v>45778</v>
      </c>
      <c r="C125" s="377" t="inlineStr">
        <is>
          <t>Centre for Law and Policy Research Trust</t>
        </is>
      </c>
      <c r="D125" s="377" t="inlineStr">
        <is>
          <t>INV-25-26-000158</t>
        </is>
      </c>
      <c r="E125" s="377" t="inlineStr">
        <is>
          <t>subscription based service</t>
        </is>
      </c>
      <c r="F125" s="378" t="n">
        <v>45808</v>
      </c>
      <c r="G125" s="378" t="n">
        <v>45869</v>
      </c>
      <c r="H125" s="377" t="inlineStr">
        <is>
          <t>2 months- Upfront</t>
        </is>
      </c>
      <c r="I125" s="380" t="n">
        <v>31860</v>
      </c>
      <c r="J125" s="381" t="n"/>
      <c r="K125" s="381" t="n">
        <v>15930</v>
      </c>
      <c r="L125" s="377" t="n">
        <v>62</v>
      </c>
      <c r="M125" s="377" t="n"/>
      <c r="N125" s="381" t="n"/>
      <c r="O125" s="381" t="n">
        <v>1</v>
      </c>
      <c r="P125" s="380" t="n">
        <v>513.871</v>
      </c>
      <c r="Q125" s="382" t="n">
        <v>15930</v>
      </c>
      <c r="R125" s="377" t="n">
        <v>30</v>
      </c>
      <c r="S125" s="382" t="n">
        <v>15416.1290322581</v>
      </c>
      <c r="T125" s="377" t="n"/>
      <c r="U125" s="381" t="n">
        <v>31</v>
      </c>
      <c r="V125" s="377" t="n">
        <v>15930</v>
      </c>
      <c r="W125" s="384" t="n">
        <v>0</v>
      </c>
      <c r="X125" s="381" t="n">
        <v>0</v>
      </c>
      <c r="Y125" s="377" t="n">
        <v>0</v>
      </c>
      <c r="Z125" s="377" t="n"/>
      <c r="AA125" s="377" t="n"/>
      <c r="AB125" s="377" t="n"/>
      <c r="AC125" s="385" t="n"/>
      <c r="AD125" s="385" t="n"/>
      <c r="AE125" s="385" t="n"/>
    </row>
    <row r="126" ht="15.75" customHeight="1" s="253">
      <c r="A126" s="375" t="n">
        <v>0</v>
      </c>
      <c r="B126" s="376" t="n">
        <v>45778</v>
      </c>
      <c r="C126" s="377" t="inlineStr">
        <is>
          <t>NKR Law Offices</t>
        </is>
      </c>
      <c r="D126" s="377" t="inlineStr">
        <is>
          <t>INV-25-26-000160</t>
        </is>
      </c>
      <c r="E126" s="377" t="inlineStr">
        <is>
          <t>One time work</t>
        </is>
      </c>
      <c r="F126" s="378" t="n">
        <v>45809</v>
      </c>
      <c r="G126" s="378" t="n">
        <v>45838</v>
      </c>
      <c r="H126" s="386" t="inlineStr">
        <is>
          <t>1 month-Upfront</t>
        </is>
      </c>
      <c r="I126" s="380" t="n">
        <v>29500</v>
      </c>
      <c r="J126" s="381" t="n"/>
      <c r="K126" s="381" t="n"/>
      <c r="L126" s="377" t="n">
        <v>30</v>
      </c>
      <c r="M126" s="377" t="n"/>
      <c r="N126" s="381" t="n"/>
      <c r="O126" s="381" t="n">
        <v>0</v>
      </c>
      <c r="P126" s="380" t="n">
        <v>0</v>
      </c>
      <c r="Q126" s="382" t="n">
        <v>29500</v>
      </c>
      <c r="R126" s="377" t="n">
        <v>30</v>
      </c>
      <c r="S126" s="383" t="n">
        <v>29500</v>
      </c>
      <c r="T126" s="377" t="n"/>
      <c r="U126" s="381" t="n"/>
      <c r="V126" s="377" t="n"/>
      <c r="W126" s="384" t="n">
        <v>0</v>
      </c>
      <c r="X126" s="381" t="n">
        <v>0</v>
      </c>
      <c r="Y126" s="377" t="n">
        <v>0</v>
      </c>
      <c r="Z126" s="377" t="n"/>
      <c r="AA126" s="377" t="n"/>
      <c r="AB126" s="377" t="n"/>
      <c r="AC126" s="385" t="n"/>
      <c r="AD126" s="385" t="n"/>
      <c r="AE126" s="385" t="n"/>
    </row>
    <row r="127" ht="15.75" customHeight="1" s="253">
      <c r="A127" s="375" t="n">
        <v>0</v>
      </c>
      <c r="B127" s="376" t="n">
        <v>45658</v>
      </c>
      <c r="C127" s="379" t="inlineStr">
        <is>
          <t>Keystone Partners</t>
        </is>
      </c>
      <c r="D127" s="377" t="inlineStr">
        <is>
          <t>INV-000057</t>
        </is>
      </c>
      <c r="E127" s="377" t="n"/>
      <c r="F127" s="389" t="n">
        <v>45674</v>
      </c>
      <c r="G127" s="389" t="n">
        <v>46038</v>
      </c>
      <c r="H127" s="386" t="inlineStr">
        <is>
          <t>Annual Upfront</t>
        </is>
      </c>
      <c r="I127" s="395" t="n">
        <v>538908.96</v>
      </c>
      <c r="J127" s="381" t="n">
        <v>44909.08</v>
      </c>
      <c r="K127" s="381" t="n">
        <v>44909.08</v>
      </c>
      <c r="L127" s="377" t="n">
        <v>365</v>
      </c>
      <c r="M127" s="377" t="n">
        <v>30</v>
      </c>
      <c r="N127" s="381" t="n">
        <v>44293.887</v>
      </c>
      <c r="O127" s="381" t="n">
        <v>31</v>
      </c>
      <c r="P127" s="380" t="n">
        <v>45770.35</v>
      </c>
      <c r="Q127" s="382" t="n">
        <v>44909.08</v>
      </c>
      <c r="R127" s="377" t="n">
        <v>30</v>
      </c>
      <c r="S127" s="382" t="n">
        <v>44293.8871232877</v>
      </c>
      <c r="T127" s="382" t="n">
        <v>44909.08</v>
      </c>
      <c r="U127" s="381" t="n">
        <v>31</v>
      </c>
      <c r="V127" s="380" t="n">
        <v>45770.3500273973</v>
      </c>
      <c r="W127" s="384" t="n">
        <v>31</v>
      </c>
      <c r="X127" s="381" t="n">
        <v>44909.08</v>
      </c>
      <c r="Y127" s="380" t="n">
        <v>45770.35</v>
      </c>
      <c r="Z127" s="384" t="n">
        <v>30</v>
      </c>
      <c r="AA127" s="383" t="n">
        <v>44909.08</v>
      </c>
      <c r="AB127" s="383" t="n">
        <v>44293.887</v>
      </c>
      <c r="AC127" s="387" t="n">
        <v>31</v>
      </c>
      <c r="AD127" s="388" t="n">
        <v>44909.08</v>
      </c>
      <c r="AE127" s="388" t="n">
        <v>45770.35</v>
      </c>
    </row>
    <row r="128" ht="15.75" customHeight="1" s="253">
      <c r="A128" s="375" t="n">
        <v>0</v>
      </c>
      <c r="B128" s="376" t="n">
        <v>45689</v>
      </c>
      <c r="C128" s="377" t="inlineStr">
        <is>
          <t>MZM Legal LLP</t>
        </is>
      </c>
      <c r="D128" s="377" t="inlineStr">
        <is>
          <t>INV-000093</t>
        </is>
      </c>
      <c r="E128" s="377" t="n"/>
      <c r="F128" s="389" t="n">
        <v>45705</v>
      </c>
      <c r="G128" s="389" t="n">
        <v>46069</v>
      </c>
      <c r="H128" s="386" t="inlineStr">
        <is>
          <t>Annual Upfront</t>
        </is>
      </c>
      <c r="I128" s="395" t="n">
        <v>300900</v>
      </c>
      <c r="J128" s="381" t="n">
        <v>25075</v>
      </c>
      <c r="K128" s="381" t="n">
        <v>25075</v>
      </c>
      <c r="L128" s="377" t="n">
        <v>365</v>
      </c>
      <c r="M128" s="377" t="n">
        <v>30</v>
      </c>
      <c r="N128" s="381" t="n">
        <v>24731.507</v>
      </c>
      <c r="O128" s="381" t="n">
        <v>31</v>
      </c>
      <c r="P128" s="380" t="n">
        <v>25555.89</v>
      </c>
      <c r="Q128" s="382" t="n">
        <v>25075</v>
      </c>
      <c r="R128" s="377" t="n">
        <v>30</v>
      </c>
      <c r="S128" s="382" t="n">
        <v>24731.5068493151</v>
      </c>
      <c r="T128" s="382" t="n">
        <v>25075</v>
      </c>
      <c r="U128" s="381" t="n">
        <v>31</v>
      </c>
      <c r="V128" s="380" t="n">
        <v>25555.8904109589</v>
      </c>
      <c r="W128" s="384" t="n">
        <v>31</v>
      </c>
      <c r="X128" s="381" t="n">
        <v>25075</v>
      </c>
      <c r="Y128" s="380" t="n">
        <v>25555.89</v>
      </c>
      <c r="Z128" s="384" t="n">
        <v>30</v>
      </c>
      <c r="AA128" s="383" t="n">
        <v>25075</v>
      </c>
      <c r="AB128" s="383" t="n">
        <v>24731.507</v>
      </c>
      <c r="AC128" s="387" t="n">
        <v>31</v>
      </c>
      <c r="AD128" s="388" t="n">
        <v>25075</v>
      </c>
      <c r="AE128" s="388" t="n">
        <v>25555.89</v>
      </c>
    </row>
    <row r="129" ht="15.75" customHeight="1" s="253">
      <c r="A129" s="375" t="n">
        <v>0</v>
      </c>
      <c r="B129" s="376" t="n">
        <v>45689</v>
      </c>
      <c r="C129" s="379" t="inlineStr">
        <is>
          <t>Prompt Legal (Shared by Jayanth)</t>
        </is>
      </c>
      <c r="D129" s="377" t="inlineStr">
        <is>
          <t>INV-000095</t>
        </is>
      </c>
      <c r="E129" s="377" t="n"/>
      <c r="F129" s="389" t="n">
        <v>45711</v>
      </c>
      <c r="G129" s="389" t="n">
        <v>46076</v>
      </c>
      <c r="H129" s="386" t="inlineStr">
        <is>
          <t>Annual Upfront</t>
        </is>
      </c>
      <c r="I129" s="395" t="n">
        <v>162000</v>
      </c>
      <c r="J129" s="381" t="n">
        <v>13500</v>
      </c>
      <c r="K129" s="381" t="n">
        <v>13500</v>
      </c>
      <c r="L129" s="377" t="n">
        <v>366</v>
      </c>
      <c r="M129" s="377" t="n">
        <v>30</v>
      </c>
      <c r="N129" s="381" t="n">
        <v>13278.689</v>
      </c>
      <c r="O129" s="381" t="n">
        <v>31</v>
      </c>
      <c r="P129" s="380" t="n">
        <v>13721.311</v>
      </c>
      <c r="Q129" s="382" t="n">
        <v>13500</v>
      </c>
      <c r="R129" s="377" t="n">
        <v>30</v>
      </c>
      <c r="S129" s="382" t="n">
        <v>13278.6885245902</v>
      </c>
      <c r="T129" s="382" t="n">
        <v>13500</v>
      </c>
      <c r="U129" s="381" t="n">
        <v>31</v>
      </c>
      <c r="V129" s="380" t="n">
        <v>13721.3114754098</v>
      </c>
      <c r="W129" s="384" t="n">
        <v>31</v>
      </c>
      <c r="X129" s="381" t="n">
        <v>13500</v>
      </c>
      <c r="Y129" s="380" t="n">
        <v>13721.311</v>
      </c>
      <c r="Z129" s="384" t="n">
        <v>30</v>
      </c>
      <c r="AA129" s="383" t="n">
        <v>13500</v>
      </c>
      <c r="AB129" s="383" t="n">
        <v>13278.689</v>
      </c>
      <c r="AC129" s="387" t="n">
        <v>31</v>
      </c>
      <c r="AD129" s="388" t="n">
        <v>12461.538</v>
      </c>
      <c r="AE129" s="388" t="n">
        <v>13721.311</v>
      </c>
    </row>
    <row r="130" ht="15.75" customHeight="1" s="253">
      <c r="A130" s="375" t="n">
        <v>0</v>
      </c>
      <c r="B130" s="376" t="n">
        <v>45717</v>
      </c>
      <c r="C130" s="386" t="inlineStr">
        <is>
          <t>Justice (Retd.) AK Sikri</t>
        </is>
      </c>
      <c r="D130" s="377" t="inlineStr">
        <is>
          <t>INV-000134</t>
        </is>
      </c>
      <c r="E130" s="377" t="n"/>
      <c r="F130" s="389" t="n">
        <v>45741</v>
      </c>
      <c r="G130" s="389" t="n">
        <v>46106</v>
      </c>
      <c r="H130" s="386" t="inlineStr">
        <is>
          <t>Annual Upfront</t>
        </is>
      </c>
      <c r="I130" s="395" t="n">
        <v>150000</v>
      </c>
      <c r="J130" s="381" t="n">
        <v>14750</v>
      </c>
      <c r="K130" s="381" t="n">
        <v>10250</v>
      </c>
      <c r="L130" s="377" t="n">
        <v>366</v>
      </c>
      <c r="M130" s="377" t="n">
        <v>30</v>
      </c>
      <c r="N130" s="381" t="n">
        <v>12295.082</v>
      </c>
      <c r="O130" s="381" t="n">
        <v>31</v>
      </c>
      <c r="P130" s="380" t="n">
        <v>12704.918</v>
      </c>
      <c r="Q130" s="382" t="n">
        <v>12500</v>
      </c>
      <c r="R130" s="377" t="n">
        <v>30</v>
      </c>
      <c r="S130" s="382" t="n">
        <v>12295.0819672131</v>
      </c>
      <c r="T130" s="382" t="n">
        <v>12500</v>
      </c>
      <c r="U130" s="381" t="n">
        <v>31</v>
      </c>
      <c r="V130" s="380" t="n">
        <v>12704.9180327869</v>
      </c>
      <c r="W130" s="384" t="n">
        <v>31</v>
      </c>
      <c r="X130" s="381" t="n">
        <v>12500</v>
      </c>
      <c r="Y130" s="380" t="n">
        <v>12704.918</v>
      </c>
      <c r="Z130" s="384" t="n">
        <v>30</v>
      </c>
      <c r="AA130" s="383" t="n">
        <v>12500</v>
      </c>
      <c r="AB130" s="383" t="n">
        <v>12295.082</v>
      </c>
      <c r="AC130" s="387" t="n">
        <v>31</v>
      </c>
      <c r="AD130" s="388" t="n">
        <v>11538.462</v>
      </c>
      <c r="AE130" s="388" t="n">
        <v>12704.918</v>
      </c>
    </row>
    <row r="131" ht="15.75" customHeight="1" s="253">
      <c r="A131" s="375" t="inlineStr">
        <is>
          <t>Closed- Feb</t>
        </is>
      </c>
      <c r="B131" s="376" t="n">
        <v>45627</v>
      </c>
      <c r="C131" s="377" t="inlineStr">
        <is>
          <t>Amrita Panda / ADP Chambers- 5</t>
        </is>
      </c>
      <c r="D131" s="377" t="inlineStr">
        <is>
          <t>INV-000035</t>
        </is>
      </c>
      <c r="E131" s="377" t="n"/>
      <c r="F131" s="389" t="n">
        <v>45640</v>
      </c>
      <c r="G131" s="389" t="n">
        <v>45716</v>
      </c>
      <c r="H131" s="377" t="inlineStr">
        <is>
          <t>2 months- Upfront</t>
        </is>
      </c>
      <c r="I131" s="395" t="n">
        <v>10000</v>
      </c>
      <c r="J131" s="381" t="n"/>
      <c r="K131" s="381" t="n"/>
      <c r="L131" s="377" t="n">
        <v>77</v>
      </c>
      <c r="M131" s="377" t="n"/>
      <c r="N131" s="381" t="n"/>
      <c r="O131" s="381" t="n"/>
      <c r="P131" s="380" t="n"/>
      <c r="Q131" s="377" t="n"/>
      <c r="R131" s="377" t="n">
        <v>30</v>
      </c>
      <c r="S131" s="377" t="n"/>
      <c r="T131" s="377" t="n"/>
      <c r="U131" s="381" t="n">
        <v>31</v>
      </c>
      <c r="V131" s="377" t="n"/>
      <c r="W131" s="384" t="n">
        <v>0</v>
      </c>
      <c r="X131" s="381" t="n">
        <v>0</v>
      </c>
      <c r="Y131" s="377" t="n">
        <v>0</v>
      </c>
      <c r="Z131" s="377" t="n"/>
      <c r="AA131" s="377" t="n"/>
      <c r="AB131" s="377" t="n"/>
      <c r="AC131" s="385" t="n"/>
      <c r="AD131" s="385" t="n"/>
      <c r="AE131" s="385" t="n"/>
    </row>
    <row r="132" ht="15.75" customHeight="1" s="253">
      <c r="A132" s="375" t="n">
        <v>0</v>
      </c>
      <c r="B132" s="376" t="n">
        <v>45717</v>
      </c>
      <c r="C132" s="386" t="inlineStr">
        <is>
          <t>Amrita Panda / ADP Chambers- 62</t>
        </is>
      </c>
      <c r="D132" s="377" t="inlineStr">
        <is>
          <t>INV-000128</t>
        </is>
      </c>
      <c r="E132" s="377" t="n"/>
      <c r="F132" s="389" t="n">
        <v>45738</v>
      </c>
      <c r="G132" s="389" t="n">
        <v>46103</v>
      </c>
      <c r="H132" s="386" t="inlineStr">
        <is>
          <t>Annual Upfront</t>
        </is>
      </c>
      <c r="I132" s="395" t="n">
        <v>177000</v>
      </c>
      <c r="J132" s="381" t="n">
        <v>14750</v>
      </c>
      <c r="K132" s="381" t="n">
        <v>14750</v>
      </c>
      <c r="L132" s="377" t="n">
        <v>366</v>
      </c>
      <c r="M132" s="377" t="n">
        <v>30</v>
      </c>
      <c r="N132" s="381" t="n">
        <v>14508.197</v>
      </c>
      <c r="O132" s="381" t="n">
        <v>31</v>
      </c>
      <c r="P132" s="380" t="n">
        <v>14991.803</v>
      </c>
      <c r="Q132" s="382" t="n">
        <v>14750</v>
      </c>
      <c r="R132" s="377" t="n">
        <v>30</v>
      </c>
      <c r="S132" s="382" t="n">
        <v>14508.1967213115</v>
      </c>
      <c r="T132" s="382" t="n">
        <v>14750</v>
      </c>
      <c r="U132" s="381" t="n">
        <v>31</v>
      </c>
      <c r="V132" s="380" t="n">
        <v>14991.8032786885</v>
      </c>
      <c r="W132" s="384" t="n">
        <v>31</v>
      </c>
      <c r="X132" s="381" t="n">
        <v>14750</v>
      </c>
      <c r="Y132" s="380" t="n">
        <v>14991.803</v>
      </c>
      <c r="Z132" s="384" t="n">
        <v>30</v>
      </c>
      <c r="AA132" s="383" t="n">
        <v>14750</v>
      </c>
      <c r="AB132" s="383" t="n">
        <v>14508.197</v>
      </c>
      <c r="AC132" s="387" t="n">
        <v>31</v>
      </c>
      <c r="AD132" s="388" t="n">
        <v>13615.385</v>
      </c>
      <c r="AE132" s="388" t="n">
        <v>14991.803</v>
      </c>
    </row>
    <row r="133" ht="15" customHeight="1" s="253">
      <c r="A133" s="375" t="inlineStr">
        <is>
          <t>Closed- May 25</t>
        </is>
      </c>
      <c r="B133" s="376" t="n">
        <v>45689</v>
      </c>
      <c r="C133" s="377" t="inlineStr">
        <is>
          <t>Argus Partners</t>
        </is>
      </c>
      <c r="D133" s="377" t="inlineStr">
        <is>
          <t>INV-000098</t>
        </is>
      </c>
      <c r="E133" s="377" t="n"/>
      <c r="F133" s="389" t="n">
        <v>45712</v>
      </c>
      <c r="G133" s="389" t="n">
        <v>45800</v>
      </c>
      <c r="H133" s="379" t="inlineStr">
        <is>
          <t>3 months subscription, upfront</t>
        </is>
      </c>
      <c r="I133" s="395" t="n">
        <v>157707</v>
      </c>
      <c r="J133" s="381" t="n">
        <v>52569</v>
      </c>
      <c r="K133" s="381" t="n"/>
      <c r="L133" s="377" t="n">
        <v>89</v>
      </c>
      <c r="M133" s="377" t="n">
        <v>30</v>
      </c>
      <c r="N133" s="381" t="n">
        <v>53159.663</v>
      </c>
      <c r="O133" s="381" t="n">
        <v>23</v>
      </c>
      <c r="P133" s="380" t="n">
        <v>40755.742</v>
      </c>
      <c r="Q133" s="377" t="n"/>
      <c r="R133" s="377" t="n">
        <v>30</v>
      </c>
      <c r="S133" s="377" t="n"/>
      <c r="T133" s="377" t="n"/>
      <c r="U133" s="381" t="n">
        <v>31</v>
      </c>
      <c r="V133" s="377" t="n"/>
      <c r="W133" s="384" t="n">
        <v>0</v>
      </c>
      <c r="X133" s="381" t="n">
        <v>0</v>
      </c>
      <c r="Y133" s="377" t="n">
        <v>0</v>
      </c>
      <c r="Z133" s="377" t="n"/>
      <c r="AA133" s="377" t="n"/>
      <c r="AB133" s="377" t="n"/>
      <c r="AC133" s="385" t="n"/>
      <c r="AD133" s="385" t="n"/>
      <c r="AE133" s="385" t="n"/>
    </row>
    <row r="134" ht="15.75" customHeight="1" s="253">
      <c r="A134" s="375" t="n">
        <v>0</v>
      </c>
      <c r="B134" s="376" t="n">
        <v>45717</v>
      </c>
      <c r="C134" s="386" t="inlineStr">
        <is>
          <t>Akshat Vachher</t>
        </is>
      </c>
      <c r="D134" s="377" t="n"/>
      <c r="E134" s="377" t="n"/>
      <c r="F134" s="389" t="n">
        <v>45744</v>
      </c>
      <c r="G134" s="389" t="n">
        <v>46108</v>
      </c>
      <c r="H134" s="386" t="inlineStr">
        <is>
          <t>Annual Upfront</t>
        </is>
      </c>
      <c r="I134" s="395" t="n">
        <v>0</v>
      </c>
      <c r="J134" s="381" t="n">
        <v>12744</v>
      </c>
      <c r="K134" s="381" t="n">
        <v>-12744</v>
      </c>
      <c r="L134" s="377" t="n">
        <v>365</v>
      </c>
      <c r="M134" s="377" t="n">
        <v>30</v>
      </c>
      <c r="N134" s="381" t="n">
        <v>0</v>
      </c>
      <c r="O134" s="381" t="n">
        <v>31</v>
      </c>
      <c r="P134" s="380" t="n">
        <v>0</v>
      </c>
      <c r="Q134" s="382" t="n">
        <v>0</v>
      </c>
      <c r="R134" s="377" t="n">
        <v>30</v>
      </c>
      <c r="S134" s="382" t="n">
        <v>0</v>
      </c>
      <c r="T134" s="382" t="n">
        <v>0</v>
      </c>
      <c r="U134" s="381" t="n">
        <v>31</v>
      </c>
      <c r="V134" s="380" t="n">
        <v>0</v>
      </c>
      <c r="W134" s="384" t="n">
        <v>31</v>
      </c>
      <c r="X134" s="381" t="n">
        <v>0</v>
      </c>
      <c r="Y134" s="380" t="n">
        <v>0</v>
      </c>
      <c r="Z134" s="384" t="n">
        <v>30</v>
      </c>
      <c r="AA134" s="383" t="n">
        <v>0</v>
      </c>
      <c r="AB134" s="383" t="n">
        <v>0</v>
      </c>
      <c r="AC134" s="387" t="n">
        <v>31</v>
      </c>
      <c r="AD134" s="388" t="n">
        <v>0</v>
      </c>
      <c r="AE134" s="388" t="n">
        <v>0</v>
      </c>
    </row>
    <row r="135" ht="15.75" customHeight="1" s="253">
      <c r="A135" s="375" t="n">
        <v>0</v>
      </c>
      <c r="B135" s="376" t="n">
        <v>45717</v>
      </c>
      <c r="C135" s="379" t="inlineStr">
        <is>
          <t>Chambers of Justice Mohit S Shah (Retd.), Former Chief Justice of Bombay and Calcutta High Court</t>
        </is>
      </c>
      <c r="D135" s="377" t="inlineStr">
        <is>
          <t>INV-000141</t>
        </is>
      </c>
      <c r="E135" s="377" t="n"/>
      <c r="F135" s="389" t="n">
        <v>45744</v>
      </c>
      <c r="G135" s="389" t="n">
        <v>46108</v>
      </c>
      <c r="H135" s="386" t="inlineStr">
        <is>
          <t>Annual Upfront</t>
        </is>
      </c>
      <c r="I135" s="395" t="n">
        <v>53100</v>
      </c>
      <c r="J135" s="381" t="n">
        <v>4425</v>
      </c>
      <c r="K135" s="381" t="n">
        <v>4425</v>
      </c>
      <c r="L135" s="377" t="n">
        <v>365</v>
      </c>
      <c r="M135" s="377" t="n">
        <v>30</v>
      </c>
      <c r="N135" s="381" t="n">
        <v>4364.384</v>
      </c>
      <c r="O135" s="381" t="n">
        <v>31</v>
      </c>
      <c r="P135" s="380" t="n">
        <v>4509.863</v>
      </c>
      <c r="Q135" s="382" t="n">
        <v>4425</v>
      </c>
      <c r="R135" s="377" t="n">
        <v>30</v>
      </c>
      <c r="S135" s="382" t="n">
        <v>4364.38356164384</v>
      </c>
      <c r="T135" s="382" t="n">
        <v>4425</v>
      </c>
      <c r="U135" s="381" t="n">
        <v>31</v>
      </c>
      <c r="V135" s="380" t="n">
        <v>4509.86301369863</v>
      </c>
      <c r="W135" s="384" t="n">
        <v>31</v>
      </c>
      <c r="X135" s="381" t="n">
        <v>4425</v>
      </c>
      <c r="Y135" s="380" t="n">
        <v>4509.863</v>
      </c>
      <c r="Z135" s="384" t="n">
        <v>30</v>
      </c>
      <c r="AA135" s="383" t="n">
        <v>4425</v>
      </c>
      <c r="AB135" s="383" t="n">
        <v>4364.384</v>
      </c>
      <c r="AC135" s="387" t="n">
        <v>31</v>
      </c>
      <c r="AD135" s="388" t="n">
        <v>4425</v>
      </c>
      <c r="AE135" s="388" t="n">
        <v>4509.863</v>
      </c>
    </row>
    <row r="136" ht="15.75" customHeight="1" s="253">
      <c r="A136" s="375" t="n">
        <v>0</v>
      </c>
      <c r="B136" s="376" t="n">
        <v>45717</v>
      </c>
      <c r="C136" s="386" t="inlineStr">
        <is>
          <t>Wadia Ghandy &amp; Co.</t>
        </is>
      </c>
      <c r="D136" s="377" t="inlineStr">
        <is>
          <t>INV-000144</t>
        </is>
      </c>
      <c r="E136" s="377" t="n"/>
      <c r="F136" s="389" t="n">
        <v>45745</v>
      </c>
      <c r="G136" s="389" t="n">
        <v>46109</v>
      </c>
      <c r="H136" s="386" t="inlineStr">
        <is>
          <t>Annual Upfront</t>
        </is>
      </c>
      <c r="I136" s="395" t="n">
        <v>3058560</v>
      </c>
      <c r="J136" s="381" t="n">
        <v>254880</v>
      </c>
      <c r="K136" s="381" t="n">
        <v>254880</v>
      </c>
      <c r="L136" s="377" t="n">
        <v>365</v>
      </c>
      <c r="M136" s="377" t="n">
        <v>30</v>
      </c>
      <c r="N136" s="381" t="n">
        <v>251388.493</v>
      </c>
      <c r="O136" s="381" t="n">
        <v>31</v>
      </c>
      <c r="P136" s="380" t="n">
        <v>259768.11</v>
      </c>
      <c r="Q136" s="382" t="n">
        <v>254880</v>
      </c>
      <c r="R136" s="377" t="n">
        <v>30</v>
      </c>
      <c r="S136" s="382" t="n">
        <v>251388.493150685</v>
      </c>
      <c r="T136" s="382" t="n">
        <v>254880</v>
      </c>
      <c r="U136" s="381" t="n">
        <v>31</v>
      </c>
      <c r="V136" s="380" t="n">
        <v>259768.109589041</v>
      </c>
      <c r="W136" s="384" t="n">
        <v>31</v>
      </c>
      <c r="X136" s="381" t="n">
        <v>254880</v>
      </c>
      <c r="Y136" s="380" t="n">
        <v>259768.11</v>
      </c>
      <c r="Z136" s="384" t="n">
        <v>30</v>
      </c>
      <c r="AA136" s="383" t="n">
        <v>254880</v>
      </c>
      <c r="AB136" s="383" t="n">
        <v>251388.493</v>
      </c>
      <c r="AC136" s="387" t="n">
        <v>31</v>
      </c>
      <c r="AD136" s="388" t="n">
        <v>254880</v>
      </c>
      <c r="AE136" s="388" t="n">
        <v>259768.11</v>
      </c>
    </row>
    <row r="137" ht="15.75" customHeight="1" s="253">
      <c r="A137" s="375" t="n">
        <v>0</v>
      </c>
      <c r="B137" s="376" t="n">
        <v>45717</v>
      </c>
      <c r="C137" s="386" t="inlineStr">
        <is>
          <t>Burgeon Law LLP</t>
        </is>
      </c>
      <c r="D137" s="377" t="inlineStr">
        <is>
          <t>INV-000135</t>
        </is>
      </c>
      <c r="E137" s="377" t="n"/>
      <c r="F137" s="389" t="n">
        <v>45742</v>
      </c>
      <c r="G137" s="389" t="n">
        <v>45833</v>
      </c>
      <c r="H137" s="379" t="inlineStr">
        <is>
          <t>3 months subscription, upfront</t>
        </is>
      </c>
      <c r="I137" s="395" t="n">
        <v>79650</v>
      </c>
      <c r="J137" s="381" t="n">
        <v>26550</v>
      </c>
      <c r="K137" s="381" t="n">
        <v>26550</v>
      </c>
      <c r="L137" s="377" t="n">
        <v>92</v>
      </c>
      <c r="M137" s="377" t="n">
        <v>30</v>
      </c>
      <c r="N137" s="381" t="n">
        <v>25972.826</v>
      </c>
      <c r="O137" s="381" t="n">
        <v>31</v>
      </c>
      <c r="P137" s="380" t="n">
        <v>26838.587</v>
      </c>
      <c r="Q137" s="377" t="n">
        <v>0</v>
      </c>
      <c r="R137" s="377" t="n">
        <v>25</v>
      </c>
      <c r="S137" s="383" t="n">
        <v>21644.0217391304</v>
      </c>
      <c r="T137" s="377" t="n"/>
      <c r="U137" s="381" t="n">
        <v>31</v>
      </c>
      <c r="V137" s="377" t="n"/>
      <c r="W137" s="384" t="n">
        <v>0</v>
      </c>
      <c r="X137" s="381" t="n">
        <v>0</v>
      </c>
      <c r="Y137" s="377" t="n">
        <v>0</v>
      </c>
      <c r="Z137" s="377" t="n"/>
      <c r="AA137" s="377" t="n"/>
      <c r="AB137" s="377" t="n"/>
      <c r="AC137" s="385" t="n"/>
      <c r="AD137" s="385" t="n"/>
      <c r="AE137" s="385" t="n"/>
    </row>
    <row r="138" ht="15.75" customHeight="1" s="253">
      <c r="A138" s="375" t="n">
        <v>0</v>
      </c>
      <c r="B138" s="376" t="n">
        <v>45717</v>
      </c>
      <c r="C138" s="386" t="inlineStr">
        <is>
          <t>Eternity Legal</t>
        </is>
      </c>
      <c r="D138" s="377" t="inlineStr">
        <is>
          <t>INV-000125</t>
        </is>
      </c>
      <c r="E138" s="377" t="n"/>
      <c r="F138" s="389" t="n">
        <v>45736</v>
      </c>
      <c r="G138" s="389" t="n">
        <v>46101</v>
      </c>
      <c r="H138" s="386" t="inlineStr">
        <is>
          <t>Annual Upfront</t>
        </is>
      </c>
      <c r="I138" s="395" t="n">
        <v>116820</v>
      </c>
      <c r="J138" s="381" t="n">
        <v>9735</v>
      </c>
      <c r="K138" s="381" t="n">
        <v>9735</v>
      </c>
      <c r="L138" s="377" t="n">
        <v>366</v>
      </c>
      <c r="M138" s="377" t="n">
        <v>30</v>
      </c>
      <c r="N138" s="381" t="n">
        <v>9575.41</v>
      </c>
      <c r="O138" s="381" t="n">
        <v>31</v>
      </c>
      <c r="P138" s="380" t="n">
        <v>9894.59</v>
      </c>
      <c r="Q138" s="382" t="n">
        <v>9735</v>
      </c>
      <c r="R138" s="377" t="n">
        <v>30</v>
      </c>
      <c r="S138" s="382" t="n">
        <v>9575.40983606557</v>
      </c>
      <c r="T138" s="382" t="n">
        <v>9735</v>
      </c>
      <c r="U138" s="381" t="n">
        <v>31</v>
      </c>
      <c r="V138" s="380" t="n">
        <v>9894.59016393443</v>
      </c>
      <c r="W138" s="384" t="n">
        <v>31</v>
      </c>
      <c r="X138" s="381" t="n">
        <v>9735</v>
      </c>
      <c r="Y138" s="380" t="n">
        <v>9894.59</v>
      </c>
      <c r="Z138" s="384" t="n">
        <v>30</v>
      </c>
      <c r="AA138" s="383" t="n">
        <v>9735</v>
      </c>
      <c r="AB138" s="383" t="n">
        <v>9575.41</v>
      </c>
      <c r="AC138" s="387" t="n">
        <v>31</v>
      </c>
      <c r="AD138" s="388" t="n">
        <v>8986.154</v>
      </c>
      <c r="AE138" s="388" t="n">
        <v>9894.59</v>
      </c>
    </row>
    <row r="139" ht="15.75" customHeight="1" s="253">
      <c r="A139" s="375" t="n">
        <v>0</v>
      </c>
      <c r="B139" s="376" t="n">
        <v>45717</v>
      </c>
      <c r="C139" s="386" t="inlineStr">
        <is>
          <t>Nora Legal Consultants LLP</t>
        </is>
      </c>
      <c r="D139" s="377" t="inlineStr">
        <is>
          <t>INV-000139</t>
        </is>
      </c>
      <c r="E139" s="377" t="n"/>
      <c r="F139" s="389" t="n">
        <v>45742</v>
      </c>
      <c r="G139" s="389" t="n">
        <v>46107</v>
      </c>
      <c r="H139" s="386" t="inlineStr">
        <is>
          <t>Annual Upfront</t>
        </is>
      </c>
      <c r="I139" s="395" t="n">
        <v>190000</v>
      </c>
      <c r="J139" s="381" t="n">
        <v>15833.333</v>
      </c>
      <c r="K139" s="381" t="n">
        <v>15833.333</v>
      </c>
      <c r="L139" s="377" t="n">
        <v>366</v>
      </c>
      <c r="M139" s="377" t="n">
        <v>30</v>
      </c>
      <c r="N139" s="381" t="n">
        <v>15573.77</v>
      </c>
      <c r="O139" s="381" t="n">
        <v>31</v>
      </c>
      <c r="P139" s="380" t="n">
        <v>16092.896</v>
      </c>
      <c r="Q139" s="382" t="n">
        <v>15833.3333333333</v>
      </c>
      <c r="R139" s="377" t="n">
        <v>30</v>
      </c>
      <c r="S139" s="382" t="n">
        <v>15573.7704918033</v>
      </c>
      <c r="T139" s="382" t="n">
        <v>15833.3333333333</v>
      </c>
      <c r="U139" s="381" t="n">
        <v>31</v>
      </c>
      <c r="V139" s="380" t="n">
        <v>16092.8961748634</v>
      </c>
      <c r="W139" s="384" t="n">
        <v>31</v>
      </c>
      <c r="X139" s="381" t="n">
        <v>15833.333</v>
      </c>
      <c r="Y139" s="380" t="n">
        <v>16092.896</v>
      </c>
      <c r="Z139" s="384" t="n">
        <v>30</v>
      </c>
      <c r="AA139" s="383" t="n">
        <v>15833.333</v>
      </c>
      <c r="AB139" s="383" t="n">
        <v>15573.77</v>
      </c>
      <c r="AC139" s="387" t="n">
        <v>31</v>
      </c>
      <c r="AD139" s="388" t="n">
        <v>14615.385</v>
      </c>
      <c r="AE139" s="388" t="n">
        <v>16092.896</v>
      </c>
    </row>
    <row r="140" ht="15.75" customHeight="1" s="253">
      <c r="A140" s="375" t="n">
        <v>0</v>
      </c>
      <c r="B140" s="376" t="n">
        <v>45717</v>
      </c>
      <c r="C140" s="377" t="inlineStr">
        <is>
          <t>MZM Legal LLP</t>
        </is>
      </c>
      <c r="D140" s="377" t="inlineStr">
        <is>
          <t>INV-000120</t>
        </is>
      </c>
      <c r="E140" s="377" t="n"/>
      <c r="F140" s="389" t="n">
        <v>45733</v>
      </c>
      <c r="G140" s="389" t="n">
        <v>46097</v>
      </c>
      <c r="H140" s="386" t="inlineStr">
        <is>
          <t>Annual Upfront</t>
        </is>
      </c>
      <c r="I140" s="395" t="n">
        <v>300900</v>
      </c>
      <c r="J140" s="381" t="n">
        <v>25075</v>
      </c>
      <c r="K140" s="381" t="n">
        <v>25075</v>
      </c>
      <c r="L140" s="377" t="n">
        <v>365</v>
      </c>
      <c r="M140" s="377" t="n">
        <v>30</v>
      </c>
      <c r="N140" s="381" t="n">
        <v>24731.507</v>
      </c>
      <c r="O140" s="381" t="n">
        <v>31</v>
      </c>
      <c r="P140" s="380" t="n">
        <v>25555.89</v>
      </c>
      <c r="Q140" s="382" t="n">
        <v>25075</v>
      </c>
      <c r="R140" s="377" t="n">
        <v>30</v>
      </c>
      <c r="S140" s="382" t="n">
        <v>24731.5068493151</v>
      </c>
      <c r="T140" s="382" t="n">
        <v>25075</v>
      </c>
      <c r="U140" s="381" t="n">
        <v>31</v>
      </c>
      <c r="V140" s="380" t="n">
        <v>25555.8904109589</v>
      </c>
      <c r="W140" s="384" t="n">
        <v>31</v>
      </c>
      <c r="X140" s="381" t="n">
        <v>25075</v>
      </c>
      <c r="Y140" s="380" t="n">
        <v>25555.89</v>
      </c>
      <c r="Z140" s="384" t="n">
        <v>30</v>
      </c>
      <c r="AA140" s="383" t="n">
        <v>25075</v>
      </c>
      <c r="AB140" s="383" t="n">
        <v>24731.507</v>
      </c>
      <c r="AC140" s="387" t="n">
        <v>31</v>
      </c>
      <c r="AD140" s="388" t="n">
        <v>25075</v>
      </c>
      <c r="AE140" s="388" t="n">
        <v>25555.89</v>
      </c>
    </row>
    <row r="141" ht="15.75" customHeight="1" s="253">
      <c r="A141" s="375" t="n">
        <v>0</v>
      </c>
      <c r="B141" s="376" t="n">
        <v>45717</v>
      </c>
      <c r="C141" s="386" t="inlineStr">
        <is>
          <t>Innovatus Law</t>
        </is>
      </c>
      <c r="D141" s="377" t="inlineStr">
        <is>
          <t>INV-000124</t>
        </is>
      </c>
      <c r="E141" s="377" t="n"/>
      <c r="F141" s="389" t="n">
        <v>45736</v>
      </c>
      <c r="G141" s="389" t="n">
        <v>46100</v>
      </c>
      <c r="H141" s="386" t="inlineStr">
        <is>
          <t>Annual Upfront</t>
        </is>
      </c>
      <c r="I141" s="395" t="n">
        <v>356832</v>
      </c>
      <c r="J141" s="381" t="n">
        <v>29736</v>
      </c>
      <c r="K141" s="381" t="n">
        <v>29736</v>
      </c>
      <c r="L141" s="377" t="n">
        <v>365</v>
      </c>
      <c r="M141" s="377" t="n">
        <v>30</v>
      </c>
      <c r="N141" s="381" t="n">
        <v>29328.658</v>
      </c>
      <c r="O141" s="381" t="n">
        <v>31</v>
      </c>
      <c r="P141" s="380" t="n">
        <v>30306.279</v>
      </c>
      <c r="Q141" s="382" t="n">
        <v>29736</v>
      </c>
      <c r="R141" s="377" t="n">
        <v>30</v>
      </c>
      <c r="S141" s="382" t="n">
        <v>29328.6575342466</v>
      </c>
      <c r="T141" s="382" t="n">
        <v>29736</v>
      </c>
      <c r="U141" s="381" t="n">
        <v>31</v>
      </c>
      <c r="V141" s="380" t="n">
        <v>30306.2794520548</v>
      </c>
      <c r="W141" s="384" t="n">
        <v>31</v>
      </c>
      <c r="X141" s="381" t="n">
        <v>29736</v>
      </c>
      <c r="Y141" s="380" t="n">
        <v>30306.279</v>
      </c>
      <c r="Z141" s="384" t="n">
        <v>30</v>
      </c>
      <c r="AA141" s="383" t="n">
        <v>29736</v>
      </c>
      <c r="AB141" s="383" t="n">
        <v>29328.658</v>
      </c>
      <c r="AC141" s="387" t="n">
        <v>31</v>
      </c>
      <c r="AD141" s="388" t="n">
        <v>29736</v>
      </c>
      <c r="AE141" s="388" t="n">
        <v>30306.279</v>
      </c>
    </row>
    <row r="142" ht="15.75" customHeight="1" s="253">
      <c r="A142" s="375" t="n">
        <v>0</v>
      </c>
      <c r="B142" s="376" t="n">
        <v>45717</v>
      </c>
      <c r="C142" s="386" t="inlineStr">
        <is>
          <t>Gourab Banreji</t>
        </is>
      </c>
      <c r="D142" s="377" t="inlineStr">
        <is>
          <t>INV-000131</t>
        </is>
      </c>
      <c r="E142" s="377" t="n"/>
      <c r="F142" s="389" t="n">
        <v>45740</v>
      </c>
      <c r="G142" s="389" t="n">
        <v>46104</v>
      </c>
      <c r="H142" s="386" t="inlineStr">
        <is>
          <t>Annual Upfront</t>
        </is>
      </c>
      <c r="I142" s="395" t="n">
        <v>300900</v>
      </c>
      <c r="J142" s="381" t="n">
        <v>25075</v>
      </c>
      <c r="K142" s="381" t="n">
        <v>25075</v>
      </c>
      <c r="L142" s="377" t="n">
        <v>365</v>
      </c>
      <c r="M142" s="377" t="n">
        <v>30</v>
      </c>
      <c r="N142" s="381" t="n">
        <v>24731.507</v>
      </c>
      <c r="O142" s="381" t="n">
        <v>31</v>
      </c>
      <c r="P142" s="380" t="n">
        <v>25555.89</v>
      </c>
      <c r="Q142" s="382" t="n">
        <v>25075</v>
      </c>
      <c r="R142" s="377" t="n">
        <v>30</v>
      </c>
      <c r="S142" s="382" t="n">
        <v>24731.5068493151</v>
      </c>
      <c r="T142" s="382" t="n">
        <v>25075</v>
      </c>
      <c r="U142" s="381" t="n">
        <v>31</v>
      </c>
      <c r="V142" s="380" t="n">
        <v>25555.8904109589</v>
      </c>
      <c r="W142" s="384" t="n">
        <v>31</v>
      </c>
      <c r="X142" s="381" t="n">
        <v>25075</v>
      </c>
      <c r="Y142" s="380" t="n">
        <v>25555.89</v>
      </c>
      <c r="Z142" s="384" t="n">
        <v>30</v>
      </c>
      <c r="AA142" s="383" t="n">
        <v>25075</v>
      </c>
      <c r="AB142" s="383" t="n">
        <v>24731.507</v>
      </c>
      <c r="AC142" s="387" t="n">
        <v>31</v>
      </c>
      <c r="AD142" s="388" t="n">
        <v>25075</v>
      </c>
      <c r="AE142" s="388" t="n">
        <v>25555.89</v>
      </c>
    </row>
    <row r="143" ht="15" customHeight="1" s="253">
      <c r="A143" s="375" t="inlineStr">
        <is>
          <t>Closed- May 25</t>
        </is>
      </c>
      <c r="B143" s="376" t="n">
        <v>45717</v>
      </c>
      <c r="C143" s="386" t="inlineStr">
        <is>
          <t>Solaris Legal</t>
        </is>
      </c>
      <c r="D143" s="377" t="inlineStr">
        <is>
          <t>INV-000126, INV-25-26-000226, 000481</t>
        </is>
      </c>
      <c r="E143" s="377" t="n"/>
      <c r="F143" s="389" t="n">
        <v>45737</v>
      </c>
      <c r="G143" s="389" t="n">
        <v>45798</v>
      </c>
      <c r="H143" s="377" t="inlineStr">
        <is>
          <t>2 months- Upfront</t>
        </is>
      </c>
      <c r="I143" s="395" t="n">
        <v>47200</v>
      </c>
      <c r="J143" s="381" t="n">
        <v>23600</v>
      </c>
      <c r="K143" s="381" t="n"/>
      <c r="L143" s="377" t="n">
        <v>62</v>
      </c>
      <c r="M143" s="377" t="n">
        <v>30</v>
      </c>
      <c r="N143" s="381" t="n">
        <v>22838.71</v>
      </c>
      <c r="O143" s="381" t="n">
        <v>21</v>
      </c>
      <c r="P143" s="380" t="n">
        <v>15987.097</v>
      </c>
      <c r="Q143" s="377" t="n"/>
      <c r="R143" s="377" t="n">
        <v>30</v>
      </c>
      <c r="S143" s="377" t="n"/>
      <c r="T143" s="377" t="n"/>
      <c r="U143" s="381" t="n">
        <v>31</v>
      </c>
      <c r="V143" s="377" t="n"/>
      <c r="W143" s="384" t="n">
        <v>0</v>
      </c>
      <c r="X143" s="381" t="n">
        <v>0</v>
      </c>
      <c r="Y143" s="377" t="n">
        <v>0</v>
      </c>
      <c r="Z143" s="377" t="n"/>
      <c r="AA143" s="377" t="n"/>
      <c r="AB143" s="377" t="n"/>
      <c r="AC143" s="385" t="n"/>
      <c r="AD143" s="385" t="n"/>
      <c r="AE143" s="385" t="n"/>
    </row>
    <row r="144" ht="15.75" customHeight="1" s="253">
      <c r="A144" s="375" t="n">
        <v>0</v>
      </c>
      <c r="B144" s="376" t="n">
        <v>45689</v>
      </c>
      <c r="C144" s="386" t="inlineStr">
        <is>
          <t>MV Law Partners</t>
        </is>
      </c>
      <c r="D144" s="377" t="inlineStr">
        <is>
          <t>INV-000105</t>
        </is>
      </c>
      <c r="E144" s="377" t="n"/>
      <c r="F144" s="389" t="n">
        <v>45715</v>
      </c>
      <c r="G144" s="389" t="n">
        <v>45900</v>
      </c>
      <c r="H144" s="386" t="inlineStr">
        <is>
          <t>6 month-Upfront</t>
        </is>
      </c>
      <c r="I144" s="395" t="n">
        <v>70800</v>
      </c>
      <c r="J144" s="381" t="n">
        <v>11800</v>
      </c>
      <c r="K144" s="381" t="n">
        <v>11800</v>
      </c>
      <c r="L144" s="377" t="n">
        <v>186</v>
      </c>
      <c r="M144" s="377" t="n">
        <v>30</v>
      </c>
      <c r="N144" s="381" t="n">
        <v>11419.355</v>
      </c>
      <c r="O144" s="381" t="n">
        <v>31</v>
      </c>
      <c r="P144" s="380" t="n">
        <v>11800</v>
      </c>
      <c r="Q144" s="382" t="n">
        <v>11800</v>
      </c>
      <c r="R144" s="377" t="n">
        <v>30</v>
      </c>
      <c r="S144" s="382" t="n">
        <v>11419.3548387097</v>
      </c>
      <c r="T144" s="382" t="n">
        <v>11800</v>
      </c>
      <c r="U144" s="381" t="n">
        <v>31</v>
      </c>
      <c r="V144" s="380" t="n">
        <v>11800</v>
      </c>
      <c r="W144" s="384" t="n">
        <v>31</v>
      </c>
      <c r="X144" s="381" t="n">
        <v>0</v>
      </c>
      <c r="Y144" s="380" t="n">
        <v>11800</v>
      </c>
      <c r="Z144" s="377" t="n"/>
      <c r="AA144" s="377" t="n"/>
      <c r="AB144" s="377" t="n"/>
      <c r="AC144" s="385" t="n"/>
      <c r="AD144" s="385" t="n"/>
      <c r="AE144" s="385" t="n"/>
    </row>
    <row r="145" ht="15.75" customHeight="1" s="253">
      <c r="A145" s="375" t="n">
        <v>0</v>
      </c>
      <c r="B145" s="376" t="n">
        <v>45597</v>
      </c>
      <c r="C145" s="386" t="inlineStr">
        <is>
          <t>Ratan Kumar Singh</t>
        </is>
      </c>
      <c r="D145" s="377" t="inlineStr">
        <is>
          <t>INV-000018</t>
        </is>
      </c>
      <c r="E145" s="377" t="n"/>
      <c r="F145" s="389" t="n">
        <v>45615</v>
      </c>
      <c r="G145" s="389" t="n">
        <v>45980</v>
      </c>
      <c r="H145" s="386" t="inlineStr">
        <is>
          <t>Annual- Half Yearly Payment</t>
        </is>
      </c>
      <c r="I145" s="395" t="n">
        <v>240000</v>
      </c>
      <c r="J145" s="381" t="n">
        <v>20000</v>
      </c>
      <c r="K145" s="381" t="n">
        <v>20000</v>
      </c>
      <c r="L145" s="377" t="n">
        <v>366</v>
      </c>
      <c r="M145" s="377" t="n">
        <v>30</v>
      </c>
      <c r="N145" s="381" t="n">
        <v>19672.131</v>
      </c>
      <c r="O145" s="381" t="n">
        <v>31</v>
      </c>
      <c r="P145" s="380" t="n">
        <v>20327.869</v>
      </c>
      <c r="Q145" s="383" t="n">
        <v>20000</v>
      </c>
      <c r="R145" s="377" t="n">
        <v>30</v>
      </c>
      <c r="S145" s="382" t="n">
        <v>19672.131147541</v>
      </c>
      <c r="T145" s="382" t="n">
        <v>20000</v>
      </c>
      <c r="U145" s="381" t="n">
        <v>31</v>
      </c>
      <c r="V145" s="380" t="n">
        <v>20327.868852459</v>
      </c>
      <c r="W145" s="384" t="n">
        <v>31</v>
      </c>
      <c r="X145" s="381" t="n">
        <v>20000</v>
      </c>
      <c r="Y145" s="380" t="n">
        <v>20327.869</v>
      </c>
      <c r="Z145" s="384" t="n">
        <v>30</v>
      </c>
      <c r="AA145" s="383" t="n">
        <v>20000</v>
      </c>
      <c r="AB145" s="383" t="n">
        <v>19672.131</v>
      </c>
      <c r="AC145" s="387" t="n">
        <v>31</v>
      </c>
      <c r="AD145" s="388" t="n">
        <v>18461.538</v>
      </c>
      <c r="AE145" s="388" t="n">
        <v>20327.869</v>
      </c>
    </row>
    <row r="146" ht="15.75" customHeight="1" s="253">
      <c r="A146" s="375" t="inlineStr">
        <is>
          <t>Closed-Apr 25</t>
        </is>
      </c>
      <c r="B146" s="376" t="n">
        <v>45717</v>
      </c>
      <c r="C146" s="386" t="inlineStr">
        <is>
          <t>Balbir Singh</t>
        </is>
      </c>
      <c r="D146" s="377" t="inlineStr">
        <is>
          <t>INV-000136</t>
        </is>
      </c>
      <c r="E146" s="377" t="inlineStr">
        <is>
          <t>One time work</t>
        </is>
      </c>
      <c r="F146" s="389" t="n">
        <v>45742</v>
      </c>
      <c r="G146" s="389" t="n">
        <v>45773</v>
      </c>
      <c r="H146" s="386" t="inlineStr">
        <is>
          <t>1 month-Upfront</t>
        </is>
      </c>
      <c r="I146" s="395" t="n">
        <v>17700</v>
      </c>
      <c r="J146" s="381" t="n"/>
      <c r="K146" s="381" t="n"/>
      <c r="L146" s="377" t="n">
        <v>32</v>
      </c>
      <c r="M146" s="377" t="n">
        <v>26</v>
      </c>
      <c r="N146" s="381" t="n">
        <v>14381.25</v>
      </c>
      <c r="O146" s="381" t="n">
        <v>31</v>
      </c>
      <c r="P146" s="380" t="n"/>
      <c r="Q146" s="377" t="n"/>
      <c r="R146" s="377" t="n">
        <v>30</v>
      </c>
      <c r="S146" s="377" t="n"/>
      <c r="T146" s="377" t="n"/>
      <c r="U146" s="381" t="n">
        <v>31</v>
      </c>
      <c r="V146" s="377" t="n"/>
      <c r="W146" s="384" t="n">
        <v>0</v>
      </c>
      <c r="X146" s="381" t="n">
        <v>0</v>
      </c>
      <c r="Y146" s="377" t="n">
        <v>0</v>
      </c>
      <c r="Z146" s="377" t="n"/>
      <c r="AA146" s="377" t="n"/>
      <c r="AB146" s="377" t="n"/>
      <c r="AC146" s="385" t="n"/>
      <c r="AD146" s="385" t="n"/>
      <c r="AE146" s="385" t="n"/>
    </row>
    <row r="147" ht="15" customHeight="1" s="253">
      <c r="A147" s="375" t="n">
        <v>0</v>
      </c>
      <c r="B147" s="376" t="n">
        <v>45717</v>
      </c>
      <c r="C147" s="386" t="inlineStr">
        <is>
          <t>Mr Rohit Gupta</t>
        </is>
      </c>
      <c r="D147" s="377" t="inlineStr">
        <is>
          <t>INV-000147,000479</t>
        </is>
      </c>
      <c r="E147" s="377" t="n"/>
      <c r="F147" s="389" t="n">
        <v>45748</v>
      </c>
      <c r="G147" s="389" t="n">
        <v>46295</v>
      </c>
      <c r="H147" s="377" t="inlineStr">
        <is>
          <t>18 month-Half Yearly Payment</t>
        </is>
      </c>
      <c r="I147" s="395" t="n">
        <v>123900</v>
      </c>
      <c r="J147" s="381" t="n">
        <v>6883.333</v>
      </c>
      <c r="K147" s="381" t="n">
        <v>6883.333</v>
      </c>
      <c r="L147" s="377" t="n">
        <v>548</v>
      </c>
      <c r="M147" s="377" t="n">
        <v>30</v>
      </c>
      <c r="N147" s="381" t="n">
        <v>6782.847</v>
      </c>
      <c r="O147" s="381" t="n">
        <v>31</v>
      </c>
      <c r="P147" s="381" t="n">
        <v>7008.942</v>
      </c>
      <c r="Q147" s="383" t="n">
        <v>6883.33333333333</v>
      </c>
      <c r="R147" s="377" t="n">
        <v>30</v>
      </c>
      <c r="S147" s="382" t="n">
        <v>6782.84671532847</v>
      </c>
      <c r="T147" s="381" t="n">
        <v>6883.33333333333</v>
      </c>
      <c r="U147" s="381" t="n">
        <v>31</v>
      </c>
      <c r="V147" s="380" t="n">
        <v>7008.94160583942</v>
      </c>
      <c r="W147" s="381" t="n">
        <v>31</v>
      </c>
      <c r="X147" s="383" t="n">
        <v>6883.333</v>
      </c>
      <c r="Y147" s="381" t="n">
        <v>7008.942</v>
      </c>
      <c r="Z147" s="384" t="n">
        <v>30</v>
      </c>
      <c r="AA147" s="383" t="n">
        <v>6883.333</v>
      </c>
      <c r="AB147" s="383" t="n">
        <v>6782.847</v>
      </c>
      <c r="AC147" s="387" t="n">
        <v>31</v>
      </c>
      <c r="AD147" s="388" t="n">
        <v>6883.333</v>
      </c>
      <c r="AE147" s="388" t="n">
        <v>7008.942</v>
      </c>
    </row>
    <row r="148" ht="15" customHeight="1" s="253">
      <c r="A148" s="375" t="inlineStr">
        <is>
          <t>Closed-Apr 25</t>
        </is>
      </c>
      <c r="B148" s="376" t="n">
        <v>45717</v>
      </c>
      <c r="C148" s="386" t="inlineStr">
        <is>
          <t>Justice (Retd.) Kurian Joseph</t>
        </is>
      </c>
      <c r="D148" s="377" t="inlineStr">
        <is>
          <t>INV-000127</t>
        </is>
      </c>
      <c r="E148" s="377" t="n"/>
      <c r="F148" s="389" t="n">
        <v>45738</v>
      </c>
      <c r="G148" s="389" t="n">
        <v>45769</v>
      </c>
      <c r="H148" s="386" t="inlineStr">
        <is>
          <t>1 month-Upfront</t>
        </is>
      </c>
      <c r="I148" s="380" t="n">
        <v>14750</v>
      </c>
      <c r="J148" s="381" t="n"/>
      <c r="K148" s="381" t="n"/>
      <c r="L148" s="377" t="n">
        <v>32</v>
      </c>
      <c r="M148" s="377" t="n">
        <v>22</v>
      </c>
      <c r="N148" s="381" t="n">
        <v>10140.625</v>
      </c>
      <c r="O148" s="381" t="n">
        <v>31</v>
      </c>
      <c r="P148" s="380" t="n"/>
      <c r="Q148" s="377" t="n"/>
      <c r="R148" s="377" t="n">
        <v>30</v>
      </c>
      <c r="S148" s="377" t="n"/>
      <c r="T148" s="377" t="n"/>
      <c r="U148" s="381" t="n">
        <v>31</v>
      </c>
      <c r="V148" s="377" t="n"/>
      <c r="W148" s="384" t="n">
        <v>0</v>
      </c>
      <c r="X148" s="381" t="n">
        <v>0</v>
      </c>
      <c r="Y148" s="377" t="n">
        <v>0</v>
      </c>
      <c r="Z148" s="377" t="n"/>
      <c r="AA148" s="377" t="n"/>
      <c r="AB148" s="377" t="n"/>
      <c r="AC148" s="385" t="n"/>
      <c r="AD148" s="385" t="n"/>
      <c r="AE148" s="385" t="n"/>
    </row>
    <row r="149" ht="15" customHeight="1" s="253">
      <c r="A149" s="375" t="inlineStr">
        <is>
          <t>Closed-Apr 25</t>
        </is>
      </c>
      <c r="B149" s="376" t="n">
        <v>45717</v>
      </c>
      <c r="C149" s="386" t="inlineStr">
        <is>
          <t>Federal &amp; Company</t>
        </is>
      </c>
      <c r="D149" s="377" t="inlineStr">
        <is>
          <t>INV-000115</t>
        </is>
      </c>
      <c r="E149" s="377" t="n"/>
      <c r="F149" s="389" t="n">
        <v>45728</v>
      </c>
      <c r="G149" s="389" t="n">
        <v>45759</v>
      </c>
      <c r="H149" s="386" t="inlineStr">
        <is>
          <t>1 month-Upfront</t>
        </is>
      </c>
      <c r="I149" s="380" t="n">
        <v>29500</v>
      </c>
      <c r="J149" s="381" t="n"/>
      <c r="K149" s="381" t="n"/>
      <c r="L149" s="377" t="n">
        <v>32</v>
      </c>
      <c r="M149" s="377" t="n">
        <v>12</v>
      </c>
      <c r="N149" s="381" t="n">
        <v>11062.5</v>
      </c>
      <c r="O149" s="381" t="n">
        <v>31</v>
      </c>
      <c r="P149" s="380" t="n"/>
      <c r="Q149" s="377" t="n"/>
      <c r="R149" s="377" t="n">
        <v>30</v>
      </c>
      <c r="S149" s="377" t="n"/>
      <c r="T149" s="377" t="n"/>
      <c r="U149" s="381" t="n">
        <v>31</v>
      </c>
      <c r="V149" s="377" t="n"/>
      <c r="W149" s="384" t="n">
        <v>0</v>
      </c>
      <c r="X149" s="381" t="n">
        <v>0</v>
      </c>
      <c r="Y149" s="377" t="n">
        <v>0</v>
      </c>
      <c r="Z149" s="377" t="n"/>
      <c r="AA149" s="377" t="n"/>
      <c r="AB149" s="377" t="n"/>
      <c r="AC149" s="385" t="n"/>
      <c r="AD149" s="385" t="n"/>
      <c r="AE149" s="385" t="n"/>
    </row>
    <row r="150" ht="15" customHeight="1" s="253">
      <c r="A150" s="375" t="n">
        <v>0</v>
      </c>
      <c r="B150" s="376" t="n">
        <v>45689</v>
      </c>
      <c r="C150" s="379" t="inlineStr">
        <is>
          <t>Sanjay Udeshi &amp; Co.</t>
        </is>
      </c>
      <c r="D150" s="377" t="inlineStr">
        <is>
          <t>INV-000101</t>
        </is>
      </c>
      <c r="E150" s="377" t="n"/>
      <c r="F150" s="389" t="n">
        <v>45713</v>
      </c>
      <c r="G150" s="389" t="n">
        <v>46079</v>
      </c>
      <c r="H150" s="386" t="inlineStr">
        <is>
          <t>Annual Upfront</t>
        </is>
      </c>
      <c r="I150" s="380" t="n">
        <v>283200</v>
      </c>
      <c r="J150" s="381" t="n">
        <v>23600</v>
      </c>
      <c r="K150" s="381" t="n">
        <v>23600</v>
      </c>
      <c r="L150" s="377" t="n">
        <v>367</v>
      </c>
      <c r="M150" s="377" t="n">
        <v>30</v>
      </c>
      <c r="N150" s="381" t="n">
        <v>23149.864</v>
      </c>
      <c r="O150" s="381" t="n">
        <v>31</v>
      </c>
      <c r="P150" s="380" t="n">
        <v>23921.526</v>
      </c>
      <c r="Q150" s="382" t="n">
        <v>23600</v>
      </c>
      <c r="R150" s="377" t="n">
        <v>30</v>
      </c>
      <c r="S150" s="382" t="n">
        <v>23149.863760218</v>
      </c>
      <c r="T150" s="382" t="n">
        <v>23600</v>
      </c>
      <c r="U150" s="381" t="n">
        <v>31</v>
      </c>
      <c r="V150" s="380" t="n">
        <v>23921.5258855586</v>
      </c>
      <c r="W150" s="384" t="n">
        <v>31</v>
      </c>
      <c r="X150" s="381" t="n">
        <v>23600</v>
      </c>
      <c r="Y150" s="380" t="n">
        <v>23921.526</v>
      </c>
      <c r="Z150" s="384" t="n">
        <v>30</v>
      </c>
      <c r="AA150" s="383" t="n">
        <v>23600</v>
      </c>
      <c r="AB150" s="383" t="n">
        <v>23149.864</v>
      </c>
      <c r="AC150" s="387" t="n">
        <v>31</v>
      </c>
      <c r="AD150" s="388" t="n">
        <v>21784.615</v>
      </c>
      <c r="AE150" s="388" t="n">
        <v>23921.526</v>
      </c>
    </row>
    <row r="151" ht="15" customHeight="1" s="253">
      <c r="A151" s="375" t="n">
        <v>0</v>
      </c>
      <c r="B151" s="376" t="n">
        <v>45689</v>
      </c>
      <c r="C151" s="379" t="inlineStr">
        <is>
          <t>Abel Tom Benny // Thomas and Thomas Advocates</t>
        </is>
      </c>
      <c r="D151" s="377" t="inlineStr">
        <is>
          <t>INV-000090</t>
        </is>
      </c>
      <c r="E151" s="377" t="n"/>
      <c r="F151" s="389" t="n">
        <v>45698</v>
      </c>
      <c r="G151" s="389" t="n">
        <v>46063</v>
      </c>
      <c r="H151" s="386" t="inlineStr">
        <is>
          <t>Annual Upfront</t>
        </is>
      </c>
      <c r="I151" s="380" t="n">
        <v>108000</v>
      </c>
      <c r="J151" s="381" t="n">
        <v>9000</v>
      </c>
      <c r="K151" s="381" t="n">
        <v>9000</v>
      </c>
      <c r="L151" s="377" t="n">
        <v>366</v>
      </c>
      <c r="M151" s="377" t="n">
        <v>30</v>
      </c>
      <c r="N151" s="381" t="n">
        <v>8852.459000000001</v>
      </c>
      <c r="O151" s="381" t="n">
        <v>31</v>
      </c>
      <c r="P151" s="380" t="n">
        <v>9147.540999999999</v>
      </c>
      <c r="Q151" s="382" t="n">
        <v>9000</v>
      </c>
      <c r="R151" s="377" t="n">
        <v>30</v>
      </c>
      <c r="S151" s="382" t="n">
        <v>8852.459016393441</v>
      </c>
      <c r="T151" s="382" t="n">
        <v>9000</v>
      </c>
      <c r="U151" s="381" t="n">
        <v>31</v>
      </c>
      <c r="V151" s="380" t="n">
        <v>9147.540983606559</v>
      </c>
      <c r="W151" s="384" t="n">
        <v>31</v>
      </c>
      <c r="X151" s="381" t="n">
        <v>9000</v>
      </c>
      <c r="Y151" s="380" t="n">
        <v>9147.540999999999</v>
      </c>
      <c r="Z151" s="384" t="n">
        <v>30</v>
      </c>
      <c r="AA151" s="383" t="n">
        <v>9000</v>
      </c>
      <c r="AB151" s="383" t="n">
        <v>8852.459000000001</v>
      </c>
      <c r="AC151" s="387" t="n">
        <v>31</v>
      </c>
      <c r="AD151" s="388" t="n">
        <v>8307.691999999999</v>
      </c>
      <c r="AE151" s="388" t="n">
        <v>9147.540999999999</v>
      </c>
    </row>
    <row r="152" ht="15" customHeight="1" s="253">
      <c r="A152" s="375" t="n">
        <v>0</v>
      </c>
      <c r="B152" s="376" t="n">
        <v>45658</v>
      </c>
      <c r="C152" s="379" t="inlineStr">
        <is>
          <t xml:space="preserve">Farhan Dubash </t>
        </is>
      </c>
      <c r="D152" s="377" t="inlineStr">
        <is>
          <t>INV-000060</t>
        </is>
      </c>
      <c r="E152" s="377" t="n"/>
      <c r="F152" s="389" t="n">
        <v>45671</v>
      </c>
      <c r="G152" s="389" t="n">
        <v>46035</v>
      </c>
      <c r="H152" s="386" t="inlineStr">
        <is>
          <t>Annual Upfront</t>
        </is>
      </c>
      <c r="I152" s="380" t="n">
        <v>90000</v>
      </c>
      <c r="J152" s="381" t="n">
        <v>7500</v>
      </c>
      <c r="K152" s="381" t="n">
        <v>7500</v>
      </c>
      <c r="L152" s="377" t="n">
        <v>365</v>
      </c>
      <c r="M152" s="377" t="n">
        <v>30</v>
      </c>
      <c r="N152" s="381" t="n">
        <v>7397.26</v>
      </c>
      <c r="O152" s="381" t="n">
        <v>31</v>
      </c>
      <c r="P152" s="380" t="n">
        <v>7643.836</v>
      </c>
      <c r="Q152" s="382" t="n">
        <v>7500</v>
      </c>
      <c r="R152" s="377" t="n">
        <v>30</v>
      </c>
      <c r="S152" s="382" t="n">
        <v>7397.2602739726</v>
      </c>
      <c r="T152" s="382" t="n">
        <v>7500</v>
      </c>
      <c r="U152" s="381" t="n">
        <v>31</v>
      </c>
      <c r="V152" s="380" t="n">
        <v>7643.83561643836</v>
      </c>
      <c r="W152" s="384" t="n">
        <v>31</v>
      </c>
      <c r="X152" s="381" t="n">
        <v>7500</v>
      </c>
      <c r="Y152" s="380" t="n">
        <v>7643.836</v>
      </c>
      <c r="Z152" s="384" t="n">
        <v>30</v>
      </c>
      <c r="AA152" s="383" t="n">
        <v>7500</v>
      </c>
      <c r="AB152" s="383" t="n">
        <v>7397.26</v>
      </c>
      <c r="AC152" s="387" t="n">
        <v>31</v>
      </c>
      <c r="AD152" s="388" t="n">
        <v>7500</v>
      </c>
      <c r="AE152" s="388" t="n">
        <v>7643.836</v>
      </c>
    </row>
    <row r="153" ht="15" customHeight="1" s="253">
      <c r="A153" s="375" t="n">
        <v>0</v>
      </c>
      <c r="B153" s="376" t="n">
        <v>45658</v>
      </c>
      <c r="C153" s="379" t="inlineStr">
        <is>
          <t>Mustafa S Doctor</t>
        </is>
      </c>
      <c r="D153" s="377" t="inlineStr">
        <is>
          <t>INV-000055</t>
        </is>
      </c>
      <c r="E153" s="377" t="n"/>
      <c r="F153" s="389" t="n">
        <v>45671</v>
      </c>
      <c r="G153" s="389" t="n">
        <v>46035</v>
      </c>
      <c r="H153" s="386" t="inlineStr">
        <is>
          <t>Annual Upfront</t>
        </is>
      </c>
      <c r="I153" s="380" t="n">
        <v>162000</v>
      </c>
      <c r="J153" s="381" t="n">
        <v>13500</v>
      </c>
      <c r="K153" s="381" t="n">
        <v>13500</v>
      </c>
      <c r="L153" s="377" t="n">
        <v>365</v>
      </c>
      <c r="M153" s="377" t="n">
        <v>30</v>
      </c>
      <c r="N153" s="381" t="n">
        <v>13315.068</v>
      </c>
      <c r="O153" s="381" t="n">
        <v>31</v>
      </c>
      <c r="P153" s="380" t="n">
        <v>13758.904</v>
      </c>
      <c r="Q153" s="382" t="n">
        <v>13500</v>
      </c>
      <c r="R153" s="377" t="n">
        <v>30</v>
      </c>
      <c r="S153" s="382" t="n">
        <v>13315.0684931507</v>
      </c>
      <c r="T153" s="382" t="n">
        <v>13500</v>
      </c>
      <c r="U153" s="381" t="n">
        <v>31</v>
      </c>
      <c r="V153" s="380" t="n">
        <v>13758.904109589</v>
      </c>
      <c r="W153" s="384" t="n">
        <v>31</v>
      </c>
      <c r="X153" s="381" t="n">
        <v>13500</v>
      </c>
      <c r="Y153" s="380" t="n">
        <v>13758.904</v>
      </c>
      <c r="Z153" s="384" t="n">
        <v>30</v>
      </c>
      <c r="AA153" s="383" t="n">
        <v>13500</v>
      </c>
      <c r="AB153" s="383" t="n">
        <v>13315.068</v>
      </c>
      <c r="AC153" s="387" t="n">
        <v>31</v>
      </c>
      <c r="AD153" s="388" t="n">
        <v>13500</v>
      </c>
      <c r="AE153" s="388" t="n">
        <v>13758.904</v>
      </c>
    </row>
    <row r="154" ht="15" customHeight="1" s="253">
      <c r="A154" s="375" t="inlineStr">
        <is>
          <t>Closed- Feb</t>
        </is>
      </c>
      <c r="B154" s="376" t="n">
        <v>45658</v>
      </c>
      <c r="C154" s="377" t="inlineStr">
        <is>
          <t>Parakram Legal</t>
        </is>
      </c>
      <c r="D154" s="377" t="inlineStr">
        <is>
          <t>INV-000050</t>
        </is>
      </c>
      <c r="E154" s="377" t="n"/>
      <c r="F154" s="389" t="n">
        <v>45665</v>
      </c>
      <c r="G154" s="389" t="n">
        <v>45695</v>
      </c>
      <c r="H154" s="386" t="inlineStr">
        <is>
          <t>1 month-Upfront</t>
        </is>
      </c>
      <c r="I154" s="380" t="n">
        <v>5000</v>
      </c>
      <c r="J154" s="381" t="n">
        <v>0</v>
      </c>
      <c r="K154" s="381" t="n"/>
      <c r="L154" s="377" t="n">
        <v>31</v>
      </c>
      <c r="M154" s="377" t="n"/>
      <c r="N154" s="381" t="n"/>
      <c r="O154" s="381" t="n"/>
      <c r="P154" s="380" t="n"/>
      <c r="Q154" s="377" t="n"/>
      <c r="R154" s="377" t="n">
        <v>30</v>
      </c>
      <c r="S154" s="377" t="n"/>
      <c r="T154" s="377" t="n"/>
      <c r="U154" s="381" t="n">
        <v>31</v>
      </c>
      <c r="V154" s="377" t="n"/>
      <c r="W154" s="384" t="n">
        <v>0</v>
      </c>
      <c r="X154" s="381" t="n">
        <v>0</v>
      </c>
      <c r="Y154" s="377" t="n">
        <v>0</v>
      </c>
      <c r="Z154" s="377" t="n"/>
      <c r="AA154" s="377" t="n"/>
      <c r="AB154" s="377" t="n"/>
      <c r="AC154" s="385" t="n"/>
      <c r="AD154" s="385" t="n"/>
      <c r="AE154" s="385" t="n"/>
    </row>
    <row r="155" ht="15" customHeight="1" s="253">
      <c r="A155" s="375" t="n">
        <v>0</v>
      </c>
      <c r="B155" s="376" t="n">
        <v>45658</v>
      </c>
      <c r="C155" s="379" t="inlineStr">
        <is>
          <t>Naushad Engineer</t>
        </is>
      </c>
      <c r="D155" s="377" t="inlineStr">
        <is>
          <t>INV-000058</t>
        </is>
      </c>
      <c r="E155" s="377" t="n"/>
      <c r="F155" s="389" t="n">
        <v>45672</v>
      </c>
      <c r="G155" s="389" t="n">
        <v>46036</v>
      </c>
      <c r="H155" s="386" t="inlineStr">
        <is>
          <t>Annual Upfront</t>
        </is>
      </c>
      <c r="I155" s="380" t="n">
        <v>162000</v>
      </c>
      <c r="J155" s="381" t="n">
        <v>13500</v>
      </c>
      <c r="K155" s="381" t="n">
        <v>13500</v>
      </c>
      <c r="L155" s="377" t="n">
        <v>365</v>
      </c>
      <c r="M155" s="377" t="n">
        <v>30</v>
      </c>
      <c r="N155" s="381" t="n">
        <v>13315.068</v>
      </c>
      <c r="O155" s="381" t="n">
        <v>31</v>
      </c>
      <c r="P155" s="380" t="n">
        <v>13758.904</v>
      </c>
      <c r="Q155" s="382" t="n">
        <v>13500</v>
      </c>
      <c r="R155" s="377" t="n">
        <v>30</v>
      </c>
      <c r="S155" s="382" t="n">
        <v>13315.0684931507</v>
      </c>
      <c r="T155" s="382" t="n">
        <v>13500</v>
      </c>
      <c r="U155" s="381" t="n">
        <v>31</v>
      </c>
      <c r="V155" s="380" t="n">
        <v>13758.904109589</v>
      </c>
      <c r="W155" s="384" t="n">
        <v>31</v>
      </c>
      <c r="X155" s="381" t="n">
        <v>13500</v>
      </c>
      <c r="Y155" s="380" t="n">
        <v>13758.904</v>
      </c>
      <c r="Z155" s="384" t="n">
        <v>30</v>
      </c>
      <c r="AA155" s="383" t="n">
        <v>13500</v>
      </c>
      <c r="AB155" s="383" t="n">
        <v>13315.068</v>
      </c>
      <c r="AC155" s="387" t="n">
        <v>31</v>
      </c>
      <c r="AD155" s="388" t="n">
        <v>13500</v>
      </c>
      <c r="AE155" s="388" t="n">
        <v>13758.904</v>
      </c>
    </row>
    <row r="156" ht="15" customHeight="1" s="253">
      <c r="A156" s="375" t="n">
        <v>0</v>
      </c>
      <c r="B156" s="376" t="n">
        <v>45658</v>
      </c>
      <c r="C156" s="379" t="inlineStr">
        <is>
          <t>Shyam Kapadia</t>
        </is>
      </c>
      <c r="D156" s="377" t="inlineStr">
        <is>
          <t>INV-000065</t>
        </is>
      </c>
      <c r="E156" s="377" t="n"/>
      <c r="F156" s="389" t="n">
        <v>45680</v>
      </c>
      <c r="G156" s="389" t="n">
        <v>46044</v>
      </c>
      <c r="H156" s="386" t="inlineStr">
        <is>
          <t>Annual Upfront</t>
        </is>
      </c>
      <c r="I156" s="380" t="n">
        <v>90000</v>
      </c>
      <c r="J156" s="381" t="n">
        <v>7500</v>
      </c>
      <c r="K156" s="381" t="n">
        <v>7500</v>
      </c>
      <c r="L156" s="377" t="n">
        <v>365</v>
      </c>
      <c r="M156" s="377" t="n">
        <v>30</v>
      </c>
      <c r="N156" s="381" t="n">
        <v>7397.26</v>
      </c>
      <c r="O156" s="381" t="n">
        <v>31</v>
      </c>
      <c r="P156" s="380" t="n">
        <v>7643.836</v>
      </c>
      <c r="Q156" s="382" t="n">
        <v>7500</v>
      </c>
      <c r="R156" s="377" t="n">
        <v>30</v>
      </c>
      <c r="S156" s="382" t="n">
        <v>7397.2602739726</v>
      </c>
      <c r="T156" s="382" t="n">
        <v>7500</v>
      </c>
      <c r="U156" s="381" t="n">
        <v>31</v>
      </c>
      <c r="V156" s="380" t="n">
        <v>7643.83561643836</v>
      </c>
      <c r="W156" s="384" t="n">
        <v>31</v>
      </c>
      <c r="X156" s="381" t="n">
        <v>7500</v>
      </c>
      <c r="Y156" s="380" t="n">
        <v>7643.836</v>
      </c>
      <c r="Z156" s="384" t="n">
        <v>30</v>
      </c>
      <c r="AA156" s="383" t="n">
        <v>7500</v>
      </c>
      <c r="AB156" s="383" t="n">
        <v>7397.26</v>
      </c>
      <c r="AC156" s="387" t="n">
        <v>31</v>
      </c>
      <c r="AD156" s="388" t="n">
        <v>7500</v>
      </c>
      <c r="AE156" s="388" t="n">
        <v>7643.836</v>
      </c>
    </row>
    <row r="157" ht="15" customHeight="1" s="253">
      <c r="A157" s="375" t="inlineStr">
        <is>
          <t>Closed- Mar</t>
        </is>
      </c>
      <c r="B157" s="376" t="n">
        <v>45627</v>
      </c>
      <c r="C157" s="377" t="inlineStr">
        <is>
          <t>Aditya Sikka / Tvashta Law</t>
        </is>
      </c>
      <c r="D157" s="377" t="inlineStr">
        <is>
          <t>INV-000033</t>
        </is>
      </c>
      <c r="E157" s="377" t="n"/>
      <c r="F157" s="389" t="n">
        <v>45639</v>
      </c>
      <c r="G157" s="389" t="n">
        <v>45729</v>
      </c>
      <c r="H157" s="379" t="inlineStr">
        <is>
          <t>3 months subscription, upfront</t>
        </is>
      </c>
      <c r="I157" s="380" t="n">
        <v>45000</v>
      </c>
      <c r="J157" s="381" t="n"/>
      <c r="K157" s="381" t="n"/>
      <c r="L157" s="377" t="n">
        <v>91</v>
      </c>
      <c r="M157" s="377" t="n"/>
      <c r="N157" s="381" t="n"/>
      <c r="O157" s="381" t="n"/>
      <c r="P157" s="380" t="n"/>
      <c r="Q157" s="377" t="n"/>
      <c r="R157" s="377" t="n">
        <v>30</v>
      </c>
      <c r="S157" s="377" t="n"/>
      <c r="T157" s="377" t="n"/>
      <c r="U157" s="381" t="n">
        <v>31</v>
      </c>
      <c r="V157" s="377" t="n"/>
      <c r="W157" s="384" t="n">
        <v>0</v>
      </c>
      <c r="X157" s="381" t="n">
        <v>0</v>
      </c>
      <c r="Y157" s="377" t="n">
        <v>0</v>
      </c>
      <c r="Z157" s="377" t="n"/>
      <c r="AA157" s="377" t="n"/>
      <c r="AB157" s="377" t="n"/>
      <c r="AC157" s="385" t="n"/>
      <c r="AD157" s="385" t="n"/>
      <c r="AE157" s="385" t="n"/>
    </row>
    <row r="158" ht="15" customHeight="1" s="253">
      <c r="A158" s="375" t="n">
        <v>0</v>
      </c>
      <c r="B158" s="376" t="n">
        <v>45717</v>
      </c>
      <c r="C158" s="386" t="inlineStr">
        <is>
          <t>Tvashta Law</t>
        </is>
      </c>
      <c r="D158" s="377" t="inlineStr">
        <is>
          <t>INV-000123</t>
        </is>
      </c>
      <c r="E158" s="377" t="n"/>
      <c r="F158" s="389" t="n">
        <v>45740</v>
      </c>
      <c r="G158" s="389" t="n">
        <v>45831</v>
      </c>
      <c r="H158" s="379" t="inlineStr">
        <is>
          <t>3 months subscription, upfront</t>
        </is>
      </c>
      <c r="I158" s="380" t="n">
        <v>53100</v>
      </c>
      <c r="J158" s="381" t="n">
        <v>17700</v>
      </c>
      <c r="K158" s="381" t="n">
        <v>17700</v>
      </c>
      <c r="L158" s="377" t="n">
        <v>92</v>
      </c>
      <c r="M158" s="377" t="n">
        <v>30</v>
      </c>
      <c r="N158" s="381" t="n">
        <v>17315.217</v>
      </c>
      <c r="O158" s="381" t="n">
        <v>31</v>
      </c>
      <c r="P158" s="380" t="n">
        <v>17892.391</v>
      </c>
      <c r="Q158" s="377" t="n">
        <v>0</v>
      </c>
      <c r="R158" s="377" t="n">
        <v>23</v>
      </c>
      <c r="S158" s="383" t="n">
        <v>13275</v>
      </c>
      <c r="T158" s="377" t="n"/>
      <c r="U158" s="381" t="n">
        <v>31</v>
      </c>
      <c r="V158" s="377" t="n"/>
      <c r="W158" s="384" t="n">
        <v>0</v>
      </c>
      <c r="X158" s="381" t="n">
        <v>0</v>
      </c>
      <c r="Y158" s="377" t="n">
        <v>0</v>
      </c>
      <c r="Z158" s="377" t="n"/>
      <c r="AA158" s="377" t="n"/>
      <c r="AB158" s="377" t="n"/>
      <c r="AC158" s="385" t="n"/>
      <c r="AD158" s="385" t="n"/>
      <c r="AE158" s="385" t="n"/>
    </row>
    <row r="159" ht="15" customHeight="1" s="253">
      <c r="A159" s="375" t="n">
        <v>0</v>
      </c>
      <c r="B159" s="376" t="n">
        <v>45627</v>
      </c>
      <c r="C159" s="386" t="inlineStr">
        <is>
          <t>Ish Jain / Regius Partners LLP</t>
        </is>
      </c>
      <c r="D159" s="377" t="inlineStr">
        <is>
          <t>INV-000037</t>
        </is>
      </c>
      <c r="E159" s="377" t="n"/>
      <c r="F159" s="389" t="n">
        <v>45644</v>
      </c>
      <c r="G159" s="389" t="n">
        <v>46008</v>
      </c>
      <c r="H159" s="386" t="inlineStr">
        <is>
          <t>Annual- Half Yearly Payment</t>
        </is>
      </c>
      <c r="I159" s="396" t="n">
        <v>293988</v>
      </c>
      <c r="J159" s="381" t="n">
        <v>24499</v>
      </c>
      <c r="K159" s="381" t="n">
        <v>24499</v>
      </c>
      <c r="L159" s="377" t="n">
        <v>365</v>
      </c>
      <c r="M159" s="377" t="n">
        <v>30</v>
      </c>
      <c r="N159" s="381" t="n">
        <v>24163.397</v>
      </c>
      <c r="O159" s="381" t="n">
        <v>31</v>
      </c>
      <c r="P159" s="380" t="n">
        <v>24968.844</v>
      </c>
      <c r="Q159" s="383" t="n">
        <v>24499</v>
      </c>
      <c r="R159" s="377" t="n">
        <v>30</v>
      </c>
      <c r="S159" s="382" t="n">
        <v>24163.397260274</v>
      </c>
      <c r="T159" s="382" t="n">
        <v>24499</v>
      </c>
      <c r="U159" s="381" t="n">
        <v>31</v>
      </c>
      <c r="V159" s="380" t="n">
        <v>24968.8438356164</v>
      </c>
      <c r="W159" s="384" t="n">
        <v>31</v>
      </c>
      <c r="X159" s="381" t="n">
        <v>24499</v>
      </c>
      <c r="Y159" s="380" t="n">
        <v>24968.844</v>
      </c>
      <c r="Z159" s="384" t="n">
        <v>30</v>
      </c>
      <c r="AA159" s="383" t="n">
        <v>24499</v>
      </c>
      <c r="AB159" s="383" t="n">
        <v>24163.397</v>
      </c>
      <c r="AC159" s="387" t="n">
        <v>31</v>
      </c>
      <c r="AD159" s="388" t="n">
        <v>24499</v>
      </c>
      <c r="AE159" s="388" t="n">
        <v>24968.844</v>
      </c>
    </row>
    <row r="160" ht="23.85" customHeight="1" s="253">
      <c r="A160" s="375" t="n"/>
      <c r="B160" s="376" t="inlineStr">
        <is>
          <t>Dec 24 to June 25</t>
        </is>
      </c>
      <c r="C160" s="392" t="inlineStr">
        <is>
          <t xml:space="preserve">
The Guild | Advocates &amp; Associate Counsel</t>
        </is>
      </c>
      <c r="D160" s="377" t="inlineStr">
        <is>
          <t>INV-000038,00219</t>
        </is>
      </c>
      <c r="E160" s="377" t="n"/>
      <c r="F160" s="389" t="n">
        <v>45645</v>
      </c>
      <c r="G160" s="389" t="n">
        <v>46022</v>
      </c>
      <c r="H160" s="386" t="inlineStr">
        <is>
          <t>Annual- Half Yearly Payment</t>
        </is>
      </c>
      <c r="I160" s="380" t="n">
        <v>120000</v>
      </c>
      <c r="J160" s="381" t="n">
        <v>10000</v>
      </c>
      <c r="K160" s="381" t="n">
        <v>10000</v>
      </c>
      <c r="L160" s="377" t="n">
        <v>378</v>
      </c>
      <c r="M160" s="377" t="n">
        <v>30</v>
      </c>
      <c r="N160" s="381" t="n">
        <v>9523.809999999999</v>
      </c>
      <c r="O160" s="381" t="n">
        <v>31</v>
      </c>
      <c r="P160" s="380" t="n">
        <v>9841.27</v>
      </c>
      <c r="Q160" s="383" t="n">
        <v>10000</v>
      </c>
      <c r="R160" s="377" t="n">
        <v>30</v>
      </c>
      <c r="S160" s="382" t="n">
        <v>9523.809523809519</v>
      </c>
      <c r="T160" s="382" t="n">
        <v>10000</v>
      </c>
      <c r="U160" s="381" t="n">
        <v>31</v>
      </c>
      <c r="V160" s="380" t="n">
        <v>9841.269841269839</v>
      </c>
      <c r="W160" s="384" t="n">
        <v>31</v>
      </c>
      <c r="X160" s="381" t="n">
        <v>10000</v>
      </c>
      <c r="Y160" s="380" t="n">
        <v>9841.27</v>
      </c>
      <c r="Z160" s="384" t="n">
        <v>30</v>
      </c>
      <c r="AA160" s="383" t="n">
        <v>10000</v>
      </c>
      <c r="AB160" s="383" t="n">
        <v>9523.809999999999</v>
      </c>
      <c r="AC160" s="387" t="n">
        <v>31</v>
      </c>
      <c r="AD160" s="388" t="n">
        <v>9230.769</v>
      </c>
      <c r="AE160" s="388" t="n">
        <v>9841.27</v>
      </c>
    </row>
    <row r="161" ht="15" customHeight="1" s="253">
      <c r="A161" s="375" t="n">
        <v>0</v>
      </c>
      <c r="B161" s="376" t="inlineStr">
        <is>
          <t>Dec 24, June 25 &amp; Sept 25</t>
        </is>
      </c>
      <c r="C161" s="379" t="inlineStr">
        <is>
          <t xml:space="preserve">Abhimanyu Garg / Methodica Legal </t>
        </is>
      </c>
      <c r="D161" s="377" t="inlineStr">
        <is>
          <t>INV-000042, 000183 000218,421</t>
        </is>
      </c>
      <c r="E161" s="377" t="n"/>
      <c r="F161" s="389" t="n">
        <v>45651</v>
      </c>
      <c r="G161" s="389" t="n">
        <v>46016</v>
      </c>
      <c r="H161" s="390" t="inlineStr">
        <is>
          <t>Annual subscription, Quarterly upfront</t>
        </is>
      </c>
      <c r="I161" s="380" t="n">
        <v>147600</v>
      </c>
      <c r="J161" s="381" t="n">
        <v>12300</v>
      </c>
      <c r="K161" s="381" t="n">
        <v>12300</v>
      </c>
      <c r="L161" s="377" t="n">
        <v>366</v>
      </c>
      <c r="M161" s="377" t="n">
        <v>30</v>
      </c>
      <c r="N161" s="381" t="n">
        <v>12098.361</v>
      </c>
      <c r="O161" s="381" t="n">
        <v>31</v>
      </c>
      <c r="P161" s="380" t="n">
        <v>12501.639</v>
      </c>
      <c r="Q161" s="383" t="n">
        <v>12300</v>
      </c>
      <c r="R161" s="377" t="n">
        <v>30</v>
      </c>
      <c r="S161" s="382" t="n">
        <v>12098.3606557377</v>
      </c>
      <c r="T161" s="382" t="n">
        <v>12300</v>
      </c>
      <c r="U161" s="381" t="n">
        <v>31</v>
      </c>
      <c r="V161" s="380" t="n">
        <v>12501.6393442623</v>
      </c>
      <c r="W161" s="384" t="n">
        <v>31</v>
      </c>
      <c r="X161" s="381" t="n">
        <v>12300</v>
      </c>
      <c r="Y161" s="380" t="n">
        <v>12501.639</v>
      </c>
      <c r="Z161" s="384" t="n">
        <v>30</v>
      </c>
      <c r="AA161" s="383" t="n">
        <v>12300</v>
      </c>
      <c r="AB161" s="383" t="n">
        <v>12098.361</v>
      </c>
      <c r="AC161" s="387" t="n">
        <v>31</v>
      </c>
      <c r="AD161" s="388" t="n">
        <v>11353.846</v>
      </c>
      <c r="AE161" s="388" t="n">
        <v>12501.639</v>
      </c>
    </row>
    <row r="162" ht="15" customHeight="1" s="253">
      <c r="A162" s="375" t="n">
        <v>0</v>
      </c>
      <c r="B162" s="376" t="inlineStr">
        <is>
          <t>Mar to Oct 25</t>
        </is>
      </c>
      <c r="C162" s="386" t="inlineStr">
        <is>
          <t>Megha Chandra</t>
        </is>
      </c>
      <c r="D162" s="377" t="inlineStr">
        <is>
          <t>INV-000116, INV-25-26-000099, 197, 264, 347, 430, 514, INV-000099, 000116'000197, 000264, 000347, 000430, 000514, 000613</t>
        </is>
      </c>
      <c r="E162" s="377" t="n"/>
      <c r="F162" s="389" t="n">
        <v>45728</v>
      </c>
      <c r="G162" s="389" t="n">
        <v>46124</v>
      </c>
      <c r="H162" s="386" t="inlineStr">
        <is>
          <t>1 year &amp; 1 months-Monthly</t>
        </is>
      </c>
      <c r="I162" s="380" t="n">
        <v>153400</v>
      </c>
      <c r="J162" s="381" t="n">
        <v>11800</v>
      </c>
      <c r="K162" s="381" t="n">
        <v>11800</v>
      </c>
      <c r="L162" s="377" t="n">
        <v>397</v>
      </c>
      <c r="M162" s="377" t="n">
        <v>30</v>
      </c>
      <c r="N162" s="381" t="n">
        <v>11591.94</v>
      </c>
      <c r="O162" s="381" t="n">
        <v>31</v>
      </c>
      <c r="P162" s="380" t="n">
        <v>11978.338</v>
      </c>
      <c r="Q162" s="382" t="n">
        <v>11800</v>
      </c>
      <c r="R162" s="377" t="n">
        <v>30</v>
      </c>
      <c r="S162" s="382" t="n">
        <v>11591.9395465995</v>
      </c>
      <c r="T162" s="382" t="n">
        <v>11800</v>
      </c>
      <c r="U162" s="381" t="n">
        <v>31</v>
      </c>
      <c r="V162" s="380" t="n">
        <v>11978.3375314861</v>
      </c>
      <c r="W162" s="384" t="n">
        <v>31</v>
      </c>
      <c r="X162" s="381" t="n">
        <v>11800</v>
      </c>
      <c r="Y162" s="380" t="n">
        <v>11978.338</v>
      </c>
      <c r="Z162" s="384" t="n">
        <v>30</v>
      </c>
      <c r="AA162" s="383" t="n">
        <v>11800</v>
      </c>
      <c r="AB162" s="383" t="n">
        <v>11591.94</v>
      </c>
      <c r="AC162" s="387" t="n">
        <v>31</v>
      </c>
      <c r="AD162" s="388" t="n">
        <v>10957.143</v>
      </c>
      <c r="AE162" s="388" t="n">
        <v>11978.338</v>
      </c>
    </row>
    <row r="163" ht="15" customHeight="1" s="253">
      <c r="A163" s="375" t="inlineStr">
        <is>
          <t>Closed-Apr 25</t>
        </is>
      </c>
      <c r="B163" s="376" t="n">
        <v>45717</v>
      </c>
      <c r="C163" s="386" t="inlineStr">
        <is>
          <t>Yash Momaya</t>
        </is>
      </c>
      <c r="D163" s="377" t="inlineStr">
        <is>
          <t>INV-000118</t>
        </is>
      </c>
      <c r="E163" s="377" t="n"/>
      <c r="F163" s="389" t="n">
        <v>45727</v>
      </c>
      <c r="G163" s="389" t="n">
        <v>45758</v>
      </c>
      <c r="H163" s="386" t="inlineStr">
        <is>
          <t>1 month-Upfront</t>
        </is>
      </c>
      <c r="I163" s="380" t="n">
        <v>5900</v>
      </c>
      <c r="J163" s="381" t="n"/>
      <c r="K163" s="381" t="n"/>
      <c r="L163" s="377" t="n">
        <v>32</v>
      </c>
      <c r="M163" s="377" t="n">
        <v>11</v>
      </c>
      <c r="N163" s="381" t="n">
        <v>2028.125</v>
      </c>
      <c r="O163" s="381" t="n">
        <v>31</v>
      </c>
      <c r="P163" s="380" t="n"/>
      <c r="Q163" s="377" t="n"/>
      <c r="R163" s="377" t="n">
        <v>30</v>
      </c>
      <c r="S163" s="377" t="n"/>
      <c r="T163" s="377" t="n"/>
      <c r="U163" s="381" t="n">
        <v>31</v>
      </c>
      <c r="V163" s="377" t="n"/>
      <c r="W163" s="384" t="n">
        <v>0</v>
      </c>
      <c r="X163" s="381" t="n">
        <v>0</v>
      </c>
      <c r="Y163" s="377" t="n">
        <v>0</v>
      </c>
      <c r="Z163" s="377" t="n"/>
      <c r="AA163" s="377" t="n"/>
      <c r="AB163" s="377" t="n"/>
      <c r="AC163" s="385" t="n"/>
      <c r="AD163" s="385" t="n"/>
      <c r="AE163" s="385" t="n"/>
    </row>
    <row r="164" ht="15" customHeight="1" s="253">
      <c r="A164" s="375" t="inlineStr">
        <is>
          <t>Closed- May 25</t>
        </is>
      </c>
      <c r="B164" s="376" t="n">
        <v>45689</v>
      </c>
      <c r="C164" s="379" t="inlineStr">
        <is>
          <t>Asahi Legal LLP</t>
        </is>
      </c>
      <c r="D164" s="392" t="inlineStr">
        <is>
          <t>INV-000079</t>
        </is>
      </c>
      <c r="E164" s="377" t="n"/>
      <c r="F164" s="389" t="n">
        <v>45691</v>
      </c>
      <c r="G164" s="389" t="n">
        <v>45780</v>
      </c>
      <c r="H164" s="379" t="inlineStr">
        <is>
          <t>3 months subscription, upfront</t>
        </is>
      </c>
      <c r="I164" s="380" t="n">
        <v>22500</v>
      </c>
      <c r="J164" s="381" t="n">
        <v>7500</v>
      </c>
      <c r="K164" s="381" t="n"/>
      <c r="L164" s="377" t="n">
        <v>90</v>
      </c>
      <c r="M164" s="377" t="n">
        <v>30</v>
      </c>
      <c r="N164" s="381" t="n">
        <v>7500</v>
      </c>
      <c r="O164" s="381" t="n">
        <v>3</v>
      </c>
      <c r="P164" s="380" t="n">
        <v>750</v>
      </c>
      <c r="Q164" s="377" t="n"/>
      <c r="R164" s="377" t="n">
        <v>30</v>
      </c>
      <c r="S164" s="377" t="n"/>
      <c r="T164" s="377" t="n"/>
      <c r="U164" s="381" t="n">
        <v>31</v>
      </c>
      <c r="V164" s="377" t="n"/>
      <c r="W164" s="384" t="n">
        <v>0</v>
      </c>
      <c r="X164" s="381" t="n">
        <v>0</v>
      </c>
      <c r="Y164" s="377" t="n">
        <v>0</v>
      </c>
      <c r="Z164" s="377" t="n"/>
      <c r="AA164" s="377" t="n"/>
      <c r="AB164" s="377" t="n"/>
      <c r="AC164" s="385" t="n"/>
      <c r="AD164" s="385" t="n"/>
      <c r="AE164" s="385" t="n"/>
    </row>
    <row r="165" ht="15" customHeight="1" s="253">
      <c r="A165" s="375" t="inlineStr">
        <is>
          <t>Closed- May 25</t>
        </is>
      </c>
      <c r="B165" s="376" t="n">
        <v>45689</v>
      </c>
      <c r="C165" s="379" t="inlineStr">
        <is>
          <t>Mr. Jehangir Jejeebhoy</t>
        </is>
      </c>
      <c r="D165" s="377" t="inlineStr">
        <is>
          <t>INV-000083</t>
        </is>
      </c>
      <c r="E165" s="377" t="n"/>
      <c r="F165" s="389" t="n">
        <v>45693</v>
      </c>
      <c r="G165" s="389" t="n">
        <v>45782</v>
      </c>
      <c r="H165" s="379" t="inlineStr">
        <is>
          <t>3 months subscription, upfront</t>
        </is>
      </c>
      <c r="I165" s="380" t="n">
        <v>32000</v>
      </c>
      <c r="J165" s="381" t="n">
        <v>10666.667</v>
      </c>
      <c r="K165" s="381" t="n"/>
      <c r="L165" s="377" t="n">
        <v>90</v>
      </c>
      <c r="M165" s="377" t="n">
        <v>30</v>
      </c>
      <c r="N165" s="381" t="n">
        <v>10666.667</v>
      </c>
      <c r="O165" s="381" t="n">
        <v>5</v>
      </c>
      <c r="P165" s="380" t="n">
        <v>1777.778</v>
      </c>
      <c r="Q165" s="377" t="n"/>
      <c r="R165" s="377" t="n">
        <v>30</v>
      </c>
      <c r="S165" s="377" t="n"/>
      <c r="T165" s="377" t="n"/>
      <c r="U165" s="381" t="n">
        <v>31</v>
      </c>
      <c r="V165" s="377" t="n"/>
      <c r="W165" s="384" t="n">
        <v>0</v>
      </c>
      <c r="X165" s="381" t="n">
        <v>0</v>
      </c>
      <c r="Y165" s="377" t="n">
        <v>0</v>
      </c>
      <c r="Z165" s="377" t="n"/>
      <c r="AA165" s="377" t="n"/>
      <c r="AB165" s="377" t="n"/>
      <c r="AC165" s="385" t="n"/>
      <c r="AD165" s="385" t="n"/>
      <c r="AE165" s="385" t="n"/>
    </row>
    <row r="166" ht="15" customHeight="1" s="253">
      <c r="A166" s="375" t="inlineStr">
        <is>
          <t>Closed- Feb</t>
        </is>
      </c>
      <c r="B166" s="376" t="n">
        <v>45658</v>
      </c>
      <c r="C166" s="377" t="inlineStr">
        <is>
          <t>Venkatesh Dhond</t>
        </is>
      </c>
      <c r="D166" s="377" t="inlineStr">
        <is>
          <t>INV-000064</t>
        </is>
      </c>
      <c r="E166" s="377" t="n"/>
      <c r="F166" s="389" t="n">
        <v>45680</v>
      </c>
      <c r="G166" s="389" t="n">
        <v>45710</v>
      </c>
      <c r="H166" s="386" t="inlineStr">
        <is>
          <t>1 month-Upfront</t>
        </is>
      </c>
      <c r="I166" s="380" t="n">
        <v>15000</v>
      </c>
      <c r="J166" s="381" t="n">
        <v>0</v>
      </c>
      <c r="K166" s="381" t="n"/>
      <c r="L166" s="377" t="n">
        <v>31</v>
      </c>
      <c r="M166" s="377" t="n"/>
      <c r="N166" s="381" t="n"/>
      <c r="O166" s="381" t="n"/>
      <c r="P166" s="380" t="n"/>
      <c r="Q166" s="377" t="n"/>
      <c r="R166" s="377" t="n">
        <v>30</v>
      </c>
      <c r="S166" s="377" t="n"/>
      <c r="T166" s="377" t="n"/>
      <c r="U166" s="381" t="n">
        <v>31</v>
      </c>
      <c r="V166" s="377" t="n"/>
      <c r="W166" s="384" t="n">
        <v>0</v>
      </c>
      <c r="X166" s="381" t="n">
        <v>0</v>
      </c>
      <c r="Y166" s="377" t="n">
        <v>0</v>
      </c>
      <c r="Z166" s="377" t="n"/>
      <c r="AA166" s="377" t="n"/>
      <c r="AB166" s="377" t="n"/>
      <c r="AC166" s="385" t="n"/>
      <c r="AD166" s="385" t="n"/>
      <c r="AE166" s="385" t="n"/>
    </row>
    <row r="167" ht="15" customHeight="1" s="253">
      <c r="A167" s="375" t="n">
        <v>0</v>
      </c>
      <c r="B167" s="376" t="n">
        <v>45658</v>
      </c>
      <c r="C167" s="379" t="inlineStr">
        <is>
          <t>Shiraz Rustomjee</t>
        </is>
      </c>
      <c r="D167" s="377" t="inlineStr">
        <is>
          <t>INV-000071</t>
        </is>
      </c>
      <c r="E167" s="377" t="n"/>
      <c r="F167" s="389" t="n">
        <v>45685</v>
      </c>
      <c r="G167" s="389" t="n">
        <v>46049</v>
      </c>
      <c r="H167" s="386" t="inlineStr">
        <is>
          <t>Annual Upfront</t>
        </is>
      </c>
      <c r="I167" s="380" t="n">
        <v>162000</v>
      </c>
      <c r="J167" s="381" t="n">
        <v>13500</v>
      </c>
      <c r="K167" s="381" t="n">
        <v>13500</v>
      </c>
      <c r="L167" s="377" t="n">
        <v>365</v>
      </c>
      <c r="M167" s="377" t="n">
        <v>30</v>
      </c>
      <c r="N167" s="381" t="n">
        <v>13315.068</v>
      </c>
      <c r="O167" s="381" t="n">
        <v>31</v>
      </c>
      <c r="P167" s="380" t="n">
        <v>13758.904</v>
      </c>
      <c r="Q167" s="382" t="n">
        <v>13500</v>
      </c>
      <c r="R167" s="377" t="n">
        <v>30</v>
      </c>
      <c r="S167" s="382" t="n">
        <v>13315.0684931507</v>
      </c>
      <c r="T167" s="382" t="n">
        <v>13500</v>
      </c>
      <c r="U167" s="381" t="n">
        <v>31</v>
      </c>
      <c r="V167" s="380" t="n">
        <v>13758.904109589</v>
      </c>
      <c r="W167" s="384" t="n">
        <v>31</v>
      </c>
      <c r="X167" s="381" t="n">
        <v>13500</v>
      </c>
      <c r="Y167" s="380" t="n">
        <v>13758.904</v>
      </c>
      <c r="Z167" s="384" t="n">
        <v>30</v>
      </c>
      <c r="AA167" s="383" t="n">
        <v>13500</v>
      </c>
      <c r="AB167" s="383" t="n">
        <v>13315.068</v>
      </c>
      <c r="AC167" s="387" t="n">
        <v>31</v>
      </c>
      <c r="AD167" s="388" t="n">
        <v>13500</v>
      </c>
      <c r="AE167" s="388" t="n">
        <v>13758.904</v>
      </c>
    </row>
    <row r="168" ht="15" customHeight="1" s="253">
      <c r="A168" s="375" t="n">
        <v>0</v>
      </c>
      <c r="B168" s="376" t="n">
        <v>45689</v>
      </c>
      <c r="C168" s="379" t="inlineStr">
        <is>
          <t>Dipankar Majumdar</t>
        </is>
      </c>
      <c r="D168" s="377" t="inlineStr">
        <is>
          <t>INV-000099</t>
        </is>
      </c>
      <c r="E168" s="377" t="n"/>
      <c r="F168" s="389" t="n">
        <v>45682</v>
      </c>
      <c r="G168" s="389" t="n">
        <v>46047</v>
      </c>
      <c r="H168" s="386" t="inlineStr">
        <is>
          <t>Annual Upfront</t>
        </is>
      </c>
      <c r="I168" s="380" t="n">
        <v>39960</v>
      </c>
      <c r="J168" s="381" t="n">
        <v>3330</v>
      </c>
      <c r="K168" s="381" t="n">
        <v>3330</v>
      </c>
      <c r="L168" s="377" t="n">
        <v>366</v>
      </c>
      <c r="M168" s="377" t="n">
        <v>30</v>
      </c>
      <c r="N168" s="381" t="n">
        <v>3275.41</v>
      </c>
      <c r="O168" s="381" t="n">
        <v>31</v>
      </c>
      <c r="P168" s="380" t="n">
        <v>3384.59</v>
      </c>
      <c r="Q168" s="382" t="n">
        <v>3330</v>
      </c>
      <c r="R168" s="377" t="n">
        <v>30</v>
      </c>
      <c r="S168" s="382" t="n">
        <v>3275.40983606557</v>
      </c>
      <c r="T168" s="382" t="n">
        <v>3330</v>
      </c>
      <c r="U168" s="381" t="n">
        <v>31</v>
      </c>
      <c r="V168" s="380" t="n">
        <v>3384.59016393443</v>
      </c>
      <c r="W168" s="384" t="n">
        <v>31</v>
      </c>
      <c r="X168" s="381" t="n">
        <v>3330</v>
      </c>
      <c r="Y168" s="380" t="n">
        <v>3384.59</v>
      </c>
      <c r="Z168" s="384" t="n">
        <v>30</v>
      </c>
      <c r="AA168" s="383" t="n">
        <v>3330</v>
      </c>
      <c r="AB168" s="383" t="n">
        <v>3275.41</v>
      </c>
      <c r="AC168" s="387" t="n">
        <v>31</v>
      </c>
      <c r="AD168" s="388" t="n">
        <v>3073.846</v>
      </c>
      <c r="AE168" s="388" t="n">
        <v>3384.59</v>
      </c>
    </row>
    <row r="169" ht="15" customHeight="1" s="253">
      <c r="A169" s="375" t="n">
        <v>0</v>
      </c>
      <c r="B169" s="376" t="n">
        <v>45627</v>
      </c>
      <c r="C169" s="379" t="inlineStr">
        <is>
          <t>Office of ASG (N. Venkatraman)</t>
        </is>
      </c>
      <c r="D169" s="377" t="inlineStr">
        <is>
          <t>INV-000028</t>
        </is>
      </c>
      <c r="E169" s="377" t="n"/>
      <c r="F169" s="389" t="n">
        <v>45626</v>
      </c>
      <c r="G169" s="389" t="n">
        <v>45961</v>
      </c>
      <c r="H169" s="386" t="inlineStr">
        <is>
          <t>Annual Upfront</t>
        </is>
      </c>
      <c r="I169" s="380" t="n">
        <v>180000</v>
      </c>
      <c r="J169" s="381" t="n">
        <v>15000</v>
      </c>
      <c r="K169" s="381" t="n">
        <v>15000</v>
      </c>
      <c r="L169" s="377" t="n">
        <v>336</v>
      </c>
      <c r="M169" s="377" t="n">
        <v>30</v>
      </c>
      <c r="N169" s="381" t="n">
        <v>16071.429</v>
      </c>
      <c r="O169" s="381" t="n">
        <v>31</v>
      </c>
      <c r="P169" s="380" t="n">
        <v>16607.143</v>
      </c>
      <c r="Q169" s="382" t="n">
        <v>15000</v>
      </c>
      <c r="R169" s="377" t="n">
        <v>30</v>
      </c>
      <c r="S169" s="382" t="n">
        <v>16071.4285714286</v>
      </c>
      <c r="T169" s="382" t="n">
        <v>15000</v>
      </c>
      <c r="U169" s="381" t="n">
        <v>31</v>
      </c>
      <c r="V169" s="380" t="n">
        <v>16607.1428571429</v>
      </c>
      <c r="W169" s="384" t="n">
        <v>31</v>
      </c>
      <c r="X169" s="381" t="n">
        <v>15000</v>
      </c>
      <c r="Y169" s="380" t="n">
        <v>16607.143</v>
      </c>
      <c r="Z169" s="384" t="n">
        <v>30</v>
      </c>
      <c r="AA169" s="383" t="n">
        <v>15000</v>
      </c>
      <c r="AB169" s="383" t="n">
        <v>16071.429</v>
      </c>
      <c r="AC169" s="387" t="n">
        <v>31</v>
      </c>
      <c r="AD169" s="385" t="n">
        <v>15000</v>
      </c>
      <c r="AE169" s="388" t="n">
        <v>16607.143</v>
      </c>
    </row>
    <row r="170" ht="15" customHeight="1" s="253">
      <c r="A170" s="375" t="inlineStr">
        <is>
          <t>Closed- Mar</t>
        </is>
      </c>
      <c r="B170" s="376" t="n">
        <v>45689</v>
      </c>
      <c r="C170" s="377" t="inlineStr">
        <is>
          <t>Chetan Dedhia</t>
        </is>
      </c>
      <c r="D170" s="377" t="inlineStr">
        <is>
          <t>INV-000102</t>
        </is>
      </c>
      <c r="E170" s="377" t="n"/>
      <c r="F170" s="389" t="n">
        <v>45713</v>
      </c>
      <c r="G170" s="389" t="n">
        <v>45740</v>
      </c>
      <c r="H170" s="386" t="inlineStr">
        <is>
          <t>1 month-Upfront</t>
        </is>
      </c>
      <c r="I170" s="380" t="n">
        <v>17700</v>
      </c>
      <c r="J170" s="381" t="n"/>
      <c r="K170" s="381" t="n"/>
      <c r="L170" s="377" t="n">
        <v>28</v>
      </c>
      <c r="M170" s="377" t="n"/>
      <c r="N170" s="381" t="n"/>
      <c r="O170" s="381" t="n"/>
      <c r="P170" s="380" t="n"/>
      <c r="Q170" s="377" t="n"/>
      <c r="R170" s="377" t="n">
        <v>30</v>
      </c>
      <c r="S170" s="377" t="n"/>
      <c r="T170" s="377" t="n"/>
      <c r="U170" s="381" t="n">
        <v>31</v>
      </c>
      <c r="V170" s="377" t="n"/>
      <c r="W170" s="384" t="n">
        <v>0</v>
      </c>
      <c r="X170" s="381" t="n">
        <v>0</v>
      </c>
      <c r="Y170" s="377" t="n">
        <v>0</v>
      </c>
      <c r="Z170" s="377" t="n"/>
      <c r="AA170" s="377" t="n"/>
      <c r="AB170" s="377" t="n"/>
      <c r="AC170" s="385" t="n"/>
      <c r="AD170" s="385" t="n"/>
      <c r="AE170" s="385" t="n"/>
    </row>
    <row r="171" ht="15" customHeight="1" s="253">
      <c r="A171" s="375" t="inlineStr">
        <is>
          <t>Closed-Apr 25</t>
        </is>
      </c>
      <c r="B171" s="376" t="n">
        <v>45717</v>
      </c>
      <c r="C171" s="377" t="inlineStr">
        <is>
          <t>Argus Partners</t>
        </is>
      </c>
      <c r="D171" s="377" t="inlineStr">
        <is>
          <t>INV-000132</t>
        </is>
      </c>
      <c r="E171" s="377" t="n"/>
      <c r="F171" s="389" t="n">
        <v>45740</v>
      </c>
      <c r="G171" s="389" t="n">
        <v>45770</v>
      </c>
      <c r="H171" s="386" t="inlineStr">
        <is>
          <t>1 month-Upfront</t>
        </is>
      </c>
      <c r="I171" s="380" t="n">
        <v>3540</v>
      </c>
      <c r="J171" s="381" t="n"/>
      <c r="K171" s="381" t="n"/>
      <c r="L171" s="377" t="n">
        <v>31</v>
      </c>
      <c r="M171" s="377" t="n">
        <v>23</v>
      </c>
      <c r="N171" s="381" t="n">
        <v>2626.452</v>
      </c>
      <c r="O171" s="381" t="n"/>
      <c r="P171" s="380" t="n"/>
      <c r="Q171" s="377" t="n"/>
      <c r="R171" s="377" t="n">
        <v>30</v>
      </c>
      <c r="S171" s="377" t="n"/>
      <c r="T171" s="377" t="n"/>
      <c r="U171" s="381" t="n">
        <v>31</v>
      </c>
      <c r="V171" s="377" t="n"/>
      <c r="W171" s="384" t="n">
        <v>0</v>
      </c>
      <c r="X171" s="381" t="n">
        <v>0</v>
      </c>
      <c r="Y171" s="377" t="n">
        <v>0</v>
      </c>
      <c r="Z171" s="377" t="n"/>
      <c r="AA171" s="377" t="n"/>
      <c r="AB171" s="377" t="n"/>
      <c r="AC171" s="385" t="n"/>
      <c r="AD171" s="385" t="n"/>
      <c r="AE171" s="385" t="n"/>
    </row>
    <row r="172" ht="15" customHeight="1" s="253">
      <c r="A172" s="375" t="inlineStr">
        <is>
          <t>Closed-Apr 25</t>
        </is>
      </c>
      <c r="B172" s="376" t="n">
        <v>45717</v>
      </c>
      <c r="C172" s="377" t="inlineStr">
        <is>
          <t>Akriti Chaubey</t>
        </is>
      </c>
      <c r="D172" s="377" t="inlineStr">
        <is>
          <t>INV-000142</t>
        </is>
      </c>
      <c r="E172" s="377" t="n"/>
      <c r="F172" s="389" t="n">
        <v>45744</v>
      </c>
      <c r="G172" s="389" t="n">
        <v>45774</v>
      </c>
      <c r="H172" s="386" t="inlineStr">
        <is>
          <t>1 month-Upfront</t>
        </is>
      </c>
      <c r="I172" s="380" t="n">
        <v>59000</v>
      </c>
      <c r="J172" s="381" t="n"/>
      <c r="K172" s="381" t="n"/>
      <c r="L172" s="377" t="n">
        <v>31</v>
      </c>
      <c r="M172" s="377" t="n">
        <v>27</v>
      </c>
      <c r="N172" s="381" t="n">
        <v>51387.097</v>
      </c>
      <c r="O172" s="381" t="n"/>
      <c r="P172" s="380" t="n"/>
      <c r="Q172" s="377" t="n"/>
      <c r="R172" s="377" t="n">
        <v>30</v>
      </c>
      <c r="S172" s="377" t="n"/>
      <c r="T172" s="377" t="n"/>
      <c r="U172" s="381" t="n">
        <v>31</v>
      </c>
      <c r="V172" s="377" t="n"/>
      <c r="W172" s="384" t="n">
        <v>0</v>
      </c>
      <c r="X172" s="381" t="n">
        <v>0</v>
      </c>
      <c r="Y172" s="377" t="n">
        <v>0</v>
      </c>
      <c r="Z172" s="377" t="n"/>
      <c r="AA172" s="377" t="n"/>
      <c r="AB172" s="377" t="n"/>
      <c r="AC172" s="385" t="n"/>
      <c r="AD172" s="385" t="n"/>
      <c r="AE172" s="385" t="n"/>
    </row>
    <row r="173" ht="15" customHeight="1" s="253">
      <c r="A173" s="375" t="inlineStr">
        <is>
          <t>Closed-Apr 25</t>
        </is>
      </c>
      <c r="B173" s="376" t="n">
        <v>45717</v>
      </c>
      <c r="C173" s="377" t="inlineStr">
        <is>
          <t>GM Legal</t>
        </is>
      </c>
      <c r="D173" s="377" t="inlineStr">
        <is>
          <t>INV-000109</t>
        </is>
      </c>
      <c r="E173" s="377" t="n"/>
      <c r="F173" s="389" t="n">
        <v>45721</v>
      </c>
      <c r="G173" s="389" t="n">
        <v>45751</v>
      </c>
      <c r="H173" s="386" t="inlineStr">
        <is>
          <t>1 month-Upfront</t>
        </is>
      </c>
      <c r="I173" s="380" t="n">
        <v>18880</v>
      </c>
      <c r="J173" s="381" t="n"/>
      <c r="K173" s="381" t="n"/>
      <c r="L173" s="377" t="n">
        <v>31</v>
      </c>
      <c r="M173" s="377" t="n">
        <v>4</v>
      </c>
      <c r="N173" s="381" t="n">
        <v>2436.129</v>
      </c>
      <c r="O173" s="381" t="n"/>
      <c r="P173" s="380" t="n"/>
      <c r="Q173" s="377" t="n"/>
      <c r="R173" s="377" t="n">
        <v>30</v>
      </c>
      <c r="S173" s="377" t="n"/>
      <c r="T173" s="377" t="n"/>
      <c r="U173" s="381" t="n">
        <v>31</v>
      </c>
      <c r="V173" s="377" t="n"/>
      <c r="W173" s="384" t="n">
        <v>0</v>
      </c>
      <c r="X173" s="381" t="n">
        <v>0</v>
      </c>
      <c r="Y173" s="377" t="n">
        <v>0</v>
      </c>
      <c r="Z173" s="377" t="n"/>
      <c r="AA173" s="377" t="n"/>
      <c r="AB173" s="377" t="n"/>
      <c r="AC173" s="385" t="n"/>
      <c r="AD173" s="385" t="n"/>
      <c r="AE173" s="385" t="n"/>
    </row>
    <row r="174" ht="15" customHeight="1" s="253">
      <c r="A174" s="375" t="inlineStr">
        <is>
          <t>Closed- Feb</t>
        </is>
      </c>
      <c r="B174" s="376" t="n">
        <v>45658</v>
      </c>
      <c r="C174" s="377" t="inlineStr">
        <is>
          <t>Prantar</t>
        </is>
      </c>
      <c r="D174" s="377" t="inlineStr">
        <is>
          <t>INV-000068</t>
        </is>
      </c>
      <c r="E174" s="377" t="n"/>
      <c r="F174" s="389" t="n">
        <v>45681</v>
      </c>
      <c r="G174" s="389" t="n">
        <v>45713</v>
      </c>
      <c r="H174" s="386" t="inlineStr">
        <is>
          <t>1 month-Upfront</t>
        </is>
      </c>
      <c r="I174" s="380" t="n">
        <v>10000</v>
      </c>
      <c r="J174" s="381" t="n">
        <v>0</v>
      </c>
      <c r="K174" s="381" t="n"/>
      <c r="L174" s="377" t="n">
        <v>33</v>
      </c>
      <c r="M174" s="377" t="n"/>
      <c r="N174" s="381" t="n"/>
      <c r="O174" s="381" t="n"/>
      <c r="P174" s="380" t="n"/>
      <c r="Q174" s="377" t="n"/>
      <c r="R174" s="377" t="n">
        <v>30</v>
      </c>
      <c r="S174" s="377" t="n"/>
      <c r="T174" s="377" t="n"/>
      <c r="U174" s="381" t="n">
        <v>31</v>
      </c>
      <c r="V174" s="377" t="n"/>
      <c r="W174" s="384" t="n">
        <v>0</v>
      </c>
      <c r="X174" s="381" t="n">
        <v>0</v>
      </c>
      <c r="Y174" s="377" t="n">
        <v>0</v>
      </c>
      <c r="Z174" s="377" t="n"/>
      <c r="AA174" s="377" t="n"/>
      <c r="AB174" s="377" t="n"/>
      <c r="AC174" s="385" t="n"/>
      <c r="AD174" s="385" t="n"/>
      <c r="AE174" s="385" t="n"/>
    </row>
    <row r="175" ht="15" customHeight="1" s="253">
      <c r="A175" s="375" t="inlineStr">
        <is>
          <t>Closed-Apr 25</t>
        </is>
      </c>
      <c r="B175" s="376" t="n">
        <v>45717</v>
      </c>
      <c r="C175" s="377" t="inlineStr">
        <is>
          <t>Prantar</t>
        </is>
      </c>
      <c r="D175" s="377" t="inlineStr">
        <is>
          <t>INV-000121</t>
        </is>
      </c>
      <c r="E175" s="377" t="n"/>
      <c r="F175" s="389" t="n">
        <v>45735</v>
      </c>
      <c r="G175" s="389" t="n">
        <v>45765</v>
      </c>
      <c r="H175" s="386" t="inlineStr">
        <is>
          <t>1 month-Upfront</t>
        </is>
      </c>
      <c r="I175" s="380" t="n">
        <v>36750</v>
      </c>
      <c r="J175" s="381" t="n"/>
      <c r="K175" s="381" t="n"/>
      <c r="L175" s="377" t="n">
        <v>31</v>
      </c>
      <c r="M175" s="377" t="n">
        <v>18</v>
      </c>
      <c r="N175" s="381" t="n">
        <v>21338.71</v>
      </c>
      <c r="O175" s="381" t="n"/>
      <c r="P175" s="380" t="n"/>
      <c r="Q175" s="377" t="n"/>
      <c r="R175" s="377" t="n">
        <v>30</v>
      </c>
      <c r="S175" s="377" t="n"/>
      <c r="T175" s="377" t="n"/>
      <c r="U175" s="381" t="n">
        <v>31</v>
      </c>
      <c r="V175" s="377" t="n"/>
      <c r="W175" s="384" t="n">
        <v>0</v>
      </c>
      <c r="X175" s="381" t="n">
        <v>0</v>
      </c>
      <c r="Y175" s="377" t="n">
        <v>0</v>
      </c>
      <c r="Z175" s="377" t="n"/>
      <c r="AA175" s="377" t="n"/>
      <c r="AB175" s="377" t="n"/>
      <c r="AC175" s="385" t="n"/>
      <c r="AD175" s="385" t="n"/>
      <c r="AE175" s="385" t="n"/>
    </row>
    <row r="176" ht="15" customHeight="1" s="253">
      <c r="A176" s="375" t="inlineStr">
        <is>
          <t>Closed- Mar</t>
        </is>
      </c>
      <c r="B176" s="376" t="n">
        <v>45658</v>
      </c>
      <c r="C176" s="377" t="inlineStr">
        <is>
          <t>Gourab Banerji</t>
        </is>
      </c>
      <c r="D176" s="377" t="inlineStr">
        <is>
          <t>INV-000048</t>
        </is>
      </c>
      <c r="E176" s="377" t="n"/>
      <c r="F176" s="389" t="n">
        <v>45662</v>
      </c>
      <c r="G176" s="389" t="n">
        <v>45721</v>
      </c>
      <c r="H176" s="386" t="inlineStr">
        <is>
          <t>2 months subscription, Monthly</t>
        </is>
      </c>
      <c r="I176" s="380" t="n">
        <v>49998</v>
      </c>
      <c r="J176" s="381" t="n">
        <v>0</v>
      </c>
      <c r="K176" s="381" t="n"/>
      <c r="L176" s="377" t="n">
        <v>60</v>
      </c>
      <c r="M176" s="377" t="n"/>
      <c r="N176" s="381" t="n"/>
      <c r="O176" s="381" t="n"/>
      <c r="P176" s="380" t="n"/>
      <c r="Q176" s="377" t="n"/>
      <c r="R176" s="377" t="n">
        <v>30</v>
      </c>
      <c r="S176" s="377" t="n"/>
      <c r="T176" s="377" t="n"/>
      <c r="U176" s="381" t="n">
        <v>31</v>
      </c>
      <c r="V176" s="377" t="n"/>
      <c r="W176" s="384" t="n">
        <v>0</v>
      </c>
      <c r="X176" s="381" t="n">
        <v>0</v>
      </c>
      <c r="Y176" s="377" t="n">
        <v>0</v>
      </c>
      <c r="Z176" s="377" t="n"/>
      <c r="AA176" s="377" t="n"/>
      <c r="AB176" s="377" t="n"/>
      <c r="AC176" s="385" t="n"/>
      <c r="AD176" s="385" t="n"/>
      <c r="AE176" s="385" t="n"/>
    </row>
    <row r="177" ht="15" customHeight="1" s="253">
      <c r="A177" s="375" t="inlineStr">
        <is>
          <t>Closed- Feb</t>
        </is>
      </c>
      <c r="B177" s="376" t="inlineStr">
        <is>
          <t>Sept to Jan 25</t>
        </is>
      </c>
      <c r="C177" s="377" t="inlineStr">
        <is>
          <t>Kanungo &amp; Co.</t>
        </is>
      </c>
      <c r="D177" s="377" t="inlineStr">
        <is>
          <t>INV-000002,009, 16, INV-000051</t>
        </is>
      </c>
      <c r="E177" s="377" t="n"/>
      <c r="F177" s="389" t="n">
        <v>45557</v>
      </c>
      <c r="G177" s="389" t="n">
        <v>45710</v>
      </c>
      <c r="H177" s="386" t="inlineStr">
        <is>
          <t>5 months subscription, Monthly</t>
        </is>
      </c>
      <c r="I177" s="380" t="n">
        <v>19995</v>
      </c>
      <c r="J177" s="381" t="n"/>
      <c r="K177" s="381" t="n"/>
      <c r="L177" s="377" t="n">
        <v>154</v>
      </c>
      <c r="M177" s="377" t="n"/>
      <c r="N177" s="381" t="n"/>
      <c r="O177" s="381" t="n"/>
      <c r="P177" s="380" t="n"/>
      <c r="Q177" s="377" t="n"/>
      <c r="R177" s="377" t="n">
        <v>30</v>
      </c>
      <c r="S177" s="377" t="n"/>
      <c r="T177" s="377" t="n"/>
      <c r="U177" s="381" t="n">
        <v>31</v>
      </c>
      <c r="V177" s="377" t="n"/>
      <c r="W177" s="384" t="n">
        <v>0</v>
      </c>
      <c r="X177" s="381" t="n">
        <v>0</v>
      </c>
      <c r="Y177" s="377" t="n">
        <v>0</v>
      </c>
      <c r="Z177" s="377" t="n"/>
      <c r="AA177" s="377" t="n"/>
      <c r="AB177" s="377" t="n"/>
      <c r="AC177" s="385" t="n"/>
      <c r="AD177" s="385" t="n"/>
      <c r="AE177" s="385" t="n"/>
    </row>
    <row r="178" ht="15" customHeight="1" s="253">
      <c r="A178" s="375" t="inlineStr">
        <is>
          <t>Closed- Feb</t>
        </is>
      </c>
      <c r="B178" s="376" t="n">
        <v>45658</v>
      </c>
      <c r="C178" s="377" t="inlineStr">
        <is>
          <t>Tejas Bhide</t>
        </is>
      </c>
      <c r="D178" s="377" t="inlineStr">
        <is>
          <t>INV-000072</t>
        </is>
      </c>
      <c r="E178" s="377" t="n"/>
      <c r="F178" s="389" t="n">
        <v>45685</v>
      </c>
      <c r="G178" s="389" t="n">
        <v>45716</v>
      </c>
      <c r="H178" s="386" t="inlineStr">
        <is>
          <t>1 month-Upfront</t>
        </is>
      </c>
      <c r="I178" s="380" t="n">
        <v>10000</v>
      </c>
      <c r="J178" s="381" t="n">
        <v>0</v>
      </c>
      <c r="K178" s="381" t="n"/>
      <c r="L178" s="377" t="n">
        <v>32</v>
      </c>
      <c r="M178" s="377" t="n"/>
      <c r="N178" s="381" t="n"/>
      <c r="O178" s="381" t="n"/>
      <c r="P178" s="380" t="n"/>
      <c r="Q178" s="377" t="n"/>
      <c r="R178" s="377" t="n">
        <v>30</v>
      </c>
      <c r="S178" s="377" t="n"/>
      <c r="T178" s="377" t="n"/>
      <c r="U178" s="381" t="n">
        <v>31</v>
      </c>
      <c r="V178" s="377" t="n"/>
      <c r="W178" s="384" t="n">
        <v>0</v>
      </c>
      <c r="X178" s="381" t="n">
        <v>0</v>
      </c>
      <c r="Y178" s="377" t="n">
        <v>0</v>
      </c>
      <c r="Z178" s="377" t="n"/>
      <c r="AA178" s="377" t="n"/>
      <c r="AB178" s="377" t="n"/>
      <c r="AC178" s="385" t="n"/>
      <c r="AD178" s="385" t="n"/>
      <c r="AE178" s="385" t="n"/>
    </row>
    <row r="179" ht="15" customHeight="1" s="253">
      <c r="A179" s="375" t="inlineStr">
        <is>
          <t>Closed- Mar</t>
        </is>
      </c>
      <c r="B179" s="376" t="inlineStr">
        <is>
          <t>Nov, Jan &amp; Feb 25</t>
        </is>
      </c>
      <c r="C179" s="377" t="inlineStr">
        <is>
          <t>ANG</t>
        </is>
      </c>
      <c r="D179" s="377" t="inlineStr">
        <is>
          <t>INV-000077, 080</t>
        </is>
      </c>
      <c r="E179" s="377" t="n"/>
      <c r="F179" s="389" t="n">
        <v>45620</v>
      </c>
      <c r="G179" s="389" t="n">
        <v>45739</v>
      </c>
      <c r="H179" s="386" t="inlineStr">
        <is>
          <t>4 months subscription, Monthly</t>
        </is>
      </c>
      <c r="I179" s="380" t="n">
        <v>9996</v>
      </c>
      <c r="J179" s="381" t="n"/>
      <c r="K179" s="381" t="n"/>
      <c r="L179" s="377" t="n">
        <v>120</v>
      </c>
      <c r="M179" s="377" t="n"/>
      <c r="N179" s="381" t="n"/>
      <c r="O179" s="381" t="n"/>
      <c r="P179" s="380" t="n"/>
      <c r="Q179" s="377" t="n"/>
      <c r="R179" s="377" t="n">
        <v>30</v>
      </c>
      <c r="S179" s="377" t="n"/>
      <c r="T179" s="377" t="n"/>
      <c r="U179" s="381" t="n">
        <v>31</v>
      </c>
      <c r="V179" s="377" t="n"/>
      <c r="W179" s="384" t="n">
        <v>0</v>
      </c>
      <c r="X179" s="381" t="n">
        <v>0</v>
      </c>
      <c r="Y179" s="377" t="n">
        <v>0</v>
      </c>
      <c r="Z179" s="377" t="n"/>
      <c r="AA179" s="377" t="n"/>
      <c r="AB179" s="377" t="n"/>
      <c r="AC179" s="385" t="n"/>
      <c r="AD179" s="385" t="n"/>
      <c r="AE179" s="385" t="n"/>
    </row>
    <row r="180" ht="15" customHeight="1" s="253">
      <c r="A180" s="375" t="inlineStr">
        <is>
          <t>Closed- Mar</t>
        </is>
      </c>
      <c r="B180" s="376" t="n">
        <v>45689</v>
      </c>
      <c r="C180" s="377" t="inlineStr">
        <is>
          <t>Monalisa Kosaria</t>
        </is>
      </c>
      <c r="D180" s="377" t="inlineStr">
        <is>
          <t>INV-000096</t>
        </is>
      </c>
      <c r="E180" s="377" t="n"/>
      <c r="F180" s="389" t="n">
        <v>45693</v>
      </c>
      <c r="G180" s="389" t="n">
        <v>45720</v>
      </c>
      <c r="H180" s="386" t="inlineStr">
        <is>
          <t>1 month-Upfront</t>
        </is>
      </c>
      <c r="I180" s="380" t="n">
        <v>22500</v>
      </c>
      <c r="J180" s="381" t="n"/>
      <c r="K180" s="381" t="n"/>
      <c r="L180" s="377" t="n">
        <v>28</v>
      </c>
      <c r="M180" s="377" t="n"/>
      <c r="N180" s="381" t="n"/>
      <c r="O180" s="381" t="n"/>
      <c r="P180" s="380" t="n"/>
      <c r="Q180" s="377" t="n"/>
      <c r="R180" s="377" t="n">
        <v>30</v>
      </c>
      <c r="S180" s="377" t="n"/>
      <c r="T180" s="377" t="n"/>
      <c r="U180" s="381" t="n">
        <v>31</v>
      </c>
      <c r="V180" s="377" t="n"/>
      <c r="W180" s="384" t="n">
        <v>0</v>
      </c>
      <c r="X180" s="381" t="n">
        <v>0</v>
      </c>
      <c r="Y180" s="377" t="n">
        <v>0</v>
      </c>
      <c r="Z180" s="377" t="n"/>
      <c r="AA180" s="377" t="n"/>
      <c r="AB180" s="377" t="n"/>
      <c r="AC180" s="385" t="n"/>
      <c r="AD180" s="385" t="n"/>
      <c r="AE180" s="385" t="n"/>
    </row>
    <row r="181" ht="15" customHeight="1" s="253">
      <c r="A181" s="375" t="inlineStr">
        <is>
          <t>Closed- Mar</t>
        </is>
      </c>
      <c r="B181" s="376" t="n">
        <v>45689</v>
      </c>
      <c r="C181" s="386" t="inlineStr">
        <is>
          <t>Eternity Legal</t>
        </is>
      </c>
      <c r="D181" s="377" t="inlineStr">
        <is>
          <t>INV-000097</t>
        </is>
      </c>
      <c r="E181" s="377" t="n"/>
      <c r="F181" s="389" t="n">
        <v>45713</v>
      </c>
      <c r="G181" s="389" t="n">
        <v>45742</v>
      </c>
      <c r="H181" s="386" t="inlineStr">
        <is>
          <t>1 month-Upfront</t>
        </is>
      </c>
      <c r="I181" s="380" t="n">
        <v>11799</v>
      </c>
      <c r="J181" s="381" t="n"/>
      <c r="K181" s="381" t="n"/>
      <c r="L181" s="377" t="n">
        <v>30</v>
      </c>
      <c r="M181" s="377" t="n"/>
      <c r="N181" s="381" t="n"/>
      <c r="O181" s="381" t="n"/>
      <c r="P181" s="380" t="n"/>
      <c r="Q181" s="377" t="n"/>
      <c r="R181" s="377" t="n">
        <v>30</v>
      </c>
      <c r="S181" s="377" t="n"/>
      <c r="T181" s="377" t="n"/>
      <c r="U181" s="381" t="n">
        <v>31</v>
      </c>
      <c r="V181" s="377" t="n"/>
      <c r="W181" s="384" t="n">
        <v>0</v>
      </c>
      <c r="X181" s="381" t="n">
        <v>0</v>
      </c>
      <c r="Y181" s="377" t="n">
        <v>0</v>
      </c>
      <c r="Z181" s="377" t="n"/>
      <c r="AA181" s="377" t="n"/>
      <c r="AB181" s="377" t="n"/>
      <c r="AC181" s="385" t="n"/>
      <c r="AD181" s="385" t="n"/>
      <c r="AE181" s="385" t="n"/>
    </row>
    <row r="182" ht="15" customHeight="1" s="253">
      <c r="A182" s="375" t="inlineStr">
        <is>
          <t>Closed-Apr 25</t>
        </is>
      </c>
      <c r="B182" s="376" t="n">
        <v>45717</v>
      </c>
      <c r="C182" s="377" t="inlineStr">
        <is>
          <t>Rohit Sharma (lex Merita)</t>
        </is>
      </c>
      <c r="D182" s="377" t="inlineStr">
        <is>
          <t>INV-000129</t>
        </is>
      </c>
      <c r="E182" s="377" t="n"/>
      <c r="F182" s="389" t="n">
        <v>45739</v>
      </c>
      <c r="G182" s="389" t="n">
        <v>45770</v>
      </c>
      <c r="H182" s="386" t="inlineStr">
        <is>
          <t>1 month-Upfront</t>
        </is>
      </c>
      <c r="I182" s="380" t="n">
        <v>11800</v>
      </c>
      <c r="J182" s="381" t="n"/>
      <c r="K182" s="381" t="n"/>
      <c r="L182" s="377" t="n">
        <v>32</v>
      </c>
      <c r="M182" s="377" t="n">
        <v>23</v>
      </c>
      <c r="N182" s="381" t="n">
        <v>8481.25</v>
      </c>
      <c r="O182" s="381" t="n"/>
      <c r="P182" s="380" t="n"/>
      <c r="Q182" s="377" t="n"/>
      <c r="R182" s="377" t="n">
        <v>30</v>
      </c>
      <c r="S182" s="377" t="n"/>
      <c r="T182" s="377" t="n"/>
      <c r="U182" s="381" t="n">
        <v>31</v>
      </c>
      <c r="V182" s="377" t="n"/>
      <c r="W182" s="384" t="n">
        <v>0</v>
      </c>
      <c r="X182" s="381" t="n">
        <v>0</v>
      </c>
      <c r="Y182" s="377" t="n">
        <v>0</v>
      </c>
      <c r="Z182" s="377" t="n"/>
      <c r="AA182" s="377" t="n"/>
      <c r="AB182" s="377" t="n"/>
      <c r="AC182" s="385" t="n"/>
      <c r="AD182" s="385" t="n"/>
      <c r="AE182" s="385" t="n"/>
    </row>
    <row r="183" ht="15" customHeight="1" s="253">
      <c r="A183" s="375" t="inlineStr">
        <is>
          <t>Closed-Apr 25</t>
        </is>
      </c>
      <c r="B183" s="376" t="n">
        <v>45717</v>
      </c>
      <c r="C183" s="377" t="inlineStr">
        <is>
          <t>Mr Sudhanshu Kumar</t>
        </is>
      </c>
      <c r="D183" s="377" t="inlineStr">
        <is>
          <t>INV-000138</t>
        </is>
      </c>
      <c r="E183" s="377" t="n"/>
      <c r="F183" s="389" t="n">
        <v>45740</v>
      </c>
      <c r="G183" s="389" t="n">
        <v>45770</v>
      </c>
      <c r="H183" s="386" t="inlineStr">
        <is>
          <t>1 month-Upfront</t>
        </is>
      </c>
      <c r="I183" s="380" t="n">
        <v>5900</v>
      </c>
      <c r="J183" s="381" t="n"/>
      <c r="K183" s="381" t="n"/>
      <c r="L183" s="377" t="n">
        <v>31</v>
      </c>
      <c r="M183" s="377" t="n">
        <v>23</v>
      </c>
      <c r="N183" s="381" t="n">
        <v>4377.419</v>
      </c>
      <c r="O183" s="381" t="n"/>
      <c r="P183" s="380" t="n"/>
      <c r="Q183" s="377" t="n"/>
      <c r="R183" s="377" t="n">
        <v>30</v>
      </c>
      <c r="S183" s="377" t="n"/>
      <c r="T183" s="377" t="n"/>
      <c r="U183" s="381" t="n">
        <v>31</v>
      </c>
      <c r="V183" s="377" t="n"/>
      <c r="W183" s="384" t="n">
        <v>0</v>
      </c>
      <c r="X183" s="381" t="n">
        <v>0</v>
      </c>
      <c r="Y183" s="377" t="n">
        <v>0</v>
      </c>
      <c r="Z183" s="377" t="n"/>
      <c r="AA183" s="377" t="n"/>
      <c r="AB183" s="377" t="n"/>
      <c r="AC183" s="385" t="n"/>
      <c r="AD183" s="385" t="n"/>
      <c r="AE183" s="385" t="n"/>
    </row>
    <row r="184" ht="15" customHeight="1" s="253">
      <c r="A184" s="375" t="inlineStr">
        <is>
          <t>Closed-Apr 25</t>
        </is>
      </c>
      <c r="B184" s="376" t="n">
        <v>45717</v>
      </c>
      <c r="C184" s="377" t="inlineStr">
        <is>
          <t>Santosh Kumar</t>
        </is>
      </c>
      <c r="D184" s="377" t="inlineStr">
        <is>
          <t>INV-000148</t>
        </is>
      </c>
      <c r="E184" s="377" t="n"/>
      <c r="F184" s="389" t="n">
        <v>45747</v>
      </c>
      <c r="G184" s="389" t="n">
        <v>45777</v>
      </c>
      <c r="H184" s="386" t="inlineStr">
        <is>
          <t>1 month-Upfront</t>
        </is>
      </c>
      <c r="I184" s="380" t="n">
        <v>10000</v>
      </c>
      <c r="J184" s="381" t="n"/>
      <c r="K184" s="381" t="n"/>
      <c r="L184" s="377" t="n">
        <v>31</v>
      </c>
      <c r="M184" s="377" t="n">
        <v>30</v>
      </c>
      <c r="N184" s="381" t="n">
        <v>9677.419</v>
      </c>
      <c r="O184" s="381" t="n"/>
      <c r="P184" s="380" t="n"/>
      <c r="Q184" s="377" t="n"/>
      <c r="R184" s="377" t="n">
        <v>30</v>
      </c>
      <c r="S184" s="377" t="n"/>
      <c r="T184" s="377" t="n"/>
      <c r="U184" s="381" t="n">
        <v>31</v>
      </c>
      <c r="V184" s="377" t="n"/>
      <c r="W184" s="384" t="n">
        <v>0</v>
      </c>
      <c r="X184" s="381" t="n">
        <v>0</v>
      </c>
      <c r="Y184" s="377" t="n">
        <v>0</v>
      </c>
      <c r="Z184" s="377" t="n"/>
      <c r="AA184" s="377" t="n"/>
      <c r="AB184" s="377" t="n"/>
      <c r="AC184" s="385" t="n"/>
      <c r="AD184" s="385" t="n"/>
      <c r="AE184" s="385" t="n"/>
    </row>
    <row r="185" ht="15" customHeight="1" s="253">
      <c r="A185" s="375" t="inlineStr">
        <is>
          <t>Closed-Apr 25</t>
        </is>
      </c>
      <c r="B185" s="376" t="n">
        <v>45717</v>
      </c>
      <c r="C185" s="377" t="inlineStr">
        <is>
          <t>NIKHIL DEELIP P</t>
        </is>
      </c>
      <c r="D185" s="377" t="inlineStr">
        <is>
          <t>INV-000149</t>
        </is>
      </c>
      <c r="E185" s="377" t="n"/>
      <c r="F185" s="389" t="n">
        <v>45747</v>
      </c>
      <c r="G185" s="389" t="n">
        <v>45777</v>
      </c>
      <c r="H185" s="386" t="inlineStr">
        <is>
          <t>1 month-Upfront</t>
        </is>
      </c>
      <c r="I185" s="380" t="n">
        <v>5900</v>
      </c>
      <c r="J185" s="381" t="n"/>
      <c r="K185" s="381" t="n"/>
      <c r="L185" s="377" t="n">
        <v>31</v>
      </c>
      <c r="M185" s="377" t="n">
        <v>30</v>
      </c>
      <c r="N185" s="381" t="n">
        <v>5709.677</v>
      </c>
      <c r="O185" s="381" t="n"/>
      <c r="P185" s="380" t="n"/>
      <c r="Q185" s="377" t="n"/>
      <c r="R185" s="377" t="n">
        <v>30</v>
      </c>
      <c r="S185" s="377" t="n"/>
      <c r="T185" s="377" t="n"/>
      <c r="U185" s="381" t="n">
        <v>31</v>
      </c>
      <c r="V185" s="377" t="n"/>
      <c r="W185" s="384" t="n">
        <v>0</v>
      </c>
      <c r="X185" s="381" t="n">
        <v>0</v>
      </c>
      <c r="Y185" s="377" t="n">
        <v>0</v>
      </c>
      <c r="Z185" s="377" t="n"/>
      <c r="AA185" s="377" t="n"/>
      <c r="AB185" s="377" t="n"/>
      <c r="AC185" s="385" t="n"/>
      <c r="AD185" s="385" t="n"/>
      <c r="AE185" s="385" t="n"/>
    </row>
    <row r="186" ht="15" customHeight="1" s="253">
      <c r="A186" s="375" t="inlineStr">
        <is>
          <t>Closed- Dec 24</t>
        </is>
      </c>
      <c r="B186" s="376" t="n">
        <v>45566</v>
      </c>
      <c r="C186" s="386" t="inlineStr">
        <is>
          <t>Solaris Legal</t>
        </is>
      </c>
      <c r="D186" s="397" t="inlineStr">
        <is>
          <t>INV-000005, INV-000014, INV-25-26-000226, 000481</t>
        </is>
      </c>
      <c r="E186" s="377" t="n"/>
      <c r="F186" s="389" t="n">
        <v>45584</v>
      </c>
      <c r="G186" s="389" t="n">
        <v>45645</v>
      </c>
      <c r="H186" s="377" t="inlineStr">
        <is>
          <t>2 months- Upfront</t>
        </is>
      </c>
      <c r="I186" s="380" t="n">
        <v>7998</v>
      </c>
      <c r="J186" s="381" t="n"/>
      <c r="K186" s="381" t="n"/>
      <c r="L186" s="377" t="n">
        <v>62</v>
      </c>
      <c r="M186" s="377" t="n"/>
      <c r="N186" s="381" t="n"/>
      <c r="O186" s="381" t="n"/>
      <c r="P186" s="380" t="n"/>
      <c r="Q186" s="377" t="n"/>
      <c r="R186" s="377" t="n">
        <v>30</v>
      </c>
      <c r="S186" s="377" t="n"/>
      <c r="T186" s="377" t="n"/>
      <c r="U186" s="381" t="n">
        <v>31</v>
      </c>
      <c r="V186" s="377" t="n"/>
      <c r="W186" s="384" t="n">
        <v>0</v>
      </c>
      <c r="X186" s="381" t="n">
        <v>0</v>
      </c>
      <c r="Y186" s="377" t="n">
        <v>0</v>
      </c>
      <c r="Z186" s="377" t="n"/>
      <c r="AA186" s="377" t="n"/>
      <c r="AB186" s="377" t="n"/>
      <c r="AC186" s="385" t="n">
        <v>0</v>
      </c>
      <c r="AD186" s="385" t="n">
        <v>2666</v>
      </c>
      <c r="AE186" s="385" t="n">
        <v>0</v>
      </c>
    </row>
    <row r="187" ht="15" customHeight="1" s="253">
      <c r="A187" s="375" t="inlineStr">
        <is>
          <t>Closed- Dec 24</t>
        </is>
      </c>
      <c r="B187" s="376" t="n">
        <v>45566</v>
      </c>
      <c r="C187" s="398" t="inlineStr">
        <is>
          <t>Newton School - Incanus Technologies Private Limited</t>
        </is>
      </c>
      <c r="D187" s="397" t="inlineStr">
        <is>
          <t>INV-000007</t>
        </is>
      </c>
      <c r="E187" s="377" t="n"/>
      <c r="F187" s="389" t="n">
        <v>45586</v>
      </c>
      <c r="G187" s="389" t="n">
        <v>45647</v>
      </c>
      <c r="H187" s="377" t="inlineStr">
        <is>
          <t>2 months- Upfront</t>
        </is>
      </c>
      <c r="I187" s="380" t="n">
        <v>15000</v>
      </c>
      <c r="J187" s="381" t="n"/>
      <c r="K187" s="381" t="n"/>
      <c r="L187" s="377" t="n">
        <v>62</v>
      </c>
      <c r="M187" s="377" t="n"/>
      <c r="N187" s="381" t="n"/>
      <c r="O187" s="381" t="n"/>
      <c r="P187" s="380" t="n"/>
      <c r="Q187" s="377" t="n"/>
      <c r="R187" s="377" t="n">
        <v>30</v>
      </c>
      <c r="S187" s="377" t="n"/>
      <c r="T187" s="377" t="n"/>
      <c r="U187" s="381" t="n">
        <v>31</v>
      </c>
      <c r="V187" s="377" t="n"/>
      <c r="W187" s="384" t="n">
        <v>0</v>
      </c>
      <c r="X187" s="381" t="n">
        <v>0</v>
      </c>
      <c r="Y187" s="377" t="n">
        <v>0</v>
      </c>
      <c r="Z187" s="377" t="n"/>
      <c r="AA187" s="377" t="n"/>
      <c r="AB187" s="377" t="n"/>
      <c r="AC187" s="385" t="n">
        <v>0</v>
      </c>
      <c r="AD187" s="385" t="n">
        <v>5000</v>
      </c>
      <c r="AE187" s="385" t="n">
        <v>0</v>
      </c>
    </row>
    <row r="188" ht="15" customHeight="1" s="253">
      <c r="A188" s="375" t="inlineStr">
        <is>
          <t>Closed- Dec 24</t>
        </is>
      </c>
      <c r="B188" s="376" t="n">
        <v>45597</v>
      </c>
      <c r="C188" s="398" t="inlineStr">
        <is>
          <t>Talha Abdul Rahman</t>
        </is>
      </c>
      <c r="D188" s="397" t="inlineStr">
        <is>
          <t>INV-000019</t>
        </is>
      </c>
      <c r="E188" s="377" t="n"/>
      <c r="F188" s="389" t="n">
        <v>45616</v>
      </c>
      <c r="G188" s="389" t="n">
        <v>45645</v>
      </c>
      <c r="H188" s="386" t="inlineStr">
        <is>
          <t>1 month-Upfront</t>
        </is>
      </c>
      <c r="I188" s="380" t="n">
        <v>4999</v>
      </c>
      <c r="J188" s="381" t="n"/>
      <c r="K188" s="381" t="n"/>
      <c r="L188" s="377" t="n">
        <v>30</v>
      </c>
      <c r="M188" s="377" t="n"/>
      <c r="N188" s="381" t="n"/>
      <c r="O188" s="381" t="n"/>
      <c r="P188" s="380" t="n"/>
      <c r="Q188" s="377" t="n"/>
      <c r="R188" s="377" t="n">
        <v>30</v>
      </c>
      <c r="S188" s="377" t="n"/>
      <c r="T188" s="377" t="n"/>
      <c r="U188" s="381" t="n">
        <v>31</v>
      </c>
      <c r="V188" s="377" t="n"/>
      <c r="W188" s="384" t="n">
        <v>0</v>
      </c>
      <c r="X188" s="381" t="n">
        <v>0</v>
      </c>
      <c r="Y188" s="377" t="n">
        <v>0</v>
      </c>
      <c r="Z188" s="377" t="n"/>
      <c r="AA188" s="377" t="n"/>
      <c r="AB188" s="377" t="n"/>
      <c r="AC188" s="385" t="n"/>
      <c r="AD188" s="385" t="n"/>
      <c r="AE188" s="385" t="n"/>
    </row>
    <row r="189" ht="15" customHeight="1" s="253">
      <c r="A189" s="375" t="inlineStr">
        <is>
          <t>Closed- Dec 24</t>
        </is>
      </c>
      <c r="B189" s="376" t="inlineStr">
        <is>
          <t>Oct &amp; Nov 24</t>
        </is>
      </c>
      <c r="C189" s="398" t="inlineStr">
        <is>
          <t>Chambers of Pujari</t>
        </is>
      </c>
      <c r="D189" s="397" t="inlineStr">
        <is>
          <t>INV-000008,0021</t>
        </is>
      </c>
      <c r="E189" s="377" t="n"/>
      <c r="F189" s="389" t="n">
        <v>45586</v>
      </c>
      <c r="G189" s="389" t="n">
        <v>45645</v>
      </c>
      <c r="H189" s="386" t="inlineStr">
        <is>
          <t>2 months subscription, Monthly</t>
        </is>
      </c>
      <c r="I189" s="380" t="n">
        <v>30000</v>
      </c>
      <c r="J189" s="381" t="n"/>
      <c r="K189" s="381" t="n"/>
      <c r="L189" s="377" t="n">
        <v>60</v>
      </c>
      <c r="M189" s="377" t="n"/>
      <c r="N189" s="381" t="n"/>
      <c r="O189" s="381" t="n"/>
      <c r="P189" s="380" t="n"/>
      <c r="Q189" s="377" t="n"/>
      <c r="R189" s="377" t="n">
        <v>30</v>
      </c>
      <c r="S189" s="377" t="n"/>
      <c r="T189" s="377" t="n"/>
      <c r="U189" s="381" t="n">
        <v>31</v>
      </c>
      <c r="V189" s="377" t="n"/>
      <c r="W189" s="384" t="n">
        <v>0</v>
      </c>
      <c r="X189" s="381" t="n">
        <v>0</v>
      </c>
      <c r="Y189" s="377" t="n">
        <v>0</v>
      </c>
      <c r="Z189" s="377" t="n"/>
      <c r="AA189" s="377" t="n"/>
      <c r="AB189" s="377" t="n"/>
      <c r="AC189" s="385" t="n">
        <v>0</v>
      </c>
      <c r="AD189" s="385" t="n">
        <v>15000</v>
      </c>
      <c r="AE189" s="385" t="n">
        <v>0</v>
      </c>
    </row>
    <row r="190" ht="15" customHeight="1" s="253">
      <c r="A190" s="375" t="inlineStr">
        <is>
          <t>Closed- Mar</t>
        </is>
      </c>
      <c r="B190" s="376" t="n">
        <v>45717</v>
      </c>
      <c r="C190" s="398" t="inlineStr">
        <is>
          <t>Hiresh Chaudhary</t>
        </is>
      </c>
      <c r="D190" s="397" t="inlineStr">
        <is>
          <t>INV-000151</t>
        </is>
      </c>
      <c r="E190" s="377" t="n"/>
      <c r="F190" s="389" t="n">
        <v>45748</v>
      </c>
      <c r="G190" s="389" t="n">
        <v>45777</v>
      </c>
      <c r="H190" s="386" t="inlineStr">
        <is>
          <t>1 month-Upfront</t>
        </is>
      </c>
      <c r="I190" s="380" t="n">
        <v>23600</v>
      </c>
      <c r="J190" s="381" t="n">
        <v>23600</v>
      </c>
      <c r="K190" s="381" t="n"/>
      <c r="L190" s="377" t="n">
        <v>30</v>
      </c>
      <c r="M190" s="377" t="n">
        <v>30</v>
      </c>
      <c r="N190" s="381" t="n">
        <v>23600</v>
      </c>
      <c r="O190" s="381" t="n"/>
      <c r="P190" s="380" t="n"/>
      <c r="Q190" s="377" t="n"/>
      <c r="R190" s="377" t="n"/>
      <c r="S190" s="377" t="n"/>
      <c r="T190" s="377" t="n"/>
      <c r="U190" s="381" t="n">
        <v>31</v>
      </c>
      <c r="V190" s="377" t="n"/>
      <c r="W190" s="384" t="n">
        <v>0</v>
      </c>
      <c r="X190" s="381" t="n">
        <v>0</v>
      </c>
      <c r="Y190" s="377" t="n">
        <v>0</v>
      </c>
      <c r="Z190" s="377" t="n"/>
      <c r="AA190" s="377" t="n"/>
      <c r="AB190" s="377" t="n"/>
      <c r="AC190" s="385" t="n"/>
      <c r="AD190" s="385" t="n"/>
      <c r="AE190" s="385" t="n"/>
    </row>
    <row r="191" ht="15" customHeight="1" s="253">
      <c r="A191" s="375" t="inlineStr">
        <is>
          <t>Closed-Apr 25</t>
        </is>
      </c>
      <c r="B191" s="376" t="inlineStr">
        <is>
          <t>Jan to Mar 25</t>
        </is>
      </c>
      <c r="C191" s="379" t="inlineStr">
        <is>
          <t>Victoram Legal / Mr. Sajal Awasthi</t>
        </is>
      </c>
      <c r="D191" s="377" t="inlineStr">
        <is>
          <t>INV-000070,INV-000103, 146</t>
        </is>
      </c>
      <c r="E191" s="377" t="n"/>
      <c r="F191" s="389" t="n">
        <v>45684</v>
      </c>
      <c r="G191" s="389" t="n">
        <v>45774</v>
      </c>
      <c r="H191" s="386" t="inlineStr">
        <is>
          <t>3 months subscription, Monthly</t>
        </is>
      </c>
      <c r="I191" s="380" t="n">
        <v>81000</v>
      </c>
      <c r="J191" s="381" t="n">
        <v>0</v>
      </c>
      <c r="K191" s="381" t="n"/>
      <c r="L191" s="377" t="n">
        <v>91</v>
      </c>
      <c r="M191" s="377" t="n">
        <v>27</v>
      </c>
      <c r="N191" s="381" t="n">
        <v>24032.967</v>
      </c>
      <c r="O191" s="381" t="n"/>
      <c r="P191" s="380" t="n">
        <v>0</v>
      </c>
      <c r="Q191" s="377" t="n"/>
      <c r="R191" s="377" t="n">
        <v>30</v>
      </c>
      <c r="S191" s="377" t="n"/>
      <c r="T191" s="377" t="n"/>
      <c r="U191" s="381" t="n">
        <v>31</v>
      </c>
      <c r="V191" s="377" t="n"/>
      <c r="W191" s="384" t="n">
        <v>0</v>
      </c>
      <c r="X191" s="381" t="n">
        <v>0</v>
      </c>
      <c r="Y191" s="377" t="n">
        <v>0</v>
      </c>
      <c r="Z191" s="377" t="n"/>
      <c r="AA191" s="377" t="n"/>
      <c r="AB191" s="377" t="n"/>
      <c r="AC191" s="385" t="n"/>
      <c r="AD191" s="385" t="n"/>
      <c r="AE191" s="385" t="n"/>
    </row>
    <row r="192" ht="15" customHeight="1" s="253">
      <c r="A192" s="377" t="n"/>
      <c r="B192" s="399" t="n">
        <v>45809</v>
      </c>
      <c r="C192" s="377" t="inlineStr">
        <is>
          <t>LEGALOGIC CONSULTING LLP</t>
        </is>
      </c>
      <c r="D192" s="377" t="inlineStr">
        <is>
          <t>INV-25-26-000161, INV-25-26-000490</t>
        </is>
      </c>
      <c r="E192" s="377" t="n"/>
      <c r="F192" s="389" t="n">
        <v>45809</v>
      </c>
      <c r="G192" s="389" t="n">
        <v>45838</v>
      </c>
      <c r="H192" s="386" t="inlineStr">
        <is>
          <t>1 month-Upfront</t>
        </is>
      </c>
      <c r="I192" s="380" t="n">
        <v>44840</v>
      </c>
      <c r="J192" s="377" t="n"/>
      <c r="K192" s="381" t="n"/>
      <c r="L192" s="377" t="n">
        <v>30</v>
      </c>
      <c r="M192" s="377" t="n"/>
      <c r="N192" s="381" t="n"/>
      <c r="O192" s="381" t="n"/>
      <c r="P192" s="381" t="n"/>
      <c r="Q192" s="382" t="n">
        <v>44840</v>
      </c>
      <c r="R192" s="377" t="n">
        <v>30</v>
      </c>
      <c r="S192" s="383" t="n">
        <v>44840</v>
      </c>
      <c r="T192" s="377" t="n"/>
      <c r="U192" s="381" t="n">
        <v>31</v>
      </c>
      <c r="V192" s="377" t="n"/>
      <c r="W192" s="384" t="n">
        <v>0</v>
      </c>
      <c r="X192" s="381" t="n">
        <v>0</v>
      </c>
      <c r="Y192" s="377" t="n">
        <v>0</v>
      </c>
      <c r="Z192" s="377" t="n"/>
      <c r="AA192" s="377" t="n"/>
      <c r="AB192" s="377" t="n"/>
      <c r="AC192" s="385" t="n"/>
      <c r="AD192" s="385" t="n"/>
      <c r="AE192" s="385" t="n"/>
    </row>
    <row r="193" ht="15.75" customHeight="1" s="253">
      <c r="A193" s="377" t="n"/>
      <c r="B193" s="399" t="n">
        <v>45809</v>
      </c>
      <c r="C193" s="377" t="inlineStr">
        <is>
          <t>Poovayya &amp; CO</t>
        </is>
      </c>
      <c r="D193" s="377" t="inlineStr">
        <is>
          <t>INV-25-26-000163</t>
        </is>
      </c>
      <c r="E193" s="377" t="n"/>
      <c r="F193" s="389" t="n">
        <v>45810</v>
      </c>
      <c r="G193" s="389" t="n">
        <v>45839</v>
      </c>
      <c r="H193" s="386" t="inlineStr">
        <is>
          <t>1 month-Upfront</t>
        </is>
      </c>
      <c r="I193" s="380" t="n">
        <v>23600</v>
      </c>
      <c r="J193" s="377" t="n"/>
      <c r="K193" s="381" t="n"/>
      <c r="L193" s="377" t="n">
        <v>30</v>
      </c>
      <c r="M193" s="377" t="n"/>
      <c r="N193" s="381" t="n"/>
      <c r="O193" s="381" t="n"/>
      <c r="P193" s="381" t="n"/>
      <c r="Q193" s="382" t="n">
        <v>23600</v>
      </c>
      <c r="R193" s="377" t="n">
        <v>29</v>
      </c>
      <c r="S193" s="383" t="n">
        <v>22813.3333333333</v>
      </c>
      <c r="T193" s="377" t="n"/>
      <c r="U193" s="381" t="n">
        <v>1</v>
      </c>
      <c r="V193" s="381" t="n">
        <v>786.666666666667</v>
      </c>
      <c r="W193" s="384" t="n">
        <v>0</v>
      </c>
      <c r="X193" s="381" t="n">
        <v>0</v>
      </c>
      <c r="Y193" s="377" t="n">
        <v>0</v>
      </c>
      <c r="Z193" s="377" t="n"/>
      <c r="AA193" s="377" t="n"/>
      <c r="AB193" s="377" t="n"/>
      <c r="AC193" s="385" t="n"/>
      <c r="AD193" s="385" t="n"/>
      <c r="AE193" s="385" t="n"/>
    </row>
    <row r="194" ht="15.75" customHeight="1" s="253">
      <c r="A194" s="377" t="n"/>
      <c r="B194" s="399" t="n">
        <v>45809</v>
      </c>
      <c r="C194" s="377" t="inlineStr">
        <is>
          <t>Sajan Poovayya</t>
        </is>
      </c>
      <c r="D194" s="377" t="inlineStr">
        <is>
          <t>INV-25-26-000164</t>
        </is>
      </c>
      <c r="E194" s="377" t="n"/>
      <c r="F194" s="389" t="n">
        <v>45810</v>
      </c>
      <c r="G194" s="389" t="n">
        <v>45839</v>
      </c>
      <c r="H194" s="386" t="inlineStr">
        <is>
          <t>1 month-Upfront</t>
        </is>
      </c>
      <c r="I194" s="380" t="n">
        <v>23600</v>
      </c>
      <c r="J194" s="377" t="n"/>
      <c r="K194" s="381" t="n"/>
      <c r="L194" s="377" t="n">
        <v>30</v>
      </c>
      <c r="M194" s="377" t="n"/>
      <c r="N194" s="381" t="n"/>
      <c r="O194" s="381" t="n"/>
      <c r="P194" s="381" t="n"/>
      <c r="Q194" s="382" t="n">
        <v>23600</v>
      </c>
      <c r="R194" s="377" t="n">
        <v>29</v>
      </c>
      <c r="S194" s="383" t="n">
        <v>22813.3333333333</v>
      </c>
      <c r="T194" s="377" t="n"/>
      <c r="U194" s="381" t="n">
        <v>1</v>
      </c>
      <c r="V194" s="381" t="n">
        <v>786.666666666667</v>
      </c>
      <c r="W194" s="384" t="n">
        <v>0</v>
      </c>
      <c r="X194" s="381" t="n">
        <v>0</v>
      </c>
      <c r="Y194" s="377" t="n">
        <v>0</v>
      </c>
      <c r="Z194" s="377" t="n"/>
      <c r="AA194" s="377" t="n"/>
      <c r="AB194" s="377" t="n"/>
      <c r="AC194" s="385" t="n"/>
      <c r="AD194" s="385" t="n"/>
      <c r="AE194" s="385" t="n"/>
    </row>
    <row r="195" ht="15.75" customHeight="1" s="253">
      <c r="A195" s="377" t="n"/>
      <c r="B195" s="399" t="n">
        <v>45809</v>
      </c>
      <c r="C195" s="377" t="inlineStr">
        <is>
          <t>Gupta Law Associates</t>
        </is>
      </c>
      <c r="D195" s="377" t="inlineStr">
        <is>
          <t>INV-25-26-000166</t>
        </is>
      </c>
      <c r="E195" s="377" t="n"/>
      <c r="F195" s="389" t="n">
        <v>45810</v>
      </c>
      <c r="G195" s="389" t="n">
        <v>45839</v>
      </c>
      <c r="H195" s="386" t="inlineStr">
        <is>
          <t>1 month-Upfront</t>
        </is>
      </c>
      <c r="I195" s="380" t="n">
        <v>17700</v>
      </c>
      <c r="J195" s="377" t="n"/>
      <c r="K195" s="381" t="n"/>
      <c r="L195" s="377" t="n">
        <v>30</v>
      </c>
      <c r="M195" s="377" t="n"/>
      <c r="N195" s="381" t="n"/>
      <c r="O195" s="381" t="n"/>
      <c r="P195" s="381" t="n"/>
      <c r="Q195" s="382" t="n">
        <v>17700</v>
      </c>
      <c r="R195" s="377" t="n">
        <v>29</v>
      </c>
      <c r="S195" s="383" t="n">
        <v>17110</v>
      </c>
      <c r="T195" s="377" t="n"/>
      <c r="U195" s="381" t="n">
        <v>1</v>
      </c>
      <c r="V195" s="381" t="n">
        <v>590</v>
      </c>
      <c r="W195" s="384" t="n">
        <v>0</v>
      </c>
      <c r="X195" s="381" t="n">
        <v>0</v>
      </c>
      <c r="Y195" s="377" t="n">
        <v>0</v>
      </c>
      <c r="Z195" s="377" t="n"/>
      <c r="AA195" s="377" t="n"/>
      <c r="AB195" s="377" t="n"/>
      <c r="AC195" s="385" t="n"/>
      <c r="AD195" s="385" t="n"/>
      <c r="AE195" s="385" t="n"/>
    </row>
    <row r="196" ht="15.75" customHeight="1" s="253">
      <c r="A196" s="377" t="n"/>
      <c r="B196" s="399" t="n">
        <v>45809</v>
      </c>
      <c r="C196" s="377" t="inlineStr">
        <is>
          <t>Vardharma Chambers</t>
        </is>
      </c>
      <c r="D196" s="377" t="inlineStr">
        <is>
          <t>INV-25-26-000167, INV-25-26-000283, 000360, 000435, 000538, 000634</t>
        </is>
      </c>
      <c r="E196" s="377" t="n"/>
      <c r="F196" s="389" t="n">
        <v>45812</v>
      </c>
      <c r="G196" s="389" t="n">
        <v>45841</v>
      </c>
      <c r="H196" s="386" t="inlineStr">
        <is>
          <t>1 month-Upfront</t>
        </is>
      </c>
      <c r="I196" s="380" t="n">
        <v>8260</v>
      </c>
      <c r="J196" s="377" t="n"/>
      <c r="K196" s="381" t="n"/>
      <c r="L196" s="377" t="n">
        <v>30</v>
      </c>
      <c r="M196" s="377" t="n"/>
      <c r="N196" s="381" t="n"/>
      <c r="O196" s="381" t="n"/>
      <c r="P196" s="381" t="n"/>
      <c r="Q196" s="382" t="n">
        <v>8260</v>
      </c>
      <c r="R196" s="377" t="n">
        <v>27</v>
      </c>
      <c r="S196" s="383" t="n">
        <v>7434</v>
      </c>
      <c r="T196" s="377" t="n"/>
      <c r="U196" s="381" t="n">
        <v>3</v>
      </c>
      <c r="V196" s="381" t="n">
        <v>826</v>
      </c>
      <c r="W196" s="384" t="n">
        <v>0</v>
      </c>
      <c r="X196" s="381" t="n">
        <v>0</v>
      </c>
      <c r="Y196" s="377" t="n">
        <v>0</v>
      </c>
      <c r="Z196" s="377" t="n"/>
      <c r="AA196" s="377" t="n"/>
      <c r="AB196" s="377" t="n"/>
      <c r="AC196" s="385" t="n"/>
      <c r="AD196" s="385" t="n"/>
      <c r="AE196" s="385" t="n"/>
    </row>
    <row r="197" ht="15.75" customHeight="1" s="253">
      <c r="A197" s="377" t="n"/>
      <c r="B197" s="399" t="n">
        <v>45809</v>
      </c>
      <c r="C197" s="377" t="inlineStr">
        <is>
          <t>Birendra Saraf</t>
        </is>
      </c>
      <c r="D197" s="377" t="inlineStr">
        <is>
          <t>INV-25-26-000168</t>
        </is>
      </c>
      <c r="E197" s="377" t="n"/>
      <c r="F197" s="389" t="n">
        <v>45812</v>
      </c>
      <c r="G197" s="389" t="n">
        <v>46176</v>
      </c>
      <c r="H197" s="377" t="inlineStr">
        <is>
          <t>Annual Upfront</t>
        </is>
      </c>
      <c r="I197" s="380" t="n">
        <v>254880</v>
      </c>
      <c r="J197" s="377" t="n"/>
      <c r="K197" s="381" t="n"/>
      <c r="L197" s="377" t="n">
        <v>365</v>
      </c>
      <c r="M197" s="377" t="n"/>
      <c r="N197" s="381" t="n"/>
      <c r="O197" s="381" t="n"/>
      <c r="P197" s="381" t="n"/>
      <c r="Q197" s="382" t="n">
        <v>21240</v>
      </c>
      <c r="R197" s="377" t="n">
        <v>27</v>
      </c>
      <c r="S197" s="383" t="n">
        <v>18854.1369863014</v>
      </c>
      <c r="T197" s="382" t="n">
        <v>21240</v>
      </c>
      <c r="U197" s="381" t="n">
        <v>31</v>
      </c>
      <c r="V197" s="380" t="n">
        <v>21647.3424657534</v>
      </c>
      <c r="W197" s="384" t="n">
        <v>31</v>
      </c>
      <c r="X197" s="381" t="n">
        <v>21240</v>
      </c>
      <c r="Y197" s="380" t="n">
        <v>21647.342</v>
      </c>
      <c r="Z197" s="384" t="n">
        <v>30</v>
      </c>
      <c r="AA197" s="383" t="n">
        <v>21240</v>
      </c>
      <c r="AB197" s="383" t="n">
        <v>20949.041</v>
      </c>
      <c r="AC197" s="387" t="n">
        <v>31</v>
      </c>
      <c r="AD197" s="388" t="n">
        <v>21240</v>
      </c>
      <c r="AE197" s="388" t="n">
        <v>21647.342</v>
      </c>
    </row>
    <row r="198" ht="15.75" customHeight="1" s="253">
      <c r="A198" s="377" t="n"/>
      <c r="B198" s="399" t="n">
        <v>45809</v>
      </c>
      <c r="C198" s="377" t="inlineStr">
        <is>
          <t>IRIS LEGAL</t>
        </is>
      </c>
      <c r="D198" s="377" t="inlineStr">
        <is>
          <t>INV-25-26-000169</t>
        </is>
      </c>
      <c r="E198" s="377" t="n"/>
      <c r="F198" s="389" t="n">
        <v>45812</v>
      </c>
      <c r="G198" s="389" t="n">
        <v>45841</v>
      </c>
      <c r="H198" s="386" t="inlineStr">
        <is>
          <t>1 month-Upfront</t>
        </is>
      </c>
      <c r="I198" s="380" t="n">
        <v>10000</v>
      </c>
      <c r="J198" s="377" t="n"/>
      <c r="K198" s="381" t="n"/>
      <c r="L198" s="377" t="n">
        <v>30</v>
      </c>
      <c r="M198" s="377" t="n"/>
      <c r="N198" s="381" t="n"/>
      <c r="O198" s="381" t="n"/>
      <c r="P198" s="381" t="n"/>
      <c r="Q198" s="382" t="n">
        <v>10000</v>
      </c>
      <c r="R198" s="377" t="n">
        <v>27</v>
      </c>
      <c r="S198" s="383" t="n">
        <v>9000</v>
      </c>
      <c r="T198" s="377" t="n"/>
      <c r="U198" s="381" t="n">
        <v>3</v>
      </c>
      <c r="V198" s="381" t="n">
        <v>1000</v>
      </c>
      <c r="W198" s="384" t="n">
        <v>0</v>
      </c>
      <c r="X198" s="381" t="n">
        <v>0</v>
      </c>
      <c r="Y198" s="377" t="n">
        <v>0</v>
      </c>
      <c r="Z198" s="377" t="n"/>
      <c r="AA198" s="377" t="n"/>
      <c r="AB198" s="377" t="n"/>
      <c r="AC198" s="385" t="n"/>
      <c r="AD198" s="385" t="n"/>
      <c r="AE198" s="385" t="n"/>
    </row>
    <row r="199" ht="15.75" customHeight="1" s="253">
      <c r="A199" s="377" t="n"/>
      <c r="B199" s="399" t="n">
        <v>45809</v>
      </c>
      <c r="C199" s="377" t="inlineStr">
        <is>
          <t>JYOT-A Public Trust</t>
        </is>
      </c>
      <c r="D199" s="377" t="inlineStr">
        <is>
          <t>INV-25-26-000172</t>
        </is>
      </c>
      <c r="E199" s="377" t="n"/>
      <c r="F199" s="389" t="n">
        <v>45814</v>
      </c>
      <c r="G199" s="389" t="n">
        <v>46178</v>
      </c>
      <c r="H199" s="377" t="inlineStr">
        <is>
          <t>Annual Upfront</t>
        </is>
      </c>
      <c r="I199" s="380" t="n">
        <v>74340</v>
      </c>
      <c r="J199" s="377" t="n"/>
      <c r="K199" s="381" t="n"/>
      <c r="L199" s="377" t="n">
        <v>365</v>
      </c>
      <c r="M199" s="377" t="n"/>
      <c r="N199" s="381" t="n"/>
      <c r="O199" s="381" t="n"/>
      <c r="P199" s="381" t="n"/>
      <c r="Q199" s="382" t="n">
        <v>6195</v>
      </c>
      <c r="R199" s="377" t="n">
        <v>25</v>
      </c>
      <c r="S199" s="383" t="n">
        <v>5091.78082191781</v>
      </c>
      <c r="T199" s="382" t="n">
        <v>6195</v>
      </c>
      <c r="U199" s="381" t="n">
        <v>31</v>
      </c>
      <c r="V199" s="380" t="n">
        <v>6313.80821917808</v>
      </c>
      <c r="W199" s="384" t="n">
        <v>31</v>
      </c>
      <c r="X199" s="381" t="n">
        <v>6195</v>
      </c>
      <c r="Y199" s="380" t="n">
        <v>6313.808</v>
      </c>
      <c r="Z199" s="384" t="n">
        <v>30</v>
      </c>
      <c r="AA199" s="383" t="n">
        <v>6195</v>
      </c>
      <c r="AB199" s="383" t="n">
        <v>6110.137</v>
      </c>
      <c r="AC199" s="387" t="n">
        <v>31</v>
      </c>
      <c r="AD199" s="388" t="n">
        <v>6195</v>
      </c>
      <c r="AE199" s="388" t="n">
        <v>6313.808</v>
      </c>
    </row>
    <row r="200" ht="15.75" customHeight="1" s="253">
      <c r="A200" s="377" t="n"/>
      <c r="B200" s="399" t="n">
        <v>45809</v>
      </c>
      <c r="C200" s="377" t="inlineStr">
        <is>
          <t>Yakshay Chheda</t>
        </is>
      </c>
      <c r="D200" s="377" t="inlineStr">
        <is>
          <t>INV-25-26-000173</t>
        </is>
      </c>
      <c r="E200" s="377" t="n"/>
      <c r="F200" s="389" t="n">
        <v>45814</v>
      </c>
      <c r="G200" s="389" t="n">
        <v>45843</v>
      </c>
      <c r="H200" s="386" t="inlineStr">
        <is>
          <t>1 month-Upfront</t>
        </is>
      </c>
      <c r="I200" s="380" t="n">
        <v>10000</v>
      </c>
      <c r="J200" s="377" t="n"/>
      <c r="K200" s="381" t="n"/>
      <c r="L200" s="377" t="n">
        <v>30</v>
      </c>
      <c r="M200" s="377" t="n"/>
      <c r="N200" s="381" t="n"/>
      <c r="O200" s="381" t="n"/>
      <c r="P200" s="381" t="n"/>
      <c r="Q200" s="382" t="n">
        <v>10000</v>
      </c>
      <c r="R200" s="377" t="n">
        <v>25</v>
      </c>
      <c r="S200" s="383" t="n">
        <v>8333.33333333333</v>
      </c>
      <c r="T200" s="377" t="n"/>
      <c r="U200" s="381" t="n">
        <v>5</v>
      </c>
      <c r="V200" s="381" t="n">
        <v>1666.66666666667</v>
      </c>
      <c r="W200" s="384" t="n">
        <v>0</v>
      </c>
      <c r="X200" s="381" t="n">
        <v>0</v>
      </c>
      <c r="Y200" s="377" t="n">
        <v>0</v>
      </c>
      <c r="Z200" s="377" t="n"/>
      <c r="AA200" s="377" t="n"/>
      <c r="AB200" s="377" t="n"/>
      <c r="AC200" s="385" t="n"/>
      <c r="AD200" s="385" t="n"/>
      <c r="AE200" s="385" t="n"/>
    </row>
    <row r="201" ht="15.75" customHeight="1" s="253">
      <c r="A201" s="377" t="n"/>
      <c r="B201" s="399" t="n">
        <v>45809</v>
      </c>
      <c r="C201" s="377" t="inlineStr">
        <is>
          <t>Tipping Mr Pink Private Limited</t>
        </is>
      </c>
      <c r="D201" s="377" t="inlineStr">
        <is>
          <t>INV-25-26-000174</t>
        </is>
      </c>
      <c r="E201" s="377" t="n"/>
      <c r="F201" s="389" t="n">
        <v>45814</v>
      </c>
      <c r="G201" s="389" t="n">
        <v>45843</v>
      </c>
      <c r="H201" s="386" t="inlineStr">
        <is>
          <t>1 month-Upfront</t>
        </is>
      </c>
      <c r="I201" s="380" t="n">
        <v>8260</v>
      </c>
      <c r="J201" s="377" t="n"/>
      <c r="K201" s="381" t="n"/>
      <c r="L201" s="377" t="n">
        <v>30</v>
      </c>
      <c r="M201" s="377" t="n"/>
      <c r="N201" s="381" t="n"/>
      <c r="O201" s="381" t="n"/>
      <c r="P201" s="381" t="n"/>
      <c r="Q201" s="382" t="n">
        <v>8260</v>
      </c>
      <c r="R201" s="377" t="n">
        <v>25</v>
      </c>
      <c r="S201" s="383" t="n">
        <v>6883.33333333333</v>
      </c>
      <c r="T201" s="377" t="n"/>
      <c r="U201" s="381" t="n">
        <v>5</v>
      </c>
      <c r="V201" s="381" t="n">
        <v>1376.66666666667</v>
      </c>
      <c r="W201" s="384" t="n">
        <v>0</v>
      </c>
      <c r="X201" s="381" t="n">
        <v>0</v>
      </c>
      <c r="Y201" s="377" t="n">
        <v>0</v>
      </c>
      <c r="Z201" s="377" t="n"/>
      <c r="AA201" s="377" t="n"/>
      <c r="AB201" s="377" t="n"/>
      <c r="AC201" s="385" t="n"/>
      <c r="AD201" s="385" t="n"/>
      <c r="AE201" s="385" t="n"/>
    </row>
    <row r="202" ht="15.75" customHeight="1" s="253">
      <c r="A202" s="377" t="n"/>
      <c r="B202" s="399" t="n">
        <v>45809</v>
      </c>
      <c r="C202" s="377" t="inlineStr">
        <is>
          <t>KUAJ LEGAL</t>
        </is>
      </c>
      <c r="D202" s="377" t="inlineStr">
        <is>
          <t>INV-25-26-000175</t>
        </is>
      </c>
      <c r="E202" s="377" t="n"/>
      <c r="F202" s="389" t="n">
        <v>45814</v>
      </c>
      <c r="G202" s="389" t="n">
        <v>46178</v>
      </c>
      <c r="H202" s="377" t="inlineStr">
        <is>
          <t>Annual Upfront</t>
        </is>
      </c>
      <c r="I202" s="380" t="n">
        <v>94400</v>
      </c>
      <c r="J202" s="377" t="n"/>
      <c r="K202" s="381" t="n"/>
      <c r="L202" s="377" t="n">
        <v>365</v>
      </c>
      <c r="M202" s="377" t="n"/>
      <c r="N202" s="381" t="n"/>
      <c r="O202" s="381" t="n"/>
      <c r="P202" s="381" t="n"/>
      <c r="Q202" s="382" t="n">
        <v>7866.66666666667</v>
      </c>
      <c r="R202" s="377" t="n">
        <v>25</v>
      </c>
      <c r="S202" s="383" t="n">
        <v>6465.75342465753</v>
      </c>
      <c r="T202" s="382" t="n">
        <v>7866.66666666667</v>
      </c>
      <c r="U202" s="381" t="n">
        <v>31</v>
      </c>
      <c r="V202" s="380" t="n">
        <v>8017.53424657534</v>
      </c>
      <c r="W202" s="384" t="n">
        <v>31</v>
      </c>
      <c r="X202" s="381" t="n">
        <v>7866.667</v>
      </c>
      <c r="Y202" s="380" t="n">
        <v>8017.534</v>
      </c>
      <c r="Z202" s="384" t="n">
        <v>30</v>
      </c>
      <c r="AA202" s="383" t="n">
        <v>7866.667</v>
      </c>
      <c r="AB202" s="383" t="n">
        <v>7758.904</v>
      </c>
      <c r="AC202" s="387" t="n">
        <v>31</v>
      </c>
      <c r="AD202" s="388" t="n">
        <v>7866.667</v>
      </c>
      <c r="AE202" s="388" t="n">
        <v>8017.534</v>
      </c>
    </row>
    <row r="203" ht="15.75" customHeight="1" s="253">
      <c r="A203" s="377" t="n"/>
      <c r="B203" s="399" t="n">
        <v>45809</v>
      </c>
      <c r="C203" s="377" t="inlineStr">
        <is>
          <t>AJNM LAW INDIA LLP</t>
        </is>
      </c>
      <c r="D203" s="377" t="inlineStr">
        <is>
          <t>INV-25-26-000176</t>
        </is>
      </c>
      <c r="E203" s="377" t="n"/>
      <c r="F203" s="389" t="n">
        <v>45814</v>
      </c>
      <c r="G203" s="389" t="n">
        <v>45843</v>
      </c>
      <c r="H203" s="386" t="inlineStr">
        <is>
          <t>1 month-Upfront</t>
        </is>
      </c>
      <c r="I203" s="380" t="n">
        <v>23600</v>
      </c>
      <c r="J203" s="377" t="n"/>
      <c r="K203" s="381" t="n"/>
      <c r="L203" s="377" t="n">
        <v>30</v>
      </c>
      <c r="M203" s="377" t="n"/>
      <c r="N203" s="381" t="n"/>
      <c r="O203" s="381" t="n"/>
      <c r="P203" s="381" t="n"/>
      <c r="Q203" s="382" t="n">
        <v>23600</v>
      </c>
      <c r="R203" s="377" t="n">
        <v>25</v>
      </c>
      <c r="S203" s="383" t="n">
        <v>19666.6666666667</v>
      </c>
      <c r="T203" s="377" t="n"/>
      <c r="U203" s="381" t="n">
        <v>5</v>
      </c>
      <c r="V203" s="381" t="n">
        <v>3933.33333333333</v>
      </c>
      <c r="W203" s="384" t="n">
        <v>0</v>
      </c>
      <c r="X203" s="381" t="n">
        <v>0</v>
      </c>
      <c r="Y203" s="377" t="n">
        <v>0</v>
      </c>
      <c r="Z203" s="377" t="n"/>
      <c r="AA203" s="377" t="n"/>
      <c r="AB203" s="377" t="n"/>
      <c r="AC203" s="385" t="n"/>
      <c r="AD203" s="385" t="n"/>
      <c r="AE203" s="385" t="n"/>
    </row>
    <row r="204" ht="15.75" customHeight="1" s="253">
      <c r="A204" s="377" t="n"/>
      <c r="B204" s="399" t="n">
        <v>45809</v>
      </c>
      <c r="C204" s="377" t="inlineStr">
        <is>
          <t>Agraa Legal</t>
        </is>
      </c>
      <c r="D204" s="377" t="inlineStr">
        <is>
          <t>INV-25-26-000181</t>
        </is>
      </c>
      <c r="E204" s="377" t="n"/>
      <c r="F204" s="389" t="n">
        <v>45817</v>
      </c>
      <c r="G204" s="389" t="n">
        <v>46181</v>
      </c>
      <c r="H204" s="377" t="inlineStr">
        <is>
          <t>Annual Upfront</t>
        </is>
      </c>
      <c r="I204" s="380" t="n">
        <v>495600</v>
      </c>
      <c r="J204" s="377" t="n"/>
      <c r="K204" s="381" t="n"/>
      <c r="L204" s="377" t="n">
        <v>365</v>
      </c>
      <c r="M204" s="377" t="n"/>
      <c r="N204" s="381" t="n"/>
      <c r="O204" s="381" t="n"/>
      <c r="P204" s="381" t="n"/>
      <c r="Q204" s="382" t="n">
        <v>41300</v>
      </c>
      <c r="R204" s="377" t="n">
        <v>22</v>
      </c>
      <c r="S204" s="383" t="n">
        <v>29871.7808219178</v>
      </c>
      <c r="T204" s="382" t="n">
        <v>41300</v>
      </c>
      <c r="U204" s="381" t="n">
        <v>31</v>
      </c>
      <c r="V204" s="380" t="n">
        <v>42092.0547945206</v>
      </c>
      <c r="W204" s="384" t="n">
        <v>31</v>
      </c>
      <c r="X204" s="381" t="n">
        <v>41300</v>
      </c>
      <c r="Y204" s="380" t="n">
        <v>42092.055</v>
      </c>
      <c r="Z204" s="384" t="n">
        <v>30</v>
      </c>
      <c r="AA204" s="383" t="n">
        <v>41300</v>
      </c>
      <c r="AB204" s="383" t="n">
        <v>40734.247</v>
      </c>
      <c r="AC204" s="387" t="n">
        <v>31</v>
      </c>
      <c r="AD204" s="388" t="n">
        <v>41300</v>
      </c>
      <c r="AE204" s="388" t="n">
        <v>42092.055</v>
      </c>
    </row>
    <row r="205" ht="15.75" customHeight="1" s="253">
      <c r="A205" s="377" t="n"/>
      <c r="B205" s="399" t="n">
        <v>45809</v>
      </c>
      <c r="C205" s="377" t="inlineStr">
        <is>
          <t>KINJAL CIVILCON LLP</t>
        </is>
      </c>
      <c r="D205" s="377" t="inlineStr">
        <is>
          <t>INV-25-26-000182</t>
        </is>
      </c>
      <c r="E205" s="377" t="n"/>
      <c r="F205" s="389" t="n">
        <v>45817</v>
      </c>
      <c r="G205" s="389" t="n">
        <v>45846</v>
      </c>
      <c r="H205" s="386" t="inlineStr">
        <is>
          <t>1 month-Upfront</t>
        </is>
      </c>
      <c r="I205" s="380" t="n">
        <v>17700</v>
      </c>
      <c r="J205" s="377" t="n"/>
      <c r="K205" s="381" t="n"/>
      <c r="L205" s="377" t="n">
        <v>30</v>
      </c>
      <c r="M205" s="377" t="n"/>
      <c r="N205" s="381" t="n"/>
      <c r="O205" s="381" t="n"/>
      <c r="P205" s="381" t="n"/>
      <c r="Q205" s="382" t="n">
        <v>17700</v>
      </c>
      <c r="R205" s="377" t="n">
        <v>22</v>
      </c>
      <c r="S205" s="383" t="n">
        <v>12980</v>
      </c>
      <c r="T205" s="377" t="n"/>
      <c r="U205" s="381" t="n">
        <v>8</v>
      </c>
      <c r="V205" s="381" t="n">
        <v>4720</v>
      </c>
      <c r="W205" s="384" t="n">
        <v>0</v>
      </c>
      <c r="X205" s="381" t="n">
        <v>0</v>
      </c>
      <c r="Y205" s="377" t="n">
        <v>0</v>
      </c>
      <c r="Z205" s="377" t="n"/>
      <c r="AA205" s="377" t="n"/>
      <c r="AB205" s="377" t="n"/>
      <c r="AC205" s="385" t="n"/>
      <c r="AD205" s="385" t="n"/>
      <c r="AE205" s="385" t="n"/>
    </row>
    <row r="206" ht="15.75" customHeight="1" s="253">
      <c r="A206" s="377" t="n"/>
      <c r="B206" s="399" t="n">
        <v>45809</v>
      </c>
      <c r="C206" s="377" t="inlineStr">
        <is>
          <t>Shobit Phutela</t>
        </is>
      </c>
      <c r="D206" s="377" t="inlineStr">
        <is>
          <t>INV-25-26-000186</t>
        </is>
      </c>
      <c r="E206" s="377" t="n"/>
      <c r="F206" s="389" t="n">
        <v>45817</v>
      </c>
      <c r="G206" s="389" t="n">
        <v>46181</v>
      </c>
      <c r="H206" s="377" t="inlineStr">
        <is>
          <t>Annual Upfront</t>
        </is>
      </c>
      <c r="I206" s="380" t="n">
        <v>127440</v>
      </c>
      <c r="J206" s="377" t="n"/>
      <c r="K206" s="381" t="n"/>
      <c r="L206" s="377" t="n">
        <v>365</v>
      </c>
      <c r="M206" s="377" t="n"/>
      <c r="N206" s="381" t="n"/>
      <c r="O206" s="381" t="n"/>
      <c r="P206" s="381" t="n"/>
      <c r="Q206" s="382" t="n">
        <v>10620</v>
      </c>
      <c r="R206" s="377" t="n">
        <v>22</v>
      </c>
      <c r="S206" s="383" t="n">
        <v>7681.31506849315</v>
      </c>
      <c r="T206" s="382" t="n">
        <v>10620</v>
      </c>
      <c r="U206" s="381" t="n">
        <v>31</v>
      </c>
      <c r="V206" s="380" t="n">
        <v>10823.6712328767</v>
      </c>
      <c r="W206" s="384" t="n">
        <v>31</v>
      </c>
      <c r="X206" s="381" t="n">
        <v>10620</v>
      </c>
      <c r="Y206" s="380" t="n">
        <v>10823.671</v>
      </c>
      <c r="Z206" s="384" t="n">
        <v>30</v>
      </c>
      <c r="AA206" s="383" t="n">
        <v>10620</v>
      </c>
      <c r="AB206" s="383" t="n">
        <v>10474.521</v>
      </c>
      <c r="AC206" s="387" t="n">
        <v>31</v>
      </c>
      <c r="AD206" s="388" t="n">
        <v>10620</v>
      </c>
      <c r="AE206" s="388" t="n">
        <v>10823.671</v>
      </c>
    </row>
    <row r="207" ht="15.75" customHeight="1" s="253">
      <c r="A207" s="377" t="n"/>
      <c r="B207" s="399" t="n">
        <v>45809</v>
      </c>
      <c r="C207" s="377" t="inlineStr">
        <is>
          <t>Narottam Sharma</t>
        </is>
      </c>
      <c r="D207" s="377" t="inlineStr">
        <is>
          <t>INV-25-26-000187</t>
        </is>
      </c>
      <c r="E207" s="377" t="n"/>
      <c r="F207" s="389" t="n">
        <v>45817</v>
      </c>
      <c r="G207" s="389" t="n">
        <v>46181</v>
      </c>
      <c r="H207" s="377" t="inlineStr">
        <is>
          <t>Annual Upfront</t>
        </is>
      </c>
      <c r="I207" s="380" t="n">
        <v>127440</v>
      </c>
      <c r="J207" s="377" t="n"/>
      <c r="K207" s="381" t="n"/>
      <c r="L207" s="377" t="n">
        <v>365</v>
      </c>
      <c r="M207" s="377" t="n"/>
      <c r="N207" s="381" t="n"/>
      <c r="O207" s="381" t="n"/>
      <c r="P207" s="381" t="n"/>
      <c r="Q207" s="382" t="n">
        <v>10620</v>
      </c>
      <c r="R207" s="377" t="n">
        <v>22</v>
      </c>
      <c r="S207" s="383" t="n">
        <v>7681.31506849315</v>
      </c>
      <c r="T207" s="382" t="n">
        <v>10620</v>
      </c>
      <c r="U207" s="381" t="n">
        <v>31</v>
      </c>
      <c r="V207" s="380" t="n">
        <v>10823.6712328767</v>
      </c>
      <c r="W207" s="384" t="n">
        <v>31</v>
      </c>
      <c r="X207" s="381" t="n">
        <v>10620</v>
      </c>
      <c r="Y207" s="380" t="n">
        <v>10823.671</v>
      </c>
      <c r="Z207" s="384" t="n">
        <v>30</v>
      </c>
      <c r="AA207" s="383" t="n">
        <v>10620</v>
      </c>
      <c r="AB207" s="383" t="n">
        <v>10474.521</v>
      </c>
      <c r="AC207" s="387" t="n">
        <v>31</v>
      </c>
      <c r="AD207" s="388" t="n">
        <v>10620</v>
      </c>
      <c r="AE207" s="388" t="n">
        <v>10823.671</v>
      </c>
    </row>
    <row r="208" ht="15.75" customHeight="1" s="253">
      <c r="A208" s="377" t="n"/>
      <c r="B208" s="399" t="n">
        <v>45809</v>
      </c>
      <c r="C208" s="377" t="inlineStr">
        <is>
          <t>Monalisa Kosaria</t>
        </is>
      </c>
      <c r="D208" s="377" t="inlineStr">
        <is>
          <t>INV-25-26-000188</t>
        </is>
      </c>
      <c r="E208" s="377" t="n"/>
      <c r="F208" s="389" t="n">
        <v>45739</v>
      </c>
      <c r="G208" s="389" t="n">
        <v>45800</v>
      </c>
      <c r="H208" s="377" t="inlineStr">
        <is>
          <t>2 months- Upfront</t>
        </is>
      </c>
      <c r="I208" s="380" t="n">
        <v>35400</v>
      </c>
      <c r="J208" s="377" t="n">
        <v>17700</v>
      </c>
      <c r="K208" s="381" t="n"/>
      <c r="L208" s="377" t="n">
        <v>62</v>
      </c>
      <c r="M208" s="377" t="n">
        <v>30</v>
      </c>
      <c r="N208" s="381" t="n">
        <v>17129.032</v>
      </c>
      <c r="O208" s="381" t="n">
        <v>23</v>
      </c>
      <c r="P208" s="380" t="n">
        <v>13132.258</v>
      </c>
      <c r="Q208" s="377" t="n"/>
      <c r="R208" s="377" t="n">
        <v>30</v>
      </c>
      <c r="S208" s="377" t="n"/>
      <c r="T208" s="377" t="n"/>
      <c r="U208" s="381" t="n">
        <v>31</v>
      </c>
      <c r="V208" s="377" t="n"/>
      <c r="W208" s="384" t="n">
        <v>0</v>
      </c>
      <c r="X208" s="381" t="n">
        <v>0</v>
      </c>
      <c r="Y208" s="377" t="n">
        <v>0</v>
      </c>
      <c r="Z208" s="377" t="n"/>
      <c r="AA208" s="377" t="n"/>
      <c r="AB208" s="377" t="n"/>
      <c r="AC208" s="385" t="n"/>
      <c r="AD208" s="385" t="n"/>
      <c r="AE208" s="385" t="n"/>
    </row>
    <row r="209" ht="15.75" customHeight="1" s="253">
      <c r="A209" s="377" t="n"/>
      <c r="B209" s="399" t="inlineStr">
        <is>
          <t>June &amp; Oct 25</t>
        </is>
      </c>
      <c r="C209" s="377" t="inlineStr">
        <is>
          <t>Rahul Saboo, Advocate</t>
        </is>
      </c>
      <c r="D209" s="377" t="inlineStr">
        <is>
          <t>INV-25-26-000189, 262, 345, 512, 000262, 000345, 000427, 000512, 000608</t>
        </is>
      </c>
      <c r="E209" s="377" t="n"/>
      <c r="F209" s="389" t="n">
        <v>45819</v>
      </c>
      <c r="G209" s="389" t="n">
        <v>46183</v>
      </c>
      <c r="H209" s="377" t="inlineStr">
        <is>
          <t>Annual-Monthly</t>
        </is>
      </c>
      <c r="I209" s="380" t="n">
        <v>120000</v>
      </c>
      <c r="J209" s="377" t="n"/>
      <c r="K209" s="381" t="n"/>
      <c r="L209" s="377" t="n">
        <v>365</v>
      </c>
      <c r="M209" s="377" t="n"/>
      <c r="N209" s="381" t="n"/>
      <c r="O209" s="381" t="n"/>
      <c r="P209" s="381" t="n"/>
      <c r="Q209" s="382" t="n">
        <v>10000</v>
      </c>
      <c r="R209" s="377" t="n">
        <v>20</v>
      </c>
      <c r="S209" s="383" t="n">
        <v>6575.34246575342</v>
      </c>
      <c r="T209" s="382" t="n">
        <v>10000</v>
      </c>
      <c r="U209" s="381" t="n">
        <v>31</v>
      </c>
      <c r="V209" s="380" t="n">
        <v>10191.7808219178</v>
      </c>
      <c r="W209" s="384" t="n">
        <v>31</v>
      </c>
      <c r="X209" s="381" t="n">
        <v>10000</v>
      </c>
      <c r="Y209" s="380" t="n">
        <v>10191.781</v>
      </c>
      <c r="Z209" s="384" t="n">
        <v>30</v>
      </c>
      <c r="AA209" s="383" t="n">
        <v>10000</v>
      </c>
      <c r="AB209" s="383" t="n">
        <v>9863.013999999999</v>
      </c>
      <c r="AC209" s="387" t="n">
        <v>31</v>
      </c>
      <c r="AD209" s="388" t="n">
        <v>10000</v>
      </c>
      <c r="AE209" s="388" t="n">
        <v>10191.781</v>
      </c>
    </row>
    <row r="210" ht="15.75" customHeight="1" s="253">
      <c r="A210" s="377" t="n"/>
      <c r="B210" s="399" t="n">
        <v>45809</v>
      </c>
      <c r="C210" s="377" t="inlineStr">
        <is>
          <t>DSK Legal</t>
        </is>
      </c>
      <c r="D210" s="377" t="inlineStr">
        <is>
          <t>INV-25-26-000190</t>
        </is>
      </c>
      <c r="E210" s="377" t="n"/>
      <c r="F210" s="389" t="n">
        <v>45819</v>
      </c>
      <c r="G210" s="389" t="n">
        <v>45849</v>
      </c>
      <c r="H210" s="386" t="inlineStr">
        <is>
          <t>1 month-Upfront</t>
        </is>
      </c>
      <c r="I210" s="380" t="n">
        <v>59000</v>
      </c>
      <c r="J210" s="377" t="n"/>
      <c r="K210" s="381" t="n"/>
      <c r="L210" s="377" t="n">
        <v>31</v>
      </c>
      <c r="M210" s="377" t="n"/>
      <c r="N210" s="381" t="n"/>
      <c r="O210" s="381" t="n"/>
      <c r="P210" s="381" t="n"/>
      <c r="Q210" s="382" t="n">
        <v>59000</v>
      </c>
      <c r="R210" s="377" t="n">
        <v>20</v>
      </c>
      <c r="S210" s="383" t="n">
        <v>38064.5161290323</v>
      </c>
      <c r="T210" s="377" t="n"/>
      <c r="U210" s="381" t="n">
        <v>11</v>
      </c>
      <c r="V210" s="381" t="n">
        <v>20935.4838709677</v>
      </c>
      <c r="W210" s="384" t="n">
        <v>0</v>
      </c>
      <c r="X210" s="381" t="n">
        <v>0</v>
      </c>
      <c r="Y210" s="377" t="n">
        <v>0</v>
      </c>
      <c r="Z210" s="377" t="n"/>
      <c r="AA210" s="377" t="n"/>
      <c r="AB210" s="377" t="n"/>
      <c r="AC210" s="385" t="n"/>
      <c r="AD210" s="385" t="n"/>
      <c r="AE210" s="385" t="n"/>
    </row>
    <row r="211" ht="15.75" customHeight="1" s="253">
      <c r="A211" s="377" t="n"/>
      <c r="B211" s="399" t="n">
        <v>45809</v>
      </c>
      <c r="C211" s="377" t="inlineStr">
        <is>
          <t>RAJANI ASSOCIATES</t>
        </is>
      </c>
      <c r="D211" s="377" t="inlineStr">
        <is>
          <t>INV-25-26-000192</t>
        </is>
      </c>
      <c r="E211" s="377" t="n"/>
      <c r="F211" s="389" t="n">
        <v>45787</v>
      </c>
      <c r="G211" s="389" t="n">
        <v>45817</v>
      </c>
      <c r="H211" s="386" t="inlineStr">
        <is>
          <t>1 month-Upfront</t>
        </is>
      </c>
      <c r="I211" s="380" t="n">
        <v>24780</v>
      </c>
      <c r="J211" s="381" t="n"/>
      <c r="K211" s="381" t="n">
        <v>24780</v>
      </c>
      <c r="L211" s="377" t="n">
        <v>31</v>
      </c>
      <c r="M211" s="377" t="n"/>
      <c r="N211" s="381" t="n"/>
      <c r="O211" s="381" t="n">
        <v>22</v>
      </c>
      <c r="P211" s="380" t="n">
        <v>17585.806</v>
      </c>
      <c r="Q211" s="377" t="n"/>
      <c r="R211" s="377" t="n">
        <v>9</v>
      </c>
      <c r="S211" s="383" t="n">
        <v>7194.1935483871</v>
      </c>
      <c r="T211" s="377" t="n"/>
      <c r="U211" s="381" t="n">
        <v>31</v>
      </c>
      <c r="V211" s="377" t="n"/>
      <c r="W211" s="384" t="n">
        <v>0</v>
      </c>
      <c r="X211" s="381" t="n">
        <v>0</v>
      </c>
      <c r="Y211" s="377" t="n">
        <v>0</v>
      </c>
      <c r="Z211" s="377" t="n"/>
      <c r="AA211" s="377" t="n"/>
      <c r="AB211" s="377" t="n"/>
      <c r="AC211" s="385" t="n"/>
      <c r="AD211" s="385" t="n"/>
      <c r="AE211" s="385" t="n"/>
    </row>
    <row r="212" ht="15.75" customHeight="1" s="253">
      <c r="A212" s="377" t="n"/>
      <c r="B212" s="399" t="n">
        <v>45809</v>
      </c>
      <c r="C212" s="377" t="inlineStr">
        <is>
          <t>RAJANI ASSOCIATES</t>
        </is>
      </c>
      <c r="D212" s="377" t="inlineStr">
        <is>
          <t>INV-25-26-000193</t>
        </is>
      </c>
      <c r="E212" s="377" t="n"/>
      <c r="F212" s="389" t="n">
        <v>45818</v>
      </c>
      <c r="G212" s="389" t="n">
        <v>45847</v>
      </c>
      <c r="H212" s="386" t="inlineStr">
        <is>
          <t>1 month-Upfront</t>
        </is>
      </c>
      <c r="I212" s="380" t="n">
        <v>16520</v>
      </c>
      <c r="J212" s="381" t="n"/>
      <c r="K212" s="381" t="n"/>
      <c r="L212" s="377" t="n">
        <v>30</v>
      </c>
      <c r="M212" s="377" t="n"/>
      <c r="N212" s="381" t="n"/>
      <c r="O212" s="381" t="n"/>
      <c r="P212" s="381" t="n"/>
      <c r="Q212" s="382" t="n">
        <v>16520</v>
      </c>
      <c r="R212" s="377" t="n">
        <v>21</v>
      </c>
      <c r="S212" s="383" t="n">
        <v>11564</v>
      </c>
      <c r="T212" s="377" t="n"/>
      <c r="U212" s="381" t="n">
        <v>9</v>
      </c>
      <c r="V212" s="381" t="n">
        <v>4956</v>
      </c>
      <c r="W212" s="384" t="n">
        <v>0</v>
      </c>
      <c r="X212" s="381" t="n">
        <v>0</v>
      </c>
      <c r="Y212" s="377" t="n">
        <v>0</v>
      </c>
      <c r="Z212" s="377" t="n"/>
      <c r="AA212" s="377" t="n"/>
      <c r="AB212" s="377" t="n"/>
      <c r="AC212" s="385" t="n"/>
      <c r="AD212" s="385" t="n"/>
      <c r="AE212" s="385" t="n"/>
    </row>
    <row r="213" ht="15.75" customHeight="1" s="253">
      <c r="A213" s="377" t="n"/>
      <c r="B213" s="399" t="n">
        <v>45809</v>
      </c>
      <c r="C213" s="377" t="inlineStr">
        <is>
          <t>Meghna Talwar</t>
        </is>
      </c>
      <c r="D213" s="377" t="inlineStr">
        <is>
          <t>INV-25-26-000194</t>
        </is>
      </c>
      <c r="E213" s="377" t="n"/>
      <c r="F213" s="389" t="n">
        <v>45824</v>
      </c>
      <c r="G213" s="389" t="n">
        <v>46188</v>
      </c>
      <c r="H213" s="377" t="inlineStr">
        <is>
          <t>Annual Upfront</t>
        </is>
      </c>
      <c r="I213" s="380" t="n">
        <v>70800</v>
      </c>
      <c r="J213" s="377" t="n"/>
      <c r="K213" s="381" t="n"/>
      <c r="L213" s="377" t="n">
        <v>365</v>
      </c>
      <c r="M213" s="377" t="n"/>
      <c r="N213" s="381" t="n"/>
      <c r="O213" s="381" t="n"/>
      <c r="P213" s="381" t="n"/>
      <c r="Q213" s="382" t="n">
        <v>5900</v>
      </c>
      <c r="R213" s="377" t="n">
        <v>15</v>
      </c>
      <c r="S213" s="383" t="n">
        <v>2909.58904109589</v>
      </c>
      <c r="T213" s="382" t="n">
        <v>5900</v>
      </c>
      <c r="U213" s="381" t="n">
        <v>31</v>
      </c>
      <c r="V213" s="380" t="n">
        <v>6013.15068493151</v>
      </c>
      <c r="W213" s="384" t="n">
        <v>31</v>
      </c>
      <c r="X213" s="381" t="n">
        <v>5900</v>
      </c>
      <c r="Y213" s="380" t="n">
        <v>6013.151</v>
      </c>
      <c r="Z213" s="384" t="n">
        <v>30</v>
      </c>
      <c r="AA213" s="383" t="n">
        <v>5900</v>
      </c>
      <c r="AB213" s="383" t="n">
        <v>5819.178</v>
      </c>
      <c r="AC213" s="387" t="n">
        <v>31</v>
      </c>
      <c r="AD213" s="388" t="n">
        <v>5900</v>
      </c>
      <c r="AE213" s="388" t="n">
        <v>6013.151</v>
      </c>
    </row>
    <row r="214" ht="15.75" customHeight="1" s="253">
      <c r="A214" s="377" t="n"/>
      <c r="B214" s="399" t="n">
        <v>45809</v>
      </c>
      <c r="C214" s="377" t="inlineStr">
        <is>
          <t>Miglani Varma &amp; Co.</t>
        </is>
      </c>
      <c r="D214" s="377" t="inlineStr">
        <is>
          <t>INV-25-26-000195</t>
        </is>
      </c>
      <c r="E214" s="377" t="n"/>
      <c r="F214" s="389" t="n">
        <v>45824</v>
      </c>
      <c r="G214" s="389" t="n">
        <v>46188</v>
      </c>
      <c r="H214" s="377" t="inlineStr">
        <is>
          <t>Annual Upfront</t>
        </is>
      </c>
      <c r="I214" s="380" t="n">
        <v>82600</v>
      </c>
      <c r="J214" s="377" t="n"/>
      <c r="K214" s="381" t="n"/>
      <c r="L214" s="377" t="n">
        <v>365</v>
      </c>
      <c r="M214" s="377" t="n"/>
      <c r="N214" s="381" t="n"/>
      <c r="O214" s="381" t="n"/>
      <c r="P214" s="381" t="n"/>
      <c r="Q214" s="382" t="n">
        <v>6883.33333333333</v>
      </c>
      <c r="R214" s="377" t="n">
        <v>15</v>
      </c>
      <c r="S214" s="383" t="n">
        <v>3394.52054794521</v>
      </c>
      <c r="T214" s="382" t="n">
        <v>6883.33333333333</v>
      </c>
      <c r="U214" s="381" t="n">
        <v>31</v>
      </c>
      <c r="V214" s="380" t="n">
        <v>7015.34246575342</v>
      </c>
      <c r="W214" s="384" t="n">
        <v>31</v>
      </c>
      <c r="X214" s="381" t="n">
        <v>6883.333</v>
      </c>
      <c r="Y214" s="380" t="n">
        <v>7015.342</v>
      </c>
      <c r="Z214" s="384" t="n">
        <v>30</v>
      </c>
      <c r="AA214" s="383" t="n">
        <v>6883.333</v>
      </c>
      <c r="AB214" s="383" t="n">
        <v>6789.041</v>
      </c>
      <c r="AC214" s="387" t="n">
        <v>31</v>
      </c>
      <c r="AD214" s="388" t="n">
        <v>6883.333</v>
      </c>
      <c r="AE214" s="388" t="n">
        <v>7015.342</v>
      </c>
    </row>
    <row r="215" ht="15.75" customHeight="1" s="253">
      <c r="A215" s="377" t="n"/>
      <c r="B215" s="399" t="n">
        <v>45809</v>
      </c>
      <c r="C215" s="377" t="inlineStr">
        <is>
          <t>S Priya</t>
        </is>
      </c>
      <c r="D215" s="377" t="inlineStr">
        <is>
          <t>INV-25-26-000196</t>
        </is>
      </c>
      <c r="E215" s="377" t="n"/>
      <c r="F215" s="389" t="n">
        <v>45821</v>
      </c>
      <c r="G215" s="389" t="n">
        <v>45850</v>
      </c>
      <c r="H215" s="386" t="inlineStr">
        <is>
          <t>1 month-Upfront</t>
        </is>
      </c>
      <c r="I215" s="380" t="n">
        <v>9440</v>
      </c>
      <c r="J215" s="377" t="n"/>
      <c r="K215" s="381" t="n"/>
      <c r="L215" s="377" t="n">
        <v>30</v>
      </c>
      <c r="M215" s="377" t="n"/>
      <c r="N215" s="381" t="n"/>
      <c r="O215" s="381" t="n"/>
      <c r="P215" s="381" t="n"/>
      <c r="Q215" s="382" t="n">
        <v>9440</v>
      </c>
      <c r="R215" s="377" t="n">
        <v>18</v>
      </c>
      <c r="S215" s="383" t="n">
        <v>5664</v>
      </c>
      <c r="T215" s="377" t="n"/>
      <c r="U215" s="381" t="n">
        <v>12</v>
      </c>
      <c r="V215" s="381" t="n">
        <v>3776</v>
      </c>
      <c r="W215" s="384" t="n">
        <v>0</v>
      </c>
      <c r="X215" s="381" t="n">
        <v>0</v>
      </c>
      <c r="Y215" s="377" t="n">
        <v>0</v>
      </c>
      <c r="Z215" s="377" t="n"/>
      <c r="AA215" s="377" t="n"/>
      <c r="AB215" s="377" t="n"/>
      <c r="AC215" s="385" t="n"/>
      <c r="AD215" s="385" t="n"/>
      <c r="AE215" s="385" t="n"/>
    </row>
    <row r="216" ht="15.75" customHeight="1" s="253">
      <c r="A216" s="377" t="n"/>
      <c r="B216" s="399" t="n">
        <v>45809</v>
      </c>
      <c r="C216" s="377" t="inlineStr">
        <is>
          <t>Joy Baxi &amp; Associates</t>
        </is>
      </c>
      <c r="D216" s="377" t="inlineStr">
        <is>
          <t>INV-25-26-000201</t>
        </is>
      </c>
      <c r="E216" s="377" t="n"/>
      <c r="F216" s="389" t="n">
        <v>45823</v>
      </c>
      <c r="G216" s="389" t="n">
        <v>46005</v>
      </c>
      <c r="H216" s="386" t="inlineStr">
        <is>
          <t>6 month-Upfront</t>
        </is>
      </c>
      <c r="I216" s="380" t="n">
        <v>42480</v>
      </c>
      <c r="J216" s="377" t="n"/>
      <c r="K216" s="381" t="n"/>
      <c r="L216" s="377" t="n">
        <v>183</v>
      </c>
      <c r="M216" s="377" t="n"/>
      <c r="N216" s="381" t="n"/>
      <c r="O216" s="381" t="n"/>
      <c r="P216" s="381" t="n"/>
      <c r="Q216" s="382" t="n">
        <v>7080</v>
      </c>
      <c r="R216" s="377" t="n">
        <v>16</v>
      </c>
      <c r="S216" s="383" t="n">
        <v>3714.09836065574</v>
      </c>
      <c r="T216" s="382" t="n">
        <v>7080</v>
      </c>
      <c r="U216" s="381" t="n">
        <v>31</v>
      </c>
      <c r="V216" s="380" t="n">
        <v>7196.06557377049</v>
      </c>
      <c r="W216" s="384" t="n">
        <v>31</v>
      </c>
      <c r="X216" s="381" t="n">
        <v>7080</v>
      </c>
      <c r="Y216" s="380" t="n">
        <v>7196.066</v>
      </c>
      <c r="Z216" s="384" t="n">
        <v>30</v>
      </c>
      <c r="AA216" s="383" t="n">
        <v>7080</v>
      </c>
      <c r="AB216" s="383" t="n">
        <v>6963.934</v>
      </c>
      <c r="AC216" s="387" t="n">
        <v>31</v>
      </c>
      <c r="AD216" s="388" t="n">
        <v>7080</v>
      </c>
      <c r="AE216" s="388" t="n">
        <v>7196.066</v>
      </c>
    </row>
    <row r="217" ht="15.75" customHeight="1" s="253">
      <c r="A217" s="377" t="n"/>
      <c r="B217" s="399" t="n">
        <v>45809</v>
      </c>
      <c r="C217" s="377" t="inlineStr">
        <is>
          <t>Dewani Associates</t>
        </is>
      </c>
      <c r="D217" s="377" t="inlineStr">
        <is>
          <t>INV-25-26-000202</t>
        </is>
      </c>
      <c r="E217" s="377" t="n"/>
      <c r="F217" s="389" t="n">
        <v>45825</v>
      </c>
      <c r="G217" s="389" t="n">
        <v>46189</v>
      </c>
      <c r="H217" s="377" t="inlineStr">
        <is>
          <t>Annual Upfront</t>
        </is>
      </c>
      <c r="I217" s="380" t="n">
        <v>127440</v>
      </c>
      <c r="J217" s="377" t="n"/>
      <c r="K217" s="381" t="n"/>
      <c r="L217" s="377" t="n">
        <v>365</v>
      </c>
      <c r="M217" s="377" t="n"/>
      <c r="N217" s="381" t="n"/>
      <c r="O217" s="381" t="n"/>
      <c r="P217" s="381" t="n"/>
      <c r="Q217" s="382" t="n">
        <v>10620</v>
      </c>
      <c r="R217" s="377" t="n">
        <v>14</v>
      </c>
      <c r="S217" s="383" t="n">
        <v>4888.1095890411</v>
      </c>
      <c r="T217" s="382" t="n">
        <v>10620</v>
      </c>
      <c r="U217" s="381" t="n">
        <v>31</v>
      </c>
      <c r="V217" s="380" t="n">
        <v>10823.6712328767</v>
      </c>
      <c r="W217" s="384" t="n">
        <v>31</v>
      </c>
      <c r="X217" s="381" t="n">
        <v>10620</v>
      </c>
      <c r="Y217" s="380" t="n">
        <v>10823.671</v>
      </c>
      <c r="Z217" s="384" t="n">
        <v>30</v>
      </c>
      <c r="AA217" s="383" t="n">
        <v>10620</v>
      </c>
      <c r="AB217" s="383" t="n">
        <v>10474.521</v>
      </c>
      <c r="AC217" s="387" t="n">
        <v>31</v>
      </c>
      <c r="AD217" s="388" t="n">
        <v>10620</v>
      </c>
      <c r="AE217" s="388" t="n">
        <v>10823.671</v>
      </c>
    </row>
    <row r="218" ht="15.75" customHeight="1" s="253">
      <c r="A218" s="377" t="n"/>
      <c r="B218" s="399" t="n">
        <v>45809</v>
      </c>
      <c r="C218" s="377" t="inlineStr">
        <is>
          <t>Ganesh &amp; Co.</t>
        </is>
      </c>
      <c r="D218" s="377" t="inlineStr">
        <is>
          <t>INV-25-26-000203</t>
        </is>
      </c>
      <c r="E218" s="377" t="n"/>
      <c r="F218" s="389" t="n">
        <v>45825</v>
      </c>
      <c r="G218" s="389" t="n">
        <v>46189</v>
      </c>
      <c r="H218" s="377" t="inlineStr">
        <is>
          <t>Annual Upfront</t>
        </is>
      </c>
      <c r="I218" s="380" t="n">
        <v>241900</v>
      </c>
      <c r="J218" s="377" t="n"/>
      <c r="K218" s="381" t="n"/>
      <c r="L218" s="377" t="n">
        <v>365</v>
      </c>
      <c r="M218" s="377" t="n"/>
      <c r="N218" s="381" t="n"/>
      <c r="O218" s="381" t="n"/>
      <c r="P218" s="381" t="n"/>
      <c r="Q218" s="382" t="n">
        <v>20158.3333333333</v>
      </c>
      <c r="R218" s="377" t="n">
        <v>14</v>
      </c>
      <c r="S218" s="383" t="n">
        <v>9278.35616438356</v>
      </c>
      <c r="T218" s="382" t="n">
        <v>20158.3333333333</v>
      </c>
      <c r="U218" s="381" t="n">
        <v>31</v>
      </c>
      <c r="V218" s="380" t="n">
        <v>20544.9315068493</v>
      </c>
      <c r="W218" s="384" t="n">
        <v>31</v>
      </c>
      <c r="X218" s="381" t="n">
        <v>20158.333</v>
      </c>
      <c r="Y218" s="380" t="n">
        <v>20544.932</v>
      </c>
      <c r="Z218" s="384" t="n">
        <v>30</v>
      </c>
      <c r="AA218" s="383" t="n">
        <v>20158.333</v>
      </c>
      <c r="AB218" s="383" t="n">
        <v>19882.192</v>
      </c>
      <c r="AC218" s="387" t="n">
        <v>31</v>
      </c>
      <c r="AD218" s="388" t="n">
        <v>20158.333</v>
      </c>
      <c r="AE218" s="388" t="n">
        <v>20544.932</v>
      </c>
    </row>
    <row r="219" ht="15.75" customHeight="1" s="253">
      <c r="A219" s="377" t="n"/>
      <c r="B219" s="399" t="n">
        <v>45809</v>
      </c>
      <c r="C219" s="377" t="inlineStr">
        <is>
          <t>AMS Legal</t>
        </is>
      </c>
      <c r="D219" s="377" t="inlineStr">
        <is>
          <t>INV-25-26-000204</t>
        </is>
      </c>
      <c r="E219" s="377" t="n"/>
      <c r="F219" s="389" t="n">
        <v>45826</v>
      </c>
      <c r="G219" s="389" t="n">
        <v>45855</v>
      </c>
      <c r="H219" s="386" t="inlineStr">
        <is>
          <t>1 month-Upfront</t>
        </is>
      </c>
      <c r="I219" s="380" t="n">
        <v>8260</v>
      </c>
      <c r="J219" s="377" t="n"/>
      <c r="K219" s="381" t="n"/>
      <c r="L219" s="377" t="n">
        <v>30</v>
      </c>
      <c r="M219" s="377" t="n"/>
      <c r="N219" s="381" t="n"/>
      <c r="O219" s="381" t="n"/>
      <c r="P219" s="381" t="n"/>
      <c r="Q219" s="382" t="n">
        <v>8260</v>
      </c>
      <c r="R219" s="377" t="n">
        <v>13</v>
      </c>
      <c r="S219" s="383" t="n">
        <v>3579.33333333333</v>
      </c>
      <c r="T219" s="377" t="n"/>
      <c r="U219" s="381" t="n">
        <v>17</v>
      </c>
      <c r="V219" s="381" t="n">
        <v>4680.66666666667</v>
      </c>
      <c r="W219" s="384" t="n">
        <v>0</v>
      </c>
      <c r="X219" s="381" t="n">
        <v>0</v>
      </c>
      <c r="Y219" s="377" t="n">
        <v>0</v>
      </c>
      <c r="Z219" s="377" t="n"/>
      <c r="AA219" s="377" t="n"/>
      <c r="AB219" s="377" t="n"/>
      <c r="AC219" s="385" t="n"/>
      <c r="AD219" s="385" t="n"/>
      <c r="AE219" s="385" t="n"/>
    </row>
    <row r="220" ht="15.75" customHeight="1" s="253">
      <c r="A220" s="377" t="n"/>
      <c r="B220" s="399" t="inlineStr">
        <is>
          <t>June &amp; Sept 25</t>
        </is>
      </c>
      <c r="C220" s="377" t="inlineStr">
        <is>
          <t>Vis Legis Law Practice</t>
        </is>
      </c>
      <c r="D220" s="377" t="inlineStr">
        <is>
          <t>INV-25-26-000205, 452, INV-25-26-000511</t>
        </is>
      </c>
      <c r="E220" s="377" t="n"/>
      <c r="F220" s="389" t="n">
        <v>45831</v>
      </c>
      <c r="G220" s="389" t="n">
        <v>46195</v>
      </c>
      <c r="H220" s="390" t="inlineStr">
        <is>
          <t>Annual subscription, Quarterly upfront</t>
        </is>
      </c>
      <c r="I220" s="380" t="n">
        <v>594720</v>
      </c>
      <c r="J220" s="377" t="n"/>
      <c r="K220" s="381" t="n"/>
      <c r="L220" s="377" t="n">
        <v>365</v>
      </c>
      <c r="M220" s="377" t="n"/>
      <c r="N220" s="381" t="n"/>
      <c r="O220" s="381" t="n"/>
      <c r="P220" s="381" t="n"/>
      <c r="Q220" s="383" t="n">
        <v>49560</v>
      </c>
      <c r="R220" s="377" t="n">
        <v>8</v>
      </c>
      <c r="S220" s="383" t="n">
        <v>13034.9589041096</v>
      </c>
      <c r="T220" s="382" t="n">
        <v>49560</v>
      </c>
      <c r="U220" s="381" t="n">
        <v>31</v>
      </c>
      <c r="V220" s="380" t="n">
        <v>50510.4657534247</v>
      </c>
      <c r="W220" s="384" t="n">
        <v>31</v>
      </c>
      <c r="X220" s="381" t="n">
        <v>49560</v>
      </c>
      <c r="Y220" s="380" t="n">
        <v>50510.466</v>
      </c>
      <c r="Z220" s="384" t="n">
        <v>30</v>
      </c>
      <c r="AA220" s="383" t="n">
        <v>49560</v>
      </c>
      <c r="AB220" s="383" t="n">
        <v>48881.096</v>
      </c>
      <c r="AC220" s="387" t="n">
        <v>31</v>
      </c>
      <c r="AD220" s="388" t="n">
        <v>49560</v>
      </c>
      <c r="AE220" s="388" t="n">
        <v>50510.466</v>
      </c>
    </row>
    <row r="221" ht="15.75" customHeight="1" s="253">
      <c r="A221" s="377" t="inlineStr">
        <is>
          <t>12 days complimentry</t>
        </is>
      </c>
      <c r="B221" s="399" t="inlineStr">
        <is>
          <t>June &amp; Sept 25</t>
        </is>
      </c>
      <c r="C221" s="377" t="inlineStr">
        <is>
          <t>U. S. GANDHI &amp; CO.</t>
        </is>
      </c>
      <c r="D221" s="377" t="inlineStr">
        <is>
          <t>INV-25-26-000206, 453</t>
        </is>
      </c>
      <c r="E221" s="377" t="n"/>
      <c r="F221" s="389" t="n">
        <v>45816</v>
      </c>
      <c r="G221" s="389" t="n">
        <v>46191</v>
      </c>
      <c r="H221" s="390" t="inlineStr">
        <is>
          <t>Annual subscription, Quarterly upfront</t>
        </is>
      </c>
      <c r="I221" s="380" t="n">
        <v>84960</v>
      </c>
      <c r="J221" s="377" t="n"/>
      <c r="K221" s="381" t="n"/>
      <c r="L221" s="377" t="n">
        <v>376</v>
      </c>
      <c r="M221" s="377" t="n"/>
      <c r="N221" s="381" t="n"/>
      <c r="O221" s="381" t="n"/>
      <c r="P221" s="381" t="n"/>
      <c r="Q221" s="383" t="n">
        <v>7080</v>
      </c>
      <c r="R221" s="377" t="n">
        <v>23</v>
      </c>
      <c r="S221" s="383" t="n">
        <v>5197.02127659575</v>
      </c>
      <c r="T221" s="382" t="n">
        <v>7080</v>
      </c>
      <c r="U221" s="381" t="n">
        <v>31</v>
      </c>
      <c r="V221" s="380" t="n">
        <v>7004.68085106383</v>
      </c>
      <c r="W221" s="384" t="n">
        <v>31</v>
      </c>
      <c r="X221" s="381" t="n">
        <v>7080</v>
      </c>
      <c r="Y221" s="380" t="n">
        <v>7004.681</v>
      </c>
      <c r="Z221" s="384" t="n">
        <v>30</v>
      </c>
      <c r="AA221" s="383" t="n">
        <v>7080</v>
      </c>
      <c r="AB221" s="383" t="n">
        <v>6778.723</v>
      </c>
      <c r="AC221" s="387" t="n">
        <v>31</v>
      </c>
      <c r="AD221" s="388" t="n">
        <v>6535.385</v>
      </c>
      <c r="AE221" s="388" t="n">
        <v>7004.681</v>
      </c>
    </row>
    <row r="222" ht="15.75" customHeight="1" s="253">
      <c r="A222" s="377" t="n"/>
      <c r="B222" s="399" t="inlineStr">
        <is>
          <t>July &amp; Aug 25, Oct 25</t>
        </is>
      </c>
      <c r="C222" s="377" t="inlineStr">
        <is>
          <t>Gauri Puri</t>
        </is>
      </c>
      <c r="D222" s="377" t="inlineStr">
        <is>
          <t>INV-25-26-000287, 367, 546, 000367, 000546, 000656</t>
        </is>
      </c>
      <c r="E222" s="377" t="n"/>
      <c r="F222" s="389" t="n">
        <v>45857</v>
      </c>
      <c r="G222" s="389" t="n">
        <v>46191</v>
      </c>
      <c r="H222" s="391" t="inlineStr">
        <is>
          <t>11 months subscription, Monthly</t>
        </is>
      </c>
      <c r="I222" s="380" t="n">
        <v>77880</v>
      </c>
      <c r="J222" s="377" t="n"/>
      <c r="K222" s="381" t="n"/>
      <c r="L222" s="377" t="n">
        <v>335</v>
      </c>
      <c r="M222" s="377" t="n"/>
      <c r="N222" s="381" t="n"/>
      <c r="O222" s="381" t="n"/>
      <c r="P222" s="381" t="n"/>
      <c r="Q222" s="382" t="n">
        <v>0</v>
      </c>
      <c r="R222" s="377" t="n">
        <v>0</v>
      </c>
      <c r="S222" s="383" t="n">
        <v>0</v>
      </c>
      <c r="T222" s="382" t="n">
        <v>7080</v>
      </c>
      <c r="U222" s="381" t="n">
        <v>31</v>
      </c>
      <c r="V222" s="380" t="n">
        <v>7206.80597014925</v>
      </c>
      <c r="W222" s="384" t="n">
        <v>31</v>
      </c>
      <c r="X222" s="381" t="n">
        <v>7080</v>
      </c>
      <c r="Y222" s="380" t="n">
        <v>7206.806</v>
      </c>
      <c r="Z222" s="384" t="n">
        <v>30</v>
      </c>
      <c r="AA222" s="383" t="n">
        <v>7080</v>
      </c>
      <c r="AB222" s="383" t="n">
        <v>6974.328</v>
      </c>
      <c r="AC222" s="387" t="n">
        <v>31</v>
      </c>
      <c r="AD222" s="388" t="n">
        <v>7080</v>
      </c>
      <c r="AE222" s="388" t="n">
        <v>7206.806</v>
      </c>
    </row>
    <row r="223" ht="15.75" customHeight="1" s="253">
      <c r="A223" s="377" t="n"/>
      <c r="B223" s="399" t="inlineStr">
        <is>
          <t>June to Oct 25</t>
        </is>
      </c>
      <c r="C223" s="377" t="inlineStr">
        <is>
          <t>Amit Bhagat</t>
        </is>
      </c>
      <c r="D223" s="377" t="inlineStr">
        <is>
          <t>INV-25-26-000208, 288, 368, 455, 547, 000288, 000368, 000455, 000547, 000657</t>
        </is>
      </c>
      <c r="E223" s="377" t="n"/>
      <c r="F223" s="389" t="n">
        <v>45827</v>
      </c>
      <c r="G223" s="389" t="n">
        <v>46191</v>
      </c>
      <c r="H223" s="386" t="inlineStr">
        <is>
          <t>Annual-Monthly</t>
        </is>
      </c>
      <c r="I223" s="380" t="n">
        <v>70800</v>
      </c>
      <c r="J223" s="377" t="n"/>
      <c r="K223" s="381" t="n"/>
      <c r="L223" s="377" t="n">
        <v>365</v>
      </c>
      <c r="M223" s="377" t="n"/>
      <c r="N223" s="381" t="n"/>
      <c r="O223" s="381" t="n"/>
      <c r="P223" s="381" t="n"/>
      <c r="Q223" s="382" t="n">
        <v>5900</v>
      </c>
      <c r="R223" s="377" t="n">
        <v>12</v>
      </c>
      <c r="S223" s="383" t="n">
        <v>2327.67123287671</v>
      </c>
      <c r="T223" s="382" t="n">
        <v>5900</v>
      </c>
      <c r="U223" s="381" t="n">
        <v>31</v>
      </c>
      <c r="V223" s="380" t="n">
        <v>6013.15068493151</v>
      </c>
      <c r="W223" s="384" t="n">
        <v>31</v>
      </c>
      <c r="X223" s="381" t="n">
        <v>5900</v>
      </c>
      <c r="Y223" s="380" t="n">
        <v>6013.151</v>
      </c>
      <c r="Z223" s="384" t="n">
        <v>30</v>
      </c>
      <c r="AA223" s="383" t="n">
        <v>5900</v>
      </c>
      <c r="AB223" s="383" t="n">
        <v>5819.178</v>
      </c>
      <c r="AC223" s="387" t="n">
        <v>31</v>
      </c>
      <c r="AD223" s="388" t="n">
        <v>5900</v>
      </c>
      <c r="AE223" s="388" t="n">
        <v>6013.151</v>
      </c>
    </row>
    <row r="224" ht="15.75" customHeight="1" s="253">
      <c r="A224" s="377" t="n"/>
      <c r="B224" s="399" t="n">
        <v>45809</v>
      </c>
      <c r="C224" s="377" t="inlineStr">
        <is>
          <t>Vishal Kanade</t>
        </is>
      </c>
      <c r="D224" s="377" t="inlineStr">
        <is>
          <t>INV-25-26-000209</t>
        </is>
      </c>
      <c r="E224" s="377" t="n"/>
      <c r="F224" s="389" t="n">
        <v>45789</v>
      </c>
      <c r="G224" s="389" t="n">
        <v>46153</v>
      </c>
      <c r="H224" s="377" t="inlineStr">
        <is>
          <t>Annual Upfront</t>
        </is>
      </c>
      <c r="I224" s="380" t="n">
        <v>191160</v>
      </c>
      <c r="J224" s="377" t="n"/>
      <c r="K224" s="381" t="n">
        <v>15930</v>
      </c>
      <c r="L224" s="377" t="n">
        <v>365</v>
      </c>
      <c r="M224" s="377" t="n"/>
      <c r="N224" s="381" t="n"/>
      <c r="O224" s="381" t="n">
        <v>19</v>
      </c>
      <c r="P224" s="381" t="n">
        <v>9950.795</v>
      </c>
      <c r="Q224" s="382" t="n">
        <v>15930</v>
      </c>
      <c r="R224" s="377" t="n">
        <v>30</v>
      </c>
      <c r="S224" s="382" t="n">
        <v>15711.7808219178</v>
      </c>
      <c r="T224" s="382" t="n">
        <v>15930</v>
      </c>
      <c r="U224" s="381" t="n">
        <v>31</v>
      </c>
      <c r="V224" s="380" t="n">
        <v>16235.5068493151</v>
      </c>
      <c r="W224" s="384" t="n">
        <v>31</v>
      </c>
      <c r="X224" s="381" t="n">
        <v>15930</v>
      </c>
      <c r="Y224" s="380" t="n">
        <v>16235.507</v>
      </c>
      <c r="Z224" s="384" t="n">
        <v>30</v>
      </c>
      <c r="AA224" s="383" t="n">
        <v>15930</v>
      </c>
      <c r="AB224" s="383" t="n">
        <v>15711.781</v>
      </c>
      <c r="AC224" s="387" t="n">
        <v>31</v>
      </c>
      <c r="AD224" s="388" t="n">
        <v>15930</v>
      </c>
      <c r="AE224" s="388" t="n">
        <v>16235.507</v>
      </c>
    </row>
    <row r="225" ht="15.75" customHeight="1" s="253">
      <c r="A225" s="377" t="n"/>
      <c r="B225" s="399" t="n">
        <v>45809</v>
      </c>
      <c r="C225" s="377" t="inlineStr">
        <is>
          <t>Sundeep Karnik</t>
        </is>
      </c>
      <c r="D225" s="377" t="inlineStr">
        <is>
          <t>INV-25-26-000211</t>
        </is>
      </c>
      <c r="E225" s="377" t="n"/>
      <c r="F225" s="389" t="n">
        <v>45829</v>
      </c>
      <c r="G225" s="389" t="n">
        <v>46194</v>
      </c>
      <c r="H225" s="377" t="inlineStr">
        <is>
          <t>Annual Upfront</t>
        </is>
      </c>
      <c r="I225" s="380" t="n">
        <v>66080</v>
      </c>
      <c r="J225" s="377" t="n"/>
      <c r="K225" s="381" t="n"/>
      <c r="L225" s="377" t="n">
        <v>366</v>
      </c>
      <c r="M225" s="377" t="n"/>
      <c r="N225" s="381" t="n"/>
      <c r="O225" s="381" t="n"/>
      <c r="P225" s="381" t="n"/>
      <c r="Q225" s="382" t="n">
        <v>5506.66666666667</v>
      </c>
      <c r="R225" s="377" t="n">
        <v>10</v>
      </c>
      <c r="S225" s="383" t="n">
        <v>1805.46448087432</v>
      </c>
      <c r="T225" s="382" t="n">
        <v>5506.66666666667</v>
      </c>
      <c r="U225" s="381" t="n">
        <v>31</v>
      </c>
      <c r="V225" s="380" t="n">
        <v>5596.93989071038</v>
      </c>
      <c r="W225" s="384" t="n">
        <v>31</v>
      </c>
      <c r="X225" s="381" t="n">
        <v>5506.667</v>
      </c>
      <c r="Y225" s="380" t="n">
        <v>5596.94</v>
      </c>
      <c r="Z225" s="384" t="n">
        <v>30</v>
      </c>
      <c r="AA225" s="383" t="n">
        <v>5506.667</v>
      </c>
      <c r="AB225" s="383" t="n">
        <v>5416.393</v>
      </c>
      <c r="AC225" s="387" t="n">
        <v>31</v>
      </c>
      <c r="AD225" s="388" t="n">
        <v>5083.077</v>
      </c>
      <c r="AE225" s="388" t="n">
        <v>5596.94</v>
      </c>
    </row>
    <row r="226" ht="15.75" customHeight="1" s="253">
      <c r="A226" s="377" t="n"/>
      <c r="B226" s="399" t="n">
        <v>45809</v>
      </c>
      <c r="C226" s="377" t="inlineStr">
        <is>
          <t>Rohan Talwar</t>
        </is>
      </c>
      <c r="D226" s="377" t="inlineStr">
        <is>
          <t>INV-25-26-000214</t>
        </is>
      </c>
      <c r="E226" s="377" t="n"/>
      <c r="F226" s="389" t="n">
        <v>45832</v>
      </c>
      <c r="G226" s="389" t="n">
        <v>46014</v>
      </c>
      <c r="H226" s="386" t="inlineStr">
        <is>
          <t>6 month-Upfront</t>
        </is>
      </c>
      <c r="I226" s="380" t="n">
        <v>41300</v>
      </c>
      <c r="J226" s="377" t="n"/>
      <c r="K226" s="381" t="n"/>
      <c r="L226" s="377" t="n">
        <v>183</v>
      </c>
      <c r="M226" s="377" t="n"/>
      <c r="N226" s="381" t="n"/>
      <c r="O226" s="381" t="n"/>
      <c r="P226" s="381" t="n"/>
      <c r="Q226" s="382" t="n">
        <v>6883.33333333333</v>
      </c>
      <c r="R226" s="377" t="n">
        <v>7</v>
      </c>
      <c r="S226" s="383" t="n">
        <v>1579.78142076503</v>
      </c>
      <c r="T226" s="382" t="n">
        <v>6883.33333333333</v>
      </c>
      <c r="U226" s="381" t="n">
        <v>31</v>
      </c>
      <c r="V226" s="380" t="n">
        <v>6996.17486338798</v>
      </c>
      <c r="W226" s="384" t="n">
        <v>31</v>
      </c>
      <c r="X226" s="381" t="n">
        <v>6883.333</v>
      </c>
      <c r="Y226" s="380" t="n">
        <v>6996.175</v>
      </c>
      <c r="Z226" s="384" t="n">
        <v>30</v>
      </c>
      <c r="AA226" s="383" t="n">
        <v>6883.333</v>
      </c>
      <c r="AB226" s="383" t="n">
        <v>6770.492</v>
      </c>
      <c r="AC226" s="387" t="n">
        <v>31</v>
      </c>
      <c r="AD226" s="388" t="n">
        <v>6883.333</v>
      </c>
      <c r="AE226" s="388" t="n">
        <v>6996.175</v>
      </c>
    </row>
    <row r="227" ht="15.75" customHeight="1" s="253">
      <c r="A227" s="377" t="n"/>
      <c r="B227" s="399" t="n">
        <v>45809</v>
      </c>
      <c r="C227" s="377" t="inlineStr">
        <is>
          <t>ZEUS Law Associates</t>
        </is>
      </c>
      <c r="D227" s="377" t="inlineStr">
        <is>
          <t>INV-25-26-000215</t>
        </is>
      </c>
      <c r="E227" s="377" t="n"/>
      <c r="F227" s="389" t="n">
        <v>45839</v>
      </c>
      <c r="G227" s="389" t="n">
        <v>45869</v>
      </c>
      <c r="H227" s="386" t="inlineStr">
        <is>
          <t>1 month-Upfront</t>
        </is>
      </c>
      <c r="I227" s="380" t="n">
        <v>47200</v>
      </c>
      <c r="J227" s="377" t="n"/>
      <c r="K227" s="381" t="n"/>
      <c r="L227" s="377" t="n">
        <v>31</v>
      </c>
      <c r="M227" s="377" t="n"/>
      <c r="N227" s="381" t="n"/>
      <c r="O227" s="381" t="n"/>
      <c r="P227" s="381" t="n"/>
      <c r="Q227" s="377" t="n"/>
      <c r="R227" s="377" t="n">
        <v>0</v>
      </c>
      <c r="S227" s="377" t="n"/>
      <c r="T227" s="382" t="n">
        <v>47200</v>
      </c>
      <c r="U227" s="381" t="n">
        <v>31</v>
      </c>
      <c r="V227" s="381" t="n">
        <v>47200</v>
      </c>
      <c r="W227" s="384" t="n">
        <v>0</v>
      </c>
      <c r="X227" s="381" t="n">
        <v>0</v>
      </c>
      <c r="Y227" s="377" t="n">
        <v>0</v>
      </c>
      <c r="Z227" s="377" t="n"/>
      <c r="AA227" s="377" t="n"/>
      <c r="AB227" s="377" t="n"/>
      <c r="AC227" s="385" t="n"/>
      <c r="AD227" s="385" t="n"/>
      <c r="AE227" s="385" t="n"/>
    </row>
    <row r="228" ht="15.75" customHeight="1" s="253">
      <c r="A228" s="377" t="n"/>
      <c r="B228" s="399" t="n">
        <v>45809</v>
      </c>
      <c r="C228" s="377" t="inlineStr">
        <is>
          <t>Aurtus Consulting LLP</t>
        </is>
      </c>
      <c r="D228" s="377" t="inlineStr">
        <is>
          <t>INV-25-26-000216</t>
        </is>
      </c>
      <c r="E228" s="377" t="n"/>
      <c r="F228" s="389" t="n">
        <v>45835</v>
      </c>
      <c r="G228" s="389" t="n">
        <v>45926</v>
      </c>
      <c r="H228" s="379" t="inlineStr">
        <is>
          <t>3 months subscription, upfront</t>
        </is>
      </c>
      <c r="I228" s="380" t="n">
        <v>63720</v>
      </c>
      <c r="J228" s="377" t="n"/>
      <c r="K228" s="381" t="n"/>
      <c r="L228" s="377" t="n">
        <v>92</v>
      </c>
      <c r="M228" s="377" t="n"/>
      <c r="N228" s="381" t="n"/>
      <c r="O228" s="381" t="n"/>
      <c r="P228" s="381" t="n"/>
      <c r="Q228" s="377" t="n">
        <v>21240</v>
      </c>
      <c r="R228" s="377" t="n">
        <v>4</v>
      </c>
      <c r="S228" s="383" t="n">
        <v>2770.4347826087</v>
      </c>
      <c r="T228" s="383" t="n">
        <v>21240</v>
      </c>
      <c r="U228" s="381" t="n">
        <v>31</v>
      </c>
      <c r="V228" s="380" t="n">
        <v>21470.8695652174</v>
      </c>
      <c r="W228" s="384" t="n">
        <v>31</v>
      </c>
      <c r="X228" s="381" t="n">
        <v>21240</v>
      </c>
      <c r="Y228" s="380" t="n">
        <v>21470.87</v>
      </c>
      <c r="Z228" s="377" t="n">
        <v>26</v>
      </c>
      <c r="AA228" s="377" t="n"/>
      <c r="AB228" s="383" t="n">
        <v>18007.826</v>
      </c>
      <c r="AC228" s="385" t="n"/>
      <c r="AD228" s="385" t="n"/>
      <c r="AE228" s="385" t="n"/>
    </row>
    <row r="229" ht="15.75" customHeight="1" s="253">
      <c r="A229" s="377" t="n"/>
      <c r="B229" s="399" t="n">
        <v>45809</v>
      </c>
      <c r="C229" s="377" t="inlineStr">
        <is>
          <t>Tvashta Law</t>
        </is>
      </c>
      <c r="D229" s="377" t="inlineStr">
        <is>
          <t>INV-25-26-000217</t>
        </is>
      </c>
      <c r="E229" s="377" t="n"/>
      <c r="F229" s="389" t="n">
        <v>45832</v>
      </c>
      <c r="G229" s="389" t="n">
        <v>46196</v>
      </c>
      <c r="H229" s="377" t="inlineStr">
        <is>
          <t>Annual Upfront</t>
        </is>
      </c>
      <c r="I229" s="380" t="n">
        <v>212400</v>
      </c>
      <c r="J229" s="377" t="n"/>
      <c r="K229" s="381" t="n"/>
      <c r="L229" s="377" t="n">
        <v>365</v>
      </c>
      <c r="M229" s="377" t="n"/>
      <c r="N229" s="381" t="n"/>
      <c r="O229" s="381" t="n"/>
      <c r="P229" s="381" t="n"/>
      <c r="Q229" s="382" t="n">
        <v>17700</v>
      </c>
      <c r="R229" s="377" t="n">
        <v>7</v>
      </c>
      <c r="S229" s="383" t="n">
        <v>4073.42465753425</v>
      </c>
      <c r="T229" s="382" t="n">
        <v>17700</v>
      </c>
      <c r="U229" s="381" t="n">
        <v>31</v>
      </c>
      <c r="V229" s="380" t="n">
        <v>18039.4520547945</v>
      </c>
      <c r="W229" s="384" t="n">
        <v>31</v>
      </c>
      <c r="X229" s="381" t="n">
        <v>17700</v>
      </c>
      <c r="Y229" s="380" t="n">
        <v>18039.452</v>
      </c>
      <c r="Z229" s="384" t="n">
        <v>30</v>
      </c>
      <c r="AA229" s="383" t="n">
        <v>17700</v>
      </c>
      <c r="AB229" s="383" t="n">
        <v>17457.534</v>
      </c>
      <c r="AC229" s="387" t="n">
        <v>31</v>
      </c>
      <c r="AD229" s="388" t="n">
        <v>17700</v>
      </c>
      <c r="AE229" s="388" t="n">
        <v>18039.452</v>
      </c>
    </row>
    <row r="230" ht="15.75" customHeight="1" s="253">
      <c r="A230" s="377" t="n"/>
      <c r="B230" s="399" t="inlineStr">
        <is>
          <t>June  &amp; Aug 25</t>
        </is>
      </c>
      <c r="C230" s="377" t="inlineStr">
        <is>
          <t>Tejeshwar Singh</t>
        </is>
      </c>
      <c r="D230" s="377" t="inlineStr">
        <is>
          <t>INV-25-26-000220 &amp; CN-00012</t>
        </is>
      </c>
      <c r="E230" s="377" t="n"/>
      <c r="F230" s="389" t="n">
        <v>45838</v>
      </c>
      <c r="G230" s="389" t="n">
        <v>45867</v>
      </c>
      <c r="H230" s="391" t="inlineStr">
        <is>
          <t>1 month-Upfront</t>
        </is>
      </c>
      <c r="I230" s="380" t="n">
        <v>35400</v>
      </c>
      <c r="J230" s="377" t="n"/>
      <c r="K230" s="381" t="n"/>
      <c r="L230" s="377" t="n">
        <v>30</v>
      </c>
      <c r="M230" s="377" t="n"/>
      <c r="N230" s="381" t="n"/>
      <c r="O230" s="381" t="n"/>
      <c r="P230" s="381" t="n"/>
      <c r="Q230" s="383" t="n">
        <v>35400</v>
      </c>
      <c r="R230" s="377" t="n">
        <v>1</v>
      </c>
      <c r="S230" s="383" t="n">
        <v>1180</v>
      </c>
      <c r="T230" s="382" t="n"/>
      <c r="U230" s="381" t="n">
        <v>29</v>
      </c>
      <c r="V230" s="380" t="n">
        <v>34220</v>
      </c>
      <c r="W230" s="384" t="n">
        <v>0</v>
      </c>
      <c r="X230" s="381" t="n">
        <v>0</v>
      </c>
      <c r="Y230" s="377" t="n">
        <v>0</v>
      </c>
      <c r="Z230" s="377" t="inlineStr">
        <is>
          <t>CN</t>
        </is>
      </c>
      <c r="AA230" s="377" t="n"/>
      <c r="AB230" s="377" t="n"/>
      <c r="AC230" s="385" t="n"/>
      <c r="AD230" s="385" t="n"/>
      <c r="AE230" s="385" t="n"/>
    </row>
    <row r="231" ht="15.75" customHeight="1" s="253">
      <c r="A231" s="377" t="n"/>
      <c r="B231" s="399" t="n">
        <v>45809</v>
      </c>
      <c r="C231" s="377" t="inlineStr">
        <is>
          <t>Apoorv Kurup</t>
        </is>
      </c>
      <c r="D231" s="377" t="inlineStr">
        <is>
          <t>INV-25-26-000221</t>
        </is>
      </c>
      <c r="E231" s="377" t="n"/>
      <c r="F231" s="389" t="n">
        <v>45839</v>
      </c>
      <c r="G231" s="389" t="n">
        <v>46022</v>
      </c>
      <c r="H231" s="386" t="inlineStr">
        <is>
          <t>6 month-Upfront</t>
        </is>
      </c>
      <c r="I231" s="380" t="n">
        <v>41300</v>
      </c>
      <c r="J231" s="377" t="n"/>
      <c r="K231" s="381" t="n"/>
      <c r="L231" s="377" t="n">
        <v>184</v>
      </c>
      <c r="M231" s="377" t="n"/>
      <c r="N231" s="381" t="n"/>
      <c r="O231" s="381" t="n"/>
      <c r="P231" s="381" t="n"/>
      <c r="Q231" s="382" t="n">
        <v>0</v>
      </c>
      <c r="R231" s="377" t="n">
        <v>0</v>
      </c>
      <c r="S231" s="377" t="n"/>
      <c r="T231" s="382" t="n">
        <v>6883.33333333333</v>
      </c>
      <c r="U231" s="381" t="n">
        <v>31</v>
      </c>
      <c r="V231" s="383" t="n">
        <v>6958.15217391304</v>
      </c>
      <c r="W231" s="384" t="n">
        <v>31</v>
      </c>
      <c r="X231" s="381" t="n">
        <v>6883.333</v>
      </c>
      <c r="Y231" s="380" t="n">
        <v>6958.152</v>
      </c>
      <c r="Z231" s="384" t="n">
        <v>30</v>
      </c>
      <c r="AA231" s="383" t="n">
        <v>6883.333</v>
      </c>
      <c r="AB231" s="383" t="n">
        <v>6733.696</v>
      </c>
      <c r="AC231" s="387" t="n">
        <v>31</v>
      </c>
      <c r="AD231" s="388" t="n">
        <v>6883.333</v>
      </c>
      <c r="AE231" s="388" t="n">
        <v>6958.152</v>
      </c>
    </row>
    <row r="232" ht="15.75" customHeight="1" s="253">
      <c r="A232" s="377" t="n"/>
      <c r="B232" s="399" t="n">
        <v>45809</v>
      </c>
      <c r="C232" s="377" t="inlineStr">
        <is>
          <t>Elixir Legal Services</t>
        </is>
      </c>
      <c r="D232" s="377" t="inlineStr">
        <is>
          <t>INV-25-26-000222</t>
        </is>
      </c>
      <c r="E232" s="377" t="n"/>
      <c r="F232" s="389" t="n">
        <v>45838</v>
      </c>
      <c r="G232" s="389" t="n">
        <v>46202</v>
      </c>
      <c r="H232" s="377" t="inlineStr">
        <is>
          <t>Annual Upfront</t>
        </is>
      </c>
      <c r="I232" s="380" t="n">
        <v>74340</v>
      </c>
      <c r="J232" s="377" t="n"/>
      <c r="K232" s="381" t="n"/>
      <c r="L232" s="377" t="n">
        <v>365</v>
      </c>
      <c r="M232" s="377" t="n"/>
      <c r="N232" s="381" t="n"/>
      <c r="O232" s="381" t="n"/>
      <c r="P232" s="381" t="n"/>
      <c r="Q232" s="382" t="n">
        <v>6195</v>
      </c>
      <c r="R232" s="377" t="n">
        <v>1</v>
      </c>
      <c r="S232" s="383" t="n">
        <v>203.671232876712</v>
      </c>
      <c r="T232" s="382" t="n">
        <v>6195</v>
      </c>
      <c r="U232" s="381" t="n">
        <v>31</v>
      </c>
      <c r="V232" s="380" t="n">
        <v>6313.80821917808</v>
      </c>
      <c r="W232" s="384" t="n">
        <v>31</v>
      </c>
      <c r="X232" s="381" t="n">
        <v>6195</v>
      </c>
      <c r="Y232" s="380" t="n">
        <v>6313.808</v>
      </c>
      <c r="Z232" s="384" t="n">
        <v>30</v>
      </c>
      <c r="AA232" s="383" t="n">
        <v>6195</v>
      </c>
      <c r="AB232" s="383" t="n">
        <v>6110.137</v>
      </c>
      <c r="AC232" s="387" t="n">
        <v>31</v>
      </c>
      <c r="AD232" s="388" t="n">
        <v>6195</v>
      </c>
      <c r="AE232" s="388" t="n">
        <v>6313.808</v>
      </c>
    </row>
    <row r="233" ht="15.75" customHeight="1" s="253">
      <c r="A233" s="377" t="n"/>
      <c r="B233" s="399" t="n">
        <v>45809</v>
      </c>
      <c r="C233" s="377" t="inlineStr">
        <is>
          <t>Harshit Malik</t>
        </is>
      </c>
      <c r="D233" s="377" t="inlineStr">
        <is>
          <t>INV-25-26-000225</t>
        </is>
      </c>
      <c r="E233" s="377" t="n"/>
      <c r="F233" s="389" t="n">
        <v>45836</v>
      </c>
      <c r="G233" s="389" t="n">
        <v>46200</v>
      </c>
      <c r="H233" s="377" t="inlineStr">
        <is>
          <t>Annual Upfront</t>
        </is>
      </c>
      <c r="I233" s="380" t="n">
        <v>70800</v>
      </c>
      <c r="J233" s="377" t="n"/>
      <c r="K233" s="381" t="n"/>
      <c r="L233" s="377" t="n">
        <v>365</v>
      </c>
      <c r="M233" s="377" t="n"/>
      <c r="N233" s="381" t="n"/>
      <c r="O233" s="381" t="n"/>
      <c r="P233" s="381" t="n"/>
      <c r="Q233" s="382" t="n">
        <v>5900</v>
      </c>
      <c r="R233" s="377" t="n">
        <v>3</v>
      </c>
      <c r="S233" s="383" t="n">
        <v>581.917808219178</v>
      </c>
      <c r="T233" s="382" t="n">
        <v>5900</v>
      </c>
      <c r="U233" s="381" t="n">
        <v>31</v>
      </c>
      <c r="V233" s="380" t="n">
        <v>6013.15068493151</v>
      </c>
      <c r="W233" s="384" t="n">
        <v>31</v>
      </c>
      <c r="X233" s="381" t="n">
        <v>5900</v>
      </c>
      <c r="Y233" s="380" t="n">
        <v>6013.151</v>
      </c>
      <c r="Z233" s="384" t="n">
        <v>30</v>
      </c>
      <c r="AA233" s="383" t="n">
        <v>5900</v>
      </c>
      <c r="AB233" s="383" t="n">
        <v>5819.178</v>
      </c>
      <c r="AC233" s="387" t="n">
        <v>31</v>
      </c>
      <c r="AD233" s="388" t="n">
        <v>5900</v>
      </c>
      <c r="AE233" s="388" t="n">
        <v>6013.151</v>
      </c>
    </row>
    <row r="234" ht="21.75" customHeight="1" s="253">
      <c r="A234" s="377" t="n"/>
      <c r="B234" s="399" t="inlineStr">
        <is>
          <t>June &amp; July</t>
        </is>
      </c>
      <c r="C234" s="397" t="inlineStr">
        <is>
          <t>Shrey Lodha</t>
        </is>
      </c>
      <c r="D234" s="377" t="inlineStr">
        <is>
          <t>INV-25-26-000165 &amp; CN-00011</t>
        </is>
      </c>
      <c r="E234" s="377" t="n"/>
      <c r="F234" s="389" t="n">
        <v>45780</v>
      </c>
      <c r="G234" s="389" t="n">
        <v>46144</v>
      </c>
      <c r="H234" s="386" t="inlineStr">
        <is>
          <t>Annual-Monthly</t>
        </is>
      </c>
      <c r="I234" s="400" t="n">
        <v>0</v>
      </c>
      <c r="J234" s="377" t="n"/>
      <c r="K234" s="381" t="n">
        <v>0</v>
      </c>
      <c r="L234" s="377" t="n">
        <v>365</v>
      </c>
      <c r="M234" s="377" t="n"/>
      <c r="N234" s="381" t="n"/>
      <c r="O234" s="381" t="n">
        <v>28</v>
      </c>
      <c r="P234" s="381" t="n">
        <v>0</v>
      </c>
      <c r="Q234" s="382" t="n">
        <v>0</v>
      </c>
      <c r="R234" s="377" t="n">
        <v>30</v>
      </c>
      <c r="S234" s="382" t="n">
        <v>0</v>
      </c>
      <c r="T234" s="382" t="n">
        <v>0</v>
      </c>
      <c r="U234" s="381" t="n">
        <v>31</v>
      </c>
      <c r="V234" s="380" t="n">
        <v>0</v>
      </c>
      <c r="W234" s="384" t="n">
        <v>31</v>
      </c>
      <c r="X234" s="381" t="n"/>
      <c r="Y234" s="380" t="n">
        <v>0</v>
      </c>
      <c r="Z234" s="384" t="n">
        <v>30</v>
      </c>
      <c r="AA234" s="383" t="n">
        <v>0</v>
      </c>
      <c r="AB234" s="383" t="n">
        <v>0</v>
      </c>
      <c r="AC234" s="387" t="n">
        <v>31</v>
      </c>
      <c r="AD234" s="388" t="n">
        <v>0</v>
      </c>
      <c r="AE234" s="388" t="n">
        <v>0</v>
      </c>
    </row>
    <row r="235" ht="15.75" customHeight="1" s="253">
      <c r="A235" s="377" t="n"/>
      <c r="B235" s="399" t="inlineStr">
        <is>
          <t>July &amp; Oct 25</t>
        </is>
      </c>
      <c r="C235" s="377" t="inlineStr">
        <is>
          <t>Solaris Legal</t>
        </is>
      </c>
      <c r="D235" s="377" t="inlineStr">
        <is>
          <t>INV-25-26-000226, 481, 000481</t>
        </is>
      </c>
      <c r="E235" s="377" t="n"/>
      <c r="F235" s="389" t="n">
        <v>45839</v>
      </c>
      <c r="G235" s="389" t="n">
        <v>46203</v>
      </c>
      <c r="H235" s="390" t="inlineStr">
        <is>
          <t>Annual subscription, Quarterly upfront</t>
        </is>
      </c>
      <c r="I235" s="380" t="n">
        <v>566400</v>
      </c>
      <c r="J235" s="377" t="n"/>
      <c r="K235" s="381" t="n"/>
      <c r="L235" s="377" t="n">
        <v>365</v>
      </c>
      <c r="M235" s="377" t="n"/>
      <c r="N235" s="381" t="n"/>
      <c r="O235" s="381" t="n"/>
      <c r="P235" s="381" t="n"/>
      <c r="Q235" s="377" t="n"/>
      <c r="R235" s="377" t="n"/>
      <c r="S235" s="377" t="n"/>
      <c r="T235" s="382" t="n">
        <v>47200</v>
      </c>
      <c r="U235" s="381" t="n">
        <v>31</v>
      </c>
      <c r="V235" s="383" t="n">
        <v>48105.2054794521</v>
      </c>
      <c r="W235" s="384" t="n">
        <v>31</v>
      </c>
      <c r="X235" s="381" t="n">
        <v>47200</v>
      </c>
      <c r="Y235" s="380" t="n">
        <v>48105.205</v>
      </c>
      <c r="Z235" s="384" t="n">
        <v>30</v>
      </c>
      <c r="AA235" s="383" t="n">
        <v>47200</v>
      </c>
      <c r="AB235" s="383" t="n">
        <v>46553.425</v>
      </c>
      <c r="AC235" s="387" t="n">
        <v>31</v>
      </c>
      <c r="AD235" s="388" t="n">
        <v>47200</v>
      </c>
      <c r="AE235" s="388" t="n">
        <v>48105.205</v>
      </c>
    </row>
    <row r="236" ht="15.75" customHeight="1" s="253">
      <c r="A236" s="377" t="n"/>
      <c r="B236" s="399" t="n">
        <v>45839</v>
      </c>
      <c r="C236" s="377" t="inlineStr">
        <is>
          <t>Surel Shah</t>
        </is>
      </c>
      <c r="D236" s="377" t="inlineStr">
        <is>
          <t>INV-25-26-000227</t>
        </is>
      </c>
      <c r="E236" s="377" t="n"/>
      <c r="F236" s="389" t="n">
        <v>45839</v>
      </c>
      <c r="G236" s="389" t="n">
        <v>46203</v>
      </c>
      <c r="H236" s="377" t="inlineStr">
        <is>
          <t>Annual Upfront</t>
        </is>
      </c>
      <c r="I236" s="380" t="n">
        <v>82600</v>
      </c>
      <c r="J236" s="377" t="n"/>
      <c r="K236" s="381" t="n"/>
      <c r="L236" s="377" t="n">
        <v>365</v>
      </c>
      <c r="M236" s="377" t="n"/>
      <c r="N236" s="381" t="n"/>
      <c r="O236" s="381" t="n"/>
      <c r="P236" s="381" t="n"/>
      <c r="Q236" s="377" t="n"/>
      <c r="R236" s="377" t="n"/>
      <c r="S236" s="377" t="n"/>
      <c r="T236" s="381" t="n">
        <v>6883.33333333333</v>
      </c>
      <c r="U236" s="381" t="n">
        <v>31</v>
      </c>
      <c r="V236" s="383" t="n">
        <v>7015.34246575342</v>
      </c>
      <c r="W236" s="384" t="n">
        <v>31</v>
      </c>
      <c r="X236" s="381" t="n">
        <v>6883.333</v>
      </c>
      <c r="Y236" s="380" t="n">
        <v>7015.342</v>
      </c>
      <c r="Z236" s="384" t="n">
        <v>30</v>
      </c>
      <c r="AA236" s="383" t="n">
        <v>6883.333</v>
      </c>
      <c r="AB236" s="383" t="n">
        <v>6789.041</v>
      </c>
      <c r="AC236" s="387" t="n">
        <v>31</v>
      </c>
      <c r="AD236" s="388" t="n">
        <v>6883.333</v>
      </c>
      <c r="AE236" s="388" t="n">
        <v>7015.342</v>
      </c>
    </row>
    <row r="237" ht="15.75" customHeight="1" s="253">
      <c r="A237" s="377" t="n"/>
      <c r="B237" s="399" t="inlineStr">
        <is>
          <t>July &amp; Oct 25</t>
        </is>
      </c>
      <c r="C237" s="377" t="inlineStr">
        <is>
          <t>MG Ramachandran</t>
        </is>
      </c>
      <c r="D237" s="377" t="inlineStr">
        <is>
          <t>INV-25-26-000228, 482, 000482</t>
        </is>
      </c>
      <c r="E237" s="377" t="n"/>
      <c r="F237" s="389" t="n">
        <v>45839</v>
      </c>
      <c r="G237" s="389" t="n">
        <v>46203</v>
      </c>
      <c r="H237" s="390" t="inlineStr">
        <is>
          <t>Annual subscription, Quarterly upfront</t>
        </is>
      </c>
      <c r="I237" s="380" t="n">
        <v>141600</v>
      </c>
      <c r="J237" s="377" t="n"/>
      <c r="K237" s="381" t="n"/>
      <c r="L237" s="377" t="n">
        <v>365</v>
      </c>
      <c r="M237" s="377" t="n"/>
      <c r="N237" s="381" t="n"/>
      <c r="O237" s="381" t="n"/>
      <c r="P237" s="381" t="n"/>
      <c r="Q237" s="377" t="n"/>
      <c r="R237" s="377" t="n"/>
      <c r="S237" s="377" t="n"/>
      <c r="T237" s="382" t="n">
        <v>11800</v>
      </c>
      <c r="U237" s="381" t="n">
        <v>31</v>
      </c>
      <c r="V237" s="383" t="n">
        <v>12026.301369863</v>
      </c>
      <c r="W237" s="384" t="n">
        <v>31</v>
      </c>
      <c r="X237" s="381" t="n">
        <v>11800</v>
      </c>
      <c r="Y237" s="380" t="n">
        <v>12026.301</v>
      </c>
      <c r="Z237" s="384" t="n">
        <v>30</v>
      </c>
      <c r="AA237" s="383" t="n">
        <v>11800</v>
      </c>
      <c r="AB237" s="383" t="n">
        <v>11638.356</v>
      </c>
      <c r="AC237" s="387" t="n">
        <v>31</v>
      </c>
      <c r="AD237" s="388" t="n">
        <v>11800</v>
      </c>
      <c r="AE237" s="388" t="n">
        <v>12026.301</v>
      </c>
    </row>
    <row r="238" ht="15.75" customHeight="1" s="253">
      <c r="A238" s="377" t="n"/>
      <c r="B238" s="399" t="n">
        <v>45839</v>
      </c>
      <c r="C238" s="377" t="inlineStr">
        <is>
          <t>Jade Lex Partners</t>
        </is>
      </c>
      <c r="D238" s="377" t="inlineStr">
        <is>
          <t>INV-25-26-000233</t>
        </is>
      </c>
      <c r="E238" s="377" t="n"/>
      <c r="F238" s="389" t="n">
        <v>45845</v>
      </c>
      <c r="G238" s="389" t="n">
        <v>46209</v>
      </c>
      <c r="H238" s="386" t="inlineStr">
        <is>
          <t>Annual- Half Yearly Payment</t>
        </is>
      </c>
      <c r="I238" s="380" t="n">
        <v>82600</v>
      </c>
      <c r="J238" s="377" t="n"/>
      <c r="K238" s="381" t="n"/>
      <c r="L238" s="377" t="n">
        <v>365</v>
      </c>
      <c r="M238" s="377" t="n"/>
      <c r="N238" s="381" t="n"/>
      <c r="O238" s="381" t="n"/>
      <c r="P238" s="381" t="n"/>
      <c r="Q238" s="377" t="n"/>
      <c r="R238" s="377" t="n"/>
      <c r="S238" s="377" t="n"/>
      <c r="T238" s="382" t="n">
        <v>6883.33333333333</v>
      </c>
      <c r="U238" s="381" t="n">
        <v>25</v>
      </c>
      <c r="V238" s="383" t="n">
        <v>5657.53424657534</v>
      </c>
      <c r="W238" s="384" t="n">
        <v>31</v>
      </c>
      <c r="X238" s="381" t="n">
        <v>6883.333</v>
      </c>
      <c r="Y238" s="380" t="n">
        <v>7015.342</v>
      </c>
      <c r="Z238" s="384" t="n">
        <v>30</v>
      </c>
      <c r="AA238" s="383" t="n">
        <v>6883.333</v>
      </c>
      <c r="AB238" s="383" t="n">
        <v>6789.041</v>
      </c>
      <c r="AC238" s="387" t="n">
        <v>31</v>
      </c>
      <c r="AD238" s="388" t="n">
        <v>6883.333</v>
      </c>
      <c r="AE238" s="388" t="n">
        <v>7015.342</v>
      </c>
    </row>
    <row r="239" ht="15.75" customHeight="1" s="253">
      <c r="A239" s="377" t="n"/>
      <c r="B239" s="399" t="inlineStr">
        <is>
          <t>July &amp; Oct 25</t>
        </is>
      </c>
      <c r="C239" s="377" t="inlineStr">
        <is>
          <t>Aanchal Basur</t>
        </is>
      </c>
      <c r="D239" s="377" t="inlineStr">
        <is>
          <t>INV-25-26-000234, 485, 000485</t>
        </is>
      </c>
      <c r="E239" s="377" t="n"/>
      <c r="F239" s="389" t="n">
        <v>45839</v>
      </c>
      <c r="G239" s="389" t="n">
        <v>46203</v>
      </c>
      <c r="H239" s="390" t="inlineStr">
        <is>
          <t>Annual subscription, Quarterly upfront</t>
        </is>
      </c>
      <c r="I239" s="380" t="n">
        <v>53808</v>
      </c>
      <c r="J239" s="377" t="n"/>
      <c r="K239" s="381" t="n"/>
      <c r="L239" s="377" t="n">
        <v>365</v>
      </c>
      <c r="M239" s="377" t="n"/>
      <c r="N239" s="381" t="n"/>
      <c r="O239" s="381" t="n"/>
      <c r="P239" s="381" t="n"/>
      <c r="Q239" s="377" t="n"/>
      <c r="R239" s="377" t="n"/>
      <c r="S239" s="377" t="n"/>
      <c r="T239" s="382" t="n">
        <v>4484</v>
      </c>
      <c r="U239" s="381" t="n">
        <v>31</v>
      </c>
      <c r="V239" s="383" t="n">
        <v>4569.99452054795</v>
      </c>
      <c r="W239" s="384" t="n">
        <v>31</v>
      </c>
      <c r="X239" s="381" t="n">
        <v>4484</v>
      </c>
      <c r="Y239" s="380" t="n">
        <v>4569.995</v>
      </c>
      <c r="Z239" s="384" t="n">
        <v>30</v>
      </c>
      <c r="AA239" s="383" t="n">
        <v>4484</v>
      </c>
      <c r="AB239" s="383" t="n">
        <v>4422.575</v>
      </c>
      <c r="AC239" s="387" t="n">
        <v>31</v>
      </c>
      <c r="AD239" s="388" t="n">
        <v>4484</v>
      </c>
      <c r="AE239" s="388" t="n">
        <v>4569.995</v>
      </c>
    </row>
    <row r="240" ht="15.75" customHeight="1" s="253">
      <c r="A240" s="377" t="n"/>
      <c r="B240" s="399" t="n">
        <v>45839</v>
      </c>
      <c r="C240" s="377" t="inlineStr">
        <is>
          <t>RUNWAL ENTERPRISES LIMITED</t>
        </is>
      </c>
      <c r="D240" s="377" t="inlineStr">
        <is>
          <t>INV-25-26-000235</t>
        </is>
      </c>
      <c r="E240" s="377" t="n"/>
      <c r="F240" s="389" t="n">
        <v>45845</v>
      </c>
      <c r="G240" s="389" t="n">
        <v>45874</v>
      </c>
      <c r="H240" s="386" t="inlineStr">
        <is>
          <t>1 month-Upfront</t>
        </is>
      </c>
      <c r="I240" s="380" t="n">
        <v>23200</v>
      </c>
      <c r="J240" s="377" t="n"/>
      <c r="K240" s="381" t="n"/>
      <c r="L240" s="377" t="n">
        <v>30</v>
      </c>
      <c r="M240" s="377" t="n"/>
      <c r="N240" s="381" t="n"/>
      <c r="O240" s="381" t="n"/>
      <c r="P240" s="381" t="n"/>
      <c r="Q240" s="377" t="n"/>
      <c r="R240" s="377" t="n"/>
      <c r="S240" s="377" t="n"/>
      <c r="T240" s="401" t="n">
        <v>23200</v>
      </c>
      <c r="U240" s="381" t="n">
        <v>25</v>
      </c>
      <c r="V240" s="383" t="n">
        <v>19333.3333333333</v>
      </c>
      <c r="W240" s="384" t="n">
        <v>5</v>
      </c>
      <c r="X240" s="381" t="n">
        <v>0</v>
      </c>
      <c r="Y240" s="380" t="n">
        <v>3866.667</v>
      </c>
      <c r="Z240" s="377" t="n"/>
      <c r="AA240" s="377" t="n"/>
      <c r="AB240" s="377" t="n"/>
      <c r="AC240" s="385" t="n"/>
      <c r="AD240" s="385" t="n"/>
      <c r="AE240" s="385" t="n"/>
    </row>
    <row r="241" ht="15.75" customHeight="1" s="253">
      <c r="A241" s="377" t="n"/>
      <c r="B241" s="399" t="n">
        <v>45839</v>
      </c>
      <c r="C241" s="377" t="inlineStr">
        <is>
          <t>ANM Global Inc</t>
        </is>
      </c>
      <c r="D241" s="377" t="inlineStr">
        <is>
          <t>INV-25-26-000236</t>
        </is>
      </c>
      <c r="E241" s="377" t="n"/>
      <c r="F241" s="389" t="n">
        <v>45841</v>
      </c>
      <c r="G241" s="389" t="n">
        <v>45871</v>
      </c>
      <c r="H241" s="386" t="inlineStr">
        <is>
          <t>1 month-Upfront</t>
        </is>
      </c>
      <c r="I241" s="380" t="n">
        <v>14160</v>
      </c>
      <c r="J241" s="377" t="n"/>
      <c r="K241" s="381" t="n"/>
      <c r="L241" s="377" t="n">
        <v>31</v>
      </c>
      <c r="M241" s="377" t="n"/>
      <c r="N241" s="381" t="n"/>
      <c r="O241" s="381" t="n"/>
      <c r="P241" s="381" t="n"/>
      <c r="Q241" s="377" t="n"/>
      <c r="R241" s="377" t="n"/>
      <c r="S241" s="377" t="n"/>
      <c r="T241" s="401" t="n">
        <v>14160</v>
      </c>
      <c r="U241" s="381" t="n">
        <v>29</v>
      </c>
      <c r="V241" s="383" t="n">
        <v>13246.4516129032</v>
      </c>
      <c r="W241" s="384" t="n">
        <v>2</v>
      </c>
      <c r="X241" s="381" t="n">
        <v>0</v>
      </c>
      <c r="Y241" s="380" t="n">
        <v>913.548</v>
      </c>
      <c r="Z241" s="377" t="n"/>
      <c r="AA241" s="377" t="n"/>
      <c r="AB241" s="377" t="n"/>
      <c r="AC241" s="385" t="n"/>
      <c r="AD241" s="385" t="n"/>
      <c r="AE241" s="385" t="n"/>
    </row>
    <row r="242" ht="15.75" customHeight="1" s="253">
      <c r="A242" s="377" t="n"/>
      <c r="B242" s="399" t="n">
        <v>45839</v>
      </c>
      <c r="C242" s="377" t="inlineStr">
        <is>
          <t>NKR Law Offices</t>
        </is>
      </c>
      <c r="D242" s="402" t="inlineStr">
        <is>
          <t>INV-25-26-000237</t>
        </is>
      </c>
      <c r="E242" s="377" t="n"/>
      <c r="F242" s="389" t="n">
        <v>45844</v>
      </c>
      <c r="G242" s="389" t="n">
        <v>46208</v>
      </c>
      <c r="H242" s="377" t="inlineStr">
        <is>
          <t>Annual Upfront</t>
        </is>
      </c>
      <c r="I242" s="380" t="n">
        <v>477900</v>
      </c>
      <c r="J242" s="377" t="n"/>
      <c r="K242" s="381" t="n"/>
      <c r="L242" s="377" t="n">
        <v>365</v>
      </c>
      <c r="M242" s="377" t="n"/>
      <c r="N242" s="381" t="n"/>
      <c r="O242" s="381" t="n"/>
      <c r="P242" s="381" t="n"/>
      <c r="Q242" s="377" t="n"/>
      <c r="R242" s="377" t="n"/>
      <c r="S242" s="377" t="n"/>
      <c r="T242" s="381" t="n">
        <v>39825</v>
      </c>
      <c r="U242" s="381" t="n">
        <v>26</v>
      </c>
      <c r="V242" s="383" t="n">
        <v>34042.1917808219</v>
      </c>
      <c r="W242" s="384" t="n">
        <v>31</v>
      </c>
      <c r="X242" s="381" t="n">
        <v>39825</v>
      </c>
      <c r="Y242" s="380" t="n">
        <v>40588.767</v>
      </c>
      <c r="Z242" s="384" t="n">
        <v>30</v>
      </c>
      <c r="AA242" s="383" t="n">
        <v>39825</v>
      </c>
      <c r="AB242" s="383" t="n">
        <v>39279.452</v>
      </c>
      <c r="AC242" s="387" t="n">
        <v>31</v>
      </c>
      <c r="AD242" s="388" t="n">
        <v>39825</v>
      </c>
      <c r="AE242" s="388" t="n">
        <v>40588.767</v>
      </c>
    </row>
    <row r="243" ht="15.75" customHeight="1" s="253">
      <c r="A243" s="377" t="n"/>
      <c r="B243" s="399" t="n">
        <v>45839</v>
      </c>
      <c r="C243" s="377" t="inlineStr">
        <is>
          <t>MZM Legal LLP</t>
        </is>
      </c>
      <c r="D243" s="377" t="inlineStr">
        <is>
          <t>INV-25-26-000238</t>
        </is>
      </c>
      <c r="E243" s="377" t="n"/>
      <c r="F243" s="389" t="n">
        <v>45845</v>
      </c>
      <c r="G243" s="389" t="n">
        <v>46210</v>
      </c>
      <c r="H243" s="377" t="inlineStr">
        <is>
          <t>Annual Upfront</t>
        </is>
      </c>
      <c r="I243" s="380" t="n">
        <v>140125</v>
      </c>
      <c r="J243" s="377" t="n"/>
      <c r="K243" s="381" t="n"/>
      <c r="L243" s="377" t="n">
        <v>366</v>
      </c>
      <c r="M243" s="377" t="n"/>
      <c r="N243" s="381" t="n"/>
      <c r="O243" s="381" t="n"/>
      <c r="P243" s="381" t="n"/>
      <c r="Q243" s="377" t="n"/>
      <c r="R243" s="377" t="n"/>
      <c r="S243" s="377" t="n"/>
      <c r="T243" s="381" t="n">
        <v>11677.0833333333</v>
      </c>
      <c r="U243" s="381" t="n">
        <v>25</v>
      </c>
      <c r="V243" s="383" t="n">
        <v>9571.37978142077</v>
      </c>
      <c r="W243" s="384" t="n">
        <v>31</v>
      </c>
      <c r="X243" s="381" t="n">
        <v>11677.083</v>
      </c>
      <c r="Y243" s="380" t="n">
        <v>11868.511</v>
      </c>
      <c r="Z243" s="384" t="n">
        <v>30</v>
      </c>
      <c r="AA243" s="383" t="n">
        <v>11677.083</v>
      </c>
      <c r="AB243" s="383" t="n">
        <v>11485.656</v>
      </c>
      <c r="AC243" s="387" t="n">
        <v>31</v>
      </c>
      <c r="AD243" s="388" t="n">
        <v>10778.846</v>
      </c>
      <c r="AE243" s="388" t="n">
        <v>11868.511</v>
      </c>
    </row>
    <row r="244" ht="15.75" customHeight="1" s="253">
      <c r="A244" s="377" t="n"/>
      <c r="B244" s="376" t="n">
        <v>45839</v>
      </c>
      <c r="C244" s="377" t="inlineStr">
        <is>
          <t>C&amp;S Partners</t>
        </is>
      </c>
      <c r="D244" s="377" t="inlineStr">
        <is>
          <t>INV-25-26-000239</t>
        </is>
      </c>
      <c r="E244" s="377" t="n"/>
      <c r="F244" s="389" t="n">
        <v>45836</v>
      </c>
      <c r="G244" s="389" t="n">
        <v>45865</v>
      </c>
      <c r="H244" s="386" t="inlineStr">
        <is>
          <t>1 month-Upfront</t>
        </is>
      </c>
      <c r="I244" s="380" t="n">
        <v>15340</v>
      </c>
      <c r="J244" s="377" t="n"/>
      <c r="K244" s="381" t="n"/>
      <c r="L244" s="377" t="n">
        <v>30</v>
      </c>
      <c r="M244" s="377" t="n"/>
      <c r="N244" s="381" t="n"/>
      <c r="O244" s="381" t="n"/>
      <c r="P244" s="381" t="n"/>
      <c r="Q244" s="401" t="n">
        <v>15340</v>
      </c>
      <c r="R244" s="377" t="n">
        <v>3</v>
      </c>
      <c r="S244" s="382" t="n">
        <v>1534</v>
      </c>
      <c r="T244" s="377" t="n"/>
      <c r="U244" s="381" t="n">
        <v>27</v>
      </c>
      <c r="V244" s="381" t="n">
        <v>13806</v>
      </c>
      <c r="W244" s="384" t="n">
        <v>0</v>
      </c>
      <c r="X244" s="381" t="n">
        <v>0</v>
      </c>
      <c r="Y244" s="377" t="n">
        <v>0</v>
      </c>
      <c r="Z244" s="377" t="n"/>
      <c r="AA244" s="377" t="n"/>
      <c r="AB244" s="377" t="n"/>
      <c r="AC244" s="385" t="n"/>
      <c r="AD244" s="385" t="n"/>
      <c r="AE244" s="385" t="n"/>
    </row>
    <row r="245" ht="15.75" customHeight="1" s="253">
      <c r="A245" s="377" t="n"/>
      <c r="B245" s="399" t="n">
        <v>45839</v>
      </c>
      <c r="C245" s="377" t="inlineStr">
        <is>
          <t>Vikas Mehta</t>
        </is>
      </c>
      <c r="D245" s="377" t="inlineStr">
        <is>
          <t>INV-25-26-000240</t>
        </is>
      </c>
      <c r="E245" s="377" t="n"/>
      <c r="F245" s="389" t="n">
        <v>45845</v>
      </c>
      <c r="G245" s="389" t="n">
        <v>45875</v>
      </c>
      <c r="H245" s="386" t="inlineStr">
        <is>
          <t>1 month-Upfront</t>
        </is>
      </c>
      <c r="I245" s="380" t="n">
        <v>9440</v>
      </c>
      <c r="J245" s="377" t="n"/>
      <c r="K245" s="381" t="n"/>
      <c r="L245" s="377" t="n">
        <v>31</v>
      </c>
      <c r="M245" s="377" t="n"/>
      <c r="N245" s="381" t="n"/>
      <c r="O245" s="381" t="n"/>
      <c r="P245" s="381" t="n"/>
      <c r="Q245" s="377" t="n"/>
      <c r="R245" s="377" t="n"/>
      <c r="S245" s="377" t="n"/>
      <c r="T245" s="401" t="n">
        <v>9440</v>
      </c>
      <c r="U245" s="381" t="n">
        <v>25</v>
      </c>
      <c r="V245" s="383" t="n">
        <v>7612.90322580645</v>
      </c>
      <c r="W245" s="384" t="n">
        <v>6</v>
      </c>
      <c r="X245" s="381" t="n">
        <v>0</v>
      </c>
      <c r="Y245" s="380" t="n">
        <v>1827.097</v>
      </c>
      <c r="Z245" s="377" t="n"/>
      <c r="AA245" s="377" t="n"/>
      <c r="AB245" s="377" t="n"/>
      <c r="AC245" s="385" t="n"/>
      <c r="AD245" s="385" t="n"/>
      <c r="AE245" s="385" t="n"/>
    </row>
    <row r="246" ht="15.75" customHeight="1" s="253">
      <c r="A246" s="377" t="n"/>
      <c r="B246" s="399" t="n">
        <v>45839</v>
      </c>
      <c r="C246" s="377" t="inlineStr">
        <is>
          <t>Tipping Mr Pink Private Limited</t>
        </is>
      </c>
      <c r="D246" s="377" t="inlineStr">
        <is>
          <t>INV-25-26-000242</t>
        </is>
      </c>
      <c r="E246" s="377" t="n"/>
      <c r="F246" s="389" t="n">
        <v>45844</v>
      </c>
      <c r="G246" s="389" t="n">
        <v>45874</v>
      </c>
      <c r="H246" s="386" t="inlineStr">
        <is>
          <t>1 month-Upfront</t>
        </is>
      </c>
      <c r="I246" s="380" t="n">
        <v>8260</v>
      </c>
      <c r="J246" s="377" t="n"/>
      <c r="K246" s="381" t="n"/>
      <c r="L246" s="377" t="n">
        <v>31</v>
      </c>
      <c r="M246" s="377" t="n"/>
      <c r="N246" s="381" t="n"/>
      <c r="O246" s="381" t="n"/>
      <c r="P246" s="381" t="n"/>
      <c r="Q246" s="377" t="n"/>
      <c r="R246" s="377" t="n"/>
      <c r="S246" s="377" t="n"/>
      <c r="T246" s="401" t="n">
        <v>8260</v>
      </c>
      <c r="U246" s="381" t="n">
        <v>26</v>
      </c>
      <c r="V246" s="383" t="n">
        <v>6927.74193548387</v>
      </c>
      <c r="W246" s="384" t="n">
        <v>5</v>
      </c>
      <c r="X246" s="381" t="n">
        <v>0</v>
      </c>
      <c r="Y246" s="380" t="n">
        <v>1332.258</v>
      </c>
      <c r="Z246" s="377" t="n"/>
      <c r="AA246" s="377" t="n"/>
      <c r="AB246" s="377" t="n"/>
      <c r="AC246" s="385" t="n"/>
      <c r="AD246" s="385" t="n"/>
      <c r="AE246" s="385" t="n"/>
    </row>
    <row r="247" ht="15.75" customHeight="1" s="253">
      <c r="A247" s="377" t="n"/>
      <c r="B247" s="399" t="n">
        <v>45839</v>
      </c>
      <c r="C247" s="377" t="inlineStr">
        <is>
          <t>Swapnil Wagh</t>
        </is>
      </c>
      <c r="D247" s="377" t="inlineStr">
        <is>
          <t>INV-25-26-000243</t>
        </is>
      </c>
      <c r="E247" s="377" t="n"/>
      <c r="F247" s="389" t="n">
        <v>45843</v>
      </c>
      <c r="G247" s="389" t="n">
        <v>46207</v>
      </c>
      <c r="H247" s="377" t="inlineStr">
        <is>
          <t>Annual Upfront</t>
        </is>
      </c>
      <c r="I247" s="380" t="n">
        <v>75000</v>
      </c>
      <c r="J247" s="377" t="n"/>
      <c r="K247" s="381" t="n"/>
      <c r="L247" s="377" t="n">
        <v>365</v>
      </c>
      <c r="M247" s="377" t="n"/>
      <c r="N247" s="381" t="n"/>
      <c r="O247" s="381" t="n"/>
      <c r="P247" s="381" t="n"/>
      <c r="Q247" s="377" t="n"/>
      <c r="R247" s="377" t="n"/>
      <c r="S247" s="377" t="n"/>
      <c r="T247" s="381" t="n">
        <v>6250</v>
      </c>
      <c r="U247" s="381" t="n">
        <v>27</v>
      </c>
      <c r="V247" s="383" t="n">
        <v>5547.94520547945</v>
      </c>
      <c r="W247" s="384" t="n">
        <v>31</v>
      </c>
      <c r="X247" s="381" t="n">
        <v>6250</v>
      </c>
      <c r="Y247" s="380" t="n">
        <v>6369.863</v>
      </c>
      <c r="Z247" s="384" t="n">
        <v>30</v>
      </c>
      <c r="AA247" s="383" t="n">
        <v>6250</v>
      </c>
      <c r="AB247" s="383" t="n">
        <v>6164.384</v>
      </c>
      <c r="AC247" s="387" t="n">
        <v>31</v>
      </c>
      <c r="AD247" s="388" t="n">
        <v>6250</v>
      </c>
      <c r="AE247" s="388" t="n">
        <v>6369.863</v>
      </c>
    </row>
    <row r="248" ht="15.75" customHeight="1" s="253">
      <c r="A248" s="377" t="n"/>
      <c r="B248" s="399" t="n">
        <v>45839</v>
      </c>
      <c r="C248" s="377" t="inlineStr">
        <is>
          <t>Arpit Gupta</t>
        </is>
      </c>
      <c r="D248" s="377" t="inlineStr">
        <is>
          <t>INV-25-26-000244</t>
        </is>
      </c>
      <c r="E248" s="377" t="n"/>
      <c r="F248" s="389" t="n">
        <v>45843</v>
      </c>
      <c r="G248" s="389" t="n">
        <v>46207</v>
      </c>
      <c r="H248" s="386" t="inlineStr">
        <is>
          <t>Annual- Half Yearly Payment</t>
        </is>
      </c>
      <c r="I248" s="380" t="n">
        <v>74340</v>
      </c>
      <c r="J248" s="377" t="n"/>
      <c r="K248" s="381" t="n"/>
      <c r="L248" s="377" t="n">
        <v>365</v>
      </c>
      <c r="M248" s="377" t="n"/>
      <c r="N248" s="381" t="n"/>
      <c r="O248" s="381" t="n"/>
      <c r="P248" s="381" t="n"/>
      <c r="Q248" s="377" t="n"/>
      <c r="R248" s="377" t="n"/>
      <c r="S248" s="377" t="n"/>
      <c r="T248" s="382" t="n">
        <v>6195</v>
      </c>
      <c r="U248" s="381" t="n">
        <v>27</v>
      </c>
      <c r="V248" s="383" t="n">
        <v>5499.12328767123</v>
      </c>
      <c r="W248" s="384" t="n">
        <v>31</v>
      </c>
      <c r="X248" s="381" t="n">
        <v>6195</v>
      </c>
      <c r="Y248" s="380" t="n">
        <v>6313.808</v>
      </c>
      <c r="Z248" s="384" t="n">
        <v>30</v>
      </c>
      <c r="AA248" s="383" t="n">
        <v>6195</v>
      </c>
      <c r="AB248" s="383" t="n">
        <v>6110.137</v>
      </c>
      <c r="AC248" s="387" t="n">
        <v>31</v>
      </c>
      <c r="AD248" s="388" t="n">
        <v>6195</v>
      </c>
      <c r="AE248" s="388" t="n">
        <v>6313.808</v>
      </c>
    </row>
    <row r="249" ht="15.75" customHeight="1" s="253">
      <c r="A249" s="377" t="n"/>
      <c r="B249" s="399" t="n">
        <v>45839</v>
      </c>
      <c r="C249" s="377" t="inlineStr">
        <is>
          <t>Jayakar and Partners</t>
        </is>
      </c>
      <c r="D249" s="377" t="inlineStr">
        <is>
          <t>INV-25-26-000245, INV-25-26-000487</t>
        </is>
      </c>
      <c r="E249" s="377" t="n"/>
      <c r="F249" s="389" t="n">
        <v>45843</v>
      </c>
      <c r="G249" s="389" t="n">
        <v>45873</v>
      </c>
      <c r="H249" s="386" t="inlineStr">
        <is>
          <t>1 month-Upfront</t>
        </is>
      </c>
      <c r="I249" s="380" t="n">
        <v>0</v>
      </c>
      <c r="J249" s="377" t="n"/>
      <c r="K249" s="381" t="n"/>
      <c r="L249" s="377" t="n">
        <v>31</v>
      </c>
      <c r="M249" s="377" t="n"/>
      <c r="N249" s="381" t="n"/>
      <c r="O249" s="381" t="n"/>
      <c r="P249" s="381" t="n"/>
      <c r="Q249" s="377" t="n"/>
      <c r="R249" s="377" t="n"/>
      <c r="S249" s="377" t="n"/>
      <c r="T249" s="401" t="n">
        <v>0</v>
      </c>
      <c r="U249" s="381" t="n">
        <v>27</v>
      </c>
      <c r="V249" s="383" t="n">
        <v>0</v>
      </c>
      <c r="W249" s="384" t="n">
        <v>4</v>
      </c>
      <c r="X249" s="381" t="n">
        <v>0</v>
      </c>
      <c r="Y249" s="380" t="n">
        <v>0</v>
      </c>
      <c r="Z249" s="377" t="n"/>
      <c r="AA249" s="377" t="n"/>
      <c r="AB249" s="377" t="n"/>
      <c r="AC249" s="385" t="n"/>
      <c r="AD249" s="385" t="n"/>
      <c r="AE249" s="385" t="n"/>
    </row>
    <row r="250" ht="15.75" customHeight="1" s="253">
      <c r="A250" s="377" t="n"/>
      <c r="B250" s="399" t="n">
        <v>45839</v>
      </c>
      <c r="C250" s="377" t="inlineStr">
        <is>
          <t>Poovayya &amp; CO</t>
        </is>
      </c>
      <c r="D250" s="377" t="inlineStr">
        <is>
          <t>INV-25-26-000250</t>
        </is>
      </c>
      <c r="E250" s="377" t="n"/>
      <c r="F250" s="389" t="n">
        <v>45845</v>
      </c>
      <c r="G250" s="389" t="n">
        <v>46209</v>
      </c>
      <c r="H250" s="377" t="inlineStr">
        <is>
          <t>Annual Upfront</t>
        </is>
      </c>
      <c r="I250" s="380" t="n">
        <v>849600</v>
      </c>
      <c r="J250" s="377" t="n"/>
      <c r="K250" s="381" t="n"/>
      <c r="L250" s="377" t="n">
        <v>365</v>
      </c>
      <c r="M250" s="377" t="n"/>
      <c r="N250" s="381" t="n"/>
      <c r="O250" s="381" t="n"/>
      <c r="P250" s="381" t="n"/>
      <c r="Q250" s="377" t="n"/>
      <c r="R250" s="377" t="n"/>
      <c r="S250" s="377" t="n"/>
      <c r="T250" s="381" t="n">
        <v>70800</v>
      </c>
      <c r="U250" s="381" t="n">
        <v>25</v>
      </c>
      <c r="V250" s="383" t="n">
        <v>58191.7808219178</v>
      </c>
      <c r="W250" s="384" t="n">
        <v>31</v>
      </c>
      <c r="X250" s="381" t="n">
        <v>70800</v>
      </c>
      <c r="Y250" s="380" t="n">
        <v>72157.808</v>
      </c>
      <c r="Z250" s="384" t="n">
        <v>30</v>
      </c>
      <c r="AA250" s="383" t="n">
        <v>70800</v>
      </c>
      <c r="AB250" s="383" t="n">
        <v>69830.137</v>
      </c>
      <c r="AC250" s="387" t="n">
        <v>31</v>
      </c>
      <c r="AD250" s="388" t="n">
        <v>70800</v>
      </c>
      <c r="AE250" s="388" t="n">
        <v>72157.808</v>
      </c>
    </row>
    <row r="251" ht="15.75" customHeight="1" s="253">
      <c r="A251" s="377" t="n"/>
      <c r="B251" s="399" t="n">
        <v>45839</v>
      </c>
      <c r="C251" s="377" t="inlineStr">
        <is>
          <t>J INFRATECH LIMITED</t>
        </is>
      </c>
      <c r="D251" s="377" t="inlineStr">
        <is>
          <t>INV-25-26-000251</t>
        </is>
      </c>
      <c r="E251" s="377" t="n"/>
      <c r="F251" s="389" t="n">
        <v>45845</v>
      </c>
      <c r="G251" s="389" t="n">
        <v>46209</v>
      </c>
      <c r="H251" s="377" t="inlineStr">
        <is>
          <t>Annual Upfront</t>
        </is>
      </c>
      <c r="I251" s="380" t="n">
        <v>100890</v>
      </c>
      <c r="J251" s="377" t="n"/>
      <c r="K251" s="381" t="n"/>
      <c r="L251" s="377" t="n">
        <v>365</v>
      </c>
      <c r="M251" s="377" t="n"/>
      <c r="N251" s="381" t="n"/>
      <c r="O251" s="381" t="n"/>
      <c r="P251" s="381" t="n"/>
      <c r="Q251" s="377" t="n"/>
      <c r="R251" s="377" t="n"/>
      <c r="S251" s="377" t="n"/>
      <c r="T251" s="381" t="n">
        <v>8407.5</v>
      </c>
      <c r="U251" s="381" t="n">
        <v>25</v>
      </c>
      <c r="V251" s="383" t="n">
        <v>6910.27397260274</v>
      </c>
      <c r="W251" s="384" t="n">
        <v>31</v>
      </c>
      <c r="X251" s="381" t="n">
        <v>8407.5</v>
      </c>
      <c r="Y251" s="380" t="n">
        <v>8568.74</v>
      </c>
      <c r="Z251" s="384" t="n">
        <v>30</v>
      </c>
      <c r="AA251" s="383" t="n">
        <v>8407.5</v>
      </c>
      <c r="AB251" s="383" t="n">
        <v>8292.329</v>
      </c>
      <c r="AC251" s="387" t="n">
        <v>31</v>
      </c>
      <c r="AD251" s="388" t="n">
        <v>8407.5</v>
      </c>
      <c r="AE251" s="388" t="n">
        <v>8568.74</v>
      </c>
    </row>
    <row r="252" ht="15.75" customHeight="1" s="253">
      <c r="A252" s="377" t="n"/>
      <c r="B252" s="399" t="n">
        <v>45839</v>
      </c>
      <c r="C252" s="377" t="inlineStr">
        <is>
          <t>Rohan Shah</t>
        </is>
      </c>
      <c r="D252" s="377" t="inlineStr">
        <is>
          <t>INV-25-26-000252</t>
        </is>
      </c>
      <c r="E252" s="377" t="n"/>
      <c r="F252" s="389" t="n">
        <v>45846</v>
      </c>
      <c r="G252" s="389" t="n">
        <v>46210</v>
      </c>
      <c r="H252" s="377" t="inlineStr">
        <is>
          <t>Annual Upfront</t>
        </is>
      </c>
      <c r="I252" s="380" t="n">
        <v>82600</v>
      </c>
      <c r="J252" s="377" t="n"/>
      <c r="K252" s="381" t="n"/>
      <c r="L252" s="377" t="n">
        <v>365</v>
      </c>
      <c r="M252" s="377" t="n"/>
      <c r="N252" s="381" t="n"/>
      <c r="O252" s="381" t="n"/>
      <c r="P252" s="381" t="n"/>
      <c r="Q252" s="377" t="n"/>
      <c r="R252" s="377" t="n"/>
      <c r="S252" s="377" t="n"/>
      <c r="T252" s="381" t="n">
        <v>6883.33333333333</v>
      </c>
      <c r="U252" s="381" t="n">
        <v>24</v>
      </c>
      <c r="V252" s="383" t="n">
        <v>5431.23287671233</v>
      </c>
      <c r="W252" s="384" t="n">
        <v>31</v>
      </c>
      <c r="X252" s="381" t="n">
        <v>6883.333</v>
      </c>
      <c r="Y252" s="380" t="n">
        <v>7015.342</v>
      </c>
      <c r="Z252" s="384" t="n">
        <v>30</v>
      </c>
      <c r="AA252" s="383" t="n">
        <v>6883.333</v>
      </c>
      <c r="AB252" s="383" t="n">
        <v>6789.041</v>
      </c>
      <c r="AC252" s="387" t="n">
        <v>31</v>
      </c>
      <c r="AD252" s="388" t="n">
        <v>6883.333</v>
      </c>
      <c r="AE252" s="388" t="n">
        <v>7015.342</v>
      </c>
    </row>
    <row r="253" ht="15.75" customHeight="1" s="253">
      <c r="A253" s="377" t="n"/>
      <c r="B253" s="399" t="n">
        <v>45839</v>
      </c>
      <c r="C253" s="377" t="inlineStr">
        <is>
          <t>GM Legal</t>
        </is>
      </c>
      <c r="D253" s="377" t="inlineStr">
        <is>
          <t>INV-25-26-000253</t>
        </is>
      </c>
      <c r="E253" s="377" t="n"/>
      <c r="F253" s="389" t="n">
        <v>45846</v>
      </c>
      <c r="G253" s="389" t="n">
        <v>46210</v>
      </c>
      <c r="H253" s="386" t="inlineStr">
        <is>
          <t>Annual- Half Yearly Payment</t>
        </is>
      </c>
      <c r="I253" s="380" t="n">
        <v>82600</v>
      </c>
      <c r="J253" s="377" t="n"/>
      <c r="K253" s="381" t="n"/>
      <c r="L253" s="377" t="n">
        <v>365</v>
      </c>
      <c r="M253" s="377" t="n"/>
      <c r="N253" s="381" t="n"/>
      <c r="O253" s="381" t="n"/>
      <c r="P253" s="381" t="n"/>
      <c r="Q253" s="377" t="n"/>
      <c r="R253" s="377" t="n"/>
      <c r="S253" s="377" t="n"/>
      <c r="T253" s="382" t="n">
        <v>6883.33333333333</v>
      </c>
      <c r="U253" s="381" t="n">
        <v>24</v>
      </c>
      <c r="V253" s="383" t="n">
        <v>5431.23287671233</v>
      </c>
      <c r="W253" s="384" t="n">
        <v>31</v>
      </c>
      <c r="X253" s="381" t="n">
        <v>6883.333</v>
      </c>
      <c r="Y253" s="380" t="n">
        <v>7015.342</v>
      </c>
      <c r="Z253" s="384" t="n">
        <v>30</v>
      </c>
      <c r="AA253" s="383" t="n">
        <v>6883.333</v>
      </c>
      <c r="AB253" s="383" t="n">
        <v>6789.041</v>
      </c>
      <c r="AC253" s="387" t="n">
        <v>31</v>
      </c>
      <c r="AD253" s="388" t="n">
        <v>6883.333</v>
      </c>
      <c r="AE253" s="388" t="n">
        <v>7015.342</v>
      </c>
    </row>
    <row r="254" ht="15.75" customHeight="1" s="253">
      <c r="A254" s="377" t="n"/>
      <c r="B254" s="399" t="n">
        <v>45839</v>
      </c>
      <c r="C254" s="377" t="inlineStr">
        <is>
          <t>S Priya</t>
        </is>
      </c>
      <c r="D254" s="377" t="inlineStr">
        <is>
          <t>INV-25-26-000254</t>
        </is>
      </c>
      <c r="E254" s="377" t="n"/>
      <c r="F254" s="389" t="n">
        <v>45851</v>
      </c>
      <c r="G254" s="389" t="n">
        <v>46215</v>
      </c>
      <c r="H254" s="377" t="inlineStr">
        <is>
          <t>Annual Upfront</t>
        </is>
      </c>
      <c r="I254" s="380" t="n">
        <v>82600</v>
      </c>
      <c r="J254" s="377" t="n"/>
      <c r="K254" s="381" t="n"/>
      <c r="L254" s="377" t="n">
        <v>365</v>
      </c>
      <c r="M254" s="377" t="n"/>
      <c r="N254" s="381" t="n"/>
      <c r="O254" s="381" t="n"/>
      <c r="P254" s="381" t="n"/>
      <c r="Q254" s="377" t="n"/>
      <c r="R254" s="377" t="n"/>
      <c r="S254" s="377" t="n"/>
      <c r="T254" s="381" t="n">
        <v>6883.33333333333</v>
      </c>
      <c r="U254" s="381" t="n">
        <v>19</v>
      </c>
      <c r="V254" s="383" t="n">
        <v>4299.72602739726</v>
      </c>
      <c r="W254" s="384" t="n">
        <v>31</v>
      </c>
      <c r="X254" s="381" t="n">
        <v>6883.333</v>
      </c>
      <c r="Y254" s="380" t="n">
        <v>7015.342</v>
      </c>
      <c r="Z254" s="384" t="n">
        <v>30</v>
      </c>
      <c r="AA254" s="383" t="n">
        <v>6883.333</v>
      </c>
      <c r="AB254" s="383" t="n">
        <v>6789.041</v>
      </c>
      <c r="AC254" s="387" t="n">
        <v>31</v>
      </c>
      <c r="AD254" s="388" t="n">
        <v>6883.333</v>
      </c>
      <c r="AE254" s="388" t="n">
        <v>7015.342</v>
      </c>
    </row>
    <row r="255" ht="15.75" customHeight="1" s="253">
      <c r="A255" s="377" t="n"/>
      <c r="B255" s="399" t="n">
        <v>45839</v>
      </c>
      <c r="C255" s="377" t="inlineStr">
        <is>
          <t>Rajeev K. Virmani</t>
        </is>
      </c>
      <c r="D255" s="377" t="inlineStr">
        <is>
          <t>INV-25-26-000255</t>
        </is>
      </c>
      <c r="E255" s="377" t="n"/>
      <c r="F255" s="389" t="n">
        <v>45847</v>
      </c>
      <c r="G255" s="389" t="n">
        <v>45877</v>
      </c>
      <c r="H255" s="386" t="inlineStr">
        <is>
          <t>1 month-Upfront</t>
        </is>
      </c>
      <c r="I255" s="380" t="n">
        <v>8850</v>
      </c>
      <c r="J255" s="377" t="n"/>
      <c r="K255" s="381" t="n"/>
      <c r="L255" s="377" t="n">
        <v>31</v>
      </c>
      <c r="M255" s="377" t="n"/>
      <c r="N255" s="381" t="n"/>
      <c r="O255" s="381" t="n"/>
      <c r="P255" s="381" t="n"/>
      <c r="Q255" s="377" t="n"/>
      <c r="R255" s="377" t="n"/>
      <c r="S255" s="377" t="n"/>
      <c r="T255" s="401" t="n">
        <v>8850</v>
      </c>
      <c r="U255" s="381" t="n">
        <v>23</v>
      </c>
      <c r="V255" s="383" t="n">
        <v>6566.12903225806</v>
      </c>
      <c r="W255" s="384" t="n">
        <v>8</v>
      </c>
      <c r="X255" s="381" t="n">
        <v>0</v>
      </c>
      <c r="Y255" s="380" t="n">
        <v>2283.871</v>
      </c>
      <c r="Z255" s="377" t="n"/>
      <c r="AA255" s="377" t="n"/>
      <c r="AB255" s="377" t="n"/>
      <c r="AC255" s="385" t="n"/>
      <c r="AD255" s="385" t="n"/>
      <c r="AE255" s="385" t="n"/>
    </row>
    <row r="256" ht="15.75" customHeight="1" s="253">
      <c r="A256" s="377" t="n"/>
      <c r="B256" s="399" t="n">
        <v>45839</v>
      </c>
      <c r="C256" s="377" t="inlineStr">
        <is>
          <t>Vaish Associates</t>
        </is>
      </c>
      <c r="D256" s="377" t="inlineStr">
        <is>
          <t>INV-25-26-000257, INV-25-26-000508</t>
        </is>
      </c>
      <c r="E256" s="377" t="n"/>
      <c r="F256" s="389" t="n">
        <v>45848</v>
      </c>
      <c r="G256" s="389" t="n">
        <v>45878</v>
      </c>
      <c r="H256" s="386" t="inlineStr">
        <is>
          <t>1 month-Upfront</t>
        </is>
      </c>
      <c r="I256" s="380" t="n">
        <v>23600</v>
      </c>
      <c r="J256" s="377" t="n"/>
      <c r="K256" s="381" t="n"/>
      <c r="L256" s="377" t="n">
        <v>31</v>
      </c>
      <c r="M256" s="377" t="n"/>
      <c r="N256" s="381" t="n"/>
      <c r="O256" s="381" t="n"/>
      <c r="P256" s="381" t="n"/>
      <c r="Q256" s="377" t="n"/>
      <c r="R256" s="377" t="n"/>
      <c r="S256" s="377" t="n"/>
      <c r="T256" s="401" t="n">
        <v>23600</v>
      </c>
      <c r="U256" s="381" t="n">
        <v>22</v>
      </c>
      <c r="V256" s="383" t="n">
        <v>16748.3870967742</v>
      </c>
      <c r="W256" s="384" t="n">
        <v>9</v>
      </c>
      <c r="X256" s="381" t="n">
        <v>0</v>
      </c>
      <c r="Y256" s="380" t="n">
        <v>6851.613</v>
      </c>
      <c r="Z256" s="377" t="n"/>
      <c r="AA256" s="377" t="n"/>
      <c r="AB256" s="377" t="n"/>
      <c r="AC256" s="385" t="n"/>
      <c r="AD256" s="385" t="n"/>
      <c r="AE256" s="385" t="n"/>
    </row>
    <row r="257" ht="15.75" customHeight="1" s="253">
      <c r="A257" s="377" t="n"/>
      <c r="B257" s="399" t="n">
        <v>45839</v>
      </c>
      <c r="C257" s="377" t="inlineStr">
        <is>
          <t>Acuity Law LLP</t>
        </is>
      </c>
      <c r="D257" s="377" t="inlineStr">
        <is>
          <t>INV-25-26-000258</t>
        </is>
      </c>
      <c r="E257" s="377" t="n"/>
      <c r="F257" s="389" t="n">
        <v>45847</v>
      </c>
      <c r="G257" s="389" t="n">
        <v>45877</v>
      </c>
      <c r="H257" s="386" t="inlineStr">
        <is>
          <t>1 month-Upfront</t>
        </is>
      </c>
      <c r="I257" s="380" t="n">
        <v>59000</v>
      </c>
      <c r="J257" s="377" t="n"/>
      <c r="K257" s="381" t="n"/>
      <c r="L257" s="377" t="n">
        <v>31</v>
      </c>
      <c r="M257" s="377" t="n"/>
      <c r="N257" s="381" t="n"/>
      <c r="O257" s="381" t="n"/>
      <c r="P257" s="381" t="n"/>
      <c r="Q257" s="377" t="n"/>
      <c r="R257" s="377" t="n"/>
      <c r="S257" s="377" t="n"/>
      <c r="T257" s="401" t="n">
        <v>59000</v>
      </c>
      <c r="U257" s="381" t="n">
        <v>23</v>
      </c>
      <c r="V257" s="383" t="n">
        <v>43774.1935483871</v>
      </c>
      <c r="W257" s="384" t="n">
        <v>8</v>
      </c>
      <c r="X257" s="381" t="n">
        <v>0</v>
      </c>
      <c r="Y257" s="380" t="n">
        <v>15225.806</v>
      </c>
      <c r="Z257" s="377" t="n"/>
      <c r="AA257" s="377" t="n"/>
      <c r="AB257" s="377" t="n"/>
      <c r="AC257" s="385" t="n"/>
      <c r="AD257" s="385" t="n"/>
      <c r="AE257" s="385" t="n"/>
    </row>
    <row r="258" ht="15.75" customHeight="1" s="253">
      <c r="A258" s="377" t="n"/>
      <c r="B258" s="399" t="n">
        <v>45839</v>
      </c>
      <c r="C258" s="377" t="inlineStr">
        <is>
          <t>Ujjwal Sharma</t>
        </is>
      </c>
      <c r="D258" s="377" t="inlineStr">
        <is>
          <t>INV-25-26-000261</t>
        </is>
      </c>
      <c r="E258" s="377" t="n"/>
      <c r="F258" s="389" t="n">
        <v>45870</v>
      </c>
      <c r="G258" s="389" t="n">
        <v>46234</v>
      </c>
      <c r="H258" s="377" t="inlineStr">
        <is>
          <t>Annual Upfront</t>
        </is>
      </c>
      <c r="I258" s="380" t="n">
        <v>74340</v>
      </c>
      <c r="J258" s="377" t="n"/>
      <c r="K258" s="381" t="n"/>
      <c r="L258" s="377" t="n">
        <v>365</v>
      </c>
      <c r="M258" s="377" t="n"/>
      <c r="N258" s="381" t="n"/>
      <c r="O258" s="381" t="n"/>
      <c r="P258" s="381" t="n"/>
      <c r="Q258" s="377" t="n"/>
      <c r="R258" s="377" t="n"/>
      <c r="S258" s="377" t="n"/>
      <c r="T258" s="377" t="n"/>
      <c r="U258" s="381" t="n">
        <v>0</v>
      </c>
      <c r="V258" s="377" t="n"/>
      <c r="W258" s="384" t="n">
        <v>31</v>
      </c>
      <c r="X258" s="381" t="n">
        <v>6195</v>
      </c>
      <c r="Y258" s="380" t="n">
        <v>6313.808</v>
      </c>
      <c r="Z258" s="384" t="n">
        <v>30</v>
      </c>
      <c r="AA258" s="383" t="n">
        <v>6195</v>
      </c>
      <c r="AB258" s="383" t="n">
        <v>6110.137</v>
      </c>
      <c r="AC258" s="387" t="n">
        <v>31</v>
      </c>
      <c r="AD258" s="388" t="n">
        <v>6195</v>
      </c>
      <c r="AE258" s="388" t="n">
        <v>6313.808</v>
      </c>
    </row>
    <row r="259" ht="15.75" customHeight="1" s="253">
      <c r="A259" s="377" t="n"/>
      <c r="B259" s="399" t="n">
        <v>45839</v>
      </c>
      <c r="C259" s="377" t="inlineStr">
        <is>
          <t>Trust Law</t>
        </is>
      </c>
      <c r="D259" s="377" t="inlineStr">
        <is>
          <t>INV-25-26-000266</t>
        </is>
      </c>
      <c r="E259" s="377" t="n"/>
      <c r="F259" s="389" t="n">
        <v>45854</v>
      </c>
      <c r="G259" s="389" t="n">
        <v>46218</v>
      </c>
      <c r="H259" s="377" t="inlineStr">
        <is>
          <t>Annual Upfront</t>
        </is>
      </c>
      <c r="I259" s="380" t="n">
        <v>178416</v>
      </c>
      <c r="J259" s="377" t="n"/>
      <c r="K259" s="381" t="n"/>
      <c r="L259" s="377" t="n">
        <v>365</v>
      </c>
      <c r="M259" s="377" t="n"/>
      <c r="N259" s="381" t="n"/>
      <c r="O259" s="381" t="n"/>
      <c r="P259" s="381" t="n"/>
      <c r="Q259" s="377" t="n"/>
      <c r="R259" s="377" t="n"/>
      <c r="S259" s="377" t="n"/>
      <c r="T259" s="381" t="n">
        <v>14868</v>
      </c>
      <c r="U259" s="381" t="n">
        <v>16</v>
      </c>
      <c r="V259" s="383" t="n">
        <v>7820.97534246575</v>
      </c>
      <c r="W259" s="384" t="n">
        <v>31</v>
      </c>
      <c r="X259" s="381" t="n">
        <v>14868</v>
      </c>
      <c r="Y259" s="380" t="n">
        <v>15153.14</v>
      </c>
      <c r="Z259" s="384" t="n">
        <v>30</v>
      </c>
      <c r="AA259" s="383" t="n">
        <v>14868</v>
      </c>
      <c r="AB259" s="383" t="n">
        <v>14664.329</v>
      </c>
      <c r="AC259" s="387" t="n">
        <v>31</v>
      </c>
      <c r="AD259" s="388" t="n">
        <v>14868</v>
      </c>
      <c r="AE259" s="388" t="n">
        <v>15153.14</v>
      </c>
    </row>
    <row r="260" ht="15.75" customHeight="1" s="253">
      <c r="A260" s="377" t="n"/>
      <c r="B260" s="399" t="n">
        <v>45839</v>
      </c>
      <c r="C260" s="377" t="inlineStr">
        <is>
          <t>Priyanshi Kholia</t>
        </is>
      </c>
      <c r="D260" s="377" t="inlineStr">
        <is>
          <t>INV-25-26-000267</t>
        </is>
      </c>
      <c r="E260" s="377" t="n"/>
      <c r="F260" s="389" t="n">
        <v>45853</v>
      </c>
      <c r="G260" s="389" t="n">
        <v>46217</v>
      </c>
      <c r="H260" s="386" t="inlineStr">
        <is>
          <t>Annual- Half Yearly Payment</t>
        </is>
      </c>
      <c r="I260" s="380" t="n">
        <v>70800</v>
      </c>
      <c r="J260" s="377" t="n"/>
      <c r="K260" s="381" t="n"/>
      <c r="L260" s="377" t="n">
        <v>365</v>
      </c>
      <c r="M260" s="377" t="n"/>
      <c r="N260" s="381" t="n"/>
      <c r="O260" s="381" t="n"/>
      <c r="P260" s="381" t="n"/>
      <c r="Q260" s="377" t="n"/>
      <c r="R260" s="377" t="n"/>
      <c r="S260" s="377" t="n"/>
      <c r="T260" s="382" t="n">
        <v>5900</v>
      </c>
      <c r="U260" s="381" t="n">
        <v>17</v>
      </c>
      <c r="V260" s="383" t="n">
        <v>3297.53424657534</v>
      </c>
      <c r="W260" s="384" t="n">
        <v>31</v>
      </c>
      <c r="X260" s="381" t="n">
        <v>5900</v>
      </c>
      <c r="Y260" s="380" t="n">
        <v>6013.151</v>
      </c>
      <c r="Z260" s="384" t="n">
        <v>30</v>
      </c>
      <c r="AA260" s="383" t="n">
        <v>5900</v>
      </c>
      <c r="AB260" s="383" t="n">
        <v>5819.178</v>
      </c>
      <c r="AC260" s="387" t="n">
        <v>31</v>
      </c>
      <c r="AD260" s="388" t="n">
        <v>5900</v>
      </c>
      <c r="AE260" s="388" t="n">
        <v>6013.151</v>
      </c>
    </row>
    <row r="261" ht="15.75" customHeight="1" s="253">
      <c r="A261" s="377" t="n"/>
      <c r="B261" s="399" t="n">
        <v>45839</v>
      </c>
      <c r="C261" s="377" t="inlineStr">
        <is>
          <t>Khaitan Legal Associates</t>
        </is>
      </c>
      <c r="D261" s="377" t="inlineStr">
        <is>
          <t>INV-25-26-000268, INV-25-26-000561</t>
        </is>
      </c>
      <c r="E261" s="377" t="n"/>
      <c r="F261" s="389" t="n">
        <v>45839</v>
      </c>
      <c r="G261" s="389" t="n">
        <v>45869</v>
      </c>
      <c r="H261" s="386" t="inlineStr">
        <is>
          <t>1 month-Upfront</t>
        </is>
      </c>
      <c r="I261" s="380" t="n">
        <v>20000</v>
      </c>
      <c r="J261" s="377" t="n"/>
      <c r="K261" s="381" t="n"/>
      <c r="L261" s="377" t="n">
        <v>31</v>
      </c>
      <c r="M261" s="377" t="n"/>
      <c r="N261" s="381" t="n"/>
      <c r="O261" s="381" t="n"/>
      <c r="P261" s="381" t="n"/>
      <c r="Q261" s="377" t="n"/>
      <c r="R261" s="377" t="n"/>
      <c r="S261" s="377" t="n"/>
      <c r="T261" s="382" t="n">
        <v>20000</v>
      </c>
      <c r="U261" s="381" t="n">
        <v>31</v>
      </c>
      <c r="V261" s="381" t="n">
        <v>20000</v>
      </c>
      <c r="W261" s="384" t="n">
        <v>0</v>
      </c>
      <c r="X261" s="381" t="n">
        <v>0</v>
      </c>
      <c r="Y261" s="377" t="n">
        <v>0</v>
      </c>
      <c r="Z261" s="377" t="n"/>
      <c r="AA261" s="377" t="n"/>
      <c r="AB261" s="377" t="n"/>
      <c r="AC261" s="385" t="n"/>
      <c r="AD261" s="385" t="n"/>
      <c r="AE261" s="385" t="n"/>
    </row>
    <row r="262" ht="15.75" customHeight="1" s="253">
      <c r="A262" s="377" t="n"/>
      <c r="B262" s="399" t="n">
        <v>45839</v>
      </c>
      <c r="C262" s="377" t="inlineStr">
        <is>
          <t>Rithin Rai</t>
        </is>
      </c>
      <c r="D262" s="377" t="inlineStr">
        <is>
          <t>INV-25-26-000269</t>
        </is>
      </c>
      <c r="E262" s="377" t="n"/>
      <c r="F262" s="389" t="n">
        <v>45815</v>
      </c>
      <c r="G262" s="389" t="n">
        <v>45852</v>
      </c>
      <c r="H262" s="377" t="inlineStr">
        <is>
          <t>38 -Days -Upfront</t>
        </is>
      </c>
      <c r="I262" s="380" t="n">
        <v>7375</v>
      </c>
      <c r="J262" s="377" t="n"/>
      <c r="K262" s="381" t="n"/>
      <c r="L262" s="377" t="n">
        <v>38</v>
      </c>
      <c r="M262" s="377" t="n"/>
      <c r="N262" s="381" t="n"/>
      <c r="O262" s="381" t="n"/>
      <c r="P262" s="381" t="n"/>
      <c r="Q262" s="377" t="n">
        <v>5822.36842105263</v>
      </c>
      <c r="R262" s="377" t="n">
        <v>24</v>
      </c>
      <c r="S262" s="382" t="n">
        <v>4657.89473684211</v>
      </c>
      <c r="T262" s="377" t="n"/>
      <c r="U262" s="381" t="n">
        <v>14</v>
      </c>
      <c r="V262" s="377" t="n">
        <v>2717.10526315789</v>
      </c>
      <c r="W262" s="384" t="n">
        <v>0</v>
      </c>
      <c r="X262" s="381" t="n">
        <v>0</v>
      </c>
      <c r="Y262" s="377" t="n">
        <v>0</v>
      </c>
      <c r="Z262" s="377" t="n"/>
      <c r="AA262" s="377" t="n"/>
      <c r="AB262" s="377" t="n"/>
      <c r="AC262" s="385" t="n"/>
      <c r="AD262" s="385" t="n"/>
      <c r="AE262" s="385" t="n"/>
    </row>
    <row r="263" ht="15.75" customHeight="1" s="253">
      <c r="A263" s="377" t="n"/>
      <c r="B263" s="399" t="n">
        <v>45839</v>
      </c>
      <c r="C263" s="377" t="inlineStr">
        <is>
          <t>Rithin Rai</t>
        </is>
      </c>
      <c r="D263" s="377" t="inlineStr">
        <is>
          <t>INV-25-26-000270</t>
        </is>
      </c>
      <c r="E263" s="377" t="n"/>
      <c r="F263" s="389" t="n">
        <v>45853</v>
      </c>
      <c r="G263" s="389" t="n">
        <v>45884</v>
      </c>
      <c r="H263" s="386" t="inlineStr">
        <is>
          <t>1 month-Upfront</t>
        </is>
      </c>
      <c r="I263" s="380" t="n">
        <v>23600</v>
      </c>
      <c r="J263" s="377" t="n"/>
      <c r="K263" s="381" t="n"/>
      <c r="L263" s="377" t="n">
        <v>32</v>
      </c>
      <c r="M263" s="377" t="n"/>
      <c r="N263" s="381" t="n"/>
      <c r="O263" s="381" t="n"/>
      <c r="P263" s="381" t="n"/>
      <c r="Q263" s="377" t="n"/>
      <c r="R263" s="377" t="n"/>
      <c r="S263" s="377" t="n"/>
      <c r="T263" s="401" t="n">
        <v>23600</v>
      </c>
      <c r="U263" s="381" t="n">
        <v>17</v>
      </c>
      <c r="V263" s="383" t="n">
        <v>12537.5</v>
      </c>
      <c r="W263" s="384" t="n">
        <v>15</v>
      </c>
      <c r="X263" s="381" t="n">
        <v>0</v>
      </c>
      <c r="Y263" s="380" t="n">
        <v>11062.5</v>
      </c>
      <c r="Z263" s="377" t="n"/>
      <c r="AA263" s="377" t="n"/>
      <c r="AB263" s="377" t="n"/>
      <c r="AC263" s="385" t="n"/>
      <c r="AD263" s="385" t="n"/>
      <c r="AE263" s="385" t="n"/>
    </row>
    <row r="264" ht="15.75" customHeight="1" s="253">
      <c r="A264" s="377" t="n"/>
      <c r="B264" s="399" t="n">
        <v>45839</v>
      </c>
      <c r="C264" s="377" t="inlineStr">
        <is>
          <t>Bishwajit Dubey</t>
        </is>
      </c>
      <c r="D264" s="377" t="inlineStr">
        <is>
          <t>INV-25-26-000273</t>
        </is>
      </c>
      <c r="E264" s="377" t="n"/>
      <c r="F264" s="389" t="n">
        <v>45853</v>
      </c>
      <c r="G264" s="389" t="n">
        <v>46217</v>
      </c>
      <c r="H264" s="390" t="inlineStr">
        <is>
          <t>Annual subscription, Quarterly upfront</t>
        </is>
      </c>
      <c r="I264" s="380" t="n">
        <v>191160</v>
      </c>
      <c r="J264" s="377" t="n"/>
      <c r="K264" s="381" t="n"/>
      <c r="L264" s="377" t="n">
        <v>365</v>
      </c>
      <c r="M264" s="377" t="n"/>
      <c r="N264" s="381" t="n"/>
      <c r="O264" s="381" t="n"/>
      <c r="P264" s="381" t="n"/>
      <c r="Q264" s="377" t="n"/>
      <c r="R264" s="377" t="n"/>
      <c r="S264" s="377" t="n"/>
      <c r="T264" s="382" t="n">
        <v>15930</v>
      </c>
      <c r="U264" s="381" t="n">
        <v>17</v>
      </c>
      <c r="V264" s="383" t="n">
        <v>8903.342465753431</v>
      </c>
      <c r="W264" s="384" t="n">
        <v>31</v>
      </c>
      <c r="X264" s="381" t="n">
        <v>15930</v>
      </c>
      <c r="Y264" s="380" t="n">
        <v>16235.507</v>
      </c>
      <c r="Z264" s="384" t="n">
        <v>30</v>
      </c>
      <c r="AA264" s="383" t="n">
        <v>15930</v>
      </c>
      <c r="AB264" s="383" t="n">
        <v>15711.781</v>
      </c>
      <c r="AC264" s="387" t="n">
        <v>31</v>
      </c>
      <c r="AD264" s="388" t="n">
        <v>15930</v>
      </c>
      <c r="AE264" s="388" t="n">
        <v>16235.507</v>
      </c>
    </row>
    <row r="265" ht="15.75" customHeight="1" s="253">
      <c r="A265" s="377" t="n"/>
      <c r="B265" s="399" t="n">
        <v>45839</v>
      </c>
      <c r="C265" s="377" t="inlineStr">
        <is>
          <t>Krati Gupta</t>
        </is>
      </c>
      <c r="D265" s="377" t="inlineStr">
        <is>
          <t>INV-25-26-000274</t>
        </is>
      </c>
      <c r="E265" s="377" t="n"/>
      <c r="F265" s="389" t="n">
        <v>45853</v>
      </c>
      <c r="G265" s="389" t="n">
        <v>46217</v>
      </c>
      <c r="H265" s="390" t="inlineStr">
        <is>
          <t>Annual subscription, Quarterly upfront</t>
        </is>
      </c>
      <c r="I265" s="380" t="n">
        <v>141600</v>
      </c>
      <c r="J265" s="377" t="n"/>
      <c r="K265" s="381" t="n"/>
      <c r="L265" s="377" t="n">
        <v>365</v>
      </c>
      <c r="M265" s="377" t="n"/>
      <c r="N265" s="381" t="n"/>
      <c r="O265" s="381" t="n"/>
      <c r="P265" s="381" t="n"/>
      <c r="Q265" s="377" t="n"/>
      <c r="R265" s="377" t="n"/>
      <c r="S265" s="377" t="n"/>
      <c r="T265" s="382" t="n">
        <v>11800</v>
      </c>
      <c r="U265" s="381" t="n">
        <v>17</v>
      </c>
      <c r="V265" s="383" t="n">
        <v>6595.06849315069</v>
      </c>
      <c r="W265" s="384" t="n">
        <v>31</v>
      </c>
      <c r="X265" s="381" t="n">
        <v>11800</v>
      </c>
      <c r="Y265" s="380" t="n">
        <v>12026.301</v>
      </c>
      <c r="Z265" s="384" t="n">
        <v>30</v>
      </c>
      <c r="AA265" s="383" t="n">
        <v>11800</v>
      </c>
      <c r="AB265" s="383" t="n">
        <v>11638.356</v>
      </c>
      <c r="AC265" s="387" t="n">
        <v>31</v>
      </c>
      <c r="AD265" s="388" t="n">
        <v>11800</v>
      </c>
      <c r="AE265" s="388" t="n">
        <v>12026.301</v>
      </c>
    </row>
    <row r="266" ht="15.75" customHeight="1" s="253">
      <c r="A266" s="377" t="n"/>
      <c r="B266" s="399" t="n">
        <v>45839</v>
      </c>
      <c r="C266" s="377" t="inlineStr">
        <is>
          <t>S C Sharada &amp; Associates| Company Secretaries</t>
        </is>
      </c>
      <c r="D266" s="377" t="inlineStr">
        <is>
          <t>INV-25-26-000276</t>
        </is>
      </c>
      <c r="E266" s="377" t="n"/>
      <c r="F266" s="389" t="n">
        <v>45855</v>
      </c>
      <c r="G266" s="389" t="n">
        <v>45864</v>
      </c>
      <c r="H266" s="377" t="inlineStr">
        <is>
          <t>10 -Days -Upfront</t>
        </is>
      </c>
      <c r="I266" s="380" t="n">
        <v>9440</v>
      </c>
      <c r="J266" s="377" t="n"/>
      <c r="K266" s="381" t="n"/>
      <c r="L266" s="377" t="n">
        <v>10</v>
      </c>
      <c r="M266" s="377" t="n"/>
      <c r="N266" s="381" t="n"/>
      <c r="O266" s="381" t="n"/>
      <c r="P266" s="381" t="n"/>
      <c r="Q266" s="377" t="n"/>
      <c r="R266" s="377" t="n"/>
      <c r="S266" s="377" t="n"/>
      <c r="T266" s="401" t="n">
        <v>9440</v>
      </c>
      <c r="U266" s="381" t="n">
        <v>10</v>
      </c>
      <c r="V266" s="383" t="n">
        <v>9440</v>
      </c>
      <c r="W266" s="384" t="n">
        <v>0</v>
      </c>
      <c r="X266" s="381" t="n">
        <v>0</v>
      </c>
      <c r="Y266" s="377" t="n">
        <v>0</v>
      </c>
      <c r="Z266" s="377" t="n"/>
      <c r="AA266" s="377" t="n"/>
      <c r="AB266" s="377" t="n"/>
      <c r="AC266" s="385" t="n"/>
      <c r="AD266" s="385" t="n"/>
      <c r="AE266" s="385" t="n"/>
    </row>
    <row r="267" ht="15.75" customHeight="1" s="253">
      <c r="A267" s="377" t="inlineStr">
        <is>
          <t>15 days complimentry</t>
        </is>
      </c>
      <c r="B267" s="399" t="n">
        <v>45839</v>
      </c>
      <c r="C267" s="377" t="inlineStr">
        <is>
          <t>Hamsaanandini Nanduri</t>
        </is>
      </c>
      <c r="D267" s="377" t="inlineStr">
        <is>
          <t>INV-25-26-000278, 000484</t>
        </is>
      </c>
      <c r="E267" s="377" t="n"/>
      <c r="F267" s="389" t="n">
        <v>45839</v>
      </c>
      <c r="G267" s="389" t="n">
        <v>46218</v>
      </c>
      <c r="H267" s="390" t="inlineStr">
        <is>
          <t>Annual subscription, Quarterly upfront</t>
        </is>
      </c>
      <c r="I267" s="380" t="n">
        <v>101952</v>
      </c>
      <c r="J267" s="377" t="n"/>
      <c r="K267" s="381" t="n"/>
      <c r="L267" s="377" t="n">
        <v>380</v>
      </c>
      <c r="M267" s="377" t="n"/>
      <c r="N267" s="381" t="n"/>
      <c r="O267" s="381" t="n"/>
      <c r="P267" s="381" t="n"/>
      <c r="Q267" s="377" t="n"/>
      <c r="R267" s="377" t="n"/>
      <c r="S267" s="377" t="n"/>
      <c r="T267" s="382" t="n">
        <v>8496</v>
      </c>
      <c r="U267" s="381" t="n">
        <v>31</v>
      </c>
      <c r="V267" s="383" t="n">
        <v>8317.136842105259</v>
      </c>
      <c r="W267" s="384" t="n">
        <v>31</v>
      </c>
      <c r="X267" s="381" t="n">
        <v>8496</v>
      </c>
      <c r="Y267" s="380" t="n">
        <v>8317.137000000001</v>
      </c>
      <c r="Z267" s="384" t="n">
        <v>30</v>
      </c>
      <c r="AA267" s="383" t="n">
        <v>8496</v>
      </c>
      <c r="AB267" s="383" t="n">
        <v>8048.842</v>
      </c>
      <c r="AC267" s="387" t="n">
        <v>31</v>
      </c>
      <c r="AD267" s="388" t="n">
        <v>7842.462</v>
      </c>
      <c r="AE267" s="388" t="n">
        <v>8317.137000000001</v>
      </c>
    </row>
    <row r="268" ht="15.75" customHeight="1" s="253">
      <c r="A268" s="377" t="n"/>
      <c r="B268" s="399" t="n">
        <v>45839</v>
      </c>
      <c r="C268" s="377" t="inlineStr">
        <is>
          <t>Monalisa Kosaria</t>
        </is>
      </c>
      <c r="D268" s="377" t="inlineStr">
        <is>
          <t>INV-25-26-000279</t>
        </is>
      </c>
      <c r="E268" s="377" t="n"/>
      <c r="F268" s="389" t="n">
        <v>45854</v>
      </c>
      <c r="G268" s="389" t="n">
        <v>46218</v>
      </c>
      <c r="H268" s="377" t="inlineStr">
        <is>
          <t>Annual Upfront</t>
        </is>
      </c>
      <c r="I268" s="380" t="n">
        <v>82600</v>
      </c>
      <c r="J268" s="377" t="n"/>
      <c r="K268" s="381" t="n"/>
      <c r="L268" s="377" t="n">
        <v>365</v>
      </c>
      <c r="M268" s="377" t="n"/>
      <c r="N268" s="381" t="n"/>
      <c r="O268" s="381" t="n"/>
      <c r="P268" s="381" t="n"/>
      <c r="Q268" s="377" t="n"/>
      <c r="R268" s="377" t="n"/>
      <c r="S268" s="377" t="n"/>
      <c r="T268" s="381" t="n">
        <v>6883.33333333333</v>
      </c>
      <c r="U268" s="381" t="n">
        <v>16</v>
      </c>
      <c r="V268" s="383" t="n">
        <v>3620.82191780822</v>
      </c>
      <c r="W268" s="384" t="n">
        <v>31</v>
      </c>
      <c r="X268" s="381" t="n">
        <v>6883.333</v>
      </c>
      <c r="Y268" s="380" t="n">
        <v>7015.342</v>
      </c>
      <c r="Z268" s="384" t="n">
        <v>30</v>
      </c>
      <c r="AA268" s="383" t="n">
        <v>6883.333</v>
      </c>
      <c r="AB268" s="383" t="n">
        <v>6789.041</v>
      </c>
      <c r="AC268" s="387" t="n">
        <v>31</v>
      </c>
      <c r="AD268" s="388" t="n">
        <v>6883.333</v>
      </c>
      <c r="AE268" s="388" t="n">
        <v>7015.342</v>
      </c>
    </row>
    <row r="269" ht="15.75" customHeight="1" s="253">
      <c r="A269" s="377" t="n"/>
      <c r="B269" s="399" t="n">
        <v>45839</v>
      </c>
      <c r="C269" s="377" t="inlineStr">
        <is>
          <t>Gupta Law Associates</t>
        </is>
      </c>
      <c r="D269" s="377" t="inlineStr">
        <is>
          <t>INV-25-26-000280</t>
        </is>
      </c>
      <c r="E269" s="377" t="n"/>
      <c r="F269" s="389" t="n">
        <v>45854</v>
      </c>
      <c r="G269" s="389" t="n">
        <v>46218</v>
      </c>
      <c r="H269" s="377" t="inlineStr">
        <is>
          <t>Annual Upfront</t>
        </is>
      </c>
      <c r="I269" s="380" t="n">
        <v>168000</v>
      </c>
      <c r="J269" s="377" t="n"/>
      <c r="K269" s="381" t="n"/>
      <c r="L269" s="377" t="n">
        <v>365</v>
      </c>
      <c r="M269" s="377" t="n"/>
      <c r="N269" s="381" t="n"/>
      <c r="O269" s="381" t="n"/>
      <c r="P269" s="381" t="n"/>
      <c r="Q269" s="377" t="n"/>
      <c r="R269" s="377" t="n"/>
      <c r="S269" s="377" t="n"/>
      <c r="T269" s="381" t="n">
        <v>14000</v>
      </c>
      <c r="U269" s="381" t="n">
        <v>16</v>
      </c>
      <c r="V269" s="383" t="n">
        <v>7364.38356164384</v>
      </c>
      <c r="W269" s="384" t="n">
        <v>31</v>
      </c>
      <c r="X269" s="381" t="n">
        <v>14000</v>
      </c>
      <c r="Y269" s="380" t="n">
        <v>14268.493</v>
      </c>
      <c r="Z269" s="384" t="n">
        <v>30</v>
      </c>
      <c r="AA269" s="383" t="n">
        <v>14000</v>
      </c>
      <c r="AB269" s="383" t="n">
        <v>13808.219</v>
      </c>
      <c r="AC269" s="387" t="n">
        <v>31</v>
      </c>
      <c r="AD269" s="388" t="n">
        <v>14000</v>
      </c>
      <c r="AE269" s="388" t="n">
        <v>14268.493</v>
      </c>
    </row>
    <row r="270" ht="15.75" customHeight="1" s="253">
      <c r="A270" s="377" t="n"/>
      <c r="B270" s="399" t="n">
        <v>45839</v>
      </c>
      <c r="C270" s="377" t="inlineStr">
        <is>
          <t>Yakshay Chheda</t>
        </is>
      </c>
      <c r="D270" s="377" t="inlineStr">
        <is>
          <t>INV-25-26-000281</t>
        </is>
      </c>
      <c r="E270" s="377" t="n"/>
      <c r="F270" s="389" t="n">
        <v>45854</v>
      </c>
      <c r="G270" s="389" t="n">
        <v>46037</v>
      </c>
      <c r="H270" s="386" t="inlineStr">
        <is>
          <t>6 month-Upfront</t>
        </is>
      </c>
      <c r="I270" s="380" t="n">
        <v>41300</v>
      </c>
      <c r="J270" s="377" t="n"/>
      <c r="K270" s="381" t="n"/>
      <c r="L270" s="377" t="n">
        <v>184</v>
      </c>
      <c r="M270" s="377" t="n"/>
      <c r="N270" s="381" t="n"/>
      <c r="O270" s="381" t="n"/>
      <c r="P270" s="381" t="n"/>
      <c r="Q270" s="377" t="n"/>
      <c r="R270" s="377" t="n"/>
      <c r="S270" s="377" t="n"/>
      <c r="T270" s="382" t="n">
        <v>6883.33333333333</v>
      </c>
      <c r="U270" s="381" t="n">
        <v>16</v>
      </c>
      <c r="V270" s="383" t="n">
        <v>3591.30434782609</v>
      </c>
      <c r="W270" s="384" t="n">
        <v>31</v>
      </c>
      <c r="X270" s="381" t="n">
        <v>6883.333</v>
      </c>
      <c r="Y270" s="380" t="n">
        <v>6958.152</v>
      </c>
      <c r="Z270" s="384" t="n">
        <v>30</v>
      </c>
      <c r="AA270" s="383" t="n">
        <v>6883.333</v>
      </c>
      <c r="AB270" s="383" t="n">
        <v>6733.696</v>
      </c>
      <c r="AC270" s="387" t="n">
        <v>31</v>
      </c>
      <c r="AD270" s="388" t="n">
        <v>6883.333</v>
      </c>
      <c r="AE270" s="388" t="n">
        <v>6958.152</v>
      </c>
    </row>
    <row r="271" ht="15.75" customHeight="1" s="253">
      <c r="A271" s="377" t="n"/>
      <c r="B271" s="399" t="n">
        <v>45839</v>
      </c>
      <c r="C271" s="377" t="inlineStr">
        <is>
          <t>Krishnan Venugopal</t>
        </is>
      </c>
      <c r="D271" s="377" t="inlineStr">
        <is>
          <t>INV-25-26-000282</t>
        </is>
      </c>
      <c r="E271" s="377" t="n"/>
      <c r="F271" s="389" t="n">
        <v>45856</v>
      </c>
      <c r="G271" s="389" t="n">
        <v>46220</v>
      </c>
      <c r="H271" s="377" t="inlineStr">
        <is>
          <t>Annual Upfront</t>
        </is>
      </c>
      <c r="I271" s="380" t="n">
        <v>82600</v>
      </c>
      <c r="J271" s="377" t="n"/>
      <c r="K271" s="381" t="n"/>
      <c r="L271" s="377" t="n">
        <v>365</v>
      </c>
      <c r="M271" s="377" t="n"/>
      <c r="N271" s="381" t="n"/>
      <c r="O271" s="381" t="n"/>
      <c r="P271" s="381" t="n"/>
      <c r="Q271" s="377" t="n"/>
      <c r="R271" s="377" t="n"/>
      <c r="S271" s="377" t="n"/>
      <c r="T271" s="381" t="n">
        <v>6883.33333333333</v>
      </c>
      <c r="U271" s="381" t="n">
        <v>14</v>
      </c>
      <c r="V271" s="383" t="n">
        <v>3168.21917808219</v>
      </c>
      <c r="W271" s="384" t="n">
        <v>31</v>
      </c>
      <c r="X271" s="381" t="n">
        <v>6883.333</v>
      </c>
      <c r="Y271" s="380" t="n">
        <v>7015.342</v>
      </c>
      <c r="Z271" s="384" t="n">
        <v>30</v>
      </c>
      <c r="AA271" s="383" t="n">
        <v>6883.333</v>
      </c>
      <c r="AB271" s="383" t="n">
        <v>6789.041</v>
      </c>
      <c r="AC271" s="387" t="n">
        <v>31</v>
      </c>
      <c r="AD271" s="388" t="n">
        <v>6883.333</v>
      </c>
      <c r="AE271" s="388" t="n">
        <v>7015.342</v>
      </c>
    </row>
    <row r="272" ht="15.75" customHeight="1" s="253">
      <c r="A272" s="377" t="n"/>
      <c r="B272" s="399" t="inlineStr">
        <is>
          <t>July to Oct 25</t>
        </is>
      </c>
      <c r="C272" s="377" t="inlineStr">
        <is>
          <t>Vardharma Chambers</t>
        </is>
      </c>
      <c r="D272" s="377" t="inlineStr">
        <is>
          <t>INV-25-26-000283, 360, 538, 000360, 000435, 000538, 000634</t>
        </is>
      </c>
      <c r="E272" s="377" t="n"/>
      <c r="F272" s="389" t="n">
        <v>45855</v>
      </c>
      <c r="G272" s="389" t="n">
        <v>46219</v>
      </c>
      <c r="H272" s="377" t="inlineStr">
        <is>
          <t>Annual-Monthly</t>
        </is>
      </c>
      <c r="I272" s="380" t="n">
        <v>424800</v>
      </c>
      <c r="J272" s="377" t="n"/>
      <c r="K272" s="381" t="n"/>
      <c r="L272" s="377" t="n">
        <v>365</v>
      </c>
      <c r="M272" s="377" t="n"/>
      <c r="N272" s="381" t="n"/>
      <c r="O272" s="381" t="n"/>
      <c r="P272" s="381" t="n"/>
      <c r="Q272" s="377" t="n"/>
      <c r="R272" s="377" t="n"/>
      <c r="S272" s="377" t="n"/>
      <c r="T272" s="381" t="n">
        <v>35400</v>
      </c>
      <c r="U272" s="381" t="n">
        <v>15</v>
      </c>
      <c r="V272" s="383" t="n">
        <v>17457.5342465753</v>
      </c>
      <c r="W272" s="384" t="n">
        <v>31</v>
      </c>
      <c r="X272" s="381" t="n">
        <v>35400</v>
      </c>
      <c r="Y272" s="380" t="n">
        <v>36078.904</v>
      </c>
      <c r="Z272" s="384" t="n">
        <v>30</v>
      </c>
      <c r="AA272" s="383" t="n">
        <v>35400</v>
      </c>
      <c r="AB272" s="383" t="n">
        <v>34915.068</v>
      </c>
      <c r="AC272" s="387" t="n">
        <v>31</v>
      </c>
      <c r="AD272" s="388" t="n">
        <v>35400</v>
      </c>
      <c r="AE272" s="388" t="n">
        <v>36078.904</v>
      </c>
    </row>
    <row r="273" ht="15.75" customHeight="1" s="253">
      <c r="A273" s="377" t="n"/>
      <c r="B273" s="399" t="inlineStr">
        <is>
          <t>July &amp; Oct 25</t>
        </is>
      </c>
      <c r="C273" s="377" t="inlineStr">
        <is>
          <t>GC Legal</t>
        </is>
      </c>
      <c r="D273" s="377" t="inlineStr">
        <is>
          <t>INV-25-26-000284, 361, 436, 539, 000361, 000436, 000539, 000635</t>
        </is>
      </c>
      <c r="E273" s="377" t="n"/>
      <c r="F273" s="389" t="n">
        <v>45855</v>
      </c>
      <c r="G273" s="389" t="n">
        <v>46219</v>
      </c>
      <c r="H273" s="377" t="inlineStr">
        <is>
          <t>Annual-Monthly</t>
        </is>
      </c>
      <c r="I273" s="380" t="n">
        <v>99120</v>
      </c>
      <c r="J273" s="377" t="n"/>
      <c r="K273" s="381" t="n"/>
      <c r="L273" s="377" t="n">
        <v>365</v>
      </c>
      <c r="M273" s="377" t="n"/>
      <c r="N273" s="381" t="n"/>
      <c r="O273" s="381" t="n"/>
      <c r="P273" s="381" t="n"/>
      <c r="Q273" s="377" t="n"/>
      <c r="R273" s="377" t="n"/>
      <c r="S273" s="377" t="n"/>
      <c r="T273" s="381" t="n">
        <v>8260</v>
      </c>
      <c r="U273" s="381" t="n">
        <v>15</v>
      </c>
      <c r="V273" s="383" t="n">
        <v>4073.42465753425</v>
      </c>
      <c r="W273" s="384" t="n">
        <v>31</v>
      </c>
      <c r="X273" s="381" t="n">
        <v>8260</v>
      </c>
      <c r="Y273" s="380" t="n">
        <v>8418.411</v>
      </c>
      <c r="Z273" s="384" t="n">
        <v>30</v>
      </c>
      <c r="AA273" s="383" t="n">
        <v>8260</v>
      </c>
      <c r="AB273" s="383" t="n">
        <v>8146.849</v>
      </c>
      <c r="AC273" s="387" t="n">
        <v>31</v>
      </c>
      <c r="AD273" s="388" t="n">
        <v>8260</v>
      </c>
      <c r="AE273" s="388" t="n">
        <v>8418.411</v>
      </c>
    </row>
    <row r="274" ht="15.75" customHeight="1" s="253">
      <c r="A274" s="377" t="n"/>
      <c r="B274" s="399" t="n">
        <v>45839</v>
      </c>
      <c r="C274" s="377" t="inlineStr">
        <is>
          <t>Anush Raajan</t>
        </is>
      </c>
      <c r="D274" s="377" t="inlineStr">
        <is>
          <t>INV-25-26-000285</t>
        </is>
      </c>
      <c r="E274" s="377" t="n"/>
      <c r="F274" s="389" t="n">
        <v>45857</v>
      </c>
      <c r="G274" s="389" t="n">
        <v>46221</v>
      </c>
      <c r="H274" s="377" t="inlineStr">
        <is>
          <t>Annual Upfront</t>
        </is>
      </c>
      <c r="I274" s="380" t="n">
        <v>82600</v>
      </c>
      <c r="J274" s="377" t="n"/>
      <c r="K274" s="381" t="n"/>
      <c r="L274" s="377" t="n">
        <v>365</v>
      </c>
      <c r="M274" s="377" t="n"/>
      <c r="N274" s="381" t="n"/>
      <c r="O274" s="381" t="n"/>
      <c r="P274" s="381" t="n"/>
      <c r="Q274" s="377" t="n"/>
      <c r="R274" s="377" t="n"/>
      <c r="S274" s="377" t="n"/>
      <c r="T274" s="381" t="n">
        <v>6883.33333333333</v>
      </c>
      <c r="U274" s="381" t="n">
        <v>13</v>
      </c>
      <c r="V274" s="383" t="n">
        <v>2941.91780821918</v>
      </c>
      <c r="W274" s="384" t="n">
        <v>31</v>
      </c>
      <c r="X274" s="381" t="n">
        <v>6883.333</v>
      </c>
      <c r="Y274" s="380" t="n">
        <v>7015.342</v>
      </c>
      <c r="Z274" s="384" t="n">
        <v>30</v>
      </c>
      <c r="AA274" s="383" t="n">
        <v>6883.333</v>
      </c>
      <c r="AB274" s="383" t="n">
        <v>6789.041</v>
      </c>
      <c r="AC274" s="387" t="n">
        <v>31</v>
      </c>
      <c r="AD274" s="388" t="n">
        <v>6883.333</v>
      </c>
      <c r="AE274" s="388" t="n">
        <v>7015.342</v>
      </c>
    </row>
    <row r="275" ht="15.75" customHeight="1" s="253">
      <c r="A275" s="377" t="n"/>
      <c r="B275" s="399" t="n">
        <v>45839</v>
      </c>
      <c r="C275" s="377" t="inlineStr">
        <is>
          <t>Philips India Limited</t>
        </is>
      </c>
      <c r="D275" s="377" t="inlineStr">
        <is>
          <t>INV-25-26-000286</t>
        </is>
      </c>
      <c r="E275" s="377" t="n"/>
      <c r="F275" s="389" t="n">
        <v>45852</v>
      </c>
      <c r="G275" s="389" t="n">
        <v>46216</v>
      </c>
      <c r="H275" s="377" t="inlineStr">
        <is>
          <t>Annual Upfront</t>
        </is>
      </c>
      <c r="I275" s="380" t="n">
        <v>305865</v>
      </c>
      <c r="J275" s="377" t="n"/>
      <c r="K275" s="381" t="n"/>
      <c r="L275" s="377" t="n">
        <v>365</v>
      </c>
      <c r="M275" s="377" t="n"/>
      <c r="N275" s="381" t="n"/>
      <c r="O275" s="381" t="n"/>
      <c r="P275" s="381" t="n"/>
      <c r="Q275" s="377" t="n"/>
      <c r="R275" s="377" t="n"/>
      <c r="S275" s="377" t="n"/>
      <c r="T275" s="381" t="n">
        <v>25488.75</v>
      </c>
      <c r="U275" s="381" t="n">
        <v>18</v>
      </c>
      <c r="V275" s="383" t="n">
        <v>15083.7534246575</v>
      </c>
      <c r="W275" s="384" t="n">
        <v>31</v>
      </c>
      <c r="X275" s="381" t="n">
        <v>25488.75</v>
      </c>
      <c r="Y275" s="380" t="n">
        <v>25977.575</v>
      </c>
      <c r="Z275" s="384" t="n">
        <v>30</v>
      </c>
      <c r="AA275" s="383" t="n">
        <v>25488.75</v>
      </c>
      <c r="AB275" s="383" t="n">
        <v>25139.589</v>
      </c>
      <c r="AC275" s="387" t="n">
        <v>31</v>
      </c>
      <c r="AD275" s="388" t="n">
        <v>25488.75</v>
      </c>
      <c r="AE275" s="388" t="n">
        <v>25977.575</v>
      </c>
    </row>
    <row r="276" ht="15.75" customHeight="1" s="253">
      <c r="A276" s="377" t="n"/>
      <c r="B276" s="399" t="n">
        <v>45809</v>
      </c>
      <c r="C276" s="377" t="inlineStr">
        <is>
          <t>Gauri Puri</t>
        </is>
      </c>
      <c r="D276" s="377" t="inlineStr">
        <is>
          <t>INV-25-26-000207, INV-25-26-000287, 000367, 000546, 000656</t>
        </is>
      </c>
      <c r="E276" s="377" t="n"/>
      <c r="F276" s="389" t="n">
        <v>45827</v>
      </c>
      <c r="G276" s="389" t="n">
        <v>45856</v>
      </c>
      <c r="H276" s="391" t="inlineStr">
        <is>
          <t>1 month-Upfront</t>
        </is>
      </c>
      <c r="I276" s="380" t="n">
        <v>5900</v>
      </c>
      <c r="J276" s="377" t="n"/>
      <c r="K276" s="381" t="n"/>
      <c r="L276" s="377" t="n">
        <v>30</v>
      </c>
      <c r="M276" s="377" t="n"/>
      <c r="N276" s="381" t="n"/>
      <c r="O276" s="381" t="n"/>
      <c r="P276" s="381" t="n"/>
      <c r="Q276" s="401" t="n">
        <v>5900</v>
      </c>
      <c r="R276" s="377" t="n">
        <v>12</v>
      </c>
      <c r="S276" s="383" t="n">
        <v>2360</v>
      </c>
      <c r="T276" s="377" t="n"/>
      <c r="U276" s="381" t="n">
        <v>18</v>
      </c>
      <c r="V276" s="380" t="n">
        <v>3540</v>
      </c>
      <c r="W276" s="384" t="n">
        <v>0</v>
      </c>
      <c r="X276" s="381" t="n">
        <v>0</v>
      </c>
      <c r="Y276" s="377" t="n">
        <v>0</v>
      </c>
      <c r="Z276" s="377" t="n"/>
      <c r="AA276" s="377" t="n"/>
      <c r="AB276" s="377" t="n"/>
      <c r="AC276" s="385" t="n"/>
      <c r="AD276" s="385" t="n"/>
      <c r="AE276" s="385" t="n"/>
    </row>
    <row r="277" ht="15.75" customHeight="1" s="253">
      <c r="A277" s="377" t="n"/>
      <c r="B277" s="399" t="n">
        <v>45839</v>
      </c>
      <c r="C277" s="377" t="inlineStr">
        <is>
          <t>Nayana Tara BG</t>
        </is>
      </c>
      <c r="D277" s="377" t="inlineStr">
        <is>
          <t>INV-25-26-000289</t>
        </is>
      </c>
      <c r="E277" s="377" t="n"/>
      <c r="F277" s="389" t="n">
        <v>45857</v>
      </c>
      <c r="G277" s="389" t="n">
        <v>46040</v>
      </c>
      <c r="H277" s="386" t="inlineStr">
        <is>
          <t>6 month-Upfront</t>
        </is>
      </c>
      <c r="I277" s="380" t="n">
        <v>41300</v>
      </c>
      <c r="J277" s="377" t="n"/>
      <c r="K277" s="381" t="n"/>
      <c r="L277" s="377" t="n">
        <v>184</v>
      </c>
      <c r="M277" s="377" t="n"/>
      <c r="N277" s="381" t="n"/>
      <c r="O277" s="381" t="n"/>
      <c r="P277" s="381" t="n"/>
      <c r="Q277" s="377" t="n"/>
      <c r="R277" s="377" t="n"/>
      <c r="S277" s="377" t="n"/>
      <c r="T277" s="382" t="n">
        <v>6883.33333333333</v>
      </c>
      <c r="U277" s="381" t="n">
        <v>13</v>
      </c>
      <c r="V277" s="383" t="n">
        <v>2917.9347826087</v>
      </c>
      <c r="W277" s="384" t="n">
        <v>31</v>
      </c>
      <c r="X277" s="381" t="n">
        <v>6883.333</v>
      </c>
      <c r="Y277" s="380" t="n">
        <v>6958.152</v>
      </c>
      <c r="Z277" s="384" t="n">
        <v>30</v>
      </c>
      <c r="AA277" s="383" t="n">
        <v>6883.333</v>
      </c>
      <c r="AB277" s="383" t="n">
        <v>6733.696</v>
      </c>
      <c r="AC277" s="387" t="n">
        <v>31</v>
      </c>
      <c r="AD277" s="388" t="n">
        <v>6883.333</v>
      </c>
      <c r="AE277" s="388" t="n">
        <v>6958.152</v>
      </c>
    </row>
    <row r="278" ht="15.75" customHeight="1" s="253">
      <c r="A278" s="377" t="n"/>
      <c r="B278" s="399" t="n">
        <v>45839</v>
      </c>
      <c r="C278" s="377" t="inlineStr">
        <is>
          <t>PSP Legal</t>
        </is>
      </c>
      <c r="D278" s="377" t="inlineStr">
        <is>
          <t>INV-25-26-000290</t>
        </is>
      </c>
      <c r="E278" s="377" t="n"/>
      <c r="F278" s="389" t="n">
        <v>45857</v>
      </c>
      <c r="G278" s="389" t="n">
        <v>46221</v>
      </c>
      <c r="H278" s="377" t="inlineStr">
        <is>
          <t>Annual Upfront</t>
        </is>
      </c>
      <c r="I278" s="380" t="n">
        <v>162840</v>
      </c>
      <c r="J278" s="377" t="n"/>
      <c r="K278" s="381" t="n"/>
      <c r="L278" s="377" t="n">
        <v>365</v>
      </c>
      <c r="M278" s="377" t="n"/>
      <c r="N278" s="381" t="n"/>
      <c r="O278" s="381" t="n"/>
      <c r="P278" s="381" t="n"/>
      <c r="Q278" s="377" t="n"/>
      <c r="R278" s="377" t="n"/>
      <c r="S278" s="377" t="n"/>
      <c r="T278" s="381" t="n">
        <v>13570</v>
      </c>
      <c r="U278" s="381" t="n">
        <v>13</v>
      </c>
      <c r="V278" s="383" t="n">
        <v>5799.78082191781</v>
      </c>
      <c r="W278" s="384" t="n">
        <v>31</v>
      </c>
      <c r="X278" s="381" t="n">
        <v>13570</v>
      </c>
      <c r="Y278" s="380" t="n">
        <v>13830.247</v>
      </c>
      <c r="Z278" s="384" t="n">
        <v>30</v>
      </c>
      <c r="AA278" s="383" t="n">
        <v>13570</v>
      </c>
      <c r="AB278" s="383" t="n">
        <v>13384.11</v>
      </c>
      <c r="AC278" s="387" t="n">
        <v>31</v>
      </c>
      <c r="AD278" s="388" t="n">
        <v>13570</v>
      </c>
      <c r="AE278" s="388" t="n">
        <v>13830.247</v>
      </c>
    </row>
    <row r="279" ht="15.75" customHeight="1" s="253">
      <c r="A279" s="377" t="n"/>
      <c r="B279" s="399" t="n">
        <v>45839</v>
      </c>
      <c r="C279" s="397" t="inlineStr">
        <is>
          <t>ICL CORPORATE ADVISORY PRIVATE LIMITED</t>
        </is>
      </c>
      <c r="D279" s="377" t="inlineStr">
        <is>
          <t>INV-25-26-000291, INV-25-26-000499</t>
        </is>
      </c>
      <c r="E279" s="377" t="n"/>
      <c r="F279" s="389" t="n">
        <v>45859</v>
      </c>
      <c r="G279" s="389" t="n">
        <v>46223</v>
      </c>
      <c r="H279" s="377" t="inlineStr">
        <is>
          <t>Annual Upfront</t>
        </is>
      </c>
      <c r="I279" s="380" t="n">
        <v>1491048</v>
      </c>
      <c r="J279" s="377" t="n"/>
      <c r="K279" s="381" t="n"/>
      <c r="L279" s="377" t="n">
        <v>365</v>
      </c>
      <c r="M279" s="377" t="n"/>
      <c r="N279" s="381" t="n"/>
      <c r="O279" s="381" t="n"/>
      <c r="P279" s="381" t="n"/>
      <c r="Q279" s="377" t="n"/>
      <c r="R279" s="377" t="n"/>
      <c r="S279" s="377" t="n"/>
      <c r="T279" s="381" t="n">
        <v>124254</v>
      </c>
      <c r="U279" s="381" t="n">
        <v>11</v>
      </c>
      <c r="V279" s="383" t="n">
        <v>44935.6931506849</v>
      </c>
      <c r="W279" s="384" t="n">
        <v>31</v>
      </c>
      <c r="X279" s="381" t="n">
        <v>124254</v>
      </c>
      <c r="Y279" s="380" t="n">
        <v>126636.953</v>
      </c>
      <c r="Z279" s="384" t="n">
        <v>30</v>
      </c>
      <c r="AA279" s="383" t="n">
        <v>124254</v>
      </c>
      <c r="AB279" s="383" t="n">
        <v>122551.89</v>
      </c>
      <c r="AC279" s="387" t="n">
        <v>31</v>
      </c>
      <c r="AD279" s="388" t="n">
        <v>124254</v>
      </c>
      <c r="AE279" s="388" t="n">
        <v>126636.953</v>
      </c>
    </row>
    <row r="280" ht="15.75" customHeight="1" s="253">
      <c r="A280" s="377" t="n"/>
      <c r="B280" s="399" t="n">
        <v>45839</v>
      </c>
      <c r="C280" s="377" t="inlineStr">
        <is>
          <t>Vivek Anand Anthony Britto</t>
        </is>
      </c>
      <c r="D280" s="377" t="inlineStr">
        <is>
          <t>INV-25-26-000293</t>
        </is>
      </c>
      <c r="E280" s="377" t="n"/>
      <c r="F280" s="389" t="n">
        <v>45861</v>
      </c>
      <c r="G280" s="389" t="n">
        <v>46590</v>
      </c>
      <c r="H280" s="377" t="inlineStr">
        <is>
          <t>2 Year- Upfront</t>
        </is>
      </c>
      <c r="I280" s="380" t="n">
        <v>113896.08</v>
      </c>
      <c r="J280" s="377" t="n"/>
      <c r="K280" s="381" t="n"/>
      <c r="L280" s="377" t="n">
        <v>730</v>
      </c>
      <c r="M280" s="377" t="n"/>
      <c r="N280" s="381" t="n"/>
      <c r="O280" s="381" t="n"/>
      <c r="P280" s="381" t="n"/>
      <c r="Q280" s="377" t="n"/>
      <c r="R280" s="377" t="n"/>
      <c r="S280" s="377" t="n"/>
      <c r="T280" s="377" t="n">
        <v>4745.67</v>
      </c>
      <c r="U280" s="381" t="n">
        <v>9</v>
      </c>
      <c r="V280" s="383" t="n">
        <v>1404.19824657534</v>
      </c>
      <c r="W280" s="384" t="n">
        <v>31</v>
      </c>
      <c r="X280" s="381" t="n">
        <v>4745.67</v>
      </c>
      <c r="Y280" s="380" t="n">
        <v>4836.683</v>
      </c>
      <c r="Z280" s="384" t="n">
        <v>30</v>
      </c>
      <c r="AA280" s="383" t="n">
        <v>4745.67</v>
      </c>
      <c r="AB280" s="383" t="n">
        <v>4680.661</v>
      </c>
      <c r="AC280" s="387" t="n">
        <v>31</v>
      </c>
      <c r="AD280" s="388" t="n">
        <v>4745.67</v>
      </c>
      <c r="AE280" s="388" t="n">
        <v>4836.683</v>
      </c>
    </row>
    <row r="281" ht="15.75" customHeight="1" s="253">
      <c r="A281" s="377" t="n"/>
      <c r="B281" s="399" t="n">
        <v>45839</v>
      </c>
      <c r="C281" s="377" t="inlineStr">
        <is>
          <t>Parinam Law Associates</t>
        </is>
      </c>
      <c r="D281" s="377" t="inlineStr">
        <is>
          <t>INV-25-26-000294</t>
        </is>
      </c>
      <c r="E281" s="377" t="n"/>
      <c r="F281" s="389" t="n">
        <v>45859</v>
      </c>
      <c r="G281" s="389" t="n">
        <v>45889</v>
      </c>
      <c r="H281" s="386" t="inlineStr">
        <is>
          <t>1 month-Upfront</t>
        </is>
      </c>
      <c r="I281" s="380" t="n">
        <v>23600</v>
      </c>
      <c r="J281" s="377" t="n"/>
      <c r="K281" s="381" t="n"/>
      <c r="L281" s="377" t="n">
        <v>31</v>
      </c>
      <c r="M281" s="377" t="n"/>
      <c r="N281" s="381" t="n"/>
      <c r="O281" s="381" t="n"/>
      <c r="P281" s="381" t="n"/>
      <c r="Q281" s="377" t="n"/>
      <c r="R281" s="377" t="n"/>
      <c r="S281" s="377" t="n"/>
      <c r="T281" s="401" t="n">
        <v>23600</v>
      </c>
      <c r="U281" s="381" t="n">
        <v>11</v>
      </c>
      <c r="V281" s="383" t="n">
        <v>8374.1935483871</v>
      </c>
      <c r="W281" s="384" t="n">
        <v>20</v>
      </c>
      <c r="X281" s="381" t="n">
        <v>0</v>
      </c>
      <c r="Y281" s="380" t="n">
        <v>15225.806</v>
      </c>
      <c r="Z281" s="377" t="n"/>
      <c r="AA281" s="377" t="n"/>
      <c r="AB281" s="377" t="n"/>
      <c r="AC281" s="385" t="n"/>
      <c r="AD281" s="385" t="n"/>
      <c r="AE281" s="385" t="n"/>
    </row>
    <row r="282" ht="15.75" customHeight="1" s="253">
      <c r="A282" s="377" t="n"/>
      <c r="B282" s="399" t="inlineStr">
        <is>
          <t>July</t>
        </is>
      </c>
      <c r="C282" s="377" t="inlineStr">
        <is>
          <t>Roshan Santhalia</t>
        </is>
      </c>
      <c r="D282" s="377" t="inlineStr">
        <is>
          <t>INV-25-26-000295, INV-25-26-000424, 000486, 579</t>
        </is>
      </c>
      <c r="E282" s="377" t="n"/>
      <c r="F282" s="389" t="n">
        <v>45858</v>
      </c>
      <c r="G282" s="389" t="n">
        <v>45888</v>
      </c>
      <c r="H282" s="403" t="inlineStr">
        <is>
          <t>1 month-Upfront</t>
        </is>
      </c>
      <c r="I282" s="380" t="n">
        <v>7100</v>
      </c>
      <c r="J282" s="377" t="n"/>
      <c r="K282" s="381" t="n"/>
      <c r="L282" s="377" t="n">
        <v>31</v>
      </c>
      <c r="M282" s="377" t="n"/>
      <c r="N282" s="381" t="n"/>
      <c r="O282" s="381" t="n"/>
      <c r="P282" s="381" t="n"/>
      <c r="Q282" s="377" t="n"/>
      <c r="R282" s="377" t="n"/>
      <c r="S282" s="377" t="n"/>
      <c r="T282" s="382" t="n">
        <v>7100</v>
      </c>
      <c r="U282" s="381" t="n">
        <v>12</v>
      </c>
      <c r="V282" s="383" t="n">
        <v>2748.38709677419</v>
      </c>
      <c r="W282" s="384" t="n">
        <v>19</v>
      </c>
      <c r="X282" s="381" t="n"/>
      <c r="Y282" s="380" t="n">
        <v>4351.613</v>
      </c>
      <c r="Z282" s="377" t="n"/>
      <c r="AA282" s="377" t="n"/>
      <c r="AB282" s="377" t="n"/>
      <c r="AC282" s="385" t="n"/>
      <c r="AD282" s="385" t="n"/>
      <c r="AE282" s="385" t="n"/>
    </row>
    <row r="283" ht="15.75" customHeight="1" s="253">
      <c r="A283" s="377" t="n"/>
      <c r="B283" s="399" t="n">
        <v>45839</v>
      </c>
      <c r="C283" s="377" t="inlineStr">
        <is>
          <t>RHP Partners</t>
        </is>
      </c>
      <c r="D283" s="377" t="inlineStr">
        <is>
          <t>INV-25-26-000296</t>
        </is>
      </c>
      <c r="E283" s="377" t="n"/>
      <c r="F283" s="389" t="n">
        <v>45859</v>
      </c>
      <c r="G283" s="389" t="n">
        <v>46223</v>
      </c>
      <c r="H283" s="377" t="inlineStr">
        <is>
          <t>Annual Upfront</t>
        </is>
      </c>
      <c r="I283" s="380" t="n">
        <v>212400</v>
      </c>
      <c r="J283" s="377" t="n"/>
      <c r="K283" s="381" t="n"/>
      <c r="L283" s="377" t="n">
        <v>365</v>
      </c>
      <c r="M283" s="377" t="n"/>
      <c r="N283" s="381" t="n"/>
      <c r="O283" s="381" t="n"/>
      <c r="P283" s="381" t="n"/>
      <c r="Q283" s="377" t="n"/>
      <c r="R283" s="377" t="n"/>
      <c r="S283" s="377" t="n"/>
      <c r="T283" s="381" t="n">
        <v>17700</v>
      </c>
      <c r="U283" s="381" t="n">
        <v>11</v>
      </c>
      <c r="V283" s="383" t="n">
        <v>6401.09589041096</v>
      </c>
      <c r="W283" s="384" t="n">
        <v>31</v>
      </c>
      <c r="X283" s="381" t="n">
        <v>17700</v>
      </c>
      <c r="Y283" s="380" t="n">
        <v>18039.452</v>
      </c>
      <c r="Z283" s="384" t="n">
        <v>30</v>
      </c>
      <c r="AA283" s="383" t="n">
        <v>17700</v>
      </c>
      <c r="AB283" s="383" t="n">
        <v>17457.534</v>
      </c>
      <c r="AC283" s="387" t="n">
        <v>31</v>
      </c>
      <c r="AD283" s="388" t="n">
        <v>17700</v>
      </c>
      <c r="AE283" s="388" t="n">
        <v>18039.452</v>
      </c>
    </row>
    <row r="284" ht="15.75" customHeight="1" s="253">
      <c r="A284" s="377" t="n"/>
      <c r="B284" s="399" t="inlineStr">
        <is>
          <t>July &amp; Oct 25</t>
        </is>
      </c>
      <c r="C284" s="377" t="inlineStr">
        <is>
          <t>Sarthak Advocates &amp; Solicitors</t>
        </is>
      </c>
      <c r="D284" s="377" t="inlineStr">
        <is>
          <t>INV-25-26-000297, 373, 458, 550, 000373, 000458, 000550, 000666</t>
        </is>
      </c>
      <c r="E284" s="377" t="n"/>
      <c r="F284" s="389" t="n">
        <v>45859</v>
      </c>
      <c r="G284" s="389" t="n">
        <v>46223</v>
      </c>
      <c r="H284" s="377" t="inlineStr">
        <is>
          <t>Annual-Monthly</t>
        </is>
      </c>
      <c r="I284" s="380" t="n">
        <v>412992</v>
      </c>
      <c r="J284" s="377" t="n"/>
      <c r="K284" s="381" t="n"/>
      <c r="L284" s="377" t="n">
        <v>365</v>
      </c>
      <c r="M284" s="377" t="n"/>
      <c r="N284" s="381" t="n"/>
      <c r="O284" s="381" t="n"/>
      <c r="P284" s="381" t="n"/>
      <c r="Q284" s="377" t="n"/>
      <c r="R284" s="377" t="n"/>
      <c r="S284" s="377" t="n"/>
      <c r="T284" s="381" t="n">
        <v>34416</v>
      </c>
      <c r="U284" s="381" t="n">
        <v>11</v>
      </c>
      <c r="V284" s="383" t="n">
        <v>12446.3342465753</v>
      </c>
      <c r="W284" s="384" t="n">
        <v>31</v>
      </c>
      <c r="X284" s="381" t="n">
        <v>34416</v>
      </c>
      <c r="Y284" s="380" t="n">
        <v>35076.033</v>
      </c>
      <c r="Z284" s="384" t="n">
        <v>30</v>
      </c>
      <c r="AA284" s="383" t="n">
        <v>34416</v>
      </c>
      <c r="AB284" s="383" t="n">
        <v>33944.548</v>
      </c>
      <c r="AC284" s="387" t="n">
        <v>31</v>
      </c>
      <c r="AD284" s="388" t="n">
        <v>34416</v>
      </c>
      <c r="AE284" s="388" t="n">
        <v>35076.033</v>
      </c>
    </row>
    <row r="285" ht="15.75" customHeight="1" s="253">
      <c r="A285" s="377" t="n"/>
      <c r="B285" s="399" t="n">
        <v>45839</v>
      </c>
      <c r="C285" s="377" t="inlineStr">
        <is>
          <t>LEGALOGIC CONSULTING LLP</t>
        </is>
      </c>
      <c r="D285" s="377" t="inlineStr">
        <is>
          <t>INV-25-26-000298, INV-25-26-000490</t>
        </is>
      </c>
      <c r="E285" s="377" t="n"/>
      <c r="F285" s="389" t="n">
        <v>45838</v>
      </c>
      <c r="G285" s="389" t="n">
        <v>46022</v>
      </c>
      <c r="H285" s="386" t="inlineStr">
        <is>
          <t>6 month-Upfront</t>
        </is>
      </c>
      <c r="I285" s="380" t="n">
        <v>708000</v>
      </c>
      <c r="J285" s="377" t="n"/>
      <c r="K285" s="381" t="n"/>
      <c r="L285" s="377" t="n">
        <v>185</v>
      </c>
      <c r="M285" s="377" t="n"/>
      <c r="N285" s="381" t="n"/>
      <c r="O285" s="381" t="n"/>
      <c r="P285" s="381" t="n"/>
      <c r="Q285" s="377" t="n">
        <v>118000</v>
      </c>
      <c r="R285" s="377" t="n">
        <v>1</v>
      </c>
      <c r="S285" s="383" t="n">
        <v>3827.02702702703</v>
      </c>
      <c r="T285" s="382" t="n">
        <v>118000</v>
      </c>
      <c r="U285" s="381" t="n">
        <v>31</v>
      </c>
      <c r="V285" s="380" t="n">
        <v>118637.837837838</v>
      </c>
      <c r="W285" s="384" t="n">
        <v>31</v>
      </c>
      <c r="X285" s="381" t="n">
        <v>118000</v>
      </c>
      <c r="Y285" s="380" t="n">
        <v>118637.838</v>
      </c>
      <c r="Z285" s="384" t="n">
        <v>30</v>
      </c>
      <c r="AA285" s="383" t="n">
        <v>118000</v>
      </c>
      <c r="AB285" s="383" t="n">
        <v>114810.811</v>
      </c>
      <c r="AC285" s="387" t="n">
        <v>31</v>
      </c>
      <c r="AD285" s="388" t="n">
        <v>101142.857</v>
      </c>
      <c r="AE285" s="388" t="n">
        <v>118637.838</v>
      </c>
    </row>
    <row r="286" ht="15.75" customHeight="1" s="253">
      <c r="A286" s="377" t="n"/>
      <c r="B286" s="399" t="n">
        <v>45839</v>
      </c>
      <c r="C286" s="377" t="inlineStr">
        <is>
          <t>LegaLogic Consulting</t>
        </is>
      </c>
      <c r="D286" s="377" t="inlineStr">
        <is>
          <t>INV-25-26-000299</t>
        </is>
      </c>
      <c r="E286" s="377" t="n"/>
      <c r="F286" s="389" t="n">
        <v>46023</v>
      </c>
      <c r="G286" s="389" t="n">
        <v>46209</v>
      </c>
      <c r="H286" s="386" t="inlineStr">
        <is>
          <t>6 month-Upfront</t>
        </is>
      </c>
      <c r="I286" s="380" t="n">
        <v>708000</v>
      </c>
      <c r="J286" s="377" t="n"/>
      <c r="K286" s="381" t="n"/>
      <c r="L286" s="377" t="n">
        <v>187</v>
      </c>
      <c r="M286" s="377" t="n"/>
      <c r="N286" s="381" t="n"/>
      <c r="O286" s="381" t="n"/>
      <c r="P286" s="381" t="n"/>
      <c r="Q286" s="377" t="n"/>
      <c r="R286" s="377" t="n"/>
      <c r="S286" s="377" t="n"/>
      <c r="T286" s="382" t="n"/>
      <c r="U286" s="381" t="n"/>
      <c r="V286" s="380" t="n"/>
      <c r="W286" s="384" t="n">
        <v>0</v>
      </c>
      <c r="X286" s="381" t="n">
        <v>0</v>
      </c>
      <c r="Y286" s="377" t="n">
        <v>0</v>
      </c>
      <c r="Z286" s="377" t="n"/>
      <c r="AA286" s="377" t="n"/>
      <c r="AB286" s="377" t="n"/>
      <c r="AC286" s="385" t="n"/>
      <c r="AD286" s="385" t="n"/>
      <c r="AE286" s="385" t="n"/>
    </row>
    <row r="287" ht="15.75" customHeight="1" s="253">
      <c r="A287" s="377" t="n"/>
      <c r="B287" s="399" t="n">
        <v>45839</v>
      </c>
      <c r="C287" s="377" t="inlineStr">
        <is>
          <t>Ankit Talsania</t>
        </is>
      </c>
      <c r="D287" s="377" t="inlineStr">
        <is>
          <t>INV-25-26-000300</t>
        </is>
      </c>
      <c r="E287" s="377" t="n"/>
      <c r="F287" s="389" t="n">
        <v>45860</v>
      </c>
      <c r="G287" s="389" t="n">
        <v>45890</v>
      </c>
      <c r="H287" s="386" t="inlineStr">
        <is>
          <t>1 month-Upfront</t>
        </is>
      </c>
      <c r="I287" s="380" t="n">
        <v>6000</v>
      </c>
      <c r="J287" s="377" t="n"/>
      <c r="K287" s="381" t="n"/>
      <c r="L287" s="377" t="n">
        <v>31</v>
      </c>
      <c r="M287" s="377" t="n"/>
      <c r="N287" s="381" t="n"/>
      <c r="O287" s="381" t="n"/>
      <c r="P287" s="381" t="n"/>
      <c r="Q287" s="377" t="n"/>
      <c r="R287" s="377" t="n"/>
      <c r="S287" s="377" t="n"/>
      <c r="T287" s="401" t="n">
        <v>6000</v>
      </c>
      <c r="U287" s="381" t="n">
        <v>10</v>
      </c>
      <c r="V287" s="383" t="n">
        <v>1935.48387096774</v>
      </c>
      <c r="W287" s="384" t="n">
        <v>21</v>
      </c>
      <c r="X287" s="381" t="n">
        <v>0</v>
      </c>
      <c r="Y287" s="380" t="n">
        <v>4064.516</v>
      </c>
      <c r="Z287" s="377" t="n"/>
      <c r="AA287" s="377" t="n"/>
      <c r="AB287" s="377" t="n"/>
      <c r="AC287" s="385" t="n"/>
      <c r="AD287" s="385" t="n"/>
      <c r="AE287" s="385" t="n"/>
    </row>
    <row r="288" ht="15.75" customHeight="1" s="253">
      <c r="A288" s="377" t="n"/>
      <c r="B288" s="399" t="n">
        <v>45839</v>
      </c>
      <c r="C288" s="377" t="inlineStr">
        <is>
          <t>ASV Legal LLP</t>
        </is>
      </c>
      <c r="D288" s="377" t="inlineStr">
        <is>
          <t>INV-25-26-000301</t>
        </is>
      </c>
      <c r="E288" s="377" t="n"/>
      <c r="F288" s="389" t="n">
        <v>45860</v>
      </c>
      <c r="G288" s="389" t="n">
        <v>46224</v>
      </c>
      <c r="H288" s="377" t="inlineStr">
        <is>
          <t>Annual Upfront</t>
        </is>
      </c>
      <c r="I288" s="380" t="n">
        <v>130000</v>
      </c>
      <c r="J288" s="377" t="n"/>
      <c r="K288" s="381" t="n"/>
      <c r="L288" s="377" t="n">
        <v>365</v>
      </c>
      <c r="M288" s="377" t="n"/>
      <c r="N288" s="381" t="n"/>
      <c r="O288" s="381" t="n"/>
      <c r="P288" s="381" t="n"/>
      <c r="Q288" s="377" t="n"/>
      <c r="R288" s="377" t="n"/>
      <c r="S288" s="377" t="n"/>
      <c r="T288" s="381" t="n">
        <v>10833.3333333333</v>
      </c>
      <c r="U288" s="381" t="n">
        <v>10</v>
      </c>
      <c r="V288" s="383" t="n">
        <v>3561.64383561644</v>
      </c>
      <c r="W288" s="384" t="n">
        <v>31</v>
      </c>
      <c r="X288" s="381" t="n">
        <v>10833.333</v>
      </c>
      <c r="Y288" s="380" t="n">
        <v>11041.096</v>
      </c>
      <c r="Z288" s="384" t="n">
        <v>30</v>
      </c>
      <c r="AA288" s="383" t="n">
        <v>10833.333</v>
      </c>
      <c r="AB288" s="383" t="n">
        <v>10684.932</v>
      </c>
      <c r="AC288" s="387" t="n">
        <v>31</v>
      </c>
      <c r="AD288" s="388" t="n">
        <v>10833.333</v>
      </c>
      <c r="AE288" s="388" t="n">
        <v>11041.096</v>
      </c>
    </row>
    <row r="289" ht="15.75" customHeight="1" s="253">
      <c r="A289" s="377" t="n"/>
      <c r="B289" s="399" t="n">
        <v>45839</v>
      </c>
      <c r="C289" s="377" t="inlineStr">
        <is>
          <t>Tarun G Reddy</t>
        </is>
      </c>
      <c r="D289" s="377" t="inlineStr">
        <is>
          <t>INV-25-26-000302</t>
        </is>
      </c>
      <c r="E289" s="377" t="n"/>
      <c r="F289" s="389" t="n">
        <v>45860</v>
      </c>
      <c r="G289" s="389" t="n">
        <v>46224</v>
      </c>
      <c r="H289" s="377" t="inlineStr">
        <is>
          <t>Annual Upfront</t>
        </is>
      </c>
      <c r="I289" s="380" t="n">
        <v>70800</v>
      </c>
      <c r="J289" s="377" t="n"/>
      <c r="K289" s="381" t="n"/>
      <c r="L289" s="377" t="n">
        <v>365</v>
      </c>
      <c r="M289" s="377" t="n"/>
      <c r="N289" s="381" t="n"/>
      <c r="O289" s="381" t="n"/>
      <c r="P289" s="381" t="n"/>
      <c r="Q289" s="377" t="n"/>
      <c r="R289" s="377" t="n"/>
      <c r="S289" s="377" t="n"/>
      <c r="T289" s="381" t="n">
        <v>5900</v>
      </c>
      <c r="U289" s="381" t="n">
        <v>10</v>
      </c>
      <c r="V289" s="383" t="n">
        <v>1939.72602739726</v>
      </c>
      <c r="W289" s="384" t="n">
        <v>31</v>
      </c>
      <c r="X289" s="381" t="n">
        <v>5900</v>
      </c>
      <c r="Y289" s="380" t="n">
        <v>6013.151</v>
      </c>
      <c r="Z289" s="384" t="n">
        <v>30</v>
      </c>
      <c r="AA289" s="383" t="n">
        <v>5900</v>
      </c>
      <c r="AB289" s="383" t="n">
        <v>5819.178</v>
      </c>
      <c r="AC289" s="387" t="n">
        <v>31</v>
      </c>
      <c r="AD289" s="388" t="n">
        <v>5900</v>
      </c>
      <c r="AE289" s="388" t="n">
        <v>6013.151</v>
      </c>
    </row>
    <row r="290" ht="15.75" customHeight="1" s="253">
      <c r="A290" s="377" t="n"/>
      <c r="B290" s="399" t="n">
        <v>45839</v>
      </c>
      <c r="C290" s="377" t="inlineStr">
        <is>
          <t>Karanjawala &amp; Company Advocates</t>
        </is>
      </c>
      <c r="D290" s="377" t="inlineStr">
        <is>
          <t>INV-25-26-000303</t>
        </is>
      </c>
      <c r="E290" s="377" t="n"/>
      <c r="F290" s="389" t="n">
        <v>45860</v>
      </c>
      <c r="G290" s="389" t="n">
        <v>45921</v>
      </c>
      <c r="H290" s="377" t="inlineStr">
        <is>
          <t>2 Months- Upfront</t>
        </is>
      </c>
      <c r="I290" s="380" t="n">
        <v>23600</v>
      </c>
      <c r="J290" s="377" t="n"/>
      <c r="K290" s="381" t="n"/>
      <c r="L290" s="377" t="n">
        <v>62</v>
      </c>
      <c r="M290" s="377" t="n"/>
      <c r="N290" s="381" t="n"/>
      <c r="O290" s="381" t="n"/>
      <c r="P290" s="381" t="n"/>
      <c r="Q290" s="377" t="n"/>
      <c r="R290" s="377" t="n"/>
      <c r="S290" s="377" t="n"/>
      <c r="T290" s="377" t="n">
        <v>11800</v>
      </c>
      <c r="U290" s="381" t="n">
        <v>10</v>
      </c>
      <c r="V290" s="383" t="n">
        <v>3806.45161290323</v>
      </c>
      <c r="W290" s="384" t="n">
        <v>31</v>
      </c>
      <c r="X290" s="381" t="n">
        <v>11800</v>
      </c>
      <c r="Y290" s="380" t="n">
        <v>11800</v>
      </c>
      <c r="Z290" s="377" t="n">
        <v>21</v>
      </c>
      <c r="AA290" s="377" t="n"/>
      <c r="AB290" s="383" t="n">
        <v>7993.548</v>
      </c>
      <c r="AC290" s="385" t="n"/>
      <c r="AD290" s="385" t="n"/>
      <c r="AE290" s="385" t="n"/>
    </row>
    <row r="291" ht="15.75" customHeight="1" s="253">
      <c r="A291" s="377" t="n"/>
      <c r="B291" s="399" t="inlineStr">
        <is>
          <t>July &amp; Oct 25</t>
        </is>
      </c>
      <c r="C291" s="377" t="inlineStr">
        <is>
          <t>Swapna Sheshadri</t>
        </is>
      </c>
      <c r="D291" s="377" t="inlineStr">
        <is>
          <t>INV-25-26-000304, 376, 459, 551, 000376, 000459, 000551, 000673</t>
        </is>
      </c>
      <c r="E291" s="377" t="n"/>
      <c r="F291" s="389" t="n">
        <v>45860</v>
      </c>
      <c r="G291" s="389" t="n">
        <v>46133</v>
      </c>
      <c r="H291" s="386" t="inlineStr">
        <is>
          <t>9 months subscription, Monthly</t>
        </is>
      </c>
      <c r="I291" s="380" t="n">
        <v>159300</v>
      </c>
      <c r="J291" s="377" t="n"/>
      <c r="K291" s="381" t="n"/>
      <c r="L291" s="377" t="n">
        <v>274</v>
      </c>
      <c r="M291" s="377" t="n"/>
      <c r="N291" s="381" t="n"/>
      <c r="O291" s="381" t="n"/>
      <c r="P291" s="381" t="n"/>
      <c r="Q291" s="377" t="n"/>
      <c r="R291" s="377" t="n"/>
      <c r="S291" s="377" t="n"/>
      <c r="T291" s="377" t="n">
        <v>19912.5</v>
      </c>
      <c r="U291" s="381" t="n">
        <v>10</v>
      </c>
      <c r="V291" s="383" t="n">
        <v>5813.86861313869</v>
      </c>
      <c r="W291" s="384" t="n">
        <v>31</v>
      </c>
      <c r="X291" s="381" t="n">
        <v>19912.5</v>
      </c>
      <c r="Y291" s="380" t="n">
        <v>18022.993</v>
      </c>
      <c r="Z291" s="384" t="n">
        <v>30</v>
      </c>
      <c r="AA291" s="383" t="n">
        <v>17700</v>
      </c>
      <c r="AB291" s="383" t="n">
        <v>17441.606</v>
      </c>
      <c r="AC291" s="387" t="n">
        <v>31</v>
      </c>
      <c r="AD291" s="388" t="n">
        <v>17700</v>
      </c>
      <c r="AE291" s="388" t="n">
        <v>18022.993</v>
      </c>
    </row>
    <row r="292" ht="15.75" customHeight="1" s="253">
      <c r="A292" s="377" t="n"/>
      <c r="B292" s="399" t="n">
        <v>45839</v>
      </c>
      <c r="C292" s="377" t="inlineStr">
        <is>
          <t>Clavius Legal</t>
        </is>
      </c>
      <c r="D292" s="377" t="inlineStr">
        <is>
          <t>INV-25-26-000305</t>
        </is>
      </c>
      <c r="E292" s="377" t="n"/>
      <c r="F292" s="389" t="n">
        <v>45860</v>
      </c>
      <c r="G292" s="389" t="n">
        <v>45890</v>
      </c>
      <c r="H292" s="386" t="inlineStr">
        <is>
          <t>1 month-Upfront</t>
        </is>
      </c>
      <c r="I292" s="380" t="n">
        <v>23600</v>
      </c>
      <c r="J292" s="377" t="n"/>
      <c r="K292" s="381" t="n"/>
      <c r="L292" s="377" t="n">
        <v>31</v>
      </c>
      <c r="M292" s="377" t="n"/>
      <c r="N292" s="381" t="n"/>
      <c r="O292" s="381" t="n"/>
      <c r="P292" s="381" t="n"/>
      <c r="Q292" s="377" t="n"/>
      <c r="R292" s="377" t="n"/>
      <c r="S292" s="377" t="n"/>
      <c r="T292" s="401" t="n">
        <v>23600</v>
      </c>
      <c r="U292" s="381" t="n">
        <v>10</v>
      </c>
      <c r="V292" s="383" t="n">
        <v>7612.90322580645</v>
      </c>
      <c r="W292" s="384" t="n">
        <v>21</v>
      </c>
      <c r="X292" s="381" t="n">
        <v>0</v>
      </c>
      <c r="Y292" s="380" t="n">
        <v>15987.097</v>
      </c>
      <c r="Z292" s="377" t="n"/>
      <c r="AA292" s="377" t="n"/>
      <c r="AB292" s="377" t="n"/>
      <c r="AC292" s="385" t="n"/>
      <c r="AD292" s="385" t="n"/>
      <c r="AE292" s="385" t="n"/>
    </row>
    <row r="293" ht="15.75" customHeight="1" s="253">
      <c r="A293" s="377" t="n"/>
      <c r="B293" s="399" t="n">
        <v>45839</v>
      </c>
      <c r="C293" s="377" t="inlineStr">
        <is>
          <t>Krishna Dev Jagarlamudi</t>
        </is>
      </c>
      <c r="D293" s="377" t="inlineStr">
        <is>
          <t>INV-25-26-000306</t>
        </is>
      </c>
      <c r="E293" s="377" t="n"/>
      <c r="F293" s="389" t="n">
        <v>45861</v>
      </c>
      <c r="G293" s="389" t="n">
        <v>46225</v>
      </c>
      <c r="H293" s="377" t="inlineStr">
        <is>
          <t>Annual Upfront</t>
        </is>
      </c>
      <c r="I293" s="380" t="n">
        <v>82600</v>
      </c>
      <c r="J293" s="377" t="n"/>
      <c r="K293" s="381" t="n"/>
      <c r="L293" s="377" t="n">
        <v>365</v>
      </c>
      <c r="M293" s="377" t="n"/>
      <c r="N293" s="381" t="n"/>
      <c r="O293" s="381" t="n"/>
      <c r="P293" s="381" t="n"/>
      <c r="Q293" s="377" t="n"/>
      <c r="R293" s="377" t="n"/>
      <c r="S293" s="377" t="n"/>
      <c r="T293" s="381" t="n">
        <v>6883.33333333333</v>
      </c>
      <c r="U293" s="381" t="n">
        <v>9</v>
      </c>
      <c r="V293" s="383" t="n">
        <v>2036.71232876712</v>
      </c>
      <c r="W293" s="384" t="n">
        <v>31</v>
      </c>
      <c r="X293" s="381" t="n">
        <v>6883.333</v>
      </c>
      <c r="Y293" s="380" t="n">
        <v>7015.342</v>
      </c>
      <c r="Z293" s="384" t="n">
        <v>30</v>
      </c>
      <c r="AA293" s="383" t="n">
        <v>6883.333</v>
      </c>
      <c r="AB293" s="383" t="n">
        <v>6789.041</v>
      </c>
      <c r="AC293" s="387" t="n">
        <v>31</v>
      </c>
      <c r="AD293" s="388" t="n">
        <v>6883.333</v>
      </c>
      <c r="AE293" s="388" t="n">
        <v>7015.342</v>
      </c>
    </row>
    <row r="294" ht="15.75" customHeight="1" s="253">
      <c r="A294" s="377" t="n"/>
      <c r="B294" s="399" t="n">
        <v>45839</v>
      </c>
      <c r="C294" s="377" t="inlineStr">
        <is>
          <t>Gaurav Ray, Advocate on Record</t>
        </is>
      </c>
      <c r="D294" s="377" t="inlineStr">
        <is>
          <t>INV-25-26-000307</t>
        </is>
      </c>
      <c r="E294" s="377" t="n"/>
      <c r="F294" s="389" t="n">
        <v>45861</v>
      </c>
      <c r="G294" s="389" t="n">
        <v>46044</v>
      </c>
      <c r="H294" s="386" t="inlineStr">
        <is>
          <t>6 month-Upfront</t>
        </is>
      </c>
      <c r="I294" s="380" t="n">
        <v>41300</v>
      </c>
      <c r="J294" s="377" t="n"/>
      <c r="K294" s="381" t="n"/>
      <c r="L294" s="377" t="n">
        <v>184</v>
      </c>
      <c r="M294" s="377" t="n"/>
      <c r="N294" s="381" t="n"/>
      <c r="O294" s="381" t="n"/>
      <c r="P294" s="381" t="n"/>
      <c r="Q294" s="377" t="n"/>
      <c r="R294" s="377" t="n"/>
      <c r="S294" s="377" t="n"/>
      <c r="T294" s="382" t="n">
        <v>6883.33333333333</v>
      </c>
      <c r="U294" s="381" t="n">
        <v>9</v>
      </c>
      <c r="V294" s="383" t="n">
        <v>2020.10869565217</v>
      </c>
      <c r="W294" s="384" t="n">
        <v>31</v>
      </c>
      <c r="X294" s="381" t="n">
        <v>6883.333</v>
      </c>
      <c r="Y294" s="380" t="n">
        <v>6958.152</v>
      </c>
      <c r="Z294" s="384" t="n">
        <v>30</v>
      </c>
      <c r="AA294" s="383" t="n">
        <v>6883.333</v>
      </c>
      <c r="AB294" s="383" t="n">
        <v>6733.696</v>
      </c>
      <c r="AC294" s="387" t="n">
        <v>31</v>
      </c>
      <c r="AD294" s="388" t="n">
        <v>6883.333</v>
      </c>
      <c r="AE294" s="388" t="n">
        <v>6958.152</v>
      </c>
    </row>
    <row r="295" ht="15.75" customHeight="1" s="253">
      <c r="A295" s="377" t="n"/>
      <c r="B295" s="399" t="n">
        <v>45839</v>
      </c>
      <c r="C295" s="377" t="inlineStr">
        <is>
          <t>Dhruve Liladhar &amp; Co</t>
        </is>
      </c>
      <c r="D295" s="377" t="inlineStr">
        <is>
          <t>INV-25-26-000308</t>
        </is>
      </c>
      <c r="E295" s="377" t="n"/>
      <c r="F295" s="389" t="n">
        <v>45870</v>
      </c>
      <c r="G295" s="389" t="n">
        <v>46234</v>
      </c>
      <c r="H295" s="377" t="inlineStr">
        <is>
          <t>Annual Upfront</t>
        </is>
      </c>
      <c r="I295" s="380" t="n">
        <v>201780</v>
      </c>
      <c r="J295" s="377" t="n"/>
      <c r="K295" s="381" t="n"/>
      <c r="L295" s="377" t="n">
        <v>365</v>
      </c>
      <c r="M295" s="377" t="n"/>
      <c r="N295" s="381" t="n"/>
      <c r="O295" s="381" t="n"/>
      <c r="P295" s="381" t="n"/>
      <c r="Q295" s="377" t="n"/>
      <c r="R295" s="377" t="n"/>
      <c r="S295" s="377" t="n"/>
      <c r="T295" s="377" t="n"/>
      <c r="U295" s="381" t="n">
        <v>0</v>
      </c>
      <c r="V295" s="377" t="n"/>
      <c r="W295" s="384" t="n">
        <v>31</v>
      </c>
      <c r="X295" s="381" t="n">
        <v>16815</v>
      </c>
      <c r="Y295" s="380" t="n">
        <v>17137.479</v>
      </c>
      <c r="Z295" s="384" t="n">
        <v>30</v>
      </c>
      <c r="AA295" s="383" t="n">
        <v>16815</v>
      </c>
      <c r="AB295" s="383" t="n">
        <v>16584.658</v>
      </c>
      <c r="AC295" s="387" t="n">
        <v>31</v>
      </c>
      <c r="AD295" s="388" t="n">
        <v>16815</v>
      </c>
      <c r="AE295" s="388" t="n">
        <v>17137.479</v>
      </c>
    </row>
    <row r="296" ht="15.75" customHeight="1" s="253">
      <c r="A296" s="377" t="n"/>
      <c r="B296" s="399" t="n">
        <v>45839</v>
      </c>
      <c r="C296" s="377" t="inlineStr">
        <is>
          <t>R. Ginodia &amp; Co. LLP</t>
        </is>
      </c>
      <c r="D296" s="377" t="inlineStr">
        <is>
          <t>INV-25-26-000311</t>
        </is>
      </c>
      <c r="E296" s="377" t="n"/>
      <c r="F296" s="389" t="n">
        <v>45866</v>
      </c>
      <c r="G296" s="389" t="n">
        <v>46230</v>
      </c>
      <c r="H296" s="377" t="inlineStr">
        <is>
          <t>Annual Upfront</t>
        </is>
      </c>
      <c r="I296" s="380" t="n">
        <v>144000</v>
      </c>
      <c r="J296" s="377" t="n"/>
      <c r="K296" s="381" t="n"/>
      <c r="L296" s="377" t="n">
        <v>365</v>
      </c>
      <c r="M296" s="377" t="n"/>
      <c r="N296" s="381" t="n"/>
      <c r="O296" s="381" t="n"/>
      <c r="P296" s="381" t="n"/>
      <c r="Q296" s="377" t="n"/>
      <c r="R296" s="377" t="n"/>
      <c r="S296" s="377" t="n"/>
      <c r="T296" s="381" t="n">
        <v>12000</v>
      </c>
      <c r="U296" s="381" t="n">
        <v>4</v>
      </c>
      <c r="V296" s="383" t="n">
        <v>1578.08219178082</v>
      </c>
      <c r="W296" s="384" t="n">
        <v>31</v>
      </c>
      <c r="X296" s="381" t="n">
        <v>12000</v>
      </c>
      <c r="Y296" s="380" t="n">
        <v>12230.137</v>
      </c>
      <c r="Z296" s="384" t="n">
        <v>30</v>
      </c>
      <c r="AA296" s="383" t="n">
        <v>12000</v>
      </c>
      <c r="AB296" s="383" t="n">
        <v>11835.616</v>
      </c>
      <c r="AC296" s="387" t="n">
        <v>31</v>
      </c>
      <c r="AD296" s="388" t="n">
        <v>12000</v>
      </c>
      <c r="AE296" s="388" t="n">
        <v>12230.137</v>
      </c>
    </row>
    <row r="297" ht="15.75" customHeight="1" s="253">
      <c r="A297" s="377" t="n"/>
      <c r="B297" s="399" t="n">
        <v>45839</v>
      </c>
      <c r="C297" s="377" t="inlineStr">
        <is>
          <t>TLH, Advocates &amp; Solicitors</t>
        </is>
      </c>
      <c r="D297" s="377" t="inlineStr">
        <is>
          <t>INV-25-26-000271</t>
        </is>
      </c>
      <c r="E297" s="377" t="n"/>
      <c r="F297" s="389" t="n">
        <v>45853</v>
      </c>
      <c r="G297" s="389" t="n">
        <v>45883</v>
      </c>
      <c r="H297" s="386" t="inlineStr">
        <is>
          <t>1 month-Upfront</t>
        </is>
      </c>
      <c r="I297" s="380" t="n">
        <v>177000</v>
      </c>
      <c r="J297" s="377" t="n"/>
      <c r="K297" s="381" t="n"/>
      <c r="L297" s="377" t="n">
        <v>31</v>
      </c>
      <c r="M297" s="377" t="n"/>
      <c r="N297" s="381" t="n"/>
      <c r="O297" s="381" t="n"/>
      <c r="P297" s="381" t="n"/>
      <c r="Q297" s="377" t="n"/>
      <c r="R297" s="377" t="n"/>
      <c r="S297" s="377" t="n"/>
      <c r="T297" s="401" t="n">
        <v>177000</v>
      </c>
      <c r="U297" s="381" t="n">
        <v>17</v>
      </c>
      <c r="V297" s="383" t="n">
        <v>97064.5161290323</v>
      </c>
      <c r="W297" s="384" t="n">
        <v>14</v>
      </c>
      <c r="X297" s="381" t="n">
        <v>0</v>
      </c>
      <c r="Y297" s="380" t="n">
        <v>79935.484</v>
      </c>
      <c r="Z297" s="377" t="n"/>
      <c r="AA297" s="377" t="n"/>
      <c r="AB297" s="377" t="n"/>
      <c r="AC297" s="385" t="n"/>
      <c r="AD297" s="385" t="n"/>
      <c r="AE297" s="385" t="n"/>
    </row>
    <row r="298" ht="15.75" customHeight="1" s="253">
      <c r="A298" s="377" t="n"/>
      <c r="B298" s="399" t="n">
        <v>45839</v>
      </c>
      <c r="C298" s="377" t="inlineStr">
        <is>
          <t>Saurabh Prakash</t>
        </is>
      </c>
      <c r="D298" s="377" t="inlineStr">
        <is>
          <t>INV-25-26-000314</t>
        </is>
      </c>
      <c r="E298" s="377" t="n"/>
      <c r="F298" s="389" t="n">
        <v>45868</v>
      </c>
      <c r="G298" s="389" t="n">
        <v>46051</v>
      </c>
      <c r="H298" s="386" t="inlineStr">
        <is>
          <t>6 month-Upfront</t>
        </is>
      </c>
      <c r="I298" s="380" t="n">
        <v>42480</v>
      </c>
      <c r="J298" s="377" t="n"/>
      <c r="K298" s="381" t="n"/>
      <c r="L298" s="377" t="n">
        <v>184</v>
      </c>
      <c r="M298" s="377" t="n"/>
      <c r="N298" s="381" t="n"/>
      <c r="O298" s="381" t="n"/>
      <c r="P298" s="381" t="n"/>
      <c r="Q298" s="377" t="n"/>
      <c r="R298" s="377" t="n"/>
      <c r="S298" s="377" t="n"/>
      <c r="T298" s="382" t="n">
        <v>7080</v>
      </c>
      <c r="U298" s="381" t="n">
        <v>2</v>
      </c>
      <c r="V298" s="383" t="n">
        <v>461.739130434783</v>
      </c>
      <c r="W298" s="384" t="n">
        <v>31</v>
      </c>
      <c r="X298" s="381" t="n">
        <v>7080</v>
      </c>
      <c r="Y298" s="380" t="n">
        <v>7156.957</v>
      </c>
      <c r="Z298" s="384" t="n">
        <v>30</v>
      </c>
      <c r="AA298" s="383" t="n">
        <v>7080</v>
      </c>
      <c r="AB298" s="383" t="n">
        <v>6926.087</v>
      </c>
      <c r="AC298" s="387" t="n">
        <v>31</v>
      </c>
      <c r="AD298" s="388" t="n">
        <v>7080</v>
      </c>
      <c r="AE298" s="388" t="n">
        <v>7156.957</v>
      </c>
    </row>
    <row r="299" ht="15.75" customHeight="1" s="253">
      <c r="A299" s="377" t="n"/>
      <c r="B299" s="399" t="n">
        <v>45839</v>
      </c>
      <c r="C299" s="377" t="inlineStr">
        <is>
          <t>Ecclesia Advocates and Solicitors</t>
        </is>
      </c>
      <c r="D299" s="377" t="inlineStr">
        <is>
          <t>INV-25-26-000315</t>
        </is>
      </c>
      <c r="E299" s="377" t="n"/>
      <c r="F299" s="389" t="n">
        <v>45868</v>
      </c>
      <c r="G299" s="389" t="n">
        <v>46232</v>
      </c>
      <c r="H299" s="377" t="inlineStr">
        <is>
          <t>Annual Upfront</t>
        </is>
      </c>
      <c r="I299" s="380" t="n">
        <v>82600</v>
      </c>
      <c r="J299" s="377" t="n"/>
      <c r="K299" s="381" t="n"/>
      <c r="L299" s="377" t="n">
        <v>365</v>
      </c>
      <c r="M299" s="377" t="n"/>
      <c r="N299" s="381" t="n"/>
      <c r="O299" s="381" t="n"/>
      <c r="P299" s="381" t="n"/>
      <c r="Q299" s="377" t="n"/>
      <c r="R299" s="377" t="n"/>
      <c r="S299" s="377" t="n"/>
      <c r="T299" s="381" t="n">
        <v>6883.33333333333</v>
      </c>
      <c r="U299" s="381" t="n">
        <v>2</v>
      </c>
      <c r="V299" s="381" t="n">
        <v>452.602739726027</v>
      </c>
      <c r="W299" s="384" t="n">
        <v>31</v>
      </c>
      <c r="X299" s="381" t="n">
        <v>6883.333</v>
      </c>
      <c r="Y299" s="380" t="n">
        <v>7015.342</v>
      </c>
      <c r="Z299" s="384" t="n">
        <v>30</v>
      </c>
      <c r="AA299" s="383" t="n">
        <v>6883.333</v>
      </c>
      <c r="AB299" s="383" t="n">
        <v>6789.041</v>
      </c>
      <c r="AC299" s="387" t="n">
        <v>31</v>
      </c>
      <c r="AD299" s="388" t="n">
        <v>6883.333</v>
      </c>
      <c r="AE299" s="388" t="n">
        <v>7015.342</v>
      </c>
    </row>
    <row r="300" ht="15.75" customHeight="1" s="253">
      <c r="A300" s="377" t="n"/>
      <c r="B300" s="399" t="n">
        <v>45839</v>
      </c>
      <c r="C300" s="377" t="inlineStr">
        <is>
          <t>Touchstone Partners</t>
        </is>
      </c>
      <c r="D300" s="377" t="inlineStr">
        <is>
          <t>INV-25-26-000316, INV-25-26-000507</t>
        </is>
      </c>
      <c r="E300" s="377" t="n"/>
      <c r="F300" s="389" t="n">
        <v>45870</v>
      </c>
      <c r="G300" s="389" t="n">
        <v>46234</v>
      </c>
      <c r="H300" s="386" t="inlineStr">
        <is>
          <t>Annual- Half Yearly Payment</t>
        </is>
      </c>
      <c r="I300" s="380" t="n">
        <v>2378880</v>
      </c>
      <c r="J300" s="377" t="n"/>
      <c r="K300" s="381" t="n"/>
      <c r="L300" s="377" t="n">
        <v>365</v>
      </c>
      <c r="M300" s="377" t="n"/>
      <c r="N300" s="381" t="n"/>
      <c r="O300" s="381" t="n"/>
      <c r="P300" s="381" t="n"/>
      <c r="Q300" s="377" t="n"/>
      <c r="R300" s="377" t="n"/>
      <c r="S300" s="377" t="n"/>
      <c r="T300" s="377" t="n"/>
      <c r="U300" s="381" t="n">
        <v>0</v>
      </c>
      <c r="V300" s="377" t="n"/>
      <c r="W300" s="384" t="n">
        <v>31</v>
      </c>
      <c r="X300" s="381" t="n">
        <v>198240</v>
      </c>
      <c r="Y300" s="380" t="n">
        <v>202041.863</v>
      </c>
      <c r="Z300" s="384" t="n">
        <v>30</v>
      </c>
      <c r="AA300" s="383" t="n">
        <v>198240</v>
      </c>
      <c r="AB300" s="383" t="n">
        <v>195524.384</v>
      </c>
      <c r="AC300" s="387" t="n">
        <v>31</v>
      </c>
      <c r="AD300" s="388" t="n">
        <v>198240</v>
      </c>
      <c r="AE300" s="388" t="n">
        <v>202041.863</v>
      </c>
    </row>
    <row r="301" ht="15.75" customHeight="1" s="253">
      <c r="A301" s="377" t="n"/>
      <c r="B301" s="399" t="n">
        <v>45839</v>
      </c>
      <c r="C301" s="377" t="inlineStr">
        <is>
          <t>Jaiveer Shergil</t>
        </is>
      </c>
      <c r="D301" s="377" t="inlineStr">
        <is>
          <t>INV-25-26-000317</t>
        </is>
      </c>
      <c r="E301" s="377" t="n"/>
      <c r="F301" s="389" t="n">
        <v>45869</v>
      </c>
      <c r="G301" s="389" t="n">
        <v>46052</v>
      </c>
      <c r="H301" s="386" t="inlineStr">
        <is>
          <t>6 month-Upfront</t>
        </is>
      </c>
      <c r="I301" s="380" t="n">
        <v>35000</v>
      </c>
      <c r="J301" s="377" t="n"/>
      <c r="K301" s="381" t="n"/>
      <c r="L301" s="377" t="n">
        <v>184</v>
      </c>
      <c r="M301" s="377" t="n"/>
      <c r="N301" s="381" t="n"/>
      <c r="O301" s="381" t="n"/>
      <c r="P301" s="381" t="n"/>
      <c r="Q301" s="377" t="n"/>
      <c r="R301" s="377" t="n"/>
      <c r="S301" s="377" t="n"/>
      <c r="T301" s="382" t="n">
        <v>5833.33333333333</v>
      </c>
      <c r="U301" s="381" t="n">
        <v>1</v>
      </c>
      <c r="V301" s="383" t="n">
        <v>190.217391304348</v>
      </c>
      <c r="W301" s="384" t="n">
        <v>31</v>
      </c>
      <c r="X301" s="381" t="n">
        <v>5833.333</v>
      </c>
      <c r="Y301" s="380" t="n">
        <v>5896.739</v>
      </c>
      <c r="Z301" s="384" t="n">
        <v>30</v>
      </c>
      <c r="AA301" s="383" t="n">
        <v>5833.333</v>
      </c>
      <c r="AB301" s="383" t="n">
        <v>5706.522</v>
      </c>
      <c r="AC301" s="387" t="n">
        <v>31</v>
      </c>
      <c r="AD301" s="388" t="n">
        <v>5833.333</v>
      </c>
      <c r="AE301" s="388" t="n">
        <v>5896.739</v>
      </c>
    </row>
    <row r="302" ht="15.75" customHeight="1" s="253">
      <c r="A302" s="377" t="n"/>
      <c r="B302" s="399" t="n">
        <v>45870</v>
      </c>
      <c r="C302" s="377" t="inlineStr">
        <is>
          <t>Devina Sehgal</t>
        </is>
      </c>
      <c r="D302" s="377" t="inlineStr">
        <is>
          <t>INV-25-26-000318</t>
        </is>
      </c>
      <c r="E302" s="377" t="n"/>
      <c r="F302" s="389" t="n">
        <v>45870</v>
      </c>
      <c r="G302" s="389" t="n">
        <v>45900</v>
      </c>
      <c r="H302" s="377" t="inlineStr">
        <is>
          <t>1 Month-Upfront</t>
        </is>
      </c>
      <c r="I302" s="380" t="n">
        <v>9440</v>
      </c>
      <c r="J302" s="377" t="n"/>
      <c r="K302" s="381" t="n"/>
      <c r="L302" s="377" t="n">
        <v>31</v>
      </c>
      <c r="M302" s="377" t="n"/>
      <c r="N302" s="381" t="n"/>
      <c r="O302" s="381" t="n"/>
      <c r="P302" s="381" t="n"/>
      <c r="Q302" s="377" t="n"/>
      <c r="R302" s="377" t="n"/>
      <c r="S302" s="377" t="n"/>
      <c r="T302" s="381" t="n"/>
      <c r="U302" s="377" t="n"/>
      <c r="V302" s="381" t="n"/>
      <c r="W302" s="384" t="n">
        <v>31</v>
      </c>
      <c r="X302" s="381" t="n">
        <v>9440</v>
      </c>
      <c r="Y302" s="380" t="n">
        <v>9440</v>
      </c>
      <c r="Z302" s="377" t="n"/>
      <c r="AA302" s="377" t="n"/>
      <c r="AB302" s="377" t="n"/>
      <c r="AC302" s="385" t="n"/>
      <c r="AD302" s="385" t="n"/>
      <c r="AE302" s="385" t="n"/>
    </row>
    <row r="303" ht="15.75" customHeight="1" s="253">
      <c r="A303" s="377" t="n"/>
      <c r="B303" s="399" t="n">
        <v>45870</v>
      </c>
      <c r="C303" s="377" t="inlineStr">
        <is>
          <t>TREELIFE VENTURES SERVICES PRIVATE LIMITED</t>
        </is>
      </c>
      <c r="D303" s="377" t="inlineStr">
        <is>
          <t>INV-25-26-000319</t>
        </is>
      </c>
      <c r="E303" s="377" t="n"/>
      <c r="F303" s="389" t="n">
        <v>45874</v>
      </c>
      <c r="G303" s="389" t="n">
        <v>45904</v>
      </c>
      <c r="H303" s="377" t="inlineStr">
        <is>
          <t>1 Month-Upfront</t>
        </is>
      </c>
      <c r="I303" s="380" t="n">
        <v>5900</v>
      </c>
      <c r="J303" s="377" t="n"/>
      <c r="K303" s="381" t="n"/>
      <c r="L303" s="377" t="n">
        <v>31</v>
      </c>
      <c r="M303" s="377" t="n"/>
      <c r="N303" s="381" t="n"/>
      <c r="O303" s="381" t="n"/>
      <c r="P303" s="381" t="n"/>
      <c r="Q303" s="377" t="n"/>
      <c r="R303" s="377" t="n"/>
      <c r="S303" s="377" t="n"/>
      <c r="T303" s="381" t="n"/>
      <c r="U303" s="377" t="n"/>
      <c r="V303" s="381" t="n"/>
      <c r="W303" s="384" t="n">
        <v>27</v>
      </c>
      <c r="X303" s="401" t="n">
        <v>5900</v>
      </c>
      <c r="Y303" s="380" t="n">
        <v>5138.71</v>
      </c>
      <c r="Z303" s="377" t="n">
        <v>4</v>
      </c>
      <c r="AA303" s="377" t="n"/>
      <c r="AB303" s="383" t="n">
        <v>761.29</v>
      </c>
      <c r="AC303" s="385" t="n"/>
      <c r="AD303" s="385" t="n"/>
      <c r="AE303" s="385" t="n"/>
    </row>
    <row r="304" ht="15.75" customHeight="1" s="253">
      <c r="A304" s="377" t="n"/>
      <c r="B304" s="399" t="n">
        <v>45870</v>
      </c>
      <c r="C304" s="377" t="inlineStr">
        <is>
          <t>Mukul Sharma and Company</t>
        </is>
      </c>
      <c r="D304" s="377" t="inlineStr">
        <is>
          <t>INV-25-26-000320</t>
        </is>
      </c>
      <c r="E304" s="377" t="n"/>
      <c r="F304" s="389" t="n">
        <v>45870</v>
      </c>
      <c r="G304" s="389" t="n">
        <v>46053</v>
      </c>
      <c r="H304" s="377" t="inlineStr">
        <is>
          <t>6 month-Upfront</t>
        </is>
      </c>
      <c r="I304" s="380" t="n">
        <v>42480</v>
      </c>
      <c r="J304" s="377" t="n"/>
      <c r="K304" s="381" t="n"/>
      <c r="L304" s="377" t="n">
        <v>184</v>
      </c>
      <c r="M304" s="377" t="n"/>
      <c r="N304" s="381" t="n"/>
      <c r="O304" s="381" t="n"/>
      <c r="P304" s="381" t="n"/>
      <c r="Q304" s="377" t="n"/>
      <c r="R304" s="377" t="n"/>
      <c r="S304" s="377" t="n"/>
      <c r="T304" s="381" t="n"/>
      <c r="U304" s="377" t="n"/>
      <c r="V304" s="381" t="n"/>
      <c r="W304" s="384" t="n">
        <v>31</v>
      </c>
      <c r="X304" s="381" t="n">
        <v>7080</v>
      </c>
      <c r="Y304" s="380" t="n">
        <v>7156.957</v>
      </c>
      <c r="Z304" s="384" t="n">
        <v>30</v>
      </c>
      <c r="AA304" s="383" t="n">
        <v>7080</v>
      </c>
      <c r="AB304" s="383" t="n">
        <v>6926.087</v>
      </c>
      <c r="AC304" s="387" t="n">
        <v>31</v>
      </c>
      <c r="AD304" s="388" t="n">
        <v>7080</v>
      </c>
      <c r="AE304" s="388" t="n">
        <v>7156.957</v>
      </c>
    </row>
    <row r="305" ht="15.75" customHeight="1" s="253">
      <c r="A305" s="377" t="n"/>
      <c r="B305" s="399" t="n">
        <v>45870</v>
      </c>
      <c r="C305" s="377" t="inlineStr">
        <is>
          <t>AHUJA VALECHA &amp; ASSOCIATES LLP</t>
        </is>
      </c>
      <c r="D305" s="377" t="inlineStr">
        <is>
          <t>INV-25-26-000321</t>
        </is>
      </c>
      <c r="E305" s="377" t="n"/>
      <c r="F305" s="389" t="n">
        <v>45866</v>
      </c>
      <c r="G305" s="389" t="n">
        <v>46230</v>
      </c>
      <c r="H305" s="377" t="inlineStr">
        <is>
          <t>Annual Upfront</t>
        </is>
      </c>
      <c r="I305" s="380" t="n">
        <v>353985.84</v>
      </c>
      <c r="J305" s="377" t="n"/>
      <c r="K305" s="381" t="n"/>
      <c r="L305" s="377" t="n">
        <v>365</v>
      </c>
      <c r="M305" s="377" t="n"/>
      <c r="N305" s="381" t="n"/>
      <c r="O305" s="381" t="n"/>
      <c r="P305" s="381" t="n"/>
      <c r="Q305" s="377" t="n"/>
      <c r="R305" s="377" t="n"/>
      <c r="S305" s="377" t="n"/>
      <c r="T305" s="381" t="n">
        <v>29498.82</v>
      </c>
      <c r="U305" s="377" t="n">
        <v>3</v>
      </c>
      <c r="V305" s="380" t="n">
        <v>2909.47265753425</v>
      </c>
      <c r="W305" s="384" t="n">
        <v>31</v>
      </c>
      <c r="X305" s="377" t="n">
        <v>29498.82</v>
      </c>
      <c r="Y305" s="380" t="n">
        <v>30064.551</v>
      </c>
      <c r="Z305" s="384" t="n">
        <v>30</v>
      </c>
      <c r="AA305" s="383" t="n">
        <v>29498.82</v>
      </c>
      <c r="AB305" s="383" t="n">
        <v>29094.727</v>
      </c>
      <c r="AC305" s="387" t="n">
        <v>31</v>
      </c>
      <c r="AD305" s="388" t="n">
        <v>29498.82</v>
      </c>
      <c r="AE305" s="388" t="n">
        <v>30064.551</v>
      </c>
    </row>
    <row r="306" ht="15.75" customHeight="1" s="253">
      <c r="A306" s="377" t="n"/>
      <c r="B306" s="399" t="n">
        <v>45870</v>
      </c>
      <c r="C306" s="377" t="inlineStr">
        <is>
          <t>Brijesh Oberoi</t>
        </is>
      </c>
      <c r="D306" s="377" t="inlineStr">
        <is>
          <t>INV-25-26-000322</t>
        </is>
      </c>
      <c r="E306" s="377" t="n"/>
      <c r="F306" s="389" t="n">
        <v>45871</v>
      </c>
      <c r="G306" s="389" t="n">
        <v>46235</v>
      </c>
      <c r="H306" s="377" t="inlineStr">
        <is>
          <t>Annual Upfront</t>
        </is>
      </c>
      <c r="I306" s="380" t="n">
        <v>63720</v>
      </c>
      <c r="J306" s="377" t="n"/>
      <c r="K306" s="381" t="n"/>
      <c r="L306" s="377" t="n">
        <v>365</v>
      </c>
      <c r="M306" s="377" t="n"/>
      <c r="N306" s="381" t="n"/>
      <c r="O306" s="381" t="n"/>
      <c r="P306" s="381" t="n"/>
      <c r="Q306" s="377" t="n"/>
      <c r="R306" s="377" t="n"/>
      <c r="S306" s="377" t="n"/>
      <c r="T306" s="381" t="n"/>
      <c r="U306" s="377" t="n"/>
      <c r="V306" s="381" t="n"/>
      <c r="W306" s="384" t="n">
        <v>30</v>
      </c>
      <c r="X306" s="380" t="n">
        <v>5310</v>
      </c>
      <c r="Y306" s="380" t="n">
        <v>5237.26</v>
      </c>
      <c r="Z306" s="384" t="n">
        <v>30</v>
      </c>
      <c r="AA306" s="383" t="n">
        <v>5310</v>
      </c>
      <c r="AB306" s="383" t="n">
        <v>5237.26</v>
      </c>
      <c r="AC306" s="387" t="n">
        <v>31</v>
      </c>
      <c r="AD306" s="388" t="n">
        <v>5310</v>
      </c>
      <c r="AE306" s="388" t="n">
        <v>5411.836</v>
      </c>
    </row>
    <row r="307" ht="15.75" customHeight="1" s="253">
      <c r="A307" s="377" t="n"/>
      <c r="B307" s="399" t="n">
        <v>45870</v>
      </c>
      <c r="C307" s="377" t="inlineStr">
        <is>
          <t>Tipping Mr Pink Private Limited</t>
        </is>
      </c>
      <c r="D307" s="377" t="inlineStr">
        <is>
          <t>INV-25-26-000325</t>
        </is>
      </c>
      <c r="E307" s="377" t="n"/>
      <c r="F307" s="389" t="n">
        <v>45875</v>
      </c>
      <c r="G307" s="389" t="n">
        <v>46239</v>
      </c>
      <c r="H307" s="377" t="inlineStr">
        <is>
          <t>Annual Upfront</t>
        </is>
      </c>
      <c r="I307" s="380" t="n">
        <v>94872</v>
      </c>
      <c r="J307" s="377" t="n"/>
      <c r="K307" s="381" t="n"/>
      <c r="L307" s="377" t="n">
        <v>365</v>
      </c>
      <c r="M307" s="377" t="n"/>
      <c r="N307" s="381" t="n"/>
      <c r="O307" s="381" t="n"/>
      <c r="P307" s="381" t="n"/>
      <c r="Q307" s="377" t="n"/>
      <c r="R307" s="377" t="n"/>
      <c r="S307" s="377" t="n"/>
      <c r="T307" s="381" t="n"/>
      <c r="U307" s="377" t="n"/>
      <c r="V307" s="381" t="n"/>
      <c r="W307" s="384" t="n">
        <v>26</v>
      </c>
      <c r="X307" s="380" t="n">
        <v>7906</v>
      </c>
      <c r="Y307" s="380" t="n">
        <v>6758.005</v>
      </c>
      <c r="Z307" s="384" t="n">
        <v>30</v>
      </c>
      <c r="AA307" s="383" t="n">
        <v>7906</v>
      </c>
      <c r="AB307" s="383" t="n">
        <v>7797.699</v>
      </c>
      <c r="AC307" s="387" t="n">
        <v>31</v>
      </c>
      <c r="AD307" s="388" t="n">
        <v>7906</v>
      </c>
      <c r="AE307" s="388" t="n">
        <v>8057.622</v>
      </c>
    </row>
    <row r="308" ht="15.75" customHeight="1" s="253">
      <c r="A308" s="377" t="n"/>
      <c r="B308" s="399" t="n">
        <v>45870</v>
      </c>
      <c r="C308" s="377" t="inlineStr">
        <is>
          <t>Pranav Badheka</t>
        </is>
      </c>
      <c r="D308" s="377" t="inlineStr">
        <is>
          <t>INV-25-26-000326</t>
        </is>
      </c>
      <c r="E308" s="377" t="n"/>
      <c r="F308" s="389" t="n">
        <v>45873</v>
      </c>
      <c r="G308" s="389" t="n">
        <v>46237</v>
      </c>
      <c r="H308" s="377" t="inlineStr">
        <is>
          <t>Annual Upfront</t>
        </is>
      </c>
      <c r="I308" s="380" t="n">
        <v>82600</v>
      </c>
      <c r="J308" s="377" t="n"/>
      <c r="K308" s="381" t="n"/>
      <c r="L308" s="377" t="n">
        <v>365</v>
      </c>
      <c r="M308" s="377" t="n"/>
      <c r="N308" s="381" t="n"/>
      <c r="O308" s="381" t="n"/>
      <c r="P308" s="381" t="n"/>
      <c r="Q308" s="377" t="n"/>
      <c r="R308" s="377" t="n"/>
      <c r="S308" s="377" t="n"/>
      <c r="T308" s="381" t="n"/>
      <c r="U308" s="377" t="n"/>
      <c r="V308" s="381" t="n"/>
      <c r="W308" s="384" t="n">
        <v>28</v>
      </c>
      <c r="X308" s="380" t="n">
        <v>6883.333</v>
      </c>
      <c r="Y308" s="380" t="n">
        <v>6336.438</v>
      </c>
      <c r="Z308" s="384" t="n">
        <v>30</v>
      </c>
      <c r="AA308" s="383" t="n">
        <v>6883.333</v>
      </c>
      <c r="AB308" s="383" t="n">
        <v>6789.041</v>
      </c>
      <c r="AC308" s="387" t="n">
        <v>31</v>
      </c>
      <c r="AD308" s="388" t="n">
        <v>6883.333</v>
      </c>
      <c r="AE308" s="388" t="n">
        <v>7015.342</v>
      </c>
    </row>
    <row r="309" ht="15.75" customHeight="1" s="253">
      <c r="A309" s="377" t="n"/>
      <c r="B309" s="399" t="n">
        <v>45870</v>
      </c>
      <c r="C309" s="377" t="inlineStr">
        <is>
          <t>TRILOK POWER AND CABLES PRIVATE LIMITED</t>
        </is>
      </c>
      <c r="D309" s="377" t="inlineStr">
        <is>
          <t>INV-25-26-000327</t>
        </is>
      </c>
      <c r="E309" s="377" t="n"/>
      <c r="F309" s="389" t="n">
        <v>45873</v>
      </c>
      <c r="G309" s="389" t="n">
        <v>46237</v>
      </c>
      <c r="H309" s="377" t="inlineStr">
        <is>
          <t>Annual Upfront</t>
        </is>
      </c>
      <c r="I309" s="380" t="n">
        <v>63720</v>
      </c>
      <c r="J309" s="377" t="n"/>
      <c r="K309" s="381" t="n"/>
      <c r="L309" s="377" t="n">
        <v>365</v>
      </c>
      <c r="M309" s="377" t="n"/>
      <c r="N309" s="381" t="n"/>
      <c r="O309" s="381" t="n"/>
      <c r="P309" s="381" t="n"/>
      <c r="Q309" s="377" t="n"/>
      <c r="R309" s="377" t="n"/>
      <c r="S309" s="377" t="n"/>
      <c r="T309" s="381" t="n"/>
      <c r="U309" s="377" t="n"/>
      <c r="V309" s="381" t="n"/>
      <c r="W309" s="384" t="n">
        <v>28</v>
      </c>
      <c r="X309" s="380" t="n">
        <v>5310</v>
      </c>
      <c r="Y309" s="380" t="n">
        <v>4888.11</v>
      </c>
      <c r="Z309" s="384" t="n">
        <v>30</v>
      </c>
      <c r="AA309" s="383" t="n">
        <v>5310</v>
      </c>
      <c r="AB309" s="383" t="n">
        <v>5237.26</v>
      </c>
      <c r="AC309" s="387" t="n">
        <v>31</v>
      </c>
      <c r="AD309" s="388" t="n">
        <v>5310</v>
      </c>
      <c r="AE309" s="388" t="n">
        <v>5411.836</v>
      </c>
    </row>
    <row r="310" ht="15.75" customHeight="1" s="253">
      <c r="A310" s="377" t="n"/>
      <c r="B310" s="399" t="n">
        <v>45870</v>
      </c>
      <c r="C310" s="377" t="inlineStr">
        <is>
          <t>Saraf and Partners</t>
        </is>
      </c>
      <c r="D310" s="377" t="inlineStr">
        <is>
          <t>INV-25-26-000328</t>
        </is>
      </c>
      <c r="E310" s="377" t="n"/>
      <c r="F310" s="389" t="n">
        <v>45873</v>
      </c>
      <c r="G310" s="389" t="n">
        <v>46237</v>
      </c>
      <c r="H310" s="390" t="inlineStr">
        <is>
          <t>Annual subscription, Quarterly upfront</t>
        </is>
      </c>
      <c r="I310" s="380" t="n">
        <v>2293920</v>
      </c>
      <c r="J310" s="377" t="n"/>
      <c r="K310" s="381" t="n"/>
      <c r="L310" s="377" t="n">
        <v>365</v>
      </c>
      <c r="M310" s="377" t="n"/>
      <c r="N310" s="381" t="n"/>
      <c r="O310" s="381" t="n"/>
      <c r="P310" s="381" t="n"/>
      <c r="Q310" s="377" t="n"/>
      <c r="R310" s="377" t="n"/>
      <c r="S310" s="377" t="n"/>
      <c r="T310" s="381" t="n"/>
      <c r="U310" s="377" t="n"/>
      <c r="V310" s="381" t="n"/>
      <c r="W310" s="384" t="n">
        <v>28</v>
      </c>
      <c r="X310" s="380" t="n">
        <v>191160</v>
      </c>
      <c r="Y310" s="380" t="n">
        <v>175971.945</v>
      </c>
      <c r="Z310" s="384" t="n">
        <v>30</v>
      </c>
      <c r="AA310" s="383" t="n">
        <v>191160</v>
      </c>
      <c r="AB310" s="383" t="n">
        <v>188541.37</v>
      </c>
      <c r="AC310" s="387" t="n">
        <v>31</v>
      </c>
      <c r="AD310" s="388" t="n">
        <v>191160</v>
      </c>
      <c r="AE310" s="388" t="n">
        <v>194826.082</v>
      </c>
    </row>
    <row r="311" ht="15.75" customHeight="1" s="253">
      <c r="A311" s="377" t="n"/>
      <c r="B311" s="399" t="n">
        <v>45870</v>
      </c>
      <c r="C311" s="377" t="inlineStr">
        <is>
          <t>Chirag shah, Advocate</t>
        </is>
      </c>
      <c r="D311" s="377" t="inlineStr">
        <is>
          <t>INV-25-26-000329</t>
        </is>
      </c>
      <c r="E311" s="377" t="n"/>
      <c r="F311" s="389" t="n">
        <v>45873</v>
      </c>
      <c r="G311" s="389" t="n">
        <v>46237</v>
      </c>
      <c r="H311" s="377" t="inlineStr">
        <is>
          <t>Annual Upfront</t>
        </is>
      </c>
      <c r="I311" s="380" t="n">
        <v>188800</v>
      </c>
      <c r="J311" s="377" t="n"/>
      <c r="K311" s="381" t="n"/>
      <c r="L311" s="377" t="n">
        <v>365</v>
      </c>
      <c r="M311" s="377" t="n"/>
      <c r="N311" s="381" t="n"/>
      <c r="O311" s="381" t="n"/>
      <c r="P311" s="381" t="n"/>
      <c r="Q311" s="377" t="n"/>
      <c r="R311" s="377" t="n"/>
      <c r="S311" s="377" t="n"/>
      <c r="T311" s="381" t="n"/>
      <c r="U311" s="377" t="n"/>
      <c r="V311" s="381" t="n"/>
      <c r="W311" s="384" t="n">
        <v>28</v>
      </c>
      <c r="X311" s="380" t="n">
        <v>15733.333</v>
      </c>
      <c r="Y311" s="380" t="n">
        <v>14483.288</v>
      </c>
      <c r="Z311" s="384" t="n">
        <v>30</v>
      </c>
      <c r="AA311" s="383" t="n">
        <v>15733.333</v>
      </c>
      <c r="AB311" s="383" t="n">
        <v>15517.808</v>
      </c>
      <c r="AC311" s="387" t="n">
        <v>31</v>
      </c>
      <c r="AD311" s="388" t="n">
        <v>15733.333</v>
      </c>
      <c r="AE311" s="388" t="n">
        <v>16035.068</v>
      </c>
    </row>
    <row r="312" ht="15.75" customHeight="1" s="253">
      <c r="A312" s="377" t="n"/>
      <c r="B312" s="399" t="n">
        <v>45870</v>
      </c>
      <c r="C312" s="377" t="inlineStr">
        <is>
          <t>Vidhii Partners</t>
        </is>
      </c>
      <c r="D312" s="377" t="inlineStr">
        <is>
          <t>INV-25-26-000330</t>
        </is>
      </c>
      <c r="E312" s="377" t="n"/>
      <c r="F312" s="389" t="n">
        <v>45875</v>
      </c>
      <c r="G312" s="389" t="n">
        <v>45905</v>
      </c>
      <c r="H312" s="377" t="inlineStr">
        <is>
          <t>1 Month-Upfront</t>
        </is>
      </c>
      <c r="I312" s="380" t="n">
        <v>23600</v>
      </c>
      <c r="J312" s="377" t="n"/>
      <c r="K312" s="381" t="n"/>
      <c r="L312" s="377" t="n">
        <v>31</v>
      </c>
      <c r="M312" s="377" t="n"/>
      <c r="N312" s="381" t="n"/>
      <c r="O312" s="381" t="n"/>
      <c r="P312" s="381" t="n"/>
      <c r="Q312" s="377" t="n"/>
      <c r="R312" s="377" t="n"/>
      <c r="S312" s="377" t="n"/>
      <c r="T312" s="381" t="n"/>
      <c r="U312" s="377" t="n"/>
      <c r="V312" s="381" t="n"/>
      <c r="W312" s="384" t="n">
        <v>26</v>
      </c>
      <c r="X312" s="401" t="n">
        <v>23600</v>
      </c>
      <c r="Y312" s="380" t="n">
        <v>19793.548</v>
      </c>
      <c r="Z312" s="377" t="n">
        <v>5</v>
      </c>
      <c r="AA312" s="377" t="n"/>
      <c r="AB312" s="383" t="n">
        <v>3806.452</v>
      </c>
      <c r="AC312" s="385" t="n"/>
      <c r="AD312" s="385" t="n"/>
      <c r="AE312" s="385" t="n"/>
    </row>
    <row r="313" ht="15.75" customHeight="1" s="253">
      <c r="A313" s="377" t="n"/>
      <c r="B313" s="399" t="n">
        <v>45870</v>
      </c>
      <c r="C313" s="377" t="inlineStr">
        <is>
          <t>Dharma Law Partners</t>
        </is>
      </c>
      <c r="D313" s="377" t="inlineStr">
        <is>
          <t>INV-25-26-000331</t>
        </is>
      </c>
      <c r="E313" s="377" t="n"/>
      <c r="F313" s="389" t="n">
        <v>45874</v>
      </c>
      <c r="G313" s="389" t="n">
        <v>46238</v>
      </c>
      <c r="H313" s="390" t="inlineStr">
        <is>
          <t>Annual subscription, Quarterly upfront</t>
        </is>
      </c>
      <c r="I313" s="380" t="n">
        <v>94400</v>
      </c>
      <c r="J313" s="377" t="n"/>
      <c r="K313" s="381" t="n"/>
      <c r="L313" s="377" t="n">
        <v>365</v>
      </c>
      <c r="M313" s="377" t="n"/>
      <c r="N313" s="381" t="n"/>
      <c r="O313" s="381" t="n"/>
      <c r="P313" s="381" t="n"/>
      <c r="Q313" s="377" t="n"/>
      <c r="R313" s="377" t="n"/>
      <c r="S313" s="377" t="n"/>
      <c r="T313" s="381" t="n"/>
      <c r="U313" s="377" t="n"/>
      <c r="V313" s="381" t="n"/>
      <c r="W313" s="384" t="n">
        <v>27</v>
      </c>
      <c r="X313" s="380" t="n">
        <v>7866.667</v>
      </c>
      <c r="Y313" s="380" t="n">
        <v>6983.014</v>
      </c>
      <c r="Z313" s="384" t="n">
        <v>30</v>
      </c>
      <c r="AA313" s="383" t="n">
        <v>7866.667</v>
      </c>
      <c r="AB313" s="383" t="n">
        <v>7758.904</v>
      </c>
      <c r="AC313" s="387" t="n">
        <v>31</v>
      </c>
      <c r="AD313" s="388" t="n">
        <v>7866.667</v>
      </c>
      <c r="AE313" s="388" t="n">
        <v>8017.534</v>
      </c>
    </row>
    <row r="314" ht="15.75" customHeight="1" s="253">
      <c r="A314" s="377" t="n"/>
      <c r="B314" s="399" t="n">
        <v>45870</v>
      </c>
      <c r="C314" s="377" t="inlineStr">
        <is>
          <t>Kevic Setalvad</t>
        </is>
      </c>
      <c r="D314" s="377" t="inlineStr">
        <is>
          <t>INV-25-26-000334</t>
        </is>
      </c>
      <c r="E314" s="377" t="n"/>
      <c r="F314" s="389" t="n">
        <v>45875</v>
      </c>
      <c r="G314" s="389" t="n">
        <v>46239</v>
      </c>
      <c r="H314" s="377" t="inlineStr">
        <is>
          <t>Annual Upfront</t>
        </is>
      </c>
      <c r="I314" s="380" t="n">
        <v>82600</v>
      </c>
      <c r="J314" s="377" t="n"/>
      <c r="K314" s="381" t="n"/>
      <c r="L314" s="377" t="n">
        <v>365</v>
      </c>
      <c r="M314" s="377" t="n"/>
      <c r="N314" s="381" t="n"/>
      <c r="O314" s="381" t="n"/>
      <c r="P314" s="381" t="n"/>
      <c r="Q314" s="377" t="n"/>
      <c r="R314" s="377" t="n"/>
      <c r="S314" s="377" t="n"/>
      <c r="T314" s="381" t="n"/>
      <c r="U314" s="377" t="n"/>
      <c r="V314" s="381" t="n"/>
      <c r="W314" s="384" t="n">
        <v>26</v>
      </c>
      <c r="X314" s="380" t="n">
        <v>6883.333</v>
      </c>
      <c r="Y314" s="380" t="n">
        <v>5883.836</v>
      </c>
      <c r="Z314" s="384" t="n">
        <v>30</v>
      </c>
      <c r="AA314" s="383" t="n">
        <v>6883.333</v>
      </c>
      <c r="AB314" s="383" t="n">
        <v>6789.041</v>
      </c>
      <c r="AC314" s="387" t="n">
        <v>31</v>
      </c>
      <c r="AD314" s="388" t="n">
        <v>6883.333</v>
      </c>
      <c r="AE314" s="388" t="n">
        <v>7015.342</v>
      </c>
    </row>
    <row r="315" ht="15.75" customHeight="1" s="253">
      <c r="A315" s="377" t="n"/>
      <c r="B315" s="399" t="n">
        <v>45870</v>
      </c>
      <c r="C315" s="377" t="inlineStr">
        <is>
          <t>Giriraj Subramanium</t>
        </is>
      </c>
      <c r="D315" s="377" t="inlineStr">
        <is>
          <t>INV-25-26-000335</t>
        </is>
      </c>
      <c r="E315" s="377" t="n"/>
      <c r="F315" s="389" t="n">
        <v>45875</v>
      </c>
      <c r="G315" s="389" t="n">
        <v>46239</v>
      </c>
      <c r="H315" s="377" t="inlineStr">
        <is>
          <t>Annual Upfront</t>
        </is>
      </c>
      <c r="I315" s="380" t="n">
        <v>82600</v>
      </c>
      <c r="J315" s="377" t="n"/>
      <c r="K315" s="381" t="n"/>
      <c r="L315" s="377" t="n">
        <v>365</v>
      </c>
      <c r="M315" s="377" t="n"/>
      <c r="N315" s="381" t="n"/>
      <c r="O315" s="381" t="n"/>
      <c r="P315" s="381" t="n"/>
      <c r="Q315" s="377" t="n"/>
      <c r="R315" s="377" t="n"/>
      <c r="S315" s="377" t="n"/>
      <c r="T315" s="381" t="n"/>
      <c r="U315" s="377" t="n"/>
      <c r="V315" s="381" t="n"/>
      <c r="W315" s="384" t="n">
        <v>26</v>
      </c>
      <c r="X315" s="380" t="n">
        <v>6883.333</v>
      </c>
      <c r="Y315" s="380" t="n">
        <v>5883.836</v>
      </c>
      <c r="Z315" s="384" t="n">
        <v>30</v>
      </c>
      <c r="AA315" s="383" t="n">
        <v>6883.333</v>
      </c>
      <c r="AB315" s="383" t="n">
        <v>6789.041</v>
      </c>
      <c r="AC315" s="387" t="n">
        <v>31</v>
      </c>
      <c r="AD315" s="388" t="n">
        <v>6883.333</v>
      </c>
      <c r="AE315" s="388" t="n">
        <v>7015.342</v>
      </c>
    </row>
    <row r="316" ht="15.75" customHeight="1" s="253">
      <c r="A316" s="377" t="n"/>
      <c r="B316" s="399" t="n">
        <v>45870</v>
      </c>
      <c r="C316" s="377" t="inlineStr">
        <is>
          <t>Phoenix Legal</t>
        </is>
      </c>
      <c r="D316" s="377" t="inlineStr">
        <is>
          <t>INV-25-26-000339</t>
        </is>
      </c>
      <c r="E316" s="377" t="n"/>
      <c r="F316" s="389" t="n">
        <v>45876</v>
      </c>
      <c r="G316" s="389" t="n">
        <v>46240</v>
      </c>
      <c r="H316" s="386" t="inlineStr">
        <is>
          <t>Annual- Half Yearly Payment</t>
        </is>
      </c>
      <c r="I316" s="380" t="n">
        <v>1949832</v>
      </c>
      <c r="J316" s="377" t="n"/>
      <c r="K316" s="381" t="n"/>
      <c r="L316" s="377" t="n">
        <v>365</v>
      </c>
      <c r="M316" s="377" t="n"/>
      <c r="N316" s="381" t="n"/>
      <c r="O316" s="381" t="n"/>
      <c r="P316" s="381" t="n"/>
      <c r="Q316" s="377" t="n"/>
      <c r="R316" s="377" t="n"/>
      <c r="S316" s="377" t="n"/>
      <c r="T316" s="381" t="n"/>
      <c r="U316" s="377" t="n"/>
      <c r="V316" s="381" t="n"/>
      <c r="W316" s="384" t="n">
        <v>25</v>
      </c>
      <c r="X316" s="380" t="n">
        <v>162486</v>
      </c>
      <c r="Y316" s="380" t="n">
        <v>133550.137</v>
      </c>
      <c r="Z316" s="384" t="n">
        <v>30</v>
      </c>
      <c r="AA316" s="383" t="n">
        <v>162486</v>
      </c>
      <c r="AB316" s="383" t="n">
        <v>160260.164</v>
      </c>
      <c r="AC316" s="387" t="n">
        <v>31</v>
      </c>
      <c r="AD316" s="388" t="n">
        <v>162486</v>
      </c>
      <c r="AE316" s="388" t="n">
        <v>165602.17</v>
      </c>
    </row>
    <row r="317" ht="15.75" customHeight="1" s="253">
      <c r="A317" s="377" t="n"/>
      <c r="B317" s="399" t="n">
        <v>45870</v>
      </c>
      <c r="C317" s="377" t="inlineStr">
        <is>
          <t>Malak Bhatt</t>
        </is>
      </c>
      <c r="D317" s="377" t="inlineStr">
        <is>
          <t>INV-25-26-000340</t>
        </is>
      </c>
      <c r="E317" s="377" t="n"/>
      <c r="F317" s="389" t="n">
        <v>45877</v>
      </c>
      <c r="G317" s="389" t="n">
        <v>46241</v>
      </c>
      <c r="H317" s="377" t="inlineStr">
        <is>
          <t>Annual Upfront</t>
        </is>
      </c>
      <c r="I317" s="380" t="n">
        <v>74340</v>
      </c>
      <c r="J317" s="377" t="n"/>
      <c r="K317" s="381" t="n"/>
      <c r="L317" s="377" t="n">
        <v>365</v>
      </c>
      <c r="M317" s="377" t="n"/>
      <c r="N317" s="381" t="n"/>
      <c r="O317" s="381" t="n"/>
      <c r="P317" s="381" t="n"/>
      <c r="Q317" s="377" t="n"/>
      <c r="R317" s="377" t="n"/>
      <c r="S317" s="377" t="n"/>
      <c r="T317" s="381" t="n"/>
      <c r="U317" s="377" t="n"/>
      <c r="V317" s="381" t="n"/>
      <c r="W317" s="384" t="n">
        <v>24</v>
      </c>
      <c r="X317" s="380" t="n">
        <v>6195</v>
      </c>
      <c r="Y317" s="380" t="n">
        <v>4888.11</v>
      </c>
      <c r="Z317" s="384" t="n">
        <v>30</v>
      </c>
      <c r="AA317" s="383" t="n">
        <v>6195</v>
      </c>
      <c r="AB317" s="383" t="n">
        <v>6110.137</v>
      </c>
      <c r="AC317" s="387" t="n">
        <v>31</v>
      </c>
      <c r="AD317" s="388" t="n">
        <v>6195</v>
      </c>
      <c r="AE317" s="388" t="n">
        <v>6313.808</v>
      </c>
    </row>
    <row r="318" ht="15.75" customHeight="1" s="253">
      <c r="A318" s="377" t="n"/>
      <c r="B318" s="399" t="n">
        <v>45870</v>
      </c>
      <c r="C318" s="377" t="inlineStr">
        <is>
          <t>Vikas Mehta</t>
        </is>
      </c>
      <c r="D318" s="377" t="inlineStr">
        <is>
          <t>INV-25-26-000341</t>
        </is>
      </c>
      <c r="E318" s="377" t="n"/>
      <c r="F318" s="389" t="n">
        <v>45877</v>
      </c>
      <c r="G318" s="389" t="n">
        <v>46241</v>
      </c>
      <c r="H318" s="377" t="inlineStr">
        <is>
          <t>Annual Upfront</t>
        </is>
      </c>
      <c r="I318" s="380" t="n">
        <v>65000</v>
      </c>
      <c r="J318" s="377" t="n"/>
      <c r="K318" s="381" t="n"/>
      <c r="L318" s="377" t="n">
        <v>365</v>
      </c>
      <c r="M318" s="377" t="n"/>
      <c r="N318" s="381" t="n"/>
      <c r="O318" s="381" t="n"/>
      <c r="P318" s="381" t="n"/>
      <c r="Q318" s="377" t="n"/>
      <c r="R318" s="377" t="n"/>
      <c r="S318" s="377" t="n"/>
      <c r="T318" s="381" t="n"/>
      <c r="U318" s="377" t="n"/>
      <c r="V318" s="381" t="n"/>
      <c r="W318" s="384" t="n">
        <v>24</v>
      </c>
      <c r="X318" s="380" t="n">
        <v>5416.667</v>
      </c>
      <c r="Y318" s="380" t="n">
        <v>4273.973</v>
      </c>
      <c r="Z318" s="384" t="n">
        <v>30</v>
      </c>
      <c r="AA318" s="383" t="n">
        <v>5416.667</v>
      </c>
      <c r="AB318" s="383" t="n">
        <v>5342.466</v>
      </c>
      <c r="AC318" s="387" t="n">
        <v>31</v>
      </c>
      <c r="AD318" s="388" t="n">
        <v>5416.667</v>
      </c>
      <c r="AE318" s="388" t="n">
        <v>5520.548</v>
      </c>
    </row>
    <row r="319" ht="15.75" customHeight="1" s="253">
      <c r="A319" s="377" t="n"/>
      <c r="B319" s="399" t="n">
        <v>45870</v>
      </c>
      <c r="C319" s="377" t="inlineStr">
        <is>
          <t>IRIS LEGAL</t>
        </is>
      </c>
      <c r="D319" s="377" t="inlineStr">
        <is>
          <t>INV-25-26-000342</t>
        </is>
      </c>
      <c r="E319" s="377" t="n"/>
      <c r="F319" s="389" t="n">
        <v>45877</v>
      </c>
      <c r="G319" s="389" t="n">
        <v>46241</v>
      </c>
      <c r="H319" s="377" t="inlineStr">
        <is>
          <t>Annual Upfront</t>
        </is>
      </c>
      <c r="I319" s="380" t="n">
        <v>82000</v>
      </c>
      <c r="J319" s="377" t="n"/>
      <c r="K319" s="381" t="n"/>
      <c r="L319" s="377" t="n">
        <v>365</v>
      </c>
      <c r="M319" s="377" t="n"/>
      <c r="N319" s="381" t="n"/>
      <c r="O319" s="381" t="n"/>
      <c r="P319" s="381" t="n"/>
      <c r="Q319" s="377" t="n"/>
      <c r="R319" s="377" t="n"/>
      <c r="S319" s="377" t="n"/>
      <c r="T319" s="381" t="n"/>
      <c r="U319" s="377" t="n"/>
      <c r="V319" s="381" t="n"/>
      <c r="W319" s="384" t="n">
        <v>24</v>
      </c>
      <c r="X319" s="380" t="n">
        <v>6833.333</v>
      </c>
      <c r="Y319" s="380" t="n">
        <v>5391.781</v>
      </c>
      <c r="Z319" s="384" t="n">
        <v>30</v>
      </c>
      <c r="AA319" s="383" t="n">
        <v>6833.333</v>
      </c>
      <c r="AB319" s="383" t="n">
        <v>6739.726</v>
      </c>
      <c r="AC319" s="387" t="n">
        <v>31</v>
      </c>
      <c r="AD319" s="388" t="n">
        <v>6833.333</v>
      </c>
      <c r="AE319" s="388" t="n">
        <v>6964.384</v>
      </c>
    </row>
    <row r="320" ht="15.75" customHeight="1" s="253">
      <c r="A320" s="377" t="n"/>
      <c r="B320" s="399" t="n">
        <v>45870</v>
      </c>
      <c r="C320" s="377" t="inlineStr">
        <is>
          <t>Parul Sharma</t>
        </is>
      </c>
      <c r="D320" s="377" t="inlineStr">
        <is>
          <t>INV-25-26-000348</t>
        </is>
      </c>
      <c r="E320" s="377" t="n"/>
      <c r="F320" s="389" t="n">
        <v>45881</v>
      </c>
      <c r="G320" s="389" t="n">
        <v>46245</v>
      </c>
      <c r="H320" s="377" t="inlineStr">
        <is>
          <t>Annual Upfront</t>
        </is>
      </c>
      <c r="I320" s="380" t="n">
        <v>70000</v>
      </c>
      <c r="J320" s="377" t="n"/>
      <c r="K320" s="381" t="n"/>
      <c r="L320" s="377" t="n">
        <v>365</v>
      </c>
      <c r="M320" s="377" t="n"/>
      <c r="N320" s="381" t="n"/>
      <c r="O320" s="381" t="n"/>
      <c r="P320" s="381" t="n"/>
      <c r="Q320" s="377" t="n"/>
      <c r="R320" s="377" t="n"/>
      <c r="S320" s="377" t="n"/>
      <c r="T320" s="381" t="n"/>
      <c r="U320" s="377" t="n"/>
      <c r="V320" s="381" t="n"/>
      <c r="W320" s="384" t="n">
        <v>20</v>
      </c>
      <c r="X320" s="380" t="n">
        <v>5833.333</v>
      </c>
      <c r="Y320" s="380" t="n">
        <v>3835.616</v>
      </c>
      <c r="Z320" s="384" t="n">
        <v>30</v>
      </c>
      <c r="AA320" s="383" t="n">
        <v>5833.333</v>
      </c>
      <c r="AB320" s="383" t="n">
        <v>5753.425</v>
      </c>
      <c r="AC320" s="387" t="n">
        <v>31</v>
      </c>
      <c r="AD320" s="388" t="n">
        <v>5833.333</v>
      </c>
      <c r="AE320" s="388" t="n">
        <v>5945.205</v>
      </c>
    </row>
    <row r="321" ht="15.75" customHeight="1" s="253">
      <c r="A321" s="377" t="n"/>
      <c r="B321" s="399" t="n">
        <v>45870</v>
      </c>
      <c r="C321" s="377" t="inlineStr">
        <is>
          <t>Tushar Jarwal</t>
        </is>
      </c>
      <c r="D321" s="377" t="inlineStr">
        <is>
          <t>INV-25-26-000349</t>
        </is>
      </c>
      <c r="E321" s="377" t="n"/>
      <c r="F321" s="389" t="n">
        <v>45881</v>
      </c>
      <c r="G321" s="389" t="n">
        <v>46064</v>
      </c>
      <c r="H321" s="377" t="inlineStr">
        <is>
          <t>6 month-Upfront</t>
        </is>
      </c>
      <c r="I321" s="380" t="n">
        <v>41300</v>
      </c>
      <c r="J321" s="377" t="n"/>
      <c r="K321" s="381" t="n"/>
      <c r="L321" s="377" t="n">
        <v>184</v>
      </c>
      <c r="M321" s="377" t="n"/>
      <c r="N321" s="381" t="n"/>
      <c r="O321" s="381" t="n"/>
      <c r="P321" s="381" t="n"/>
      <c r="Q321" s="377" t="n"/>
      <c r="R321" s="377" t="n"/>
      <c r="S321" s="377" t="n"/>
      <c r="T321" s="381" t="n"/>
      <c r="U321" s="377" t="n"/>
      <c r="V321" s="381" t="n"/>
      <c r="W321" s="384" t="n">
        <v>20</v>
      </c>
      <c r="X321" s="381" t="n">
        <v>6883.333</v>
      </c>
      <c r="Y321" s="380" t="n">
        <v>4489.13</v>
      </c>
      <c r="Z321" s="384" t="n">
        <v>30</v>
      </c>
      <c r="AA321" s="383" t="n">
        <v>6883.333</v>
      </c>
      <c r="AB321" s="383" t="n">
        <v>6733.696</v>
      </c>
      <c r="AC321" s="387" t="n">
        <v>31</v>
      </c>
      <c r="AD321" s="388" t="n">
        <v>6883.333</v>
      </c>
      <c r="AE321" s="388" t="n">
        <v>6958.152</v>
      </c>
    </row>
    <row r="322" ht="15.75" customHeight="1" s="253">
      <c r="A322" s="377" t="n"/>
      <c r="B322" s="399" t="n">
        <v>45870</v>
      </c>
      <c r="C322" s="377" t="inlineStr">
        <is>
          <t>Virmani &amp; Virmani</t>
        </is>
      </c>
      <c r="D322" s="377" t="inlineStr">
        <is>
          <t>INV-25-26-000350</t>
        </is>
      </c>
      <c r="E322" s="377" t="n"/>
      <c r="F322" s="389" t="n">
        <v>45884</v>
      </c>
      <c r="G322" s="389" t="n">
        <v>46248</v>
      </c>
      <c r="H322" s="377" t="inlineStr">
        <is>
          <t>Annual Upfront</t>
        </is>
      </c>
      <c r="I322" s="380" t="n">
        <v>74340</v>
      </c>
      <c r="J322" s="377" t="n"/>
      <c r="K322" s="381" t="n"/>
      <c r="L322" s="377" t="n">
        <v>365</v>
      </c>
      <c r="M322" s="377" t="n"/>
      <c r="N322" s="381" t="n"/>
      <c r="O322" s="381" t="n"/>
      <c r="P322" s="381" t="n"/>
      <c r="Q322" s="377" t="n"/>
      <c r="R322" s="377" t="n"/>
      <c r="S322" s="377" t="n"/>
      <c r="T322" s="381" t="n"/>
      <c r="U322" s="377" t="n"/>
      <c r="V322" s="381" t="n"/>
      <c r="W322" s="384" t="n">
        <v>17</v>
      </c>
      <c r="X322" s="380" t="n">
        <v>6195</v>
      </c>
      <c r="Y322" s="380" t="n">
        <v>3462.411</v>
      </c>
      <c r="Z322" s="384" t="n">
        <v>30</v>
      </c>
      <c r="AA322" s="383" t="n">
        <v>6195</v>
      </c>
      <c r="AB322" s="383" t="n">
        <v>6110.137</v>
      </c>
      <c r="AC322" s="387" t="n">
        <v>31</v>
      </c>
      <c r="AD322" s="388" t="n">
        <v>6195</v>
      </c>
      <c r="AE322" s="388" t="n">
        <v>6313.808</v>
      </c>
    </row>
    <row r="323" ht="15.75" customHeight="1" s="253">
      <c r="A323" s="377" t="n"/>
      <c r="B323" s="399" t="n">
        <v>45870</v>
      </c>
      <c r="C323" s="377" t="inlineStr">
        <is>
          <t>KATARIYA CONSULTANCY INDIA LLP</t>
        </is>
      </c>
      <c r="D323" s="377" t="inlineStr">
        <is>
          <t>INV-25-26-000351</t>
        </is>
      </c>
      <c r="E323" s="377" t="n"/>
      <c r="F323" s="389" t="n">
        <v>45882</v>
      </c>
      <c r="G323" s="389" t="n">
        <v>45973</v>
      </c>
      <c r="H323" s="379" t="inlineStr">
        <is>
          <t>3 months subscription, upfront</t>
        </is>
      </c>
      <c r="I323" s="380" t="n">
        <v>35400</v>
      </c>
      <c r="J323" s="377" t="n"/>
      <c r="K323" s="381" t="n"/>
      <c r="L323" s="377" t="n">
        <v>92</v>
      </c>
      <c r="M323" s="377" t="n"/>
      <c r="N323" s="381" t="n"/>
      <c r="O323" s="381" t="n"/>
      <c r="P323" s="381" t="n"/>
      <c r="Q323" s="377" t="n"/>
      <c r="R323" s="377" t="n"/>
      <c r="S323" s="377" t="n"/>
      <c r="T323" s="381" t="n"/>
      <c r="U323" s="377" t="n"/>
      <c r="V323" s="381" t="n"/>
      <c r="W323" s="384" t="n">
        <v>19</v>
      </c>
      <c r="X323" s="381" t="n">
        <v>11800</v>
      </c>
      <c r="Y323" s="380" t="n">
        <v>7310.87</v>
      </c>
      <c r="Z323" s="384" t="n">
        <v>30</v>
      </c>
      <c r="AA323" s="383" t="n">
        <v>11800</v>
      </c>
      <c r="AB323" s="383" t="n">
        <v>11543.478</v>
      </c>
      <c r="AC323" s="387" t="n">
        <v>31</v>
      </c>
      <c r="AD323" s="388" t="n">
        <v>11800</v>
      </c>
      <c r="AE323" s="388" t="n">
        <v>11928.261</v>
      </c>
    </row>
    <row r="324" ht="15.75" customHeight="1" s="253">
      <c r="A324" s="377" t="n"/>
      <c r="B324" s="399" t="n">
        <v>45870</v>
      </c>
      <c r="C324" s="377" t="inlineStr">
        <is>
          <t>Foresight Law Offices</t>
        </is>
      </c>
      <c r="D324" s="377" t="inlineStr">
        <is>
          <t>INV-25-26-000352, INV-25-26-000446' 000542</t>
        </is>
      </c>
      <c r="E324" s="377" t="n"/>
      <c r="F324" s="389" t="n">
        <v>45883</v>
      </c>
      <c r="G324" s="389" t="n">
        <v>45913</v>
      </c>
      <c r="H324" s="377" t="inlineStr">
        <is>
          <t>1 month-Upfront</t>
        </is>
      </c>
      <c r="I324" s="380" t="n">
        <v>10000</v>
      </c>
      <c r="J324" s="377" t="n"/>
      <c r="K324" s="381" t="n"/>
      <c r="L324" s="377" t="n">
        <v>31</v>
      </c>
      <c r="M324" s="377" t="n"/>
      <c r="N324" s="381" t="n"/>
      <c r="O324" s="381" t="n"/>
      <c r="P324" s="381" t="n"/>
      <c r="Q324" s="377" t="n"/>
      <c r="R324" s="377" t="n"/>
      <c r="S324" s="377" t="n"/>
      <c r="T324" s="381" t="n"/>
      <c r="U324" s="377" t="n"/>
      <c r="V324" s="381" t="n"/>
      <c r="W324" s="384" t="n">
        <v>18</v>
      </c>
      <c r="X324" s="401" t="n">
        <v>10000</v>
      </c>
      <c r="Y324" s="380" t="n">
        <v>5806.452</v>
      </c>
      <c r="Z324" s="377" t="n">
        <v>13</v>
      </c>
      <c r="AA324" s="377" t="n"/>
      <c r="AB324" s="383" t="n">
        <v>4193.548</v>
      </c>
      <c r="AC324" s="385" t="n"/>
      <c r="AD324" s="385" t="n"/>
      <c r="AE324" s="385" t="n"/>
    </row>
    <row r="325" ht="15.75" customHeight="1" s="253">
      <c r="A325" s="377" t="n"/>
      <c r="B325" s="399" t="n">
        <v>45870</v>
      </c>
      <c r="C325" s="377" t="inlineStr">
        <is>
          <t>Kushagra Shah</t>
        </is>
      </c>
      <c r="D325" s="377" t="inlineStr">
        <is>
          <t>INV-25-26-000353</t>
        </is>
      </c>
      <c r="E325" s="377" t="n"/>
      <c r="F325" s="389" t="n">
        <v>45883</v>
      </c>
      <c r="G325" s="389" t="n">
        <v>46247</v>
      </c>
      <c r="H325" s="377" t="inlineStr">
        <is>
          <t>Annual Upfront</t>
        </is>
      </c>
      <c r="I325" s="380" t="n">
        <v>99120</v>
      </c>
      <c r="J325" s="377" t="n"/>
      <c r="K325" s="381" t="n"/>
      <c r="L325" s="377" t="n">
        <v>365</v>
      </c>
      <c r="M325" s="377" t="n"/>
      <c r="N325" s="381" t="n"/>
      <c r="O325" s="381" t="n"/>
      <c r="P325" s="381" t="n"/>
      <c r="Q325" s="377" t="n"/>
      <c r="R325" s="377" t="n"/>
      <c r="S325" s="377" t="n"/>
      <c r="T325" s="381" t="n"/>
      <c r="U325" s="377" t="n"/>
      <c r="V325" s="381" t="n"/>
      <c r="W325" s="384" t="n">
        <v>18</v>
      </c>
      <c r="X325" s="380" t="n">
        <v>8260</v>
      </c>
      <c r="Y325" s="380" t="n">
        <v>4888.11</v>
      </c>
      <c r="Z325" s="384" t="n">
        <v>30</v>
      </c>
      <c r="AA325" s="383" t="n">
        <v>8260</v>
      </c>
      <c r="AB325" s="383" t="n">
        <v>8146.849</v>
      </c>
      <c r="AC325" s="387" t="n">
        <v>31</v>
      </c>
      <c r="AD325" s="388" t="n">
        <v>8260</v>
      </c>
      <c r="AE325" s="388" t="n">
        <v>8418.411</v>
      </c>
    </row>
    <row r="326" ht="15.75" customHeight="1" s="253">
      <c r="A326" s="377" t="n"/>
      <c r="B326" s="399" t="n">
        <v>45870</v>
      </c>
      <c r="C326" s="377" t="inlineStr">
        <is>
          <t>Argus Partners</t>
        </is>
      </c>
      <c r="D326" s="377" t="inlineStr">
        <is>
          <t>INV-25-26-000354</t>
        </is>
      </c>
      <c r="E326" s="377" t="n"/>
      <c r="F326" s="389" t="n">
        <v>45887</v>
      </c>
      <c r="G326" s="389" t="n">
        <v>46251</v>
      </c>
      <c r="H326" s="386" t="inlineStr">
        <is>
          <t>Annual- Half Yearly Payment</t>
        </is>
      </c>
      <c r="I326" s="380" t="n">
        <v>1720440</v>
      </c>
      <c r="J326" s="377" t="n"/>
      <c r="K326" s="381" t="n"/>
      <c r="L326" s="377" t="n">
        <v>365</v>
      </c>
      <c r="M326" s="377" t="n"/>
      <c r="N326" s="381" t="n"/>
      <c r="O326" s="381" t="n"/>
      <c r="P326" s="381" t="n"/>
      <c r="Q326" s="377" t="n"/>
      <c r="R326" s="377" t="n"/>
      <c r="S326" s="377" t="n"/>
      <c r="T326" s="381" t="n"/>
      <c r="U326" s="377" t="n"/>
      <c r="V326" s="381" t="n"/>
      <c r="W326" s="384" t="n">
        <v>14</v>
      </c>
      <c r="X326" s="380" t="n">
        <v>143370</v>
      </c>
      <c r="Y326" s="380" t="n">
        <v>65989.47900000001</v>
      </c>
      <c r="Z326" s="384" t="n">
        <v>30</v>
      </c>
      <c r="AA326" s="383" t="n">
        <v>143370</v>
      </c>
      <c r="AB326" s="383" t="n">
        <v>141406.027</v>
      </c>
      <c r="AC326" s="387" t="n">
        <v>31</v>
      </c>
      <c r="AD326" s="388" t="n">
        <v>143370</v>
      </c>
      <c r="AE326" s="388" t="n">
        <v>146119.562</v>
      </c>
    </row>
    <row r="327" ht="15.75" customHeight="1" s="253">
      <c r="A327" s="377" t="n"/>
      <c r="B327" s="399" t="n">
        <v>45870</v>
      </c>
      <c r="C327" s="377" t="inlineStr">
        <is>
          <t>SAGA LEGAL</t>
        </is>
      </c>
      <c r="D327" s="377" t="inlineStr">
        <is>
          <t>INV-25-26-000355</t>
        </is>
      </c>
      <c r="E327" s="377" t="n"/>
      <c r="F327" s="389" t="n">
        <v>45894</v>
      </c>
      <c r="G327" s="389" t="n">
        <v>46077</v>
      </c>
      <c r="H327" s="377" t="inlineStr">
        <is>
          <t>6 month-Upfront</t>
        </is>
      </c>
      <c r="I327" s="380" t="n">
        <v>582000</v>
      </c>
      <c r="J327" s="377" t="n"/>
      <c r="K327" s="381" t="n"/>
      <c r="L327" s="377" t="n">
        <v>184</v>
      </c>
      <c r="M327" s="377" t="n"/>
      <c r="N327" s="381" t="n"/>
      <c r="O327" s="381" t="n"/>
      <c r="P327" s="381" t="n"/>
      <c r="Q327" s="377" t="n"/>
      <c r="R327" s="377" t="n"/>
      <c r="S327" s="377" t="n"/>
      <c r="T327" s="381" t="n"/>
      <c r="U327" s="377" t="n"/>
      <c r="V327" s="381" t="n"/>
      <c r="W327" s="384" t="n">
        <v>7</v>
      </c>
      <c r="X327" s="381" t="n">
        <v>97000</v>
      </c>
      <c r="Y327" s="380" t="n">
        <v>22141.304</v>
      </c>
      <c r="Z327" s="384" t="n">
        <v>30</v>
      </c>
      <c r="AA327" s="383" t="n">
        <v>97000</v>
      </c>
      <c r="AB327" s="383" t="n">
        <v>94891.304</v>
      </c>
      <c r="AC327" s="387" t="n">
        <v>31</v>
      </c>
      <c r="AD327" s="388" t="n">
        <v>97000</v>
      </c>
      <c r="AE327" s="388" t="n">
        <v>98054.348</v>
      </c>
    </row>
    <row r="328" ht="15.75" customHeight="1" s="253">
      <c r="A328" s="377" t="n"/>
      <c r="B328" s="399" t="n">
        <v>45870</v>
      </c>
      <c r="C328" s="377" t="inlineStr">
        <is>
          <t>Jain and Talukdar</t>
        </is>
      </c>
      <c r="D328" s="377" t="inlineStr">
        <is>
          <t>INV-25-26-000356</t>
        </is>
      </c>
      <c r="E328" s="377" t="n"/>
      <c r="F328" s="389" t="n">
        <v>45884</v>
      </c>
      <c r="G328" s="389" t="n">
        <v>46248</v>
      </c>
      <c r="H328" s="377" t="inlineStr">
        <is>
          <t>Annual Upfront</t>
        </is>
      </c>
      <c r="I328" s="380" t="n">
        <v>82600</v>
      </c>
      <c r="J328" s="377" t="n"/>
      <c r="K328" s="381" t="n"/>
      <c r="L328" s="377" t="n">
        <v>365</v>
      </c>
      <c r="M328" s="377" t="n"/>
      <c r="N328" s="381" t="n"/>
      <c r="O328" s="381" t="n"/>
      <c r="P328" s="381" t="n"/>
      <c r="Q328" s="377" t="n"/>
      <c r="R328" s="377" t="n"/>
      <c r="S328" s="377" t="n"/>
      <c r="T328" s="381" t="n"/>
      <c r="U328" s="377" t="n"/>
      <c r="V328" s="381" t="n"/>
      <c r="W328" s="384" t="n">
        <v>17</v>
      </c>
      <c r="X328" s="380" t="n">
        <v>6883.333</v>
      </c>
      <c r="Y328" s="380" t="n">
        <v>3847.123</v>
      </c>
      <c r="Z328" s="384" t="n">
        <v>30</v>
      </c>
      <c r="AA328" s="383" t="n">
        <v>6883.333</v>
      </c>
      <c r="AB328" s="383" t="n">
        <v>6789.041</v>
      </c>
      <c r="AC328" s="387" t="n">
        <v>31</v>
      </c>
      <c r="AD328" s="388" t="n">
        <v>6883.333</v>
      </c>
      <c r="AE328" s="388" t="n">
        <v>7015.342</v>
      </c>
    </row>
    <row r="329" ht="15.75" customHeight="1" s="253">
      <c r="A329" s="377" t="n"/>
      <c r="B329" s="399" t="n">
        <v>45839</v>
      </c>
      <c r="C329" s="377" t="inlineStr">
        <is>
          <t>TLH, Advocates &amp; Solicitors</t>
        </is>
      </c>
      <c r="D329" s="377" t="inlineStr">
        <is>
          <t>INV-25-26-000271</t>
        </is>
      </c>
      <c r="E329" s="377" t="n"/>
      <c r="F329" s="389" t="n">
        <v>45866</v>
      </c>
      <c r="G329" s="389" t="n">
        <v>45883</v>
      </c>
      <c r="H329" s="386" t="inlineStr">
        <is>
          <t>19 -Days -Upfront</t>
        </is>
      </c>
      <c r="I329" s="380" t="n">
        <v>40819.174</v>
      </c>
      <c r="J329" s="377" t="n"/>
      <c r="K329" s="381" t="n"/>
      <c r="L329" s="377" t="n">
        <v>18</v>
      </c>
      <c r="M329" s="377" t="n"/>
      <c r="N329" s="381" t="n"/>
      <c r="O329" s="381" t="n"/>
      <c r="P329" s="381" t="n"/>
      <c r="Q329" s="377" t="n"/>
      <c r="R329" s="377" t="n"/>
      <c r="S329" s="377" t="n"/>
      <c r="T329" s="381" t="n">
        <v>40819.1736</v>
      </c>
      <c r="U329" s="381" t="n">
        <v>4</v>
      </c>
      <c r="V329" s="383" t="n">
        <v>9070.92746666667</v>
      </c>
      <c r="W329" s="384" t="n">
        <v>14</v>
      </c>
      <c r="X329" s="381" t="n">
        <v>0</v>
      </c>
      <c r="Y329" s="380" t="n">
        <v>31748.246</v>
      </c>
      <c r="Z329" s="384" t="n"/>
      <c r="AA329" s="383" t="n"/>
      <c r="AB329" s="383" t="n"/>
      <c r="AC329" s="385" t="n"/>
      <c r="AD329" s="385" t="n"/>
      <c r="AE329" s="385" t="n"/>
    </row>
    <row r="330" ht="15.75" customFormat="1" customHeight="1" s="361">
      <c r="A330" s="368" t="n"/>
      <c r="B330" s="399" t="n">
        <v>45931</v>
      </c>
      <c r="C330" s="377" t="inlineStr">
        <is>
          <t>TLH, Advocates &amp; Solicitors</t>
        </is>
      </c>
      <c r="D330" s="377" t="inlineStr">
        <is>
          <t>INV-25-26-000533</t>
        </is>
      </c>
      <c r="E330" s="389" t="n">
        <v>45884</v>
      </c>
      <c r="F330" s="389" t="n">
        <v>45945</v>
      </c>
      <c r="G330" s="389" t="n">
        <v>46126</v>
      </c>
      <c r="H330" s="391" t="inlineStr">
        <is>
          <t>6 months subscription, Monthly</t>
        </is>
      </c>
      <c r="I330" s="380" t="n">
        <v>1081172.64</v>
      </c>
      <c r="J330" s="377" t="n"/>
      <c r="K330" s="381" t="n"/>
      <c r="L330" s="377" t="n">
        <v>182</v>
      </c>
      <c r="M330" s="368" t="n"/>
      <c r="N330" s="370" t="n"/>
      <c r="O330" s="370" t="n"/>
      <c r="P330" s="370" t="n"/>
      <c r="Q330" s="368" t="n"/>
      <c r="R330" s="368" t="n"/>
      <c r="S330" s="368" t="n"/>
      <c r="T330" s="370" t="n"/>
      <c r="U330" s="370" t="n"/>
      <c r="V330" s="404" t="n"/>
      <c r="W330" s="405" t="n"/>
      <c r="X330" s="370" t="n"/>
      <c r="Y330" s="406" t="n"/>
      <c r="Z330" s="405" t="n"/>
      <c r="AA330" s="404" t="n"/>
      <c r="AB330" s="404" t="n"/>
      <c r="AC330" s="387" t="n">
        <v>17</v>
      </c>
      <c r="AD330" s="388" t="n">
        <v>180195.44</v>
      </c>
      <c r="AE330" s="388" t="n">
        <v>100988.653</v>
      </c>
    </row>
    <row r="331" ht="15.75" customHeight="1" s="253">
      <c r="A331" s="377" t="n"/>
      <c r="B331" s="399" t="n">
        <v>45901</v>
      </c>
      <c r="C331" s="377" t="inlineStr">
        <is>
          <t>TLH, Advocates &amp; Solicitors</t>
        </is>
      </c>
      <c r="D331" s="377" t="inlineStr">
        <is>
          <t>INV-25-26-000431</t>
        </is>
      </c>
      <c r="E331" s="377" t="n"/>
      <c r="F331" s="389" t="n">
        <v>45884</v>
      </c>
      <c r="G331" s="389" t="n">
        <v>45944</v>
      </c>
      <c r="H331" s="391" t="inlineStr">
        <is>
          <t>2 months subscription, Monthly</t>
        </is>
      </c>
      <c r="I331" s="380" t="n">
        <v>405127.04</v>
      </c>
      <c r="J331" s="377" t="n"/>
      <c r="K331" s="381" t="n"/>
      <c r="L331" s="377" t="n">
        <v>61</v>
      </c>
      <c r="M331" s="377" t="n"/>
      <c r="N331" s="381" t="n"/>
      <c r="O331" s="381" t="n"/>
      <c r="P331" s="381" t="n"/>
      <c r="Q331" s="377" t="n"/>
      <c r="R331" s="377" t="n"/>
      <c r="S331" s="377" t="n"/>
      <c r="T331" s="381" t="n"/>
      <c r="U331" s="377" t="n"/>
      <c r="V331" s="381" t="n"/>
      <c r="W331" s="384" t="n">
        <v>17</v>
      </c>
      <c r="X331" s="381" t="n">
        <v>50640.88</v>
      </c>
      <c r="Y331" s="380" t="n">
        <v>112904.257</v>
      </c>
      <c r="Z331" s="384" t="n">
        <v>30</v>
      </c>
      <c r="AA331" s="383" t="n">
        <v>50640.88</v>
      </c>
      <c r="AB331" s="383" t="n">
        <v>199242.807</v>
      </c>
      <c r="AC331" s="387" t="n">
        <v>14</v>
      </c>
      <c r="AD331" s="385" t="n">
        <v>202563.52</v>
      </c>
      <c r="AE331" s="388" t="n">
        <v>92979.976</v>
      </c>
    </row>
    <row r="332" ht="15.75" customHeight="1" s="253">
      <c r="A332" s="377" t="n"/>
      <c r="B332" s="399" t="n">
        <v>45870</v>
      </c>
      <c r="C332" s="377" t="inlineStr">
        <is>
          <t>Bharat Chugh</t>
        </is>
      </c>
      <c r="D332" s="377" t="inlineStr">
        <is>
          <t>INV-25-26-000362</t>
        </is>
      </c>
      <c r="E332" s="377" t="n"/>
      <c r="F332" s="389" t="n">
        <v>45887</v>
      </c>
      <c r="G332" s="389" t="n">
        <v>46251</v>
      </c>
      <c r="H332" s="377" t="inlineStr">
        <is>
          <t>Annual Upfront</t>
        </is>
      </c>
      <c r="I332" s="380" t="n">
        <v>141600</v>
      </c>
      <c r="J332" s="377" t="n"/>
      <c r="K332" s="381" t="n"/>
      <c r="L332" s="377" t="n">
        <v>365</v>
      </c>
      <c r="M332" s="377" t="n"/>
      <c r="N332" s="381" t="n"/>
      <c r="O332" s="381" t="n"/>
      <c r="P332" s="381" t="n"/>
      <c r="Q332" s="377" t="n"/>
      <c r="R332" s="377" t="n"/>
      <c r="S332" s="377" t="n"/>
      <c r="T332" s="381" t="n"/>
      <c r="U332" s="377" t="n"/>
      <c r="V332" s="381" t="n"/>
      <c r="W332" s="384" t="n">
        <v>14</v>
      </c>
      <c r="X332" s="380" t="n">
        <v>11800</v>
      </c>
      <c r="Y332" s="380" t="n">
        <v>5431.233</v>
      </c>
      <c r="Z332" s="384" t="n">
        <v>30</v>
      </c>
      <c r="AA332" s="383" t="n">
        <v>11800</v>
      </c>
      <c r="AB332" s="383" t="n">
        <v>11638.356</v>
      </c>
      <c r="AC332" s="387" t="n">
        <v>31</v>
      </c>
      <c r="AD332" s="388" t="n">
        <v>11800</v>
      </c>
      <c r="AE332" s="388" t="n">
        <v>12026.301</v>
      </c>
    </row>
    <row r="333" ht="15.75" customHeight="1" s="253">
      <c r="A333" s="377" t="n"/>
      <c r="B333" s="399" t="n">
        <v>45870</v>
      </c>
      <c r="C333" s="377" t="inlineStr">
        <is>
          <t>Tuli &amp; Co.</t>
        </is>
      </c>
      <c r="D333" s="377" t="inlineStr">
        <is>
          <t>INV-25-26-000363</t>
        </is>
      </c>
      <c r="E333" s="377" t="n"/>
      <c r="F333" s="389" t="n">
        <v>45897</v>
      </c>
      <c r="G333" s="389" t="n">
        <v>46258</v>
      </c>
      <c r="H333" s="377" t="inlineStr">
        <is>
          <t>Annual Upfront</t>
        </is>
      </c>
      <c r="I333" s="380" t="n">
        <v>1239000</v>
      </c>
      <c r="J333" s="377" t="n"/>
      <c r="K333" s="381" t="n"/>
      <c r="L333" s="377" t="n">
        <v>362</v>
      </c>
      <c r="M333" s="377" t="n"/>
      <c r="N333" s="381" t="n"/>
      <c r="O333" s="381" t="n"/>
      <c r="P333" s="381" t="n"/>
      <c r="Q333" s="377" t="n"/>
      <c r="R333" s="377" t="n"/>
      <c r="S333" s="377" t="n"/>
      <c r="T333" s="381" t="n"/>
      <c r="U333" s="377" t="n"/>
      <c r="V333" s="381" t="n"/>
      <c r="W333" s="384" t="n">
        <v>4</v>
      </c>
      <c r="X333" s="380" t="n">
        <v>103250</v>
      </c>
      <c r="Y333" s="380" t="n">
        <v>13690.608</v>
      </c>
      <c r="Z333" s="384" t="n">
        <v>30</v>
      </c>
      <c r="AA333" s="383" t="n">
        <v>103250</v>
      </c>
      <c r="AB333" s="383" t="n">
        <v>102679.558</v>
      </c>
      <c r="AC333" s="387" t="n">
        <v>31</v>
      </c>
      <c r="AD333" s="388" t="n">
        <v>103250</v>
      </c>
      <c r="AE333" s="388" t="n">
        <v>106102.21</v>
      </c>
    </row>
    <row r="334" ht="15.75" customHeight="1" s="253">
      <c r="A334" s="377" t="n"/>
      <c r="B334" s="399" t="n">
        <v>45870</v>
      </c>
      <c r="C334" s="377" t="inlineStr">
        <is>
          <t>Karthik Sundar</t>
        </is>
      </c>
      <c r="D334" s="377" t="inlineStr">
        <is>
          <t>INV-25-26-000364</t>
        </is>
      </c>
      <c r="E334" s="377" t="n"/>
      <c r="F334" s="389" t="n">
        <v>45887</v>
      </c>
      <c r="G334" s="389" t="n">
        <v>46251</v>
      </c>
      <c r="H334" s="377" t="inlineStr">
        <is>
          <t>Annual Upfront</t>
        </is>
      </c>
      <c r="I334" s="380" t="n">
        <v>82600</v>
      </c>
      <c r="J334" s="377" t="n"/>
      <c r="K334" s="381" t="n"/>
      <c r="L334" s="377" t="n">
        <v>365</v>
      </c>
      <c r="M334" s="377" t="n"/>
      <c r="N334" s="381" t="n"/>
      <c r="O334" s="381" t="n"/>
      <c r="P334" s="381" t="n"/>
      <c r="Q334" s="377" t="n"/>
      <c r="R334" s="377" t="n"/>
      <c r="S334" s="377" t="n"/>
      <c r="T334" s="381" t="n"/>
      <c r="U334" s="377" t="n"/>
      <c r="V334" s="381" t="n"/>
      <c r="W334" s="384" t="n">
        <v>14</v>
      </c>
      <c r="X334" s="380" t="n">
        <v>6883.333</v>
      </c>
      <c r="Y334" s="380" t="n">
        <v>3168.219</v>
      </c>
      <c r="Z334" s="384" t="n">
        <v>30</v>
      </c>
      <c r="AA334" s="383" t="n">
        <v>6883.333</v>
      </c>
      <c r="AB334" s="383" t="n">
        <v>6789.041</v>
      </c>
      <c r="AC334" s="387" t="n">
        <v>31</v>
      </c>
      <c r="AD334" s="388" t="n">
        <v>6883.333</v>
      </c>
      <c r="AE334" s="388" t="n">
        <v>7015.342</v>
      </c>
    </row>
    <row r="335" ht="15.75" customHeight="1" s="253">
      <c r="A335" s="377" t="n"/>
      <c r="B335" s="399" t="n">
        <v>45870</v>
      </c>
      <c r="C335" s="377" t="inlineStr">
        <is>
          <t>Akkash Bhadana</t>
        </is>
      </c>
      <c r="D335" s="377" t="inlineStr">
        <is>
          <t>INV-25-26-000369</t>
        </is>
      </c>
      <c r="E335" s="377" t="n"/>
      <c r="F335" s="389" t="n">
        <v>45888</v>
      </c>
      <c r="G335" s="389" t="n">
        <v>46252</v>
      </c>
      <c r="H335" s="377" t="inlineStr">
        <is>
          <t>Annual Upfront</t>
        </is>
      </c>
      <c r="I335" s="380" t="n">
        <v>82600</v>
      </c>
      <c r="J335" s="377" t="n"/>
      <c r="K335" s="381" t="n"/>
      <c r="L335" s="377" t="n">
        <v>365</v>
      </c>
      <c r="M335" s="377" t="n"/>
      <c r="N335" s="381" t="n"/>
      <c r="O335" s="381" t="n"/>
      <c r="P335" s="381" t="n"/>
      <c r="Q335" s="377" t="n"/>
      <c r="R335" s="377" t="n"/>
      <c r="S335" s="377" t="n"/>
      <c r="T335" s="381" t="n"/>
      <c r="U335" s="377" t="n"/>
      <c r="V335" s="381" t="n"/>
      <c r="W335" s="384" t="n">
        <v>13</v>
      </c>
      <c r="X335" s="380" t="n">
        <v>6883.333</v>
      </c>
      <c r="Y335" s="380" t="n">
        <v>2941.918</v>
      </c>
      <c r="Z335" s="384" t="n">
        <v>30</v>
      </c>
      <c r="AA335" s="383" t="n">
        <v>6883.333</v>
      </c>
      <c r="AB335" s="383" t="n">
        <v>6789.041</v>
      </c>
      <c r="AC335" s="387" t="n">
        <v>31</v>
      </c>
      <c r="AD335" s="388" t="n">
        <v>6883.333</v>
      </c>
      <c r="AE335" s="388" t="n">
        <v>7015.342</v>
      </c>
    </row>
    <row r="336" ht="15.75" customHeight="1" s="253">
      <c r="A336" s="377" t="n"/>
      <c r="B336" s="399" t="n">
        <v>45870</v>
      </c>
      <c r="C336" s="377" t="inlineStr">
        <is>
          <t>Gaurav Gupta</t>
        </is>
      </c>
      <c r="D336" s="377" t="inlineStr">
        <is>
          <t>INV-25-26-000370</t>
        </is>
      </c>
      <c r="E336" s="377" t="n"/>
      <c r="F336" s="389" t="n">
        <v>45888</v>
      </c>
      <c r="G336" s="389" t="n">
        <v>46071</v>
      </c>
      <c r="H336" s="377" t="inlineStr">
        <is>
          <t>6 month-Upfront</t>
        </is>
      </c>
      <c r="I336" s="380" t="n">
        <v>41300</v>
      </c>
      <c r="J336" s="377" t="n"/>
      <c r="K336" s="381" t="n"/>
      <c r="L336" s="377" t="n">
        <v>184</v>
      </c>
      <c r="M336" s="377" t="n"/>
      <c r="N336" s="381" t="n"/>
      <c r="O336" s="381" t="n"/>
      <c r="P336" s="381" t="n"/>
      <c r="Q336" s="377" t="n"/>
      <c r="R336" s="377" t="n"/>
      <c r="S336" s="377" t="n"/>
      <c r="T336" s="381" t="n"/>
      <c r="U336" s="377" t="n"/>
      <c r="V336" s="381" t="n"/>
      <c r="W336" s="384" t="n">
        <v>13</v>
      </c>
      <c r="X336" s="381" t="n">
        <v>6883.333</v>
      </c>
      <c r="Y336" s="380" t="n">
        <v>2917.935</v>
      </c>
      <c r="Z336" s="384" t="n">
        <v>30</v>
      </c>
      <c r="AA336" s="383" t="n">
        <v>6883.333</v>
      </c>
      <c r="AB336" s="383" t="n">
        <v>6733.696</v>
      </c>
      <c r="AC336" s="387" t="n">
        <v>31</v>
      </c>
      <c r="AD336" s="388" t="n">
        <v>6883.333</v>
      </c>
      <c r="AE336" s="388" t="n">
        <v>6958.152</v>
      </c>
    </row>
    <row r="337" ht="15.75" customHeight="1" s="253">
      <c r="A337" s="377" t="n"/>
      <c r="B337" s="399" t="n">
        <v>45870</v>
      </c>
      <c r="C337" s="377" t="inlineStr">
        <is>
          <t>Asahi Legal LLP</t>
        </is>
      </c>
      <c r="D337" s="377" t="inlineStr">
        <is>
          <t>INV-25-26-000371</t>
        </is>
      </c>
      <c r="E337" s="377" t="n"/>
      <c r="F337" s="389" t="n">
        <v>45874</v>
      </c>
      <c r="G337" s="389" t="n">
        <v>46238</v>
      </c>
      <c r="H337" s="390" t="inlineStr">
        <is>
          <t>Annual subscription, Quarterly upfront</t>
        </is>
      </c>
      <c r="I337" s="380" t="n">
        <v>90000</v>
      </c>
      <c r="J337" s="377" t="n"/>
      <c r="K337" s="381" t="n"/>
      <c r="L337" s="377" t="n">
        <v>365</v>
      </c>
      <c r="M337" s="377" t="n"/>
      <c r="N337" s="381" t="n"/>
      <c r="O337" s="381" t="n"/>
      <c r="P337" s="381" t="n"/>
      <c r="Q337" s="377" t="n"/>
      <c r="R337" s="377" t="n"/>
      <c r="S337" s="377" t="n"/>
      <c r="T337" s="381" t="n"/>
      <c r="U337" s="377" t="n"/>
      <c r="V337" s="381" t="n"/>
      <c r="W337" s="384" t="n">
        <v>27</v>
      </c>
      <c r="X337" s="380" t="n">
        <v>7500</v>
      </c>
      <c r="Y337" s="380" t="n">
        <v>6657.534</v>
      </c>
      <c r="Z337" s="384" t="n">
        <v>30</v>
      </c>
      <c r="AA337" s="383" t="n">
        <v>7500</v>
      </c>
      <c r="AB337" s="383" t="n">
        <v>7397.26</v>
      </c>
      <c r="AC337" s="387" t="n">
        <v>31</v>
      </c>
      <c r="AD337" s="388" t="n">
        <v>7500</v>
      </c>
      <c r="AE337" s="388" t="n">
        <v>7643.836</v>
      </c>
    </row>
    <row r="338" ht="15.75" customHeight="1" s="253">
      <c r="A338" s="377" t="n"/>
      <c r="B338" s="399" t="n">
        <v>45870</v>
      </c>
      <c r="C338" s="377" t="inlineStr">
        <is>
          <t>Reliance Corporate Advisors (R)</t>
        </is>
      </c>
      <c r="D338" s="377" t="inlineStr">
        <is>
          <t>INV-25-26-000375</t>
        </is>
      </c>
      <c r="E338" s="377" t="n"/>
      <c r="F338" s="389" t="n">
        <v>45887</v>
      </c>
      <c r="G338" s="389" t="n">
        <v>46251</v>
      </c>
      <c r="H338" s="377" t="inlineStr">
        <is>
          <t>Annual Upfront</t>
        </is>
      </c>
      <c r="I338" s="380" t="n">
        <v>86986.5</v>
      </c>
      <c r="J338" s="377" t="n"/>
      <c r="K338" s="381" t="n"/>
      <c r="L338" s="377" t="n">
        <v>365</v>
      </c>
      <c r="M338" s="377" t="n"/>
      <c r="N338" s="381" t="n"/>
      <c r="O338" s="381" t="n"/>
      <c r="P338" s="381" t="n"/>
      <c r="Q338" s="377" t="n"/>
      <c r="R338" s="377" t="n"/>
      <c r="S338" s="377" t="n"/>
      <c r="T338" s="381" t="n"/>
      <c r="U338" s="377" t="n"/>
      <c r="V338" s="381" t="n"/>
      <c r="W338" s="384" t="n">
        <v>14</v>
      </c>
      <c r="X338" s="380" t="n">
        <v>7248.875</v>
      </c>
      <c r="Y338" s="380" t="n">
        <v>3336.468</v>
      </c>
      <c r="Z338" s="384" t="n">
        <v>30</v>
      </c>
      <c r="AA338" s="383" t="n">
        <v>7248.875</v>
      </c>
      <c r="AB338" s="383" t="n">
        <v>7149.575</v>
      </c>
      <c r="AC338" s="387" t="n">
        <v>31</v>
      </c>
      <c r="AD338" s="388" t="n">
        <v>7248.875</v>
      </c>
      <c r="AE338" s="388" t="n">
        <v>7387.895</v>
      </c>
    </row>
    <row r="339" ht="15.75" customHeight="1" s="253">
      <c r="A339" s="377" t="n"/>
      <c r="B339" s="399" t="n">
        <v>45870</v>
      </c>
      <c r="C339" s="377" t="inlineStr">
        <is>
          <t>Amrit Grewal</t>
        </is>
      </c>
      <c r="D339" s="377" t="inlineStr">
        <is>
          <t>INV-25-26-000377</t>
        </is>
      </c>
      <c r="E339" s="377" t="n"/>
      <c r="F339" s="389" t="n">
        <v>45891</v>
      </c>
      <c r="G339" s="389" t="n">
        <v>46074</v>
      </c>
      <c r="H339" s="377" t="inlineStr">
        <is>
          <t>6 month-Upfront</t>
        </is>
      </c>
      <c r="I339" s="380" t="n">
        <v>42480</v>
      </c>
      <c r="J339" s="377" t="n"/>
      <c r="K339" s="381" t="n"/>
      <c r="L339" s="377" t="n">
        <v>184</v>
      </c>
      <c r="M339" s="377" t="n"/>
      <c r="N339" s="381" t="n"/>
      <c r="O339" s="381" t="n"/>
      <c r="P339" s="381" t="n"/>
      <c r="Q339" s="377" t="n"/>
      <c r="R339" s="377" t="n"/>
      <c r="S339" s="377" t="n"/>
      <c r="T339" s="381" t="n"/>
      <c r="U339" s="377" t="n"/>
      <c r="V339" s="381" t="n"/>
      <c r="W339" s="384" t="n">
        <v>10</v>
      </c>
      <c r="X339" s="381" t="n">
        <v>7080</v>
      </c>
      <c r="Y339" s="380" t="n">
        <v>2308.696</v>
      </c>
      <c r="Z339" s="384" t="n">
        <v>30</v>
      </c>
      <c r="AA339" s="383" t="n">
        <v>7080</v>
      </c>
      <c r="AB339" s="383" t="n">
        <v>6926.087</v>
      </c>
      <c r="AC339" s="387" t="n">
        <v>31</v>
      </c>
      <c r="AD339" s="388" t="n">
        <v>7080</v>
      </c>
      <c r="AE339" s="388" t="n">
        <v>7156.957</v>
      </c>
    </row>
    <row r="340" ht="15.75" customHeight="1" s="253">
      <c r="A340" s="377" t="n"/>
      <c r="B340" s="399" t="n">
        <v>45870</v>
      </c>
      <c r="C340" s="377" t="inlineStr">
        <is>
          <t>Khaitan Legal Associates</t>
        </is>
      </c>
      <c r="D340" s="377" t="inlineStr">
        <is>
          <t>INV-25-26-000378, INV-25-26-000561</t>
        </is>
      </c>
      <c r="E340" s="377" t="n"/>
      <c r="F340" s="389" t="n">
        <v>45900</v>
      </c>
      <c r="G340" s="389" t="n">
        <v>46263</v>
      </c>
      <c r="H340" s="386" t="inlineStr">
        <is>
          <t>Annual- Half Yearly Payment</t>
        </is>
      </c>
      <c r="I340" s="380" t="n">
        <v>2987760</v>
      </c>
      <c r="J340" s="377" t="n"/>
      <c r="K340" s="381" t="n"/>
      <c r="L340" s="377" t="n">
        <v>364</v>
      </c>
      <c r="M340" s="377" t="n"/>
      <c r="N340" s="381" t="n"/>
      <c r="O340" s="381" t="n"/>
      <c r="P340" s="381" t="n"/>
      <c r="Q340" s="377" t="n"/>
      <c r="R340" s="377" t="n"/>
      <c r="S340" s="377" t="n"/>
      <c r="T340" s="381" t="n"/>
      <c r="U340" s="377" t="n"/>
      <c r="V340" s="381" t="n"/>
      <c r="W340" s="384" t="n">
        <v>1</v>
      </c>
      <c r="X340" s="380" t="n">
        <v>248980</v>
      </c>
      <c r="Y340" s="380" t="n">
        <v>8208.132</v>
      </c>
      <c r="Z340" s="384" t="n">
        <v>30</v>
      </c>
      <c r="AA340" s="383" t="n">
        <v>248980</v>
      </c>
      <c r="AB340" s="383" t="n">
        <v>246243.956</v>
      </c>
      <c r="AC340" s="387" t="n">
        <v>31</v>
      </c>
      <c r="AD340" s="388" t="n">
        <v>248980</v>
      </c>
      <c r="AE340" s="388" t="n">
        <v>254452.088</v>
      </c>
    </row>
    <row r="341" ht="15.75" customHeight="1" s="253">
      <c r="A341" s="377" t="n"/>
      <c r="B341" s="399" t="n">
        <v>45870</v>
      </c>
      <c r="C341" s="377" t="inlineStr">
        <is>
          <t>J.R. LADDHA FINANCIAL SERVICES PRIVATE LIMITED</t>
        </is>
      </c>
      <c r="D341" s="377" t="inlineStr">
        <is>
          <t>INV-25-26-000379</t>
        </is>
      </c>
      <c r="E341" s="377" t="n"/>
      <c r="F341" s="389" t="n">
        <v>45894</v>
      </c>
      <c r="G341" s="389" t="n">
        <v>45924</v>
      </c>
      <c r="H341" s="377" t="inlineStr">
        <is>
          <t>1 month-Upfront</t>
        </is>
      </c>
      <c r="I341" s="380" t="n">
        <v>7080</v>
      </c>
      <c r="J341" s="377" t="n"/>
      <c r="K341" s="381" t="n"/>
      <c r="L341" s="377" t="n">
        <v>31</v>
      </c>
      <c r="M341" s="377" t="n"/>
      <c r="N341" s="381" t="n"/>
      <c r="O341" s="381" t="n"/>
      <c r="P341" s="381" t="n"/>
      <c r="Q341" s="377" t="n"/>
      <c r="R341" s="377" t="n"/>
      <c r="S341" s="377" t="n"/>
      <c r="T341" s="381" t="n"/>
      <c r="U341" s="377" t="n"/>
      <c r="V341" s="381" t="n"/>
      <c r="W341" s="384" t="n">
        <v>7</v>
      </c>
      <c r="X341" s="401" t="n">
        <v>7080</v>
      </c>
      <c r="Y341" s="380" t="n">
        <v>1598.71</v>
      </c>
      <c r="Z341" s="377" t="n">
        <v>24</v>
      </c>
      <c r="AA341" s="377" t="n"/>
      <c r="AB341" s="383" t="n">
        <v>5481.29</v>
      </c>
      <c r="AC341" s="385" t="n"/>
      <c r="AD341" s="385" t="n"/>
      <c r="AE341" s="385" t="n"/>
    </row>
    <row r="342" ht="15.75" customHeight="1" s="253">
      <c r="A342" s="377" t="n"/>
      <c r="B342" s="399" t="n">
        <v>45870</v>
      </c>
      <c r="C342" s="377" t="inlineStr">
        <is>
          <t>Talha Abdul Rahman</t>
        </is>
      </c>
      <c r="D342" s="377" t="inlineStr">
        <is>
          <t>INV-25-26-000380</t>
        </is>
      </c>
      <c r="E342" s="377" t="n"/>
      <c r="F342" s="389" t="n">
        <v>45717</v>
      </c>
      <c r="G342" s="389" t="n">
        <v>45900</v>
      </c>
      <c r="H342" s="377" t="inlineStr">
        <is>
          <t>6 month-Upfront</t>
        </is>
      </c>
      <c r="I342" s="380" t="n">
        <v>30000</v>
      </c>
      <c r="J342" s="377" t="n">
        <v>5000</v>
      </c>
      <c r="K342" s="381" t="n">
        <v>5000</v>
      </c>
      <c r="L342" s="377" t="n">
        <v>184</v>
      </c>
      <c r="M342" s="377" t="n">
        <v>30</v>
      </c>
      <c r="N342" s="381" t="n">
        <v>4891.304</v>
      </c>
      <c r="O342" s="381" t="n">
        <v>31</v>
      </c>
      <c r="P342" s="381" t="n">
        <v>5054.348</v>
      </c>
      <c r="Q342" s="382" t="n">
        <v>5000</v>
      </c>
      <c r="R342" s="377" t="n">
        <v>30</v>
      </c>
      <c r="S342" s="382" t="n">
        <v>4891.30434782609</v>
      </c>
      <c r="T342" s="381" t="n">
        <v>4891.30434782609</v>
      </c>
      <c r="U342" s="381" t="n">
        <v>31</v>
      </c>
      <c r="V342" s="381" t="n">
        <v>5054.34782608696</v>
      </c>
      <c r="W342" s="384" t="n">
        <v>31</v>
      </c>
      <c r="X342" s="381" t="n">
        <v>5000</v>
      </c>
      <c r="Y342" s="380" t="n">
        <v>5054.348</v>
      </c>
      <c r="Z342" s="377" t="n"/>
      <c r="AA342" s="377" t="n"/>
      <c r="AB342" s="377" t="n"/>
      <c r="AC342" s="385" t="n"/>
      <c r="AD342" s="385" t="n"/>
      <c r="AE342" s="385" t="n"/>
    </row>
    <row r="343" ht="15.75" customHeight="1" s="253">
      <c r="A343" s="377" t="n"/>
      <c r="B343" s="399" t="n">
        <v>45870</v>
      </c>
      <c r="C343" s="377" t="inlineStr">
        <is>
          <t>Talha Abdul Rahman</t>
        </is>
      </c>
      <c r="D343" s="377" t="inlineStr">
        <is>
          <t>INV-25-26-000381</t>
        </is>
      </c>
      <c r="E343" s="377" t="n"/>
      <c r="F343" s="389" t="n">
        <v>45901</v>
      </c>
      <c r="G343" s="389" t="n">
        <v>46266</v>
      </c>
      <c r="H343" s="377" t="inlineStr">
        <is>
          <t>Annual Upfront</t>
        </is>
      </c>
      <c r="I343" s="380" t="n">
        <v>82600</v>
      </c>
      <c r="J343" s="377" t="n"/>
      <c r="K343" s="381" t="n"/>
      <c r="L343" s="377" t="n">
        <v>366</v>
      </c>
      <c r="M343" s="377" t="n"/>
      <c r="N343" s="381" t="n"/>
      <c r="O343" s="381" t="n"/>
      <c r="P343" s="381" t="n"/>
      <c r="Q343" s="377" t="n"/>
      <c r="R343" s="377" t="n"/>
      <c r="S343" s="377" t="n"/>
      <c r="T343" s="381" t="n"/>
      <c r="U343" s="377" t="n"/>
      <c r="V343" s="381" t="n"/>
      <c r="W343" s="384" t="n">
        <v>0</v>
      </c>
      <c r="X343" s="377" t="n"/>
      <c r="Y343" s="380" t="n">
        <v>0</v>
      </c>
      <c r="Z343" s="377" t="n">
        <v>30</v>
      </c>
      <c r="AA343" s="383" t="n">
        <v>6883.333</v>
      </c>
      <c r="AB343" s="383" t="n">
        <v>6770.492</v>
      </c>
      <c r="AC343" s="387" t="n">
        <v>31</v>
      </c>
      <c r="AD343" s="388" t="n">
        <v>6353.846</v>
      </c>
      <c r="AE343" s="388" t="n">
        <v>6996.175</v>
      </c>
    </row>
    <row r="344" ht="15.75" customHeight="1" s="253">
      <c r="A344" s="377" t="n"/>
      <c r="B344" s="399" t="n">
        <v>45870</v>
      </c>
      <c r="C344" s="377" t="inlineStr">
        <is>
          <t>Shreya Desai</t>
        </is>
      </c>
      <c r="D344" s="377" t="inlineStr">
        <is>
          <t>INV-25-26-000383</t>
        </is>
      </c>
      <c r="E344" s="377" t="n"/>
      <c r="F344" s="389" t="n">
        <v>45895</v>
      </c>
      <c r="G344" s="389" t="n">
        <v>45925</v>
      </c>
      <c r="H344" s="377" t="inlineStr">
        <is>
          <t>1 month-Upfront</t>
        </is>
      </c>
      <c r="I344" s="380" t="n">
        <v>11800</v>
      </c>
      <c r="J344" s="377" t="n"/>
      <c r="K344" s="381" t="n"/>
      <c r="L344" s="377" t="n">
        <v>31</v>
      </c>
      <c r="M344" s="377" t="n"/>
      <c r="N344" s="381" t="n"/>
      <c r="O344" s="381" t="n"/>
      <c r="P344" s="381" t="n"/>
      <c r="Q344" s="377" t="n"/>
      <c r="R344" s="377" t="n"/>
      <c r="S344" s="377" t="n"/>
      <c r="T344" s="381" t="n"/>
      <c r="U344" s="377" t="n"/>
      <c r="V344" s="381" t="n"/>
      <c r="W344" s="384" t="n">
        <v>6</v>
      </c>
      <c r="X344" s="401" t="n">
        <v>11800</v>
      </c>
      <c r="Y344" s="380" t="n">
        <v>2283.871</v>
      </c>
      <c r="Z344" s="377" t="n">
        <v>25</v>
      </c>
      <c r="AA344" s="377" t="n"/>
      <c r="AB344" s="383" t="n">
        <v>9516.129000000001</v>
      </c>
      <c r="AC344" s="385" t="n"/>
      <c r="AD344" s="385" t="n"/>
      <c r="AE344" s="385" t="n"/>
    </row>
    <row r="345" ht="15.75" customHeight="1" s="253">
      <c r="A345" s="377" t="n"/>
      <c r="B345" s="399" t="n">
        <v>45870</v>
      </c>
      <c r="C345" s="377" t="inlineStr">
        <is>
          <t>Touchstone Partners</t>
        </is>
      </c>
      <c r="D345" s="377" t="inlineStr">
        <is>
          <t>INV-25-26-000384, INV-25-26-000507</t>
        </is>
      </c>
      <c r="E345" s="377" t="n"/>
      <c r="F345" s="389" t="n">
        <v>45901</v>
      </c>
      <c r="G345" s="389" t="n">
        <v>46053</v>
      </c>
      <c r="H345" s="377" t="inlineStr">
        <is>
          <t>5 month-Upfront</t>
        </is>
      </c>
      <c r="I345" s="380" t="n">
        <v>20650</v>
      </c>
      <c r="J345" s="377" t="n"/>
      <c r="K345" s="381" t="n"/>
      <c r="L345" s="377" t="n">
        <v>153</v>
      </c>
      <c r="M345" s="377" t="n"/>
      <c r="N345" s="381" t="n"/>
      <c r="O345" s="381" t="n"/>
      <c r="P345" s="381" t="n"/>
      <c r="Q345" s="377" t="n"/>
      <c r="R345" s="377" t="n"/>
      <c r="S345" s="377" t="n"/>
      <c r="T345" s="381" t="n"/>
      <c r="U345" s="377" t="n"/>
      <c r="V345" s="381" t="n"/>
      <c r="W345" s="384" t="n">
        <v>0</v>
      </c>
      <c r="X345" s="377" t="n"/>
      <c r="Y345" s="380" t="n">
        <v>0</v>
      </c>
      <c r="Z345" s="377" t="n">
        <v>30</v>
      </c>
      <c r="AA345" s="383" t="n">
        <v>4130</v>
      </c>
      <c r="AB345" s="383" t="n">
        <v>4049.02</v>
      </c>
      <c r="AC345" s="387" t="n">
        <v>31</v>
      </c>
      <c r="AD345" s="388" t="n">
        <v>4130</v>
      </c>
      <c r="AE345" s="388" t="n">
        <v>4183.987</v>
      </c>
    </row>
    <row r="346" ht="15.75" customHeight="1" s="253">
      <c r="A346" s="377" t="n"/>
      <c r="B346" s="399" t="n">
        <v>45870</v>
      </c>
      <c r="C346" s="377" t="inlineStr">
        <is>
          <t>RAJANI ASSOCIATES</t>
        </is>
      </c>
      <c r="D346" s="377" t="inlineStr">
        <is>
          <t>INV-25-26-000385</t>
        </is>
      </c>
      <c r="E346" s="377" t="n"/>
      <c r="F346" s="389" t="n">
        <v>45848</v>
      </c>
      <c r="G346" s="389" t="n">
        <v>46032</v>
      </c>
      <c r="H346" s="377" t="inlineStr">
        <is>
          <t>6 month-Upfront</t>
        </is>
      </c>
      <c r="I346" s="380" t="n">
        <v>99120</v>
      </c>
      <c r="J346" s="377" t="n"/>
      <c r="K346" s="381" t="n"/>
      <c r="L346" s="377" t="n">
        <v>185</v>
      </c>
      <c r="M346" s="377" t="n"/>
      <c r="N346" s="381" t="n"/>
      <c r="O346" s="381" t="n"/>
      <c r="P346" s="381" t="n"/>
      <c r="Q346" s="377" t="n"/>
      <c r="R346" s="377" t="n"/>
      <c r="S346" s="377" t="n"/>
      <c r="T346" s="381" t="n">
        <v>16520</v>
      </c>
      <c r="U346" s="377" t="n">
        <v>21</v>
      </c>
      <c r="V346" s="380" t="n">
        <v>11251.4594594595</v>
      </c>
      <c r="W346" s="384" t="n">
        <v>31</v>
      </c>
      <c r="X346" s="381" t="n">
        <v>16520</v>
      </c>
      <c r="Y346" s="380" t="n">
        <v>16609.297</v>
      </c>
      <c r="Z346" s="384" t="n">
        <v>30</v>
      </c>
      <c r="AA346" s="383" t="n">
        <v>16520</v>
      </c>
      <c r="AB346" s="383" t="n">
        <v>16073.514</v>
      </c>
      <c r="AC346" s="387" t="n">
        <v>31</v>
      </c>
      <c r="AD346" s="388" t="n">
        <v>14160</v>
      </c>
      <c r="AE346" s="388" t="n">
        <v>16609.297</v>
      </c>
    </row>
    <row r="347" ht="15.75" customHeight="1" s="253">
      <c r="A347" s="377" t="n"/>
      <c r="B347" s="399" t="n">
        <v>45870</v>
      </c>
      <c r="C347" s="377" t="inlineStr">
        <is>
          <t>ZEUS Law Associates</t>
        </is>
      </c>
      <c r="D347" s="377" t="inlineStr">
        <is>
          <t>INV-25-26-000386</t>
        </is>
      </c>
      <c r="E347" s="377" t="n"/>
      <c r="F347" s="389" t="n">
        <v>45901</v>
      </c>
      <c r="G347" s="389" t="n">
        <v>46265</v>
      </c>
      <c r="H347" s="390" t="inlineStr">
        <is>
          <t>Annual subscription, Quarterly upfront</t>
        </is>
      </c>
      <c r="I347" s="380" t="n">
        <v>955800</v>
      </c>
      <c r="J347" s="377" t="n"/>
      <c r="K347" s="381" t="n"/>
      <c r="L347" s="377" t="n">
        <v>365</v>
      </c>
      <c r="M347" s="377" t="n"/>
      <c r="N347" s="381" t="n"/>
      <c r="O347" s="381" t="n"/>
      <c r="P347" s="381" t="n"/>
      <c r="Q347" s="377" t="n"/>
      <c r="R347" s="377" t="n"/>
      <c r="S347" s="377" t="n"/>
      <c r="T347" s="381" t="n"/>
      <c r="U347" s="377" t="n"/>
      <c r="V347" s="381" t="n"/>
      <c r="W347" s="384" t="n">
        <v>0</v>
      </c>
      <c r="X347" s="377" t="n"/>
      <c r="Y347" s="380" t="n">
        <v>0</v>
      </c>
      <c r="Z347" s="377" t="n">
        <v>30</v>
      </c>
      <c r="AA347" s="383" t="n">
        <v>79650</v>
      </c>
      <c r="AB347" s="383" t="n">
        <v>78558.90399999999</v>
      </c>
      <c r="AC347" s="387" t="n">
        <v>31</v>
      </c>
      <c r="AD347" s="388" t="n">
        <v>79650</v>
      </c>
      <c r="AE347" s="388" t="n">
        <v>81177.534</v>
      </c>
    </row>
    <row r="348" ht="15.75" customHeight="1" s="253">
      <c r="A348" s="377" t="n"/>
      <c r="B348" s="399" t="n">
        <v>45870</v>
      </c>
      <c r="C348" s="377" t="inlineStr">
        <is>
          <t>KRISH HOMES</t>
        </is>
      </c>
      <c r="D348" s="377" t="inlineStr">
        <is>
          <t>INV-25-26-000387</t>
        </is>
      </c>
      <c r="E348" s="377" t="n"/>
      <c r="F348" s="389" t="n">
        <v>45896</v>
      </c>
      <c r="G348" s="389" t="n">
        <v>46260</v>
      </c>
      <c r="H348" s="377" t="inlineStr">
        <is>
          <t>Annual Upfront</t>
        </is>
      </c>
      <c r="I348" s="380" t="n">
        <v>70210</v>
      </c>
      <c r="J348" s="377" t="n"/>
      <c r="K348" s="381" t="n"/>
      <c r="L348" s="377" t="n">
        <v>365</v>
      </c>
      <c r="M348" s="377" t="n"/>
      <c r="N348" s="381" t="n"/>
      <c r="O348" s="381" t="n"/>
      <c r="P348" s="381" t="n"/>
      <c r="Q348" s="377" t="n"/>
      <c r="R348" s="377" t="n"/>
      <c r="S348" s="377" t="n"/>
      <c r="T348" s="381" t="n"/>
      <c r="U348" s="377" t="n"/>
      <c r="V348" s="381" t="n"/>
      <c r="W348" s="384" t="n">
        <v>5</v>
      </c>
      <c r="X348" s="380" t="n">
        <v>5850.833</v>
      </c>
      <c r="Y348" s="380" t="n">
        <v>961.7809999999999</v>
      </c>
      <c r="Z348" s="384" t="n">
        <v>30</v>
      </c>
      <c r="AA348" s="383" t="n">
        <v>5850.833</v>
      </c>
      <c r="AB348" s="383" t="n">
        <v>5770.685</v>
      </c>
      <c r="AC348" s="387" t="n">
        <v>31</v>
      </c>
      <c r="AD348" s="388" t="n">
        <v>5850.833</v>
      </c>
      <c r="AE348" s="388" t="n">
        <v>5963.041</v>
      </c>
    </row>
    <row r="349" ht="15.75" customHeight="1" s="253">
      <c r="A349" s="377" t="n"/>
      <c r="B349" s="399" t="n">
        <v>45870</v>
      </c>
      <c r="C349" s="377" t="inlineStr">
        <is>
          <t>Saqeb Mahbub</t>
        </is>
      </c>
      <c r="D349" s="377" t="inlineStr">
        <is>
          <t>INV-25-26-000389</t>
        </is>
      </c>
      <c r="E349" s="377" t="n"/>
      <c r="F349" s="389" t="n">
        <v>45901</v>
      </c>
      <c r="G349" s="389" t="n">
        <v>46265</v>
      </c>
      <c r="H349" s="377" t="inlineStr">
        <is>
          <t>Annual Upfront</t>
        </is>
      </c>
      <c r="I349" s="380" t="n">
        <v>360818.64</v>
      </c>
      <c r="J349" s="377" t="n"/>
      <c r="K349" s="381" t="n"/>
      <c r="L349" s="377" t="n">
        <v>365</v>
      </c>
      <c r="M349" s="377" t="n"/>
      <c r="N349" s="381" t="n"/>
      <c r="O349" s="381" t="n"/>
      <c r="P349" s="381" t="n"/>
      <c r="Q349" s="377" t="n"/>
      <c r="R349" s="377" t="n"/>
      <c r="S349" s="377" t="n"/>
      <c r="T349" s="381" t="n"/>
      <c r="U349" s="377" t="n"/>
      <c r="V349" s="381" t="n"/>
      <c r="W349" s="384" t="n">
        <v>0</v>
      </c>
      <c r="X349" s="377" t="n"/>
      <c r="Y349" s="380" t="n">
        <v>0</v>
      </c>
      <c r="Z349" s="377" t="n">
        <v>30</v>
      </c>
      <c r="AA349" s="383" t="n">
        <v>30068.22</v>
      </c>
      <c r="AB349" s="383" t="n">
        <v>29656.327</v>
      </c>
      <c r="AC349" s="387" t="n">
        <v>31</v>
      </c>
      <c r="AD349" s="388" t="n">
        <v>30068.22</v>
      </c>
      <c r="AE349" s="388" t="n">
        <v>30644.871</v>
      </c>
    </row>
    <row r="350" ht="15.75" customHeight="1" s="253">
      <c r="A350" s="377" t="n"/>
      <c r="B350" s="399" t="n">
        <v>45870</v>
      </c>
      <c r="C350" s="377" t="inlineStr">
        <is>
          <t>JSM Law Partners</t>
        </is>
      </c>
      <c r="D350" s="377" t="inlineStr">
        <is>
          <t>INV-25-26-000391</t>
        </is>
      </c>
      <c r="E350" s="377" t="n"/>
      <c r="F350" s="389" t="n">
        <v>45898</v>
      </c>
      <c r="G350" s="389" t="n">
        <v>46262</v>
      </c>
      <c r="H350" s="386" t="inlineStr">
        <is>
          <t>Annual- Half Yearly Payment</t>
        </is>
      </c>
      <c r="I350" s="380" t="n">
        <v>212400</v>
      </c>
      <c r="J350" s="377" t="n"/>
      <c r="K350" s="381" t="n"/>
      <c r="L350" s="377" t="n">
        <v>365</v>
      </c>
      <c r="M350" s="377" t="n"/>
      <c r="N350" s="381" t="n"/>
      <c r="O350" s="381" t="n"/>
      <c r="P350" s="381" t="n"/>
      <c r="Q350" s="377" t="n"/>
      <c r="R350" s="377" t="n"/>
      <c r="S350" s="377" t="n"/>
      <c r="T350" s="381" t="n"/>
      <c r="U350" s="377" t="n"/>
      <c r="V350" s="381" t="n"/>
      <c r="W350" s="384" t="n">
        <v>3</v>
      </c>
      <c r="X350" s="380" t="n">
        <v>17700</v>
      </c>
      <c r="Y350" s="380" t="n">
        <v>1745.753</v>
      </c>
      <c r="Z350" s="384" t="n">
        <v>30</v>
      </c>
      <c r="AA350" s="383" t="n">
        <v>17700</v>
      </c>
      <c r="AB350" s="383" t="n">
        <v>17457.534</v>
      </c>
      <c r="AC350" s="387" t="n">
        <v>31</v>
      </c>
      <c r="AD350" s="388" t="n">
        <v>17700</v>
      </c>
      <c r="AE350" s="388" t="n">
        <v>18039.452</v>
      </c>
    </row>
    <row r="351" ht="15.75" customHeight="1" s="253">
      <c r="A351" s="377" t="n"/>
      <c r="B351" s="399" t="n">
        <v>45870</v>
      </c>
      <c r="C351" s="377" t="inlineStr">
        <is>
          <t>RUNWAL ENTERPRISES LIMITED</t>
        </is>
      </c>
      <c r="D351" s="377" t="inlineStr">
        <is>
          <t>INV-25-26-000392</t>
        </is>
      </c>
      <c r="E351" s="377" t="n"/>
      <c r="F351" s="389" t="n">
        <v>45901</v>
      </c>
      <c r="G351" s="389" t="n">
        <v>46265</v>
      </c>
      <c r="H351" s="377" t="inlineStr">
        <is>
          <t>Annual Upfront</t>
        </is>
      </c>
      <c r="I351" s="380" t="n">
        <v>708000</v>
      </c>
      <c r="J351" s="377" t="n"/>
      <c r="K351" s="381" t="n"/>
      <c r="L351" s="377" t="n">
        <v>365</v>
      </c>
      <c r="M351" s="377" t="n"/>
      <c r="N351" s="381" t="n"/>
      <c r="O351" s="381" t="n"/>
      <c r="P351" s="381" t="n"/>
      <c r="Q351" s="377" t="n"/>
      <c r="R351" s="377" t="n"/>
      <c r="S351" s="377" t="n"/>
      <c r="T351" s="381" t="n"/>
      <c r="U351" s="377" t="n"/>
      <c r="V351" s="381" t="n"/>
      <c r="W351" s="384" t="n">
        <v>0</v>
      </c>
      <c r="X351" s="377" t="n"/>
      <c r="Y351" s="380" t="n">
        <v>0</v>
      </c>
      <c r="Z351" s="377" t="n">
        <v>30</v>
      </c>
      <c r="AA351" s="383" t="n">
        <v>59000</v>
      </c>
      <c r="AB351" s="383" t="n">
        <v>58191.781</v>
      </c>
      <c r="AC351" s="387" t="n">
        <v>31</v>
      </c>
      <c r="AD351" s="388" t="n">
        <v>59000</v>
      </c>
      <c r="AE351" s="388" t="n">
        <v>60131.507</v>
      </c>
    </row>
    <row r="352" ht="15.75" customHeight="1" s="253">
      <c r="A352" s="377" t="n"/>
      <c r="B352" s="399" t="n">
        <v>45870</v>
      </c>
      <c r="C352" s="377" t="inlineStr">
        <is>
          <t>Svarniti Law Offices</t>
        </is>
      </c>
      <c r="D352" s="377" t="inlineStr">
        <is>
          <t>INV-25-26-000393</t>
        </is>
      </c>
      <c r="E352" s="377" t="n"/>
      <c r="F352" s="389" t="n">
        <v>45896</v>
      </c>
      <c r="G352" s="389" t="n">
        <v>46260</v>
      </c>
      <c r="H352" s="386" t="inlineStr">
        <is>
          <t>Annual- Half Yearly Payment</t>
        </is>
      </c>
      <c r="I352" s="380" t="n">
        <v>165200</v>
      </c>
      <c r="J352" s="377" t="n"/>
      <c r="K352" s="381" t="n"/>
      <c r="L352" s="377" t="n">
        <v>365</v>
      </c>
      <c r="M352" s="377" t="n"/>
      <c r="N352" s="381" t="n"/>
      <c r="O352" s="381" t="n"/>
      <c r="P352" s="381" t="n"/>
      <c r="Q352" s="377" t="n"/>
      <c r="R352" s="377" t="n"/>
      <c r="S352" s="377" t="n"/>
      <c r="T352" s="381" t="n"/>
      <c r="U352" s="377" t="n"/>
      <c r="V352" s="381" t="n"/>
      <c r="W352" s="384" t="n">
        <v>5</v>
      </c>
      <c r="X352" s="380" t="n">
        <v>13766.667</v>
      </c>
      <c r="Y352" s="380" t="n">
        <v>2263.014</v>
      </c>
      <c r="Z352" s="384" t="n">
        <v>30</v>
      </c>
      <c r="AA352" s="383" t="n">
        <v>13766.667</v>
      </c>
      <c r="AB352" s="383" t="n">
        <v>13578.082</v>
      </c>
      <c r="AC352" s="387" t="n">
        <v>31</v>
      </c>
      <c r="AD352" s="388" t="n">
        <v>13766.667</v>
      </c>
      <c r="AE352" s="388" t="n">
        <v>14030.685</v>
      </c>
    </row>
    <row r="353" ht="15.75" customHeight="1" s="253">
      <c r="A353" s="377" t="n"/>
      <c r="B353" s="399" t="n">
        <v>45870</v>
      </c>
      <c r="C353" s="377" t="inlineStr">
        <is>
          <t>Justice Ravindra Bhat</t>
        </is>
      </c>
      <c r="D353" s="377" t="inlineStr">
        <is>
          <t>INV-25-26-000394</t>
        </is>
      </c>
      <c r="E353" s="377" t="n"/>
      <c r="F353" s="389" t="n">
        <v>45901</v>
      </c>
      <c r="G353" s="389" t="n">
        <v>46265</v>
      </c>
      <c r="H353" s="377" t="inlineStr">
        <is>
          <t>Annual Upfront</t>
        </is>
      </c>
      <c r="I353" s="380" t="n">
        <v>82600</v>
      </c>
      <c r="J353" s="377" t="n"/>
      <c r="K353" s="381" t="n"/>
      <c r="L353" s="377" t="n">
        <v>365</v>
      </c>
      <c r="M353" s="377" t="n"/>
      <c r="N353" s="381" t="n"/>
      <c r="O353" s="381" t="n"/>
      <c r="P353" s="381" t="n"/>
      <c r="Q353" s="377" t="n"/>
      <c r="R353" s="377" t="n"/>
      <c r="S353" s="377" t="n"/>
      <c r="T353" s="381" t="n"/>
      <c r="U353" s="377" t="n"/>
      <c r="V353" s="381" t="n"/>
      <c r="W353" s="384" t="n">
        <v>0</v>
      </c>
      <c r="X353" s="377" t="n"/>
      <c r="Y353" s="380" t="n">
        <v>0</v>
      </c>
      <c r="Z353" s="377" t="n">
        <v>30</v>
      </c>
      <c r="AA353" s="383" t="n">
        <v>6883.333</v>
      </c>
      <c r="AB353" s="383" t="n">
        <v>6789.041</v>
      </c>
      <c r="AC353" s="387" t="n">
        <v>31</v>
      </c>
      <c r="AD353" s="388" t="n">
        <v>6883.333</v>
      </c>
      <c r="AE353" s="388" t="n">
        <v>7015.342</v>
      </c>
    </row>
    <row r="354" ht="15.75" customHeight="1" s="253">
      <c r="A354" s="377" t="n"/>
      <c r="B354" s="399" t="n">
        <v>45870</v>
      </c>
      <c r="C354" s="377" t="inlineStr">
        <is>
          <t>Gera Developments Pvt. Ltd.</t>
        </is>
      </c>
      <c r="D354" s="377" t="inlineStr">
        <is>
          <t>INV-25-26-000395</t>
        </is>
      </c>
      <c r="E354" s="377" t="n"/>
      <c r="F354" s="389" t="n">
        <v>45901</v>
      </c>
      <c r="G354" s="389" t="n">
        <v>46265</v>
      </c>
      <c r="H354" s="377" t="inlineStr">
        <is>
          <t>Annual Upfront</t>
        </is>
      </c>
      <c r="I354" s="377" t="n">
        <v>254880</v>
      </c>
      <c r="J354" s="377" t="n"/>
      <c r="K354" s="381" t="n"/>
      <c r="L354" s="377" t="n">
        <v>365</v>
      </c>
      <c r="M354" s="377" t="n"/>
      <c r="N354" s="381" t="n"/>
      <c r="O354" s="381" t="n"/>
      <c r="P354" s="381" t="n"/>
      <c r="Q354" s="377" t="n"/>
      <c r="R354" s="377" t="n"/>
      <c r="S354" s="377" t="n"/>
      <c r="T354" s="381" t="n"/>
      <c r="U354" s="377" t="n"/>
      <c r="V354" s="381" t="n"/>
      <c r="W354" s="384" t="n">
        <v>0</v>
      </c>
      <c r="X354" s="377" t="n"/>
      <c r="Y354" s="380" t="n"/>
      <c r="Z354" s="377" t="n">
        <v>30</v>
      </c>
      <c r="AA354" s="383" t="n">
        <v>21240</v>
      </c>
      <c r="AB354" s="383" t="n">
        <v>20949.041</v>
      </c>
      <c r="AC354" s="387" t="n">
        <v>31</v>
      </c>
      <c r="AD354" s="388" t="n">
        <v>21240</v>
      </c>
      <c r="AE354" s="388" t="n">
        <v>21647.342</v>
      </c>
    </row>
    <row r="355" ht="15.75" customHeight="1" s="253">
      <c r="A355" s="377" t="n"/>
      <c r="B355" s="399" t="inlineStr">
        <is>
          <t>Aug &amp; Oct 25</t>
        </is>
      </c>
      <c r="C355" s="377" t="inlineStr">
        <is>
          <t>LEGALOGIC CONSULTING LLP</t>
        </is>
      </c>
      <c r="D355" s="377" t="inlineStr">
        <is>
          <t>INV-25-26- 000388, 000409, 488, INV-25-26-000490</t>
        </is>
      </c>
      <c r="E355" s="377" t="n"/>
      <c r="F355" s="389" t="n">
        <v>45845</v>
      </c>
      <c r="G355" s="389" t="n">
        <v>46209</v>
      </c>
      <c r="H355" s="377" t="inlineStr">
        <is>
          <t>Annual Upfront</t>
        </is>
      </c>
      <c r="I355" s="380" t="n">
        <v>708000</v>
      </c>
      <c r="J355" s="377" t="n"/>
      <c r="K355" s="381" t="n"/>
      <c r="L355" s="377" t="n">
        <v>365</v>
      </c>
      <c r="M355" s="377" t="n"/>
      <c r="N355" s="381" t="n"/>
      <c r="O355" s="381" t="n"/>
      <c r="P355" s="381" t="n"/>
      <c r="Q355" s="377" t="n"/>
      <c r="R355" s="377" t="n"/>
      <c r="S355" s="377" t="n"/>
      <c r="T355" s="381" t="n">
        <v>59000</v>
      </c>
      <c r="U355" s="377" t="n">
        <v>7</v>
      </c>
      <c r="V355" s="381" t="n">
        <v>13578.0821917808</v>
      </c>
      <c r="W355" s="384" t="n">
        <v>31</v>
      </c>
      <c r="X355" s="381" t="n">
        <v>59000</v>
      </c>
      <c r="Y355" s="380" t="n">
        <v>60131.507</v>
      </c>
      <c r="Z355" s="384" t="n">
        <v>30</v>
      </c>
      <c r="AA355" s="383" t="n">
        <v>59000</v>
      </c>
      <c r="AB355" s="383" t="n">
        <v>58191.781</v>
      </c>
      <c r="AC355" s="387" t="n">
        <v>31</v>
      </c>
      <c r="AD355" s="388" t="n">
        <v>59000</v>
      </c>
      <c r="AE355" s="388" t="n">
        <v>60131.507</v>
      </c>
    </row>
    <row r="356" ht="15" customHeight="1" s="253">
      <c r="A356" s="377" t="n"/>
      <c r="B356" s="399" t="n">
        <v>45870</v>
      </c>
      <c r="C356" s="377" t="inlineStr">
        <is>
          <t>MEESHO LIMITED</t>
        </is>
      </c>
      <c r="D356" s="377" t="inlineStr">
        <is>
          <t>INV-25-26-000396</t>
        </is>
      </c>
      <c r="E356" s="377" t="n"/>
      <c r="F356" s="389" t="n">
        <v>45901</v>
      </c>
      <c r="G356" s="389" t="n">
        <v>45930</v>
      </c>
      <c r="H356" s="377" t="inlineStr">
        <is>
          <t>1 month-Upfront</t>
        </is>
      </c>
      <c r="I356" s="380" t="n">
        <v>38350</v>
      </c>
      <c r="J356" s="377" t="n"/>
      <c r="K356" s="381" t="n"/>
      <c r="L356" s="377" t="n">
        <v>30</v>
      </c>
      <c r="M356" s="377" t="n"/>
      <c r="N356" s="381" t="n"/>
      <c r="O356" s="381" t="n"/>
      <c r="P356" s="381" t="n"/>
      <c r="Q356" s="377" t="n"/>
      <c r="R356" s="377" t="n"/>
      <c r="S356" s="377" t="n"/>
      <c r="T356" s="381" t="n"/>
      <c r="U356" s="377" t="n"/>
      <c r="V356" s="381" t="n"/>
      <c r="W356" s="384" t="n">
        <v>0</v>
      </c>
      <c r="X356" s="377" t="n"/>
      <c r="Y356" s="380" t="n">
        <v>0</v>
      </c>
      <c r="Z356" s="377" t="n">
        <v>30</v>
      </c>
      <c r="AA356" s="383" t="n">
        <v>38350</v>
      </c>
      <c r="AB356" s="383" t="n">
        <v>38350</v>
      </c>
      <c r="AC356" s="385" t="n"/>
      <c r="AD356" s="385" t="n"/>
      <c r="AE356" s="385" t="n"/>
    </row>
    <row r="357" ht="15" customHeight="1" s="253">
      <c r="A357" s="377" t="n"/>
      <c r="B357" s="399" t="n">
        <v>45901</v>
      </c>
      <c r="C357" s="377" t="inlineStr">
        <is>
          <t>S C Sharada &amp; Associates| Company Secretaries</t>
        </is>
      </c>
      <c r="D357" s="377" t="inlineStr">
        <is>
          <t>INV-25-26-000407</t>
        </is>
      </c>
      <c r="E357" s="377" t="n"/>
      <c r="F357" s="389" t="n">
        <v>45882</v>
      </c>
      <c r="G357" s="389" t="n">
        <v>45900</v>
      </c>
      <c r="H357" s="377" t="inlineStr">
        <is>
          <t>19 -Days -Upfront</t>
        </is>
      </c>
      <c r="I357" s="380" t="n">
        <v>13018</v>
      </c>
      <c r="J357" s="377" t="n"/>
      <c r="K357" s="381" t="n"/>
      <c r="L357" s="377" t="n">
        <v>19</v>
      </c>
      <c r="M357" s="377" t="n"/>
      <c r="N357" s="381" t="n"/>
      <c r="O357" s="381" t="n"/>
      <c r="P357" s="381" t="n"/>
      <c r="Q357" s="377" t="n"/>
      <c r="R357" s="377" t="n"/>
      <c r="S357" s="377" t="n"/>
      <c r="T357" s="381" t="n"/>
      <c r="U357" s="377" t="n"/>
      <c r="V357" s="381" t="n"/>
      <c r="W357" s="384" t="n">
        <v>19</v>
      </c>
      <c r="X357" s="381" t="n">
        <v>13018</v>
      </c>
      <c r="Y357" s="380" t="n">
        <v>13018</v>
      </c>
      <c r="Z357" s="377" t="n"/>
      <c r="AA357" s="377" t="n"/>
      <c r="AB357" s="377" t="n"/>
      <c r="AC357" s="385" t="n"/>
      <c r="AD357" s="385" t="n"/>
      <c r="AE357" s="385" t="n"/>
    </row>
    <row r="358" ht="15.75" customHeight="1" s="253">
      <c r="A358" s="377" t="n"/>
      <c r="B358" s="399" t="n">
        <v>45901</v>
      </c>
      <c r="C358" s="377" t="inlineStr">
        <is>
          <t>S C Sharada &amp; Associates| Company Secretaries</t>
        </is>
      </c>
      <c r="D358" s="377" t="inlineStr">
        <is>
          <t>INV-25-26-000399</t>
        </is>
      </c>
      <c r="E358" s="377" t="n"/>
      <c r="F358" s="389" t="n">
        <v>45901</v>
      </c>
      <c r="G358" s="389" t="n">
        <v>46265</v>
      </c>
      <c r="H358" s="377" t="inlineStr">
        <is>
          <t>Annual Upfront</t>
        </is>
      </c>
      <c r="I358" s="380" t="n">
        <v>254880</v>
      </c>
      <c r="J358" s="377" t="n"/>
      <c r="K358" s="381" t="n"/>
      <c r="L358" s="377" t="n">
        <v>365</v>
      </c>
      <c r="M358" s="377" t="n"/>
      <c r="N358" s="381" t="n"/>
      <c r="O358" s="381" t="n"/>
      <c r="P358" s="381" t="n"/>
      <c r="Q358" s="377" t="n"/>
      <c r="R358" s="377" t="n"/>
      <c r="S358" s="377" t="n"/>
      <c r="T358" s="381" t="n"/>
      <c r="U358" s="377" t="n"/>
      <c r="V358" s="381" t="n"/>
      <c r="W358" s="407" t="n"/>
      <c r="X358" s="377" t="n"/>
      <c r="Y358" s="381" t="n"/>
      <c r="Z358" s="377" t="n">
        <v>30</v>
      </c>
      <c r="AA358" s="383" t="n">
        <v>21240</v>
      </c>
      <c r="AB358" s="383" t="n">
        <v>20949.041</v>
      </c>
      <c r="AC358" s="387" t="n">
        <v>31</v>
      </c>
      <c r="AD358" s="388" t="n">
        <v>21240</v>
      </c>
      <c r="AE358" s="388" t="n">
        <v>21647.342</v>
      </c>
    </row>
    <row r="359" ht="15.75" customHeight="1" s="253">
      <c r="A359" s="377" t="n"/>
      <c r="B359" s="399" t="n">
        <v>45901</v>
      </c>
      <c r="C359" s="377" t="inlineStr">
        <is>
          <t>Consera Legal LLP</t>
        </is>
      </c>
      <c r="D359" s="377" t="inlineStr">
        <is>
          <t>INV-25-26-000400</t>
        </is>
      </c>
      <c r="E359" s="377" t="n"/>
      <c r="F359" s="389" t="n">
        <v>45909</v>
      </c>
      <c r="G359" s="389" t="n">
        <v>45923</v>
      </c>
      <c r="H359" s="377" t="inlineStr">
        <is>
          <t>15 -Days -Upfront</t>
        </is>
      </c>
      <c r="I359" s="380" t="n">
        <v>4720</v>
      </c>
      <c r="J359" s="377" t="n"/>
      <c r="K359" s="381" t="n"/>
      <c r="L359" s="377" t="n">
        <v>15</v>
      </c>
      <c r="M359" s="377" t="n"/>
      <c r="N359" s="381" t="n"/>
      <c r="O359" s="381" t="n"/>
      <c r="P359" s="381" t="n"/>
      <c r="Q359" s="377" t="n"/>
      <c r="R359" s="377" t="n"/>
      <c r="S359" s="377" t="n"/>
      <c r="T359" s="381" t="n"/>
      <c r="U359" s="377" t="n"/>
      <c r="V359" s="381" t="n"/>
      <c r="W359" s="407" t="n"/>
      <c r="X359" s="377" t="n"/>
      <c r="Y359" s="381" t="n"/>
      <c r="Z359" s="377" t="n">
        <v>15</v>
      </c>
      <c r="AA359" s="383" t="n">
        <v>4720</v>
      </c>
      <c r="AB359" s="383" t="n">
        <v>4720</v>
      </c>
      <c r="AC359" s="385" t="n"/>
      <c r="AD359" s="385" t="n"/>
      <c r="AE359" s="385" t="n"/>
    </row>
    <row r="360" ht="15.75" customHeight="1" s="253">
      <c r="A360" s="377" t="n"/>
      <c r="B360" s="399" t="n">
        <v>45901</v>
      </c>
      <c r="C360" s="377" t="inlineStr">
        <is>
          <t>Udai V. S. Rathore</t>
        </is>
      </c>
      <c r="D360" s="377" t="inlineStr">
        <is>
          <t>INV-25-26-000401, INV-25-26-000569</t>
        </is>
      </c>
      <c r="E360" s="377" t="n"/>
      <c r="F360" s="389" t="n">
        <v>45901</v>
      </c>
      <c r="G360" s="389" t="n">
        <v>46265</v>
      </c>
      <c r="H360" s="377" t="inlineStr">
        <is>
          <t>Annual Upfront</t>
        </is>
      </c>
      <c r="I360" s="380" t="n">
        <v>74340</v>
      </c>
      <c r="J360" s="377" t="n"/>
      <c r="K360" s="381" t="n"/>
      <c r="L360" s="377" t="n">
        <v>365</v>
      </c>
      <c r="M360" s="377" t="n"/>
      <c r="N360" s="381" t="n"/>
      <c r="O360" s="381" t="n"/>
      <c r="P360" s="381" t="n"/>
      <c r="Q360" s="377" t="n"/>
      <c r="R360" s="377" t="n"/>
      <c r="S360" s="377" t="n"/>
      <c r="T360" s="381" t="n"/>
      <c r="U360" s="377" t="n"/>
      <c r="V360" s="381" t="n"/>
      <c r="W360" s="407" t="n"/>
      <c r="X360" s="377" t="n"/>
      <c r="Y360" s="381" t="n"/>
      <c r="Z360" s="377" t="n">
        <v>30</v>
      </c>
      <c r="AA360" s="383" t="n">
        <v>6195</v>
      </c>
      <c r="AB360" s="383" t="n">
        <v>6110.137</v>
      </c>
      <c r="AC360" s="387" t="n">
        <v>31</v>
      </c>
      <c r="AD360" s="388" t="n">
        <v>6195</v>
      </c>
      <c r="AE360" s="388" t="n">
        <v>6313.808</v>
      </c>
    </row>
    <row r="361" ht="15.75" customHeight="1" s="253">
      <c r="A361" s="377" t="n"/>
      <c r="B361" s="399" t="n">
        <v>45901</v>
      </c>
      <c r="C361" s="377" t="inlineStr">
        <is>
          <t>Yash Momaya</t>
        </is>
      </c>
      <c r="D361" s="377" t="inlineStr">
        <is>
          <t>INV-25-26-000402</t>
        </is>
      </c>
      <c r="E361" s="377" t="n"/>
      <c r="F361" s="389" t="n">
        <v>45901</v>
      </c>
      <c r="G361" s="389" t="n">
        <v>46265</v>
      </c>
      <c r="H361" s="377" t="inlineStr">
        <is>
          <t>Annual Upfront</t>
        </is>
      </c>
      <c r="I361" s="380" t="n">
        <v>82600</v>
      </c>
      <c r="J361" s="377" t="n"/>
      <c r="K361" s="381" t="n"/>
      <c r="L361" s="377" t="n">
        <v>365</v>
      </c>
      <c r="M361" s="377" t="n"/>
      <c r="N361" s="381" t="n"/>
      <c r="O361" s="381" t="n"/>
      <c r="P361" s="381" t="n"/>
      <c r="Q361" s="377" t="n"/>
      <c r="R361" s="377" t="n"/>
      <c r="S361" s="377" t="n"/>
      <c r="T361" s="381" t="n"/>
      <c r="U361" s="377" t="n"/>
      <c r="V361" s="381" t="n"/>
      <c r="W361" s="407" t="n"/>
      <c r="X361" s="377" t="n"/>
      <c r="Y361" s="381" t="n"/>
      <c r="Z361" s="377" t="n">
        <v>30</v>
      </c>
      <c r="AA361" s="383" t="n">
        <v>6883.333</v>
      </c>
      <c r="AB361" s="383" t="n">
        <v>6789.041</v>
      </c>
      <c r="AC361" s="387" t="n">
        <v>31</v>
      </c>
      <c r="AD361" s="388" t="n">
        <v>6883.333</v>
      </c>
      <c r="AE361" s="388" t="n">
        <v>7015.342</v>
      </c>
    </row>
    <row r="362" ht="15.75" customHeight="1" s="253">
      <c r="A362" s="377" t="n"/>
      <c r="B362" s="399" t="n">
        <v>45901</v>
      </c>
      <c r="C362" s="377" t="inlineStr">
        <is>
          <t>Clavius Legal</t>
        </is>
      </c>
      <c r="D362" s="377" t="inlineStr">
        <is>
          <t>INV-25-26-000403</t>
        </is>
      </c>
      <c r="E362" s="377" t="n"/>
      <c r="F362" s="389" t="n">
        <v>45901</v>
      </c>
      <c r="G362" s="389" t="n">
        <v>46265</v>
      </c>
      <c r="H362" s="386" t="inlineStr">
        <is>
          <t>Annual- Half Yearly Payment</t>
        </is>
      </c>
      <c r="I362" s="380" t="n">
        <v>358720</v>
      </c>
      <c r="J362" s="377" t="n"/>
      <c r="K362" s="381" t="n"/>
      <c r="L362" s="377" t="n">
        <v>365</v>
      </c>
      <c r="M362" s="377" t="n"/>
      <c r="N362" s="381" t="n"/>
      <c r="O362" s="381" t="n"/>
      <c r="P362" s="381" t="n"/>
      <c r="Q362" s="377" t="n"/>
      <c r="R362" s="377" t="n"/>
      <c r="S362" s="377" t="n"/>
      <c r="T362" s="381" t="n"/>
      <c r="U362" s="377" t="n"/>
      <c r="V362" s="381" t="n"/>
      <c r="W362" s="407" t="n"/>
      <c r="X362" s="377" t="n"/>
      <c r="Y362" s="381" t="n"/>
      <c r="Z362" s="377" t="n">
        <v>30</v>
      </c>
      <c r="AA362" s="383" t="n">
        <v>29893.333</v>
      </c>
      <c r="AB362" s="383" t="n">
        <v>29483.836</v>
      </c>
      <c r="AC362" s="387" t="n">
        <v>31</v>
      </c>
      <c r="AD362" s="388" t="n">
        <v>29893.333</v>
      </c>
      <c r="AE362" s="388" t="n">
        <v>30466.63</v>
      </c>
    </row>
    <row r="363" ht="15.75" customHeight="1" s="253">
      <c r="A363" s="377" t="n"/>
      <c r="B363" s="399" t="n">
        <v>45901</v>
      </c>
      <c r="C363" s="377" t="inlineStr">
        <is>
          <t>MV Law Partners</t>
        </is>
      </c>
      <c r="D363" s="377" t="inlineStr">
        <is>
          <t>INV-25-26-000404</t>
        </is>
      </c>
      <c r="E363" s="377" t="n"/>
      <c r="F363" s="389" t="n">
        <v>45901</v>
      </c>
      <c r="G363" s="389" t="n">
        <v>46081</v>
      </c>
      <c r="H363" s="377" t="inlineStr">
        <is>
          <t>6 month-Upfront</t>
        </is>
      </c>
      <c r="I363" s="380" t="n">
        <v>70800</v>
      </c>
      <c r="J363" s="377" t="n"/>
      <c r="K363" s="381" t="n"/>
      <c r="L363" s="377" t="n">
        <v>181</v>
      </c>
      <c r="M363" s="377" t="n"/>
      <c r="N363" s="381" t="n"/>
      <c r="O363" s="381" t="n"/>
      <c r="P363" s="381" t="n"/>
      <c r="Q363" s="377" t="n"/>
      <c r="R363" s="377" t="n"/>
      <c r="S363" s="377" t="n"/>
      <c r="T363" s="381" t="n"/>
      <c r="U363" s="377" t="n"/>
      <c r="V363" s="381" t="n"/>
      <c r="W363" s="407" t="n"/>
      <c r="X363" s="377" t="n"/>
      <c r="Y363" s="381" t="n"/>
      <c r="Z363" s="377" t="n">
        <v>30</v>
      </c>
      <c r="AA363" s="383" t="n">
        <v>11800</v>
      </c>
      <c r="AB363" s="383" t="n">
        <v>11734.807</v>
      </c>
      <c r="AC363" s="387" t="n">
        <v>31</v>
      </c>
      <c r="AD363" s="388" t="n">
        <v>11800</v>
      </c>
      <c r="AE363" s="388" t="n">
        <v>12125.967</v>
      </c>
    </row>
    <row r="364" ht="15.75" customHeight="1" s="253">
      <c r="A364" s="377" t="n"/>
      <c r="B364" s="399" t="n">
        <v>45901</v>
      </c>
      <c r="C364" s="377" t="inlineStr">
        <is>
          <t>MDP Legal</t>
        </is>
      </c>
      <c r="D364" s="377" t="inlineStr">
        <is>
          <t>INV-25-26-000405, CN 23</t>
        </is>
      </c>
      <c r="E364" s="377" t="n"/>
      <c r="F364" s="389" t="n">
        <v>45902</v>
      </c>
      <c r="G364" s="389" t="n">
        <v>46266</v>
      </c>
      <c r="H364" s="377" t="inlineStr">
        <is>
          <t>Annual Upfront</t>
        </is>
      </c>
      <c r="I364" s="380" t="n">
        <v>79296</v>
      </c>
      <c r="J364" s="377" t="n"/>
      <c r="K364" s="381" t="n"/>
      <c r="L364" s="377" t="n">
        <v>365</v>
      </c>
      <c r="M364" s="377" t="n"/>
      <c r="N364" s="381" t="n"/>
      <c r="O364" s="381" t="n"/>
      <c r="P364" s="381" t="n"/>
      <c r="Q364" s="377" t="n"/>
      <c r="R364" s="377" t="n"/>
      <c r="S364" s="377" t="n"/>
      <c r="T364" s="381" t="n"/>
      <c r="U364" s="377" t="n"/>
      <c r="V364" s="381" t="n"/>
      <c r="W364" s="407" t="n"/>
      <c r="X364" s="377" t="n"/>
      <c r="Y364" s="381" t="n"/>
      <c r="Z364" s="377" t="n">
        <v>29</v>
      </c>
      <c r="AA364" s="383" t="n">
        <v>6608</v>
      </c>
      <c r="AB364" s="383" t="n">
        <v>6300.23</v>
      </c>
      <c r="AC364" s="387" t="n">
        <v>31</v>
      </c>
      <c r="AD364" s="388" t="n">
        <v>6608</v>
      </c>
      <c r="AE364" s="388" t="n">
        <v>6734.729</v>
      </c>
    </row>
    <row r="365" ht="15.75" customHeight="1" s="253">
      <c r="A365" s="377" t="n"/>
      <c r="B365" s="399" t="n">
        <v>45901</v>
      </c>
      <c r="C365" s="377" t="inlineStr">
        <is>
          <t>RRG &amp; Associates</t>
        </is>
      </c>
      <c r="D365" s="377" t="inlineStr">
        <is>
          <t>INV-25-26-000406</t>
        </is>
      </c>
      <c r="E365" s="377" t="n"/>
      <c r="F365" s="389" t="n">
        <v>45915</v>
      </c>
      <c r="G365" s="389" t="n">
        <v>46279</v>
      </c>
      <c r="H365" s="377" t="inlineStr">
        <is>
          <t>Annual Upfront</t>
        </is>
      </c>
      <c r="I365" s="380" t="n">
        <v>250000</v>
      </c>
      <c r="J365" s="377" t="n"/>
      <c r="K365" s="381" t="n"/>
      <c r="L365" s="377" t="n">
        <v>365</v>
      </c>
      <c r="M365" s="377" t="n"/>
      <c r="N365" s="381" t="n"/>
      <c r="O365" s="381" t="n"/>
      <c r="P365" s="381" t="n"/>
      <c r="Q365" s="377" t="n"/>
      <c r="R365" s="377" t="n"/>
      <c r="S365" s="377" t="n"/>
      <c r="T365" s="381" t="n"/>
      <c r="U365" s="377" t="n"/>
      <c r="V365" s="381" t="n"/>
      <c r="W365" s="407" t="n"/>
      <c r="X365" s="377" t="n"/>
      <c r="Y365" s="381" t="n"/>
      <c r="Z365" s="377" t="n">
        <v>16</v>
      </c>
      <c r="AA365" s="383" t="n">
        <v>20833.333</v>
      </c>
      <c r="AB365" s="383" t="n">
        <v>10958.904</v>
      </c>
      <c r="AC365" s="387" t="n">
        <v>31</v>
      </c>
      <c r="AD365" s="388" t="n">
        <v>20833.333</v>
      </c>
      <c r="AE365" s="388" t="n">
        <v>21232.877</v>
      </c>
    </row>
    <row r="366" ht="15.75" customHeight="1" s="253">
      <c r="A366" s="377" t="n"/>
      <c r="B366" s="399" t="n">
        <v>45901</v>
      </c>
      <c r="C366" s="377" t="inlineStr">
        <is>
          <t>Dhru &amp; Co</t>
        </is>
      </c>
      <c r="D366" s="377" t="inlineStr">
        <is>
          <t>INV-25-26-000411, INV-25-26-000554</t>
        </is>
      </c>
      <c r="E366" s="377" t="n"/>
      <c r="F366" s="389" t="n">
        <v>45904</v>
      </c>
      <c r="G366" s="389" t="n">
        <v>45933</v>
      </c>
      <c r="H366" s="377" t="inlineStr">
        <is>
          <t>1 month-Upfront</t>
        </is>
      </c>
      <c r="I366" s="380" t="n">
        <v>11800</v>
      </c>
      <c r="J366" s="377" t="n"/>
      <c r="K366" s="381" t="n"/>
      <c r="L366" s="377" t="n">
        <v>30</v>
      </c>
      <c r="M366" s="377" t="n"/>
      <c r="N366" s="381" t="n"/>
      <c r="O366" s="381" t="n"/>
      <c r="P366" s="381" t="n"/>
      <c r="Q366" s="377" t="n"/>
      <c r="R366" s="377" t="n"/>
      <c r="S366" s="377" t="n"/>
      <c r="T366" s="381" t="n"/>
      <c r="U366" s="377" t="n"/>
      <c r="V366" s="381" t="n"/>
      <c r="W366" s="407" t="n"/>
      <c r="X366" s="377" t="n"/>
      <c r="Y366" s="381" t="n"/>
      <c r="Z366" s="377" t="n">
        <v>27</v>
      </c>
      <c r="AA366" s="383" t="n">
        <v>11800</v>
      </c>
      <c r="AB366" s="383" t="n">
        <v>10620</v>
      </c>
      <c r="AC366" s="387" t="n">
        <v>3</v>
      </c>
      <c r="AD366" s="385" t="n">
        <v>11800</v>
      </c>
      <c r="AE366" s="388" t="n">
        <v>1180</v>
      </c>
    </row>
    <row r="367" ht="15.75" customHeight="1" s="253">
      <c r="A367" s="377" t="n"/>
      <c r="B367" s="399" t="n">
        <v>45901</v>
      </c>
      <c r="C367" s="377" t="inlineStr">
        <is>
          <t>RHP Partners</t>
        </is>
      </c>
      <c r="D367" s="377" t="inlineStr">
        <is>
          <t>INV-25-26-000412</t>
        </is>
      </c>
      <c r="E367" s="377" t="n"/>
      <c r="F367" s="389" t="n">
        <v>45859</v>
      </c>
      <c r="G367" s="389" t="n">
        <v>46223</v>
      </c>
      <c r="H367" s="377" t="inlineStr">
        <is>
          <t>Annual Upfront</t>
        </is>
      </c>
      <c r="I367" s="380" t="n">
        <v>3540</v>
      </c>
      <c r="J367" s="377" t="n"/>
      <c r="K367" s="381" t="n"/>
      <c r="L367" s="377" t="n">
        <v>365</v>
      </c>
      <c r="M367" s="377" t="n"/>
      <c r="N367" s="381" t="n"/>
      <c r="O367" s="381" t="n"/>
      <c r="P367" s="381" t="n"/>
      <c r="Q367" s="377" t="n"/>
      <c r="R367" s="377" t="n"/>
      <c r="S367" s="377" t="n"/>
      <c r="T367" s="381" t="n">
        <v>295</v>
      </c>
      <c r="U367" s="377" t="n">
        <v>10</v>
      </c>
      <c r="V367" s="380" t="n">
        <v>96.986301369863</v>
      </c>
      <c r="W367" s="381" t="n">
        <v>31</v>
      </c>
      <c r="X367" s="383" t="n">
        <v>295</v>
      </c>
      <c r="Y367" s="381" t="n">
        <v>300.658</v>
      </c>
      <c r="Z367" s="384" t="n">
        <v>30</v>
      </c>
      <c r="AA367" s="383" t="n">
        <v>295</v>
      </c>
      <c r="AB367" s="383" t="n">
        <v>290.959</v>
      </c>
      <c r="AC367" s="387" t="n">
        <v>31</v>
      </c>
      <c r="AD367" s="388" t="n">
        <v>295</v>
      </c>
      <c r="AE367" s="388" t="n">
        <v>300.658</v>
      </c>
    </row>
    <row r="368" ht="15.75" customHeight="1" s="253">
      <c r="A368" s="377" t="n"/>
      <c r="B368" s="399" t="n">
        <v>45901</v>
      </c>
      <c r="C368" s="377" t="inlineStr">
        <is>
          <t>Hiren Kamod</t>
        </is>
      </c>
      <c r="D368" s="377" t="inlineStr">
        <is>
          <t>INV-25-26-000413</t>
        </is>
      </c>
      <c r="E368" s="377" t="n"/>
      <c r="F368" s="389" t="n">
        <v>45905</v>
      </c>
      <c r="G368" s="389" t="n">
        <v>46269</v>
      </c>
      <c r="H368" s="377" t="inlineStr">
        <is>
          <t>Annual-Monthly</t>
        </is>
      </c>
      <c r="I368" s="380" t="n">
        <v>127440</v>
      </c>
      <c r="J368" s="377" t="n"/>
      <c r="K368" s="381" t="n"/>
      <c r="L368" s="377" t="n">
        <v>365</v>
      </c>
      <c r="M368" s="377" t="n"/>
      <c r="N368" s="381" t="n"/>
      <c r="O368" s="381" t="n"/>
      <c r="P368" s="381" t="n"/>
      <c r="Q368" s="377" t="n"/>
      <c r="R368" s="377" t="n"/>
      <c r="S368" s="377" t="n"/>
      <c r="T368" s="381" t="n"/>
      <c r="U368" s="377" t="n"/>
      <c r="V368" s="381" t="n"/>
      <c r="W368" s="407" t="n"/>
      <c r="X368" s="377" t="n"/>
      <c r="Y368" s="381" t="n"/>
      <c r="Z368" s="377" t="n">
        <v>26</v>
      </c>
      <c r="AA368" s="383" t="n">
        <v>10620</v>
      </c>
      <c r="AB368" s="383" t="n">
        <v>9077.918</v>
      </c>
      <c r="AC368" s="387" t="n">
        <v>31</v>
      </c>
      <c r="AD368" s="388" t="n">
        <v>10620</v>
      </c>
      <c r="AE368" s="388" t="n">
        <v>10823.671</v>
      </c>
    </row>
    <row r="369" ht="15.75" customHeight="1" s="253">
      <c r="A369" s="377" t="n"/>
      <c r="B369" s="399" t="n">
        <v>45901</v>
      </c>
      <c r="C369" s="377" t="inlineStr">
        <is>
          <t>Pravah Law</t>
        </is>
      </c>
      <c r="D369" s="377" t="inlineStr">
        <is>
          <t>INV-25-26-000414</t>
        </is>
      </c>
      <c r="E369" s="377" t="n"/>
      <c r="F369" s="389" t="n">
        <v>45905</v>
      </c>
      <c r="G369" s="389" t="n">
        <v>46269</v>
      </c>
      <c r="H369" s="377" t="inlineStr">
        <is>
          <t>Annual-Monthly</t>
        </is>
      </c>
      <c r="I369" s="380" t="n">
        <v>127440</v>
      </c>
      <c r="J369" s="377" t="n"/>
      <c r="K369" s="381" t="n"/>
      <c r="L369" s="377" t="n">
        <v>365</v>
      </c>
      <c r="M369" s="377" t="n"/>
      <c r="N369" s="381" t="n"/>
      <c r="O369" s="381" t="n"/>
      <c r="P369" s="381" t="n"/>
      <c r="Q369" s="377" t="n"/>
      <c r="R369" s="377" t="n"/>
      <c r="S369" s="377" t="n"/>
      <c r="T369" s="381" t="n"/>
      <c r="U369" s="377" t="n"/>
      <c r="V369" s="381" t="n"/>
      <c r="W369" s="407" t="n"/>
      <c r="X369" s="377" t="n"/>
      <c r="Y369" s="381" t="n"/>
      <c r="Z369" s="377" t="n">
        <v>26</v>
      </c>
      <c r="AA369" s="383" t="n">
        <v>10620</v>
      </c>
      <c r="AB369" s="383" t="n">
        <v>9077.918</v>
      </c>
      <c r="AC369" s="387" t="n">
        <v>31</v>
      </c>
      <c r="AD369" s="388" t="n">
        <v>10620</v>
      </c>
      <c r="AE369" s="388" t="n">
        <v>10823.671</v>
      </c>
    </row>
    <row r="370" ht="15.75" customHeight="1" s="253">
      <c r="A370" s="377" t="n"/>
      <c r="B370" s="399" t="n">
        <v>45901</v>
      </c>
      <c r="C370" s="377" t="inlineStr">
        <is>
          <t>IndusLaw</t>
        </is>
      </c>
      <c r="D370" s="377" t="inlineStr">
        <is>
          <t>INV-25-26-000417</t>
        </is>
      </c>
      <c r="E370" s="377" t="n"/>
      <c r="F370" s="389" t="n">
        <v>45907</v>
      </c>
      <c r="G370" s="389" t="n">
        <v>46171</v>
      </c>
      <c r="H370" s="386" t="inlineStr">
        <is>
          <t>8 months &amp; 23 days - Half Yearly Payment</t>
        </is>
      </c>
      <c r="I370" s="380" t="n">
        <v>1513044</v>
      </c>
      <c r="J370" s="377" t="n"/>
      <c r="K370" s="381" t="n"/>
      <c r="L370" s="377" t="n">
        <v>265</v>
      </c>
      <c r="M370" s="377" t="n"/>
      <c r="N370" s="381" t="n"/>
      <c r="O370" s="381" t="n"/>
      <c r="P370" s="381" t="n"/>
      <c r="Q370" s="377" t="n"/>
      <c r="R370" s="377" t="n"/>
      <c r="S370" s="377" t="n"/>
      <c r="T370" s="381" t="n"/>
      <c r="U370" s="377" t="n"/>
      <c r="V370" s="381" t="n"/>
      <c r="W370" s="407" t="n"/>
      <c r="X370" s="377" t="n"/>
      <c r="Y370" s="381" t="n"/>
      <c r="Z370" s="377" t="n">
        <v>24</v>
      </c>
      <c r="AA370" s="383" t="n">
        <v>183844.957</v>
      </c>
      <c r="AB370" s="383" t="n">
        <v>137030.4</v>
      </c>
      <c r="AC370" s="387" t="n">
        <v>31</v>
      </c>
      <c r="AD370" s="388" t="n">
        <v>168116</v>
      </c>
      <c r="AE370" s="388" t="n">
        <v>176997.6</v>
      </c>
    </row>
    <row r="371" ht="15.75" customHeight="1" s="253">
      <c r="A371" s="377" t="n"/>
      <c r="B371" s="399" t="n">
        <v>45901</v>
      </c>
      <c r="C371" s="377" t="inlineStr">
        <is>
          <t>AP &amp; Partners, Advocates</t>
        </is>
      </c>
      <c r="D371" s="377" t="inlineStr">
        <is>
          <t>INV-25-26-000418</t>
        </is>
      </c>
      <c r="E371" s="377" t="n"/>
      <c r="F371" s="389" t="n">
        <v>45908</v>
      </c>
      <c r="G371" s="389" t="n">
        <v>46272</v>
      </c>
      <c r="H371" s="377" t="inlineStr">
        <is>
          <t>Annual Upfront</t>
        </is>
      </c>
      <c r="I371" s="380" t="n">
        <v>250000</v>
      </c>
      <c r="J371" s="377" t="n"/>
      <c r="K371" s="381" t="n"/>
      <c r="L371" s="377" t="n">
        <v>365</v>
      </c>
      <c r="M371" s="377" t="n"/>
      <c r="N371" s="381" t="n"/>
      <c r="O371" s="381" t="n"/>
      <c r="P371" s="381" t="n"/>
      <c r="Q371" s="377" t="n"/>
      <c r="R371" s="377" t="n"/>
      <c r="S371" s="377" t="n"/>
      <c r="T371" s="381" t="n"/>
      <c r="U371" s="377" t="n"/>
      <c r="V371" s="381" t="n"/>
      <c r="W371" s="407" t="n"/>
      <c r="X371" s="377" t="n"/>
      <c r="Y371" s="381" t="n"/>
      <c r="Z371" s="377" t="n">
        <v>23</v>
      </c>
      <c r="AA371" s="383" t="n">
        <v>20833.333</v>
      </c>
      <c r="AB371" s="383" t="n">
        <v>15753.425</v>
      </c>
      <c r="AC371" s="387" t="n">
        <v>31</v>
      </c>
      <c r="AD371" s="388" t="n">
        <v>20833.333</v>
      </c>
      <c r="AE371" s="388" t="n">
        <v>21232.877</v>
      </c>
    </row>
    <row r="372" ht="15.75" customHeight="1" s="253">
      <c r="A372" s="377" t="n"/>
      <c r="B372" s="399" t="n">
        <v>45901</v>
      </c>
      <c r="C372" s="377" t="inlineStr">
        <is>
          <t>Ajinkya Kurdukar</t>
        </is>
      </c>
      <c r="D372" s="377" t="inlineStr">
        <is>
          <t>INV-25-26-000419</t>
        </is>
      </c>
      <c r="E372" s="377" t="n"/>
      <c r="F372" s="389" t="n">
        <v>45908</v>
      </c>
      <c r="G372" s="389" t="n">
        <v>46272</v>
      </c>
      <c r="H372" s="377" t="inlineStr">
        <is>
          <t>Annual Upfront</t>
        </is>
      </c>
      <c r="I372" s="380" t="n">
        <v>79060</v>
      </c>
      <c r="J372" s="377" t="n"/>
      <c r="K372" s="381" t="n"/>
      <c r="L372" s="377" t="n">
        <v>365</v>
      </c>
      <c r="M372" s="377" t="n"/>
      <c r="N372" s="381" t="n"/>
      <c r="O372" s="381" t="n"/>
      <c r="P372" s="381" t="n"/>
      <c r="Q372" s="377" t="n"/>
      <c r="R372" s="377" t="n"/>
      <c r="S372" s="377" t="n"/>
      <c r="T372" s="381" t="n"/>
      <c r="U372" s="377" t="n"/>
      <c r="V372" s="381" t="n"/>
      <c r="W372" s="407" t="n"/>
      <c r="X372" s="377" t="n"/>
      <c r="Y372" s="381" t="n"/>
      <c r="Z372" s="377" t="n">
        <v>23</v>
      </c>
      <c r="AA372" s="383" t="n">
        <v>6588.333</v>
      </c>
      <c r="AB372" s="383" t="n">
        <v>4981.863</v>
      </c>
      <c r="AC372" s="387" t="n">
        <v>31</v>
      </c>
      <c r="AD372" s="388" t="n">
        <v>6588.333</v>
      </c>
      <c r="AE372" s="388" t="n">
        <v>6714.685</v>
      </c>
    </row>
    <row r="373" ht="15.75" customHeight="1" s="253">
      <c r="A373" s="377" t="n"/>
      <c r="B373" s="399" t="n">
        <v>45901</v>
      </c>
      <c r="C373" s="377" t="inlineStr">
        <is>
          <t>TREELIFE VENTURES SERVICES PRIVATE LIMITED</t>
        </is>
      </c>
      <c r="D373" s="377" t="inlineStr">
        <is>
          <t>INV-25-26-000422</t>
        </is>
      </c>
      <c r="E373" s="377" t="n"/>
      <c r="F373" s="389" t="n">
        <v>45915</v>
      </c>
      <c r="G373" s="389" t="n">
        <v>46272</v>
      </c>
      <c r="H373" s="377" t="inlineStr">
        <is>
          <t>Annual Upfront</t>
        </is>
      </c>
      <c r="I373" s="380" t="n">
        <v>490000</v>
      </c>
      <c r="J373" s="377" t="n"/>
      <c r="K373" s="381" t="n"/>
      <c r="L373" s="377" t="n">
        <v>358</v>
      </c>
      <c r="M373" s="377" t="n"/>
      <c r="N373" s="381" t="n"/>
      <c r="O373" s="381" t="n"/>
      <c r="P373" s="381" t="n"/>
      <c r="Q373" s="377" t="n"/>
      <c r="R373" s="377" t="n"/>
      <c r="S373" s="377" t="n"/>
      <c r="T373" s="381" t="n"/>
      <c r="U373" s="377" t="n"/>
      <c r="V373" s="381" t="n"/>
      <c r="W373" s="407" t="n"/>
      <c r="X373" s="377" t="n"/>
      <c r="Y373" s="381" t="n"/>
      <c r="Z373" s="377" t="n">
        <v>16</v>
      </c>
      <c r="AA373" s="383" t="n">
        <v>40833.333</v>
      </c>
      <c r="AB373" s="383" t="n">
        <v>21899.441</v>
      </c>
      <c r="AC373" s="387" t="n">
        <v>31</v>
      </c>
      <c r="AD373" s="388" t="n">
        <v>40833.333</v>
      </c>
      <c r="AE373" s="388" t="n">
        <v>42430.168</v>
      </c>
    </row>
    <row r="374" ht="15.75" customHeight="1" s="253">
      <c r="A374" s="377" t="n"/>
      <c r="B374" s="399" t="n">
        <v>45901</v>
      </c>
      <c r="C374" s="377" t="inlineStr">
        <is>
          <t>Vijay Manjreka</t>
        </is>
      </c>
      <c r="D374" s="377" t="inlineStr">
        <is>
          <t>INV-25-26-000423</t>
        </is>
      </c>
      <c r="E374" s="377" t="n"/>
      <c r="F374" s="389" t="n">
        <v>45903</v>
      </c>
      <c r="G374" s="389" t="n">
        <v>46267</v>
      </c>
      <c r="H374" s="390" t="inlineStr">
        <is>
          <t>Annual subscription, Quarterly upfront</t>
        </is>
      </c>
      <c r="I374" s="380" t="n">
        <v>30000</v>
      </c>
      <c r="J374" s="377" t="n"/>
      <c r="K374" s="381" t="n"/>
      <c r="L374" s="377" t="n">
        <v>365</v>
      </c>
      <c r="M374" s="377" t="n"/>
      <c r="N374" s="381" t="n"/>
      <c r="O374" s="381" t="n"/>
      <c r="P374" s="381" t="n"/>
      <c r="Q374" s="377" t="n"/>
      <c r="R374" s="377" t="n"/>
      <c r="S374" s="377" t="n"/>
      <c r="T374" s="381" t="n"/>
      <c r="U374" s="377" t="n"/>
      <c r="V374" s="381" t="n"/>
      <c r="W374" s="407" t="n"/>
      <c r="X374" s="377" t="n"/>
      <c r="Y374" s="381" t="n"/>
      <c r="Z374" s="377" t="n">
        <v>28</v>
      </c>
      <c r="AA374" s="383" t="n">
        <v>2500</v>
      </c>
      <c r="AB374" s="383" t="n">
        <v>2301.37</v>
      </c>
      <c r="AC374" s="387" t="n">
        <v>31</v>
      </c>
      <c r="AD374" s="388" t="n">
        <v>2500</v>
      </c>
      <c r="AE374" s="388" t="n">
        <v>2547.945</v>
      </c>
    </row>
    <row r="375" ht="15.75" customHeight="1" s="253">
      <c r="A375" s="377" t="n"/>
      <c r="B375" s="399" t="inlineStr">
        <is>
          <t>Sept to Oct 25</t>
        </is>
      </c>
      <c r="C375" s="377" t="inlineStr">
        <is>
          <t>Roshan Santhalia</t>
        </is>
      </c>
      <c r="D375" s="377" t="inlineStr">
        <is>
          <t>INV-25-26-000424, 486, 000486, 579</t>
        </is>
      </c>
      <c r="E375" s="377" t="n"/>
      <c r="F375" s="389" t="n">
        <v>45901</v>
      </c>
      <c r="G375" s="389" t="n">
        <v>46265</v>
      </c>
      <c r="H375" s="377" t="inlineStr">
        <is>
          <t>Annual-Monthly</t>
        </is>
      </c>
      <c r="I375" s="380" t="n">
        <v>48000</v>
      </c>
      <c r="J375" s="377" t="n"/>
      <c r="K375" s="381" t="n"/>
      <c r="L375" s="377" t="n">
        <v>365</v>
      </c>
      <c r="M375" s="377" t="n"/>
      <c r="N375" s="381" t="n"/>
      <c r="O375" s="381" t="n"/>
      <c r="P375" s="381" t="n"/>
      <c r="Q375" s="377" t="n"/>
      <c r="R375" s="377" t="n"/>
      <c r="S375" s="377" t="n"/>
      <c r="T375" s="381" t="n"/>
      <c r="U375" s="377" t="n"/>
      <c r="V375" s="381" t="n"/>
      <c r="W375" s="407" t="n"/>
      <c r="X375" s="377" t="n"/>
      <c r="Y375" s="381" t="n"/>
      <c r="Z375" s="377" t="n">
        <v>30</v>
      </c>
      <c r="AA375" s="383" t="n">
        <v>4000</v>
      </c>
      <c r="AB375" s="383" t="n">
        <v>3945.205</v>
      </c>
      <c r="AC375" s="387" t="n">
        <v>31</v>
      </c>
      <c r="AD375" s="388" t="n">
        <v>4000</v>
      </c>
      <c r="AE375" s="388" t="n">
        <v>4076.712</v>
      </c>
    </row>
    <row r="376" ht="15.75" customHeight="1" s="253">
      <c r="A376" s="377" t="n"/>
      <c r="B376" s="399" t="n">
        <v>45901</v>
      </c>
      <c r="C376" s="377" t="inlineStr">
        <is>
          <t>Ankur Mahindro</t>
        </is>
      </c>
      <c r="D376" s="377" t="inlineStr">
        <is>
          <t>INV-25-26-000426</t>
        </is>
      </c>
      <c r="E376" s="377" t="n"/>
      <c r="F376" s="389" t="n">
        <v>45910</v>
      </c>
      <c r="G376" s="389" t="n">
        <v>46274</v>
      </c>
      <c r="H376" s="386" t="inlineStr">
        <is>
          <t>Annual- Half Yearly Payment</t>
        </is>
      </c>
      <c r="I376" s="380" t="n">
        <v>74340</v>
      </c>
      <c r="J376" s="377" t="n"/>
      <c r="K376" s="381" t="n"/>
      <c r="L376" s="377" t="n">
        <v>365</v>
      </c>
      <c r="M376" s="377" t="n"/>
      <c r="N376" s="381" t="n"/>
      <c r="O376" s="381" t="n"/>
      <c r="P376" s="381" t="n"/>
      <c r="Q376" s="377" t="n"/>
      <c r="R376" s="377" t="n"/>
      <c r="S376" s="377" t="n"/>
      <c r="T376" s="381" t="n"/>
      <c r="U376" s="377" t="n"/>
      <c r="V376" s="381" t="n"/>
      <c r="W376" s="407" t="n"/>
      <c r="X376" s="377" t="n"/>
      <c r="Y376" s="381" t="n"/>
      <c r="Z376" s="377" t="n">
        <v>21</v>
      </c>
      <c r="AA376" s="383" t="n">
        <v>6195</v>
      </c>
      <c r="AB376" s="383" t="n">
        <v>4277.096</v>
      </c>
      <c r="AC376" s="387" t="n">
        <v>31</v>
      </c>
      <c r="AD376" s="388" t="n">
        <v>6195</v>
      </c>
      <c r="AE376" s="388" t="n">
        <v>6313.808</v>
      </c>
    </row>
    <row r="377" ht="15.75" customHeight="1" s="253">
      <c r="A377" s="377" t="n"/>
      <c r="B377" s="399" t="n">
        <v>45901</v>
      </c>
      <c r="C377" s="377" t="inlineStr">
        <is>
          <t>Pragati Law Chambers</t>
        </is>
      </c>
      <c r="D377" s="377" t="inlineStr">
        <is>
          <t>INV-25-26-000428</t>
        </is>
      </c>
      <c r="E377" s="377" t="n"/>
      <c r="F377" s="389" t="n">
        <v>45912</v>
      </c>
      <c r="G377" s="389" t="n">
        <v>46276</v>
      </c>
      <c r="H377" s="377" t="inlineStr">
        <is>
          <t>Annual Upfront</t>
        </is>
      </c>
      <c r="I377" s="380" t="n">
        <v>371700</v>
      </c>
      <c r="J377" s="377" t="n"/>
      <c r="K377" s="381" t="n"/>
      <c r="L377" s="377" t="n">
        <v>365</v>
      </c>
      <c r="M377" s="377" t="n"/>
      <c r="N377" s="381" t="n"/>
      <c r="O377" s="381" t="n"/>
      <c r="P377" s="381" t="n"/>
      <c r="Q377" s="377" t="n"/>
      <c r="R377" s="377" t="n"/>
      <c r="S377" s="377" t="n"/>
      <c r="T377" s="381" t="n"/>
      <c r="U377" s="377" t="n"/>
      <c r="V377" s="381" t="n"/>
      <c r="W377" s="407" t="n"/>
      <c r="X377" s="377" t="n"/>
      <c r="Y377" s="381" t="n"/>
      <c r="Z377" s="377" t="n">
        <v>19</v>
      </c>
      <c r="AA377" s="383" t="n">
        <v>30975</v>
      </c>
      <c r="AB377" s="383" t="n">
        <v>19348.767</v>
      </c>
      <c r="AC377" s="387" t="n">
        <v>31</v>
      </c>
      <c r="AD377" s="388" t="n">
        <v>30975</v>
      </c>
      <c r="AE377" s="388" t="n">
        <v>31569.041</v>
      </c>
    </row>
    <row r="378" ht="15.75" customHeight="1" s="253">
      <c r="A378" s="377" t="n"/>
      <c r="B378" s="399" t="n">
        <v>45901</v>
      </c>
      <c r="C378" s="377" t="inlineStr">
        <is>
          <t>Vidhii Partners</t>
        </is>
      </c>
      <c r="D378" s="377" t="inlineStr">
        <is>
          <t>INV-25-26-000433</t>
        </is>
      </c>
      <c r="E378" s="377" t="n"/>
      <c r="F378" s="389" t="n">
        <v>45916</v>
      </c>
      <c r="G378" s="389" t="n">
        <v>45945</v>
      </c>
      <c r="H378" s="377" t="inlineStr">
        <is>
          <t>1 month-Upfront</t>
        </is>
      </c>
      <c r="I378" s="380" t="n">
        <v>23600</v>
      </c>
      <c r="J378" s="377" t="n"/>
      <c r="K378" s="381" t="n"/>
      <c r="L378" s="377" t="n">
        <v>30</v>
      </c>
      <c r="M378" s="377" t="n"/>
      <c r="N378" s="381" t="n"/>
      <c r="O378" s="381" t="n"/>
      <c r="P378" s="381" t="n"/>
      <c r="Q378" s="377" t="n"/>
      <c r="R378" s="377" t="n"/>
      <c r="S378" s="377" t="n"/>
      <c r="T378" s="381" t="n"/>
      <c r="U378" s="377" t="n"/>
      <c r="V378" s="381" t="n"/>
      <c r="W378" s="407" t="n"/>
      <c r="X378" s="377" t="n"/>
      <c r="Y378" s="381" t="n"/>
      <c r="Z378" s="377" t="n">
        <v>15</v>
      </c>
      <c r="AA378" s="383" t="n">
        <v>23600</v>
      </c>
      <c r="AB378" s="383" t="n">
        <v>11800</v>
      </c>
      <c r="AC378" s="387" t="n">
        <v>15</v>
      </c>
      <c r="AD378" s="385" t="n">
        <v>23600</v>
      </c>
      <c r="AE378" s="388" t="n">
        <v>11800</v>
      </c>
    </row>
    <row r="379" ht="15.75" customHeight="1" s="253">
      <c r="A379" s="377" t="n"/>
      <c r="B379" s="399" t="n">
        <v>45901</v>
      </c>
      <c r="C379" s="377" t="inlineStr">
        <is>
          <t>Devina Sehgal</t>
        </is>
      </c>
      <c r="D379" s="377" t="inlineStr">
        <is>
          <t>INV-25-26-000434</t>
        </is>
      </c>
      <c r="E379" s="377" t="n"/>
      <c r="F379" s="389" t="n">
        <v>45917</v>
      </c>
      <c r="G379" s="389" t="n">
        <v>46281</v>
      </c>
      <c r="H379" s="386" t="inlineStr">
        <is>
          <t>Annual- Half Yearly Payment</t>
        </is>
      </c>
      <c r="I379" s="380" t="n">
        <v>82600</v>
      </c>
      <c r="J379" s="377" t="n"/>
      <c r="K379" s="381" t="n"/>
      <c r="L379" s="377" t="n">
        <v>365</v>
      </c>
      <c r="M379" s="377" t="n"/>
      <c r="N379" s="381" t="n"/>
      <c r="O379" s="381" t="n"/>
      <c r="P379" s="381" t="n"/>
      <c r="Q379" s="377" t="n"/>
      <c r="R379" s="377" t="n"/>
      <c r="S379" s="377" t="n"/>
      <c r="T379" s="381" t="n"/>
      <c r="U379" s="377" t="n"/>
      <c r="V379" s="381" t="n"/>
      <c r="W379" s="407" t="n"/>
      <c r="X379" s="377" t="n"/>
      <c r="Y379" s="381" t="n"/>
      <c r="Z379" s="377" t="n">
        <v>14</v>
      </c>
      <c r="AA379" s="383" t="n">
        <v>6883.333</v>
      </c>
      <c r="AB379" s="383" t="n">
        <v>3168.219</v>
      </c>
      <c r="AC379" s="387" t="n">
        <v>31</v>
      </c>
      <c r="AD379" s="388" t="n">
        <v>6883.333</v>
      </c>
      <c r="AE379" s="388" t="n">
        <v>7015.342</v>
      </c>
    </row>
    <row r="380" ht="15.75" customHeight="1" s="253">
      <c r="A380" s="377" t="n"/>
      <c r="B380" s="399" t="n">
        <v>45901</v>
      </c>
      <c r="C380" s="377" t="inlineStr">
        <is>
          <t>KK &amp; Co</t>
        </is>
      </c>
      <c r="D380" s="377" t="inlineStr">
        <is>
          <t>INV-25-26-000437</t>
        </is>
      </c>
      <c r="E380" s="377" t="n"/>
      <c r="F380" s="389" t="n">
        <v>45917</v>
      </c>
      <c r="G380" s="389" t="n">
        <v>46281</v>
      </c>
      <c r="H380" s="377" t="inlineStr">
        <is>
          <t>Annual Upfront</t>
        </is>
      </c>
      <c r="I380" s="380" t="n">
        <v>165200</v>
      </c>
      <c r="J380" s="377" t="n"/>
      <c r="K380" s="381" t="n"/>
      <c r="L380" s="377" t="n">
        <v>365</v>
      </c>
      <c r="M380" s="377" t="n"/>
      <c r="N380" s="381" t="n"/>
      <c r="O380" s="381" t="n"/>
      <c r="P380" s="381" t="n"/>
      <c r="Q380" s="377" t="n"/>
      <c r="R380" s="377" t="n"/>
      <c r="S380" s="377" t="n"/>
      <c r="T380" s="381" t="n"/>
      <c r="U380" s="377" t="n"/>
      <c r="V380" s="381" t="n"/>
      <c r="W380" s="407" t="n"/>
      <c r="X380" s="377" t="n"/>
      <c r="Y380" s="381" t="n"/>
      <c r="Z380" s="377" t="n">
        <v>14</v>
      </c>
      <c r="AA380" s="383" t="n">
        <v>13766.667</v>
      </c>
      <c r="AB380" s="383" t="n">
        <v>6336.438</v>
      </c>
      <c r="AC380" s="387" t="n">
        <v>31</v>
      </c>
      <c r="AD380" s="388" t="n">
        <v>13766.667</v>
      </c>
      <c r="AE380" s="388" t="n">
        <v>14030.685</v>
      </c>
    </row>
    <row r="381" ht="15.75" customHeight="1" s="253">
      <c r="A381" s="377" t="n"/>
      <c r="B381" s="399" t="n">
        <v>45901</v>
      </c>
      <c r="C381" s="377" t="inlineStr">
        <is>
          <t>Malak Bhatt</t>
        </is>
      </c>
      <c r="D381" s="377" t="inlineStr">
        <is>
          <t>INV-25-26-000438</t>
        </is>
      </c>
      <c r="E381" s="377" t="n"/>
      <c r="F381" s="389" t="n">
        <v>45877</v>
      </c>
      <c r="G381" s="389" t="n">
        <v>46241</v>
      </c>
      <c r="H381" s="377" t="inlineStr">
        <is>
          <t>Annual Upfront</t>
        </is>
      </c>
      <c r="I381" s="380" t="n">
        <v>23600</v>
      </c>
      <c r="J381" s="377" t="n"/>
      <c r="K381" s="381" t="n"/>
      <c r="L381" s="377" t="n">
        <v>365</v>
      </c>
      <c r="M381" s="377" t="n"/>
      <c r="N381" s="381" t="n"/>
      <c r="O381" s="381" t="n"/>
      <c r="P381" s="381" t="n"/>
      <c r="Q381" s="377" t="n"/>
      <c r="R381" s="377" t="n"/>
      <c r="S381" s="377" t="n"/>
      <c r="T381" s="381" t="n"/>
      <c r="U381" s="377" t="n">
        <v>0</v>
      </c>
      <c r="V381" s="381" t="n"/>
      <c r="W381" s="407" t="n">
        <v>24</v>
      </c>
      <c r="X381" s="383" t="n">
        <v>1966.667</v>
      </c>
      <c r="Y381" s="381" t="n">
        <v>1551.781</v>
      </c>
      <c r="Z381" s="384" t="n">
        <v>30</v>
      </c>
      <c r="AA381" s="383" t="n">
        <v>1966.667</v>
      </c>
      <c r="AB381" s="383" t="n">
        <v>1939.726</v>
      </c>
      <c r="AC381" s="387" t="n">
        <v>31</v>
      </c>
      <c r="AD381" s="388" t="n">
        <v>1966.667</v>
      </c>
      <c r="AE381" s="388" t="n">
        <v>2004.384</v>
      </c>
    </row>
    <row r="382" ht="15.75" customHeight="1" s="253">
      <c r="A382" s="377" t="n"/>
      <c r="B382" s="399" t="n">
        <v>45901</v>
      </c>
      <c r="C382" s="377" t="inlineStr">
        <is>
          <t>LEGALOGIC CONSULTING LLP</t>
        </is>
      </c>
      <c r="D382" s="377" t="inlineStr">
        <is>
          <t>INV-25-26-000439, INV-25-26-000490</t>
        </is>
      </c>
      <c r="E382" s="377" t="n"/>
      <c r="F382" s="389" t="n">
        <v>45901</v>
      </c>
      <c r="G382" s="389" t="n">
        <v>45930</v>
      </c>
      <c r="H382" s="377" t="inlineStr">
        <is>
          <t>1 month-Upfront</t>
        </is>
      </c>
      <c r="I382" s="380" t="n">
        <v>29000</v>
      </c>
      <c r="J382" s="377" t="n"/>
      <c r="K382" s="381" t="n"/>
      <c r="L382" s="377" t="n">
        <v>30</v>
      </c>
      <c r="M382" s="377" t="n"/>
      <c r="N382" s="381" t="n"/>
      <c r="O382" s="381" t="n"/>
      <c r="P382" s="381" t="n"/>
      <c r="Q382" s="377" t="n"/>
      <c r="R382" s="377" t="n"/>
      <c r="S382" s="377" t="n"/>
      <c r="T382" s="381" t="n"/>
      <c r="U382" s="377" t="n"/>
      <c r="V382" s="381" t="n"/>
      <c r="W382" s="407" t="n"/>
      <c r="X382" s="377" t="n"/>
      <c r="Y382" s="381" t="n"/>
      <c r="Z382" s="377" t="n">
        <v>30</v>
      </c>
      <c r="AA382" s="383" t="n">
        <v>29000</v>
      </c>
      <c r="AB382" s="383" t="n">
        <v>29000</v>
      </c>
      <c r="AC382" s="385" t="n"/>
      <c r="AD382" s="385" t="n"/>
      <c r="AE382" s="385" t="n"/>
    </row>
    <row r="383" ht="15.75" customHeight="1" s="253">
      <c r="A383" s="377" t="n"/>
      <c r="B383" s="399" t="n">
        <v>45901</v>
      </c>
      <c r="C383" s="377" t="inlineStr">
        <is>
          <t>Aditya Narayan Mahajan</t>
        </is>
      </c>
      <c r="D383" s="377" t="inlineStr">
        <is>
          <t>INV-25-26-000440</t>
        </is>
      </c>
      <c r="E383" s="377" t="n"/>
      <c r="F383" s="389" t="n">
        <v>45922</v>
      </c>
      <c r="G383" s="389" t="n">
        <v>46286</v>
      </c>
      <c r="H383" s="377" t="inlineStr">
        <is>
          <t>Annual Upfront</t>
        </is>
      </c>
      <c r="I383" s="380" t="n">
        <v>62640</v>
      </c>
      <c r="J383" s="377" t="n"/>
      <c r="K383" s="381" t="n"/>
      <c r="L383" s="377" t="n">
        <v>365</v>
      </c>
      <c r="M383" s="377" t="n"/>
      <c r="N383" s="381" t="n"/>
      <c r="O383" s="381" t="n"/>
      <c r="P383" s="381" t="n"/>
      <c r="Q383" s="377" t="n"/>
      <c r="R383" s="377" t="n"/>
      <c r="S383" s="377" t="n"/>
      <c r="T383" s="381" t="n"/>
      <c r="U383" s="377" t="n"/>
      <c r="V383" s="381" t="n"/>
      <c r="W383" s="407" t="n"/>
      <c r="X383" s="377" t="n"/>
      <c r="Y383" s="381" t="n"/>
      <c r="Z383" s="377" t="n">
        <v>9</v>
      </c>
      <c r="AA383" s="383" t="n">
        <v>5220</v>
      </c>
      <c r="AB383" s="383" t="n">
        <v>1544.548</v>
      </c>
      <c r="AC383" s="387" t="n">
        <v>31</v>
      </c>
      <c r="AD383" s="388" t="n">
        <v>5220</v>
      </c>
      <c r="AE383" s="388" t="n">
        <v>5320.11</v>
      </c>
    </row>
    <row r="384" ht="15.75" customHeight="1" s="253">
      <c r="A384" s="377" t="n"/>
      <c r="B384" s="399" t="inlineStr">
        <is>
          <t>Sept to Oct 25</t>
        </is>
      </c>
      <c r="C384" s="377" t="inlineStr">
        <is>
          <t>Prateek Rath</t>
        </is>
      </c>
      <c r="D384" s="377" t="inlineStr">
        <is>
          <t>INV-25-26-000441, 540, 000540, 000636</t>
        </is>
      </c>
      <c r="E384" s="377" t="n"/>
      <c r="F384" s="389" t="n">
        <v>45917</v>
      </c>
      <c r="G384" s="389" t="n">
        <v>46281</v>
      </c>
      <c r="H384" s="377" t="inlineStr">
        <is>
          <t>Annual-Monthly</t>
        </is>
      </c>
      <c r="I384" s="380" t="n">
        <v>72000</v>
      </c>
      <c r="J384" s="377" t="n"/>
      <c r="K384" s="381" t="n"/>
      <c r="L384" s="377" t="n">
        <v>365</v>
      </c>
      <c r="M384" s="377" t="n"/>
      <c r="N384" s="381" t="n"/>
      <c r="O384" s="381" t="n"/>
      <c r="P384" s="381" t="n"/>
      <c r="Q384" s="377" t="n"/>
      <c r="R384" s="377" t="n"/>
      <c r="S384" s="377" t="n"/>
      <c r="T384" s="381" t="n"/>
      <c r="U384" s="377" t="n"/>
      <c r="V384" s="381" t="n"/>
      <c r="W384" s="407" t="n"/>
      <c r="X384" s="377" t="n"/>
      <c r="Y384" s="381" t="n"/>
      <c r="Z384" s="377" t="n">
        <v>14</v>
      </c>
      <c r="AA384" s="383" t="n">
        <v>6000</v>
      </c>
      <c r="AB384" s="383" t="n">
        <v>2761.644</v>
      </c>
      <c r="AC384" s="387" t="n">
        <v>31</v>
      </c>
      <c r="AD384" s="388" t="n">
        <v>6000</v>
      </c>
      <c r="AE384" s="388" t="n">
        <v>6115.068</v>
      </c>
    </row>
    <row r="385" ht="15.75" customHeight="1" s="253">
      <c r="A385" s="377" t="n"/>
      <c r="B385" s="376" t="n">
        <v>45901</v>
      </c>
      <c r="C385" s="377" t="inlineStr">
        <is>
          <t>C&amp;S Partners</t>
        </is>
      </c>
      <c r="D385" s="377" t="inlineStr">
        <is>
          <t>INV-25-26-000442</t>
        </is>
      </c>
      <c r="E385" s="377" t="n"/>
      <c r="F385" s="389" t="n">
        <v>45866</v>
      </c>
      <c r="G385" s="389" t="n">
        <v>45896</v>
      </c>
      <c r="H385" s="377" t="inlineStr">
        <is>
          <t>1 month-Upfront</t>
        </is>
      </c>
      <c r="I385" s="380" t="n">
        <v>15340</v>
      </c>
      <c r="J385" s="377" t="n"/>
      <c r="K385" s="381" t="n"/>
      <c r="L385" s="377" t="n">
        <v>31</v>
      </c>
      <c r="M385" s="377" t="n"/>
      <c r="N385" s="381" t="n"/>
      <c r="O385" s="381" t="n"/>
      <c r="P385" s="381" t="n"/>
      <c r="Q385" s="377" t="n"/>
      <c r="R385" s="377" t="n"/>
      <c r="S385" s="377" t="n"/>
      <c r="T385" s="381" t="n">
        <v>15340</v>
      </c>
      <c r="U385" s="377" t="n">
        <v>3</v>
      </c>
      <c r="V385" s="380" t="n">
        <v>1484.51612903226</v>
      </c>
      <c r="W385" s="384" t="n">
        <v>27</v>
      </c>
      <c r="X385" s="377" t="n"/>
      <c r="Y385" s="380" t="n">
        <v>13360.645</v>
      </c>
      <c r="Z385" s="377" t="n"/>
      <c r="AA385" s="377" t="n"/>
      <c r="AB385" s="377" t="n"/>
      <c r="AC385" s="385" t="n"/>
      <c r="AD385" s="385" t="n"/>
      <c r="AE385" s="385" t="n"/>
    </row>
    <row r="386" ht="15.75" customHeight="1" s="253">
      <c r="A386" s="377" t="n"/>
      <c r="B386" s="399" t="n">
        <v>45901</v>
      </c>
      <c r="C386" s="377" t="inlineStr">
        <is>
          <t>OASIS REALTY</t>
        </is>
      </c>
      <c r="D386" s="377" t="inlineStr">
        <is>
          <t>INV-25-26-000443</t>
        </is>
      </c>
      <c r="E386" s="377" t="n"/>
      <c r="F386" s="389" t="n">
        <v>45917</v>
      </c>
      <c r="G386" s="389" t="n">
        <v>46281</v>
      </c>
      <c r="H386" s="377" t="inlineStr">
        <is>
          <t>Annual Upfront</t>
        </is>
      </c>
      <c r="I386" s="380" t="n">
        <v>127440</v>
      </c>
      <c r="J386" s="377" t="n"/>
      <c r="K386" s="381" t="n"/>
      <c r="L386" s="377" t="n">
        <v>365</v>
      </c>
      <c r="M386" s="377" t="n"/>
      <c r="N386" s="381" t="n"/>
      <c r="O386" s="381" t="n"/>
      <c r="P386" s="381" t="n"/>
      <c r="Q386" s="377" t="n"/>
      <c r="R386" s="377" t="n"/>
      <c r="S386" s="377" t="n"/>
      <c r="T386" s="381" t="n"/>
      <c r="U386" s="377" t="n"/>
      <c r="V386" s="381" t="n"/>
      <c r="W386" s="407" t="n"/>
      <c r="X386" s="377" t="n"/>
      <c r="Y386" s="381" t="n"/>
      <c r="Z386" s="377" t="n">
        <v>14</v>
      </c>
      <c r="AA386" s="383" t="n">
        <v>10620</v>
      </c>
      <c r="AB386" s="383" t="n">
        <v>4888.11</v>
      </c>
      <c r="AC386" s="387" t="n">
        <v>31</v>
      </c>
      <c r="AD386" s="388" t="n">
        <v>10620</v>
      </c>
      <c r="AE386" s="388" t="n">
        <v>10823.671</v>
      </c>
    </row>
    <row r="387" ht="15.75" customHeight="1" s="253">
      <c r="A387" s="377" t="n"/>
      <c r="B387" s="399" t="n">
        <v>45901</v>
      </c>
      <c r="C387" s="377" t="inlineStr">
        <is>
          <t>Jehangir Jeejeebhoy</t>
        </is>
      </c>
      <c r="D387" s="377" t="inlineStr">
        <is>
          <t>INV-25-26-000444</t>
        </is>
      </c>
      <c r="E387" s="377" t="n"/>
      <c r="F387" s="389" t="n">
        <v>45876</v>
      </c>
      <c r="G387" s="389" t="n">
        <v>45967</v>
      </c>
      <c r="H387" s="379" t="inlineStr">
        <is>
          <t>3 months subscription, upfront</t>
        </is>
      </c>
      <c r="I387" s="380" t="n">
        <v>37760</v>
      </c>
      <c r="J387" s="377" t="n"/>
      <c r="K387" s="381" t="n"/>
      <c r="L387" s="377" t="n">
        <v>92</v>
      </c>
      <c r="M387" s="377" t="n"/>
      <c r="N387" s="381" t="n"/>
      <c r="O387" s="381" t="n"/>
      <c r="P387" s="381" t="n"/>
      <c r="Q387" s="377" t="n"/>
      <c r="R387" s="377" t="n"/>
      <c r="S387" s="377" t="n"/>
      <c r="T387" s="381" t="n"/>
      <c r="U387" s="377" t="n">
        <v>0</v>
      </c>
      <c r="V387" s="381" t="n"/>
      <c r="W387" s="407" t="n">
        <v>25</v>
      </c>
      <c r="X387" s="383" t="n">
        <v>12586.667</v>
      </c>
      <c r="Y387" s="381" t="n">
        <v>10260.87</v>
      </c>
      <c r="Z387" s="384" t="n">
        <v>30</v>
      </c>
      <c r="AA387" s="383" t="n">
        <v>12586.667</v>
      </c>
      <c r="AB387" s="383" t="n">
        <v>12313.043</v>
      </c>
      <c r="AC387" s="387" t="n">
        <v>31</v>
      </c>
      <c r="AD387" s="388" t="n">
        <v>12586.667</v>
      </c>
      <c r="AE387" s="388" t="n">
        <v>12723.478</v>
      </c>
    </row>
    <row r="388" ht="15.75" customHeight="1" s="253">
      <c r="A388" s="377" t="n"/>
      <c r="B388" s="399" t="n">
        <v>45901</v>
      </c>
      <c r="C388" s="377" t="inlineStr">
        <is>
          <t>Samar Bansal</t>
        </is>
      </c>
      <c r="D388" s="377" t="inlineStr">
        <is>
          <t>INV-25-26-000445</t>
        </is>
      </c>
      <c r="E388" s="377" t="n"/>
      <c r="F388" s="389" t="n">
        <v>45918</v>
      </c>
      <c r="G388" s="389" t="n">
        <v>46098</v>
      </c>
      <c r="H388" s="377" t="inlineStr">
        <is>
          <t>6 month-Upfront</t>
        </is>
      </c>
      <c r="I388" s="380" t="n">
        <v>47200</v>
      </c>
      <c r="J388" s="377" t="n"/>
      <c r="K388" s="381" t="n"/>
      <c r="L388" s="377" t="n">
        <v>181</v>
      </c>
      <c r="M388" s="377" t="n"/>
      <c r="N388" s="381" t="n"/>
      <c r="O388" s="381" t="n"/>
      <c r="P388" s="381" t="n"/>
      <c r="Q388" s="377" t="n"/>
      <c r="R388" s="377" t="n"/>
      <c r="S388" s="377" t="n"/>
      <c r="T388" s="381" t="n"/>
      <c r="U388" s="377" t="n"/>
      <c r="V388" s="381" t="n"/>
      <c r="W388" s="407" t="n"/>
      <c r="X388" s="377" t="n"/>
      <c r="Y388" s="381" t="n"/>
      <c r="Z388" s="377" t="n">
        <v>13</v>
      </c>
      <c r="AA388" s="383" t="n">
        <v>7866.667</v>
      </c>
      <c r="AB388" s="383" t="n">
        <v>3390.055</v>
      </c>
      <c r="AC388" s="387" t="n">
        <v>31</v>
      </c>
      <c r="AD388" s="388" t="n">
        <v>7866.667</v>
      </c>
      <c r="AE388" s="388" t="n">
        <v>8083.978</v>
      </c>
    </row>
    <row r="389" ht="15.75" customHeight="1" s="253">
      <c r="A389" s="377" t="n"/>
      <c r="B389" s="399" t="inlineStr">
        <is>
          <t>Sept to Oct 25</t>
        </is>
      </c>
      <c r="C389" s="377" t="inlineStr">
        <is>
          <t>Foresight Law Offices</t>
        </is>
      </c>
      <c r="D389" s="377" t="inlineStr">
        <is>
          <t>INV-25-26-000446, 542, INV-25-26-000446' 000542</t>
        </is>
      </c>
      <c r="E389" s="377" t="n"/>
      <c r="F389" s="389" t="n">
        <v>45918</v>
      </c>
      <c r="G389" s="389" t="n">
        <v>46282</v>
      </c>
      <c r="H389" s="377" t="inlineStr">
        <is>
          <t>Annual-Monthly</t>
        </is>
      </c>
      <c r="I389" s="380" t="n">
        <v>396480</v>
      </c>
      <c r="J389" s="377" t="n"/>
      <c r="K389" s="381" t="n"/>
      <c r="L389" s="377" t="n">
        <v>365</v>
      </c>
      <c r="M389" s="377" t="n"/>
      <c r="N389" s="381" t="n"/>
      <c r="O389" s="381" t="n"/>
      <c r="P389" s="381" t="n"/>
      <c r="Q389" s="377" t="n"/>
      <c r="R389" s="377" t="n"/>
      <c r="S389" s="377" t="n"/>
      <c r="T389" s="381" t="n"/>
      <c r="U389" s="377" t="n"/>
      <c r="V389" s="381" t="n"/>
      <c r="W389" s="407" t="n"/>
      <c r="X389" s="377" t="n"/>
      <c r="Y389" s="381" t="n"/>
      <c r="Z389" s="377" t="n">
        <v>13</v>
      </c>
      <c r="AA389" s="383" t="n">
        <v>33040</v>
      </c>
      <c r="AB389" s="383" t="n">
        <v>14121.205</v>
      </c>
      <c r="AC389" s="387" t="n">
        <v>31</v>
      </c>
      <c r="AD389" s="388" t="n">
        <v>33040</v>
      </c>
      <c r="AE389" s="388" t="n">
        <v>33673.644</v>
      </c>
    </row>
    <row r="390" ht="15.75" customHeight="1" s="253">
      <c r="A390" s="377" t="n"/>
      <c r="B390" s="399" t="inlineStr">
        <is>
          <t>Sept to Oct 25</t>
        </is>
      </c>
      <c r="C390" s="377" t="inlineStr">
        <is>
          <t>Law office of Amrita Sarkar</t>
        </is>
      </c>
      <c r="D390" s="377" t="inlineStr">
        <is>
          <t>INV-25-26-000447, 543, 000543, 000648</t>
        </is>
      </c>
      <c r="E390" s="377" t="n"/>
      <c r="F390" s="389" t="n">
        <v>45922</v>
      </c>
      <c r="G390" s="389" t="n">
        <v>46286</v>
      </c>
      <c r="H390" s="377" t="inlineStr">
        <is>
          <t>Annual-Monthly</t>
        </is>
      </c>
      <c r="I390" s="380" t="n">
        <v>72000</v>
      </c>
      <c r="J390" s="377" t="n"/>
      <c r="K390" s="381" t="n"/>
      <c r="L390" s="377" t="n">
        <v>365</v>
      </c>
      <c r="M390" s="377" t="n"/>
      <c r="N390" s="381" t="n"/>
      <c r="O390" s="381" t="n"/>
      <c r="P390" s="381" t="n"/>
      <c r="Q390" s="377" t="n"/>
      <c r="R390" s="377" t="n"/>
      <c r="S390" s="377" t="n"/>
      <c r="T390" s="381" t="n"/>
      <c r="U390" s="377" t="n"/>
      <c r="V390" s="381" t="n"/>
      <c r="W390" s="407" t="n"/>
      <c r="X390" s="377" t="n"/>
      <c r="Y390" s="381" t="n"/>
      <c r="Z390" s="377" t="n">
        <v>9</v>
      </c>
      <c r="AA390" s="383" t="n">
        <v>6000</v>
      </c>
      <c r="AB390" s="383" t="n">
        <v>1775.342</v>
      </c>
      <c r="AC390" s="387" t="n">
        <v>31</v>
      </c>
      <c r="AD390" s="388" t="n">
        <v>6000</v>
      </c>
      <c r="AE390" s="388" t="n">
        <v>6115.068</v>
      </c>
    </row>
    <row r="391" ht="15.75" customHeight="1" s="253">
      <c r="A391" s="377" t="n"/>
      <c r="B391" s="399" t="inlineStr">
        <is>
          <t>Sept to Oct 25</t>
        </is>
      </c>
      <c r="C391" s="377" t="inlineStr">
        <is>
          <t>Hamza mir</t>
        </is>
      </c>
      <c r="D391" s="377" t="inlineStr">
        <is>
          <t>INV-25-26-000449, 544, 000544, 000649</t>
        </is>
      </c>
      <c r="E391" s="377" t="n"/>
      <c r="F391" s="389" t="n">
        <v>45931</v>
      </c>
      <c r="G391" s="389" t="n">
        <v>46295</v>
      </c>
      <c r="H391" s="377" t="inlineStr">
        <is>
          <t>Annual-Monthly</t>
        </is>
      </c>
      <c r="I391" s="380" t="n">
        <v>35400</v>
      </c>
      <c r="J391" s="377" t="n"/>
      <c r="K391" s="381" t="n"/>
      <c r="L391" s="377" t="n">
        <v>365</v>
      </c>
      <c r="M391" s="377" t="n"/>
      <c r="N391" s="381" t="n"/>
      <c r="O391" s="381" t="n"/>
      <c r="P391" s="381" t="n"/>
      <c r="Q391" s="377" t="n"/>
      <c r="R391" s="377" t="n"/>
      <c r="S391" s="377" t="n"/>
      <c r="T391" s="381" t="n"/>
      <c r="U391" s="377" t="n"/>
      <c r="V391" s="381" t="n"/>
      <c r="W391" s="407" t="n"/>
      <c r="X391" s="377" t="n"/>
      <c r="Y391" s="381" t="n"/>
      <c r="Z391" s="377" t="n"/>
      <c r="AA391" s="377" t="n"/>
      <c r="AB391" s="377" t="n"/>
      <c r="AC391" s="387" t="n">
        <v>31</v>
      </c>
      <c r="AD391" s="388" t="n">
        <v>2950</v>
      </c>
      <c r="AE391" s="388" t="n">
        <v>3006.575</v>
      </c>
    </row>
    <row r="392" ht="15.75" customHeight="1" s="253">
      <c r="A392" s="377" t="n"/>
      <c r="B392" s="399" t="n">
        <v>45901</v>
      </c>
      <c r="C392" s="377" t="inlineStr">
        <is>
          <t>Ankita Sharma</t>
        </is>
      </c>
      <c r="D392" s="377" t="inlineStr">
        <is>
          <t>INV-25-26-000450</t>
        </is>
      </c>
      <c r="E392" s="377" t="n"/>
      <c r="F392" s="389" t="n">
        <v>45918</v>
      </c>
      <c r="G392" s="389" t="n">
        <v>46098</v>
      </c>
      <c r="H392" s="377" t="inlineStr">
        <is>
          <t>6 month-Upfront</t>
        </is>
      </c>
      <c r="I392" s="380" t="n">
        <v>41300</v>
      </c>
      <c r="J392" s="377" t="n"/>
      <c r="K392" s="381" t="n"/>
      <c r="L392" s="377" t="n">
        <v>181</v>
      </c>
      <c r="M392" s="377" t="n"/>
      <c r="N392" s="381" t="n"/>
      <c r="O392" s="381" t="n"/>
      <c r="P392" s="381" t="n"/>
      <c r="Q392" s="377" t="n"/>
      <c r="R392" s="377" t="n"/>
      <c r="S392" s="377" t="n"/>
      <c r="T392" s="381" t="n"/>
      <c r="U392" s="377" t="n"/>
      <c r="V392" s="381" t="n"/>
      <c r="W392" s="407" t="n"/>
      <c r="X392" s="377" t="n"/>
      <c r="Y392" s="381" t="n"/>
      <c r="Z392" s="377" t="n">
        <v>13</v>
      </c>
      <c r="AA392" s="383" t="n">
        <v>6883.333</v>
      </c>
      <c r="AB392" s="383" t="n">
        <v>2966.298</v>
      </c>
      <c r="AC392" s="387" t="n">
        <v>31</v>
      </c>
      <c r="AD392" s="388" t="n">
        <v>6883.333</v>
      </c>
      <c r="AE392" s="388" t="n">
        <v>7073.481</v>
      </c>
    </row>
    <row r="393" ht="15.75" customHeight="1" s="253">
      <c r="A393" s="377" t="n"/>
      <c r="B393" s="399" t="n">
        <v>45901</v>
      </c>
      <c r="C393" s="377" t="inlineStr">
        <is>
          <t>Mihir Desai</t>
        </is>
      </c>
      <c r="D393" s="377" t="inlineStr">
        <is>
          <t>INV-25-26-000451</t>
        </is>
      </c>
      <c r="E393" s="377" t="n"/>
      <c r="F393" s="389" t="n">
        <v>45919</v>
      </c>
      <c r="G393" s="389" t="n">
        <v>46283</v>
      </c>
      <c r="H393" s="377" t="inlineStr">
        <is>
          <t>Annual Upfront</t>
        </is>
      </c>
      <c r="I393" s="380" t="n">
        <v>82600</v>
      </c>
      <c r="J393" s="377" t="n"/>
      <c r="K393" s="381" t="n"/>
      <c r="L393" s="377" t="n">
        <v>365</v>
      </c>
      <c r="M393" s="377" t="n"/>
      <c r="N393" s="381" t="n"/>
      <c r="O393" s="381" t="n"/>
      <c r="P393" s="381" t="n"/>
      <c r="Q393" s="377" t="n"/>
      <c r="R393" s="377" t="n"/>
      <c r="S393" s="377" t="n"/>
      <c r="T393" s="381" t="n"/>
      <c r="U393" s="377" t="n"/>
      <c r="V393" s="381" t="n"/>
      <c r="W393" s="407" t="n"/>
      <c r="X393" s="377" t="n"/>
      <c r="Y393" s="381" t="n"/>
      <c r="Z393" s="377" t="n">
        <v>12</v>
      </c>
      <c r="AA393" s="383" t="n">
        <v>6883.333</v>
      </c>
      <c r="AB393" s="383" t="n">
        <v>2715.616</v>
      </c>
      <c r="AC393" s="387" t="n">
        <v>31</v>
      </c>
      <c r="AD393" s="388" t="n">
        <v>6883.333</v>
      </c>
      <c r="AE393" s="388" t="n">
        <v>7015.342</v>
      </c>
    </row>
    <row r="394" ht="15.75" customHeight="1" s="253">
      <c r="A394" s="377" t="n"/>
      <c r="B394" s="399" t="inlineStr">
        <is>
          <t>Sept to Oct 25</t>
        </is>
      </c>
      <c r="C394" s="377" t="inlineStr">
        <is>
          <t>Kunal Vaishnav</t>
        </is>
      </c>
      <c r="D394" s="377" t="inlineStr">
        <is>
          <t>INV-25-26-000456, 548, 000548, 000662</t>
        </is>
      </c>
      <c r="E394" s="377" t="n"/>
      <c r="F394" s="389" t="n">
        <v>45920</v>
      </c>
      <c r="G394" s="389" t="n">
        <v>46284</v>
      </c>
      <c r="H394" s="377" t="inlineStr">
        <is>
          <t>Annual-Monthly</t>
        </is>
      </c>
      <c r="I394" s="380" t="n">
        <v>72000</v>
      </c>
      <c r="J394" s="377" t="n"/>
      <c r="K394" s="381" t="n"/>
      <c r="L394" s="377" t="n">
        <v>365</v>
      </c>
      <c r="M394" s="377" t="n"/>
      <c r="N394" s="381" t="n"/>
      <c r="O394" s="381" t="n"/>
      <c r="P394" s="381" t="n"/>
      <c r="Q394" s="377" t="n"/>
      <c r="R394" s="377" t="n"/>
      <c r="S394" s="377" t="n"/>
      <c r="T394" s="381" t="n"/>
      <c r="U394" s="377" t="n"/>
      <c r="V394" s="381" t="n"/>
      <c r="W394" s="407" t="n"/>
      <c r="X394" s="377" t="n"/>
      <c r="Y394" s="381" t="n"/>
      <c r="Z394" s="377" t="n">
        <v>11</v>
      </c>
      <c r="AA394" s="383" t="n">
        <v>6000</v>
      </c>
      <c r="AB394" s="383" t="n">
        <v>2169.863</v>
      </c>
      <c r="AC394" s="387" t="n">
        <v>31</v>
      </c>
      <c r="AD394" s="388" t="n">
        <v>6000</v>
      </c>
      <c r="AE394" s="388" t="n">
        <v>6115.068</v>
      </c>
    </row>
    <row r="395" ht="15.75" customHeight="1" s="253">
      <c r="A395" s="377" t="n"/>
      <c r="B395" s="399" t="n">
        <v>45901</v>
      </c>
      <c r="C395" s="377" t="inlineStr">
        <is>
          <t>AKS Advocates</t>
        </is>
      </c>
      <c r="D395" s="377" t="inlineStr">
        <is>
          <t>INV-25-26-000460</t>
        </is>
      </c>
      <c r="E395" s="377" t="n"/>
      <c r="F395" s="389" t="n">
        <v>45937</v>
      </c>
      <c r="G395" s="389" t="n">
        <v>46301</v>
      </c>
      <c r="H395" s="377" t="inlineStr">
        <is>
          <t>Annual Upfront</t>
        </is>
      </c>
      <c r="I395" s="380" t="n">
        <v>82600</v>
      </c>
      <c r="J395" s="377" t="n"/>
      <c r="K395" s="381" t="n"/>
      <c r="L395" s="377" t="n">
        <v>365</v>
      </c>
      <c r="M395" s="377" t="n"/>
      <c r="N395" s="381" t="n"/>
      <c r="O395" s="381" t="n"/>
      <c r="P395" s="381" t="n"/>
      <c r="Q395" s="377" t="n"/>
      <c r="R395" s="377" t="n"/>
      <c r="S395" s="377" t="n"/>
      <c r="T395" s="381" t="n"/>
      <c r="U395" s="377" t="n"/>
      <c r="V395" s="381" t="n"/>
      <c r="W395" s="407" t="n"/>
      <c r="X395" s="377" t="n"/>
      <c r="Y395" s="381" t="n"/>
      <c r="Z395" s="377" t="n"/>
      <c r="AA395" s="377" t="n"/>
      <c r="AB395" s="377" t="n"/>
      <c r="AC395" s="387" t="n">
        <v>25</v>
      </c>
      <c r="AD395" s="388" t="n">
        <v>6883.333</v>
      </c>
      <c r="AE395" s="388" t="n">
        <v>5657.534</v>
      </c>
    </row>
    <row r="396" ht="15.75" customHeight="1" s="253">
      <c r="A396" s="377" t="n"/>
      <c r="B396" s="399" t="n">
        <v>45901</v>
      </c>
      <c r="C396" s="377" t="inlineStr">
        <is>
          <t>Rajdeep Panda</t>
        </is>
      </c>
      <c r="D396" s="377" t="inlineStr">
        <is>
          <t>INV-25-26-000461</t>
        </is>
      </c>
      <c r="E396" s="377" t="n"/>
      <c r="F396" s="389" t="n">
        <v>45924</v>
      </c>
      <c r="G396" s="389" t="n">
        <v>45953</v>
      </c>
      <c r="H396" s="377" t="inlineStr">
        <is>
          <t>1 month-Upfront</t>
        </is>
      </c>
      <c r="I396" s="380" t="n">
        <v>10000</v>
      </c>
      <c r="J396" s="377" t="n"/>
      <c r="K396" s="381" t="n"/>
      <c r="L396" s="377" t="n">
        <v>30</v>
      </c>
      <c r="M396" s="377" t="n"/>
      <c r="N396" s="381" t="n"/>
      <c r="O396" s="381" t="n"/>
      <c r="P396" s="381" t="n"/>
      <c r="Q396" s="377" t="n"/>
      <c r="R396" s="377" t="n"/>
      <c r="S396" s="377" t="n"/>
      <c r="T396" s="381" t="n"/>
      <c r="U396" s="377" t="n"/>
      <c r="V396" s="381" t="n"/>
      <c r="W396" s="407" t="n"/>
      <c r="X396" s="377" t="n"/>
      <c r="Y396" s="381" t="n"/>
      <c r="Z396" s="377" t="n">
        <v>7</v>
      </c>
      <c r="AA396" s="383" t="n">
        <v>10000</v>
      </c>
      <c r="AB396" s="383" t="n">
        <v>2333.333</v>
      </c>
      <c r="AC396" s="387" t="n">
        <v>23</v>
      </c>
      <c r="AD396" s="385" t="n">
        <v>10000</v>
      </c>
      <c r="AE396" s="388" t="n">
        <v>7666.667</v>
      </c>
    </row>
    <row r="397" ht="15.75" customHeight="1" s="253">
      <c r="A397" s="377" t="n"/>
      <c r="B397" s="399" t="n">
        <v>45901</v>
      </c>
      <c r="C397" s="377" t="inlineStr">
        <is>
          <t>Hammurabi &amp; Solomon Partner</t>
        </is>
      </c>
      <c r="D397" s="377" t="inlineStr">
        <is>
          <t>INV-25-26-000462</t>
        </is>
      </c>
      <c r="E397" s="377" t="n"/>
      <c r="F397" s="389" t="n">
        <v>45925</v>
      </c>
      <c r="G397" s="389" t="n">
        <v>45954</v>
      </c>
      <c r="H397" s="377" t="inlineStr">
        <is>
          <t>1 month-Upfront</t>
        </is>
      </c>
      <c r="I397" s="380" t="n">
        <v>11800</v>
      </c>
      <c r="J397" s="377" t="n"/>
      <c r="K397" s="381" t="n"/>
      <c r="L397" s="377" t="n">
        <v>30</v>
      </c>
      <c r="M397" s="377" t="n"/>
      <c r="N397" s="381" t="n"/>
      <c r="O397" s="381" t="n"/>
      <c r="P397" s="381" t="n"/>
      <c r="Q397" s="377" t="n"/>
      <c r="R397" s="377" t="n"/>
      <c r="S397" s="377" t="n"/>
      <c r="T397" s="381" t="n"/>
      <c r="U397" s="377" t="n"/>
      <c r="V397" s="381" t="n"/>
      <c r="W397" s="407" t="n"/>
      <c r="X397" s="377" t="n"/>
      <c r="Y397" s="381" t="n"/>
      <c r="Z397" s="377" t="n">
        <v>6</v>
      </c>
      <c r="AA397" s="383" t="n">
        <v>11800</v>
      </c>
      <c r="AB397" s="383" t="n">
        <v>2360</v>
      </c>
      <c r="AC397" s="387" t="n">
        <v>24</v>
      </c>
      <c r="AD397" s="385" t="n">
        <v>11800</v>
      </c>
      <c r="AE397" s="388" t="n">
        <v>9440</v>
      </c>
    </row>
    <row r="398" ht="15.75" customHeight="1" s="253">
      <c r="A398" s="377" t="n"/>
      <c r="B398" s="399" t="n">
        <v>45901</v>
      </c>
      <c r="C398" s="377" t="inlineStr">
        <is>
          <t>Aurtus Consulting LLP</t>
        </is>
      </c>
      <c r="D398" s="377" t="inlineStr">
        <is>
          <t>INV-25-26-000463</t>
        </is>
      </c>
      <c r="E398" s="377" t="n"/>
      <c r="F398" s="389" t="n">
        <v>45927</v>
      </c>
      <c r="G398" s="389" t="n">
        <v>45956</v>
      </c>
      <c r="H398" s="377" t="inlineStr">
        <is>
          <t>1 month-Upfront</t>
        </is>
      </c>
      <c r="I398" s="380" t="n">
        <v>21240</v>
      </c>
      <c r="J398" s="377" t="n"/>
      <c r="K398" s="381" t="n"/>
      <c r="L398" s="377" t="n">
        <v>30</v>
      </c>
      <c r="M398" s="377" t="n"/>
      <c r="N398" s="381" t="n"/>
      <c r="O398" s="381" t="n"/>
      <c r="P398" s="381" t="n"/>
      <c r="Q398" s="377" t="n"/>
      <c r="R398" s="377" t="n"/>
      <c r="S398" s="377" t="n"/>
      <c r="T398" s="381" t="n"/>
      <c r="U398" s="377" t="n"/>
      <c r="V398" s="381" t="n"/>
      <c r="W398" s="407" t="n"/>
      <c r="X398" s="377" t="n"/>
      <c r="Y398" s="381" t="n"/>
      <c r="Z398" s="377" t="n">
        <v>4</v>
      </c>
      <c r="AA398" s="383" t="n">
        <v>21240</v>
      </c>
      <c r="AB398" s="383" t="n">
        <v>2832</v>
      </c>
      <c r="AC398" s="387" t="n">
        <v>26</v>
      </c>
      <c r="AD398" s="385" t="n">
        <v>21240</v>
      </c>
      <c r="AE398" s="388" t="n">
        <v>18408</v>
      </c>
    </row>
    <row r="399" ht="15.75" customHeight="1" s="253">
      <c r="A399" s="377" t="n"/>
      <c r="B399" s="399" t="n">
        <v>45901</v>
      </c>
      <c r="C399" s="377" t="inlineStr">
        <is>
          <t>Prerit Goyal</t>
        </is>
      </c>
      <c r="D399" s="377" t="inlineStr">
        <is>
          <t>INV-25-26-000464</t>
        </is>
      </c>
      <c r="E399" s="377" t="n"/>
      <c r="F399" s="389" t="n">
        <v>45925</v>
      </c>
      <c r="G399" s="389" t="n">
        <v>46105</v>
      </c>
      <c r="H399" s="377" t="inlineStr">
        <is>
          <t>6 month-Upfront</t>
        </is>
      </c>
      <c r="I399" s="380" t="n">
        <v>47200</v>
      </c>
      <c r="J399" s="377" t="n"/>
      <c r="K399" s="381" t="n"/>
      <c r="L399" s="377" t="n">
        <v>181</v>
      </c>
      <c r="M399" s="377" t="n"/>
      <c r="N399" s="381" t="n"/>
      <c r="O399" s="381" t="n"/>
      <c r="P399" s="381" t="n"/>
      <c r="Q399" s="377" t="n"/>
      <c r="R399" s="377" t="n"/>
      <c r="S399" s="377" t="n"/>
      <c r="T399" s="381" t="n"/>
      <c r="U399" s="377" t="n"/>
      <c r="V399" s="381" t="n"/>
      <c r="W399" s="407" t="n"/>
      <c r="X399" s="377" t="n"/>
      <c r="Y399" s="381" t="n"/>
      <c r="Z399" s="377" t="n">
        <v>6</v>
      </c>
      <c r="AA399" s="383" t="n">
        <v>7866.667</v>
      </c>
      <c r="AB399" s="383" t="n">
        <v>1564.641</v>
      </c>
      <c r="AC399" s="387" t="n">
        <v>31</v>
      </c>
      <c r="AD399" s="388" t="n">
        <v>7866.667</v>
      </c>
      <c r="AE399" s="388" t="n">
        <v>8083.978</v>
      </c>
    </row>
    <row r="400" ht="15.75" customHeight="1" s="253">
      <c r="A400" s="377" t="n"/>
      <c r="B400" s="399" t="inlineStr">
        <is>
          <t>Sept &amp; Oct 25</t>
        </is>
      </c>
      <c r="C400" s="377" t="inlineStr">
        <is>
          <t>S Arjun Suresh</t>
        </is>
      </c>
      <c r="D400" s="377" t="inlineStr">
        <is>
          <t>INV-25-26-000465, 557, 682</t>
        </is>
      </c>
      <c r="E400" s="377" t="n"/>
      <c r="F400" s="389" t="n">
        <v>45931</v>
      </c>
      <c r="G400" s="389" t="n">
        <v>46295</v>
      </c>
      <c r="H400" s="377" t="inlineStr">
        <is>
          <t>Annual-Monthly</t>
        </is>
      </c>
      <c r="I400" s="380" t="n">
        <v>96000</v>
      </c>
      <c r="J400" s="377" t="n"/>
      <c r="K400" s="381" t="n"/>
      <c r="L400" s="377" t="n">
        <v>365</v>
      </c>
      <c r="M400" s="377" t="n"/>
      <c r="N400" s="381" t="n"/>
      <c r="O400" s="381" t="n"/>
      <c r="P400" s="381" t="n"/>
      <c r="Q400" s="377" t="n"/>
      <c r="R400" s="377" t="n"/>
      <c r="S400" s="377" t="n"/>
      <c r="T400" s="381" t="n"/>
      <c r="U400" s="377" t="n"/>
      <c r="V400" s="381" t="n"/>
      <c r="W400" s="407" t="n"/>
      <c r="X400" s="377" t="n"/>
      <c r="Y400" s="381" t="n"/>
      <c r="Z400" s="377" t="n"/>
      <c r="AA400" s="377" t="n"/>
      <c r="AB400" s="377" t="n"/>
      <c r="AC400" s="387" t="n">
        <v>31</v>
      </c>
      <c r="AD400" s="388" t="n">
        <v>8000</v>
      </c>
      <c r="AE400" s="388" t="n">
        <v>8153.425</v>
      </c>
    </row>
    <row r="401" ht="15.75" customHeight="1" s="253">
      <c r="A401" s="377" t="n"/>
      <c r="B401" s="399" t="n">
        <v>45901</v>
      </c>
      <c r="C401" s="377" t="inlineStr">
        <is>
          <t>Shamik Sanjanwala</t>
        </is>
      </c>
      <c r="D401" s="377" t="inlineStr">
        <is>
          <t>INV-25-26-000466, INV-25-26-000568</t>
        </is>
      </c>
      <c r="E401" s="377" t="n"/>
      <c r="F401" s="389" t="n">
        <v>45925</v>
      </c>
      <c r="G401" s="389" t="n">
        <v>45954</v>
      </c>
      <c r="H401" s="377" t="inlineStr">
        <is>
          <t>1 month-Upfront</t>
        </is>
      </c>
      <c r="I401" s="380" t="n">
        <v>11800</v>
      </c>
      <c r="J401" s="377" t="n"/>
      <c r="K401" s="381" t="n"/>
      <c r="L401" s="377" t="n">
        <v>30</v>
      </c>
      <c r="M401" s="377" t="n"/>
      <c r="N401" s="381" t="n"/>
      <c r="O401" s="381" t="n"/>
      <c r="P401" s="381" t="n"/>
      <c r="Q401" s="377" t="n"/>
      <c r="R401" s="377" t="n"/>
      <c r="S401" s="377" t="n"/>
      <c r="T401" s="381" t="n"/>
      <c r="U401" s="377" t="n"/>
      <c r="V401" s="381" t="n"/>
      <c r="W401" s="407" t="n"/>
      <c r="X401" s="377" t="n"/>
      <c r="Y401" s="381" t="n"/>
      <c r="Z401" s="377" t="n">
        <v>6</v>
      </c>
      <c r="AA401" s="383" t="n">
        <v>11800</v>
      </c>
      <c r="AB401" s="383" t="n">
        <v>2360</v>
      </c>
      <c r="AC401" s="387" t="n">
        <v>24</v>
      </c>
      <c r="AD401" s="385" t="n">
        <v>11800</v>
      </c>
      <c r="AE401" s="388" t="n">
        <v>9440</v>
      </c>
    </row>
    <row r="402" ht="15.75" customHeight="1" s="253">
      <c r="A402" s="377" t="n"/>
      <c r="B402" s="399" t="n">
        <v>45901</v>
      </c>
      <c r="C402" s="377" t="inlineStr">
        <is>
          <t>Adarsh Ramakrishnan</t>
        </is>
      </c>
      <c r="D402" s="377" t="inlineStr">
        <is>
          <t>INV-25-26-000467, INV-25-26-000555</t>
        </is>
      </c>
      <c r="E402" s="377" t="n"/>
      <c r="F402" s="389" t="n">
        <v>45923</v>
      </c>
      <c r="G402" s="389" t="n">
        <v>45952</v>
      </c>
      <c r="H402" s="377" t="inlineStr">
        <is>
          <t>1 month-Upfront</t>
        </is>
      </c>
      <c r="I402" s="380" t="n">
        <v>11086.47</v>
      </c>
      <c r="J402" s="377" t="n"/>
      <c r="K402" s="381" t="n"/>
      <c r="L402" s="377" t="n">
        <v>30</v>
      </c>
      <c r="M402" s="377" t="n"/>
      <c r="N402" s="381" t="n"/>
      <c r="O402" s="381" t="n"/>
      <c r="P402" s="381" t="n"/>
      <c r="Q402" s="377" t="n"/>
      <c r="R402" s="377" t="n"/>
      <c r="S402" s="377" t="n"/>
      <c r="T402" s="381" t="n"/>
      <c r="U402" s="377" t="n"/>
      <c r="V402" s="381" t="n"/>
      <c r="W402" s="407" t="n"/>
      <c r="X402" s="377" t="n"/>
      <c r="Y402" s="381" t="n"/>
      <c r="Z402" s="377" t="n">
        <v>8</v>
      </c>
      <c r="AA402" s="383" t="n">
        <v>11086.47</v>
      </c>
      <c r="AB402" s="383" t="n">
        <v>2956.392</v>
      </c>
      <c r="AC402" s="387" t="n">
        <v>22</v>
      </c>
      <c r="AD402" s="385" t="n">
        <v>11086.47</v>
      </c>
      <c r="AE402" s="388" t="n">
        <v>8130.078</v>
      </c>
    </row>
    <row r="403" ht="15.75" customHeight="1" s="253">
      <c r="A403" s="377" t="n"/>
      <c r="B403" s="399" t="n">
        <v>45901</v>
      </c>
      <c r="C403" s="377" t="inlineStr">
        <is>
          <t>Aditya S Puar</t>
        </is>
      </c>
      <c r="D403" s="377" t="inlineStr">
        <is>
          <t>INV-25-26-000470</t>
        </is>
      </c>
      <c r="E403" s="377" t="n"/>
      <c r="F403" s="389" t="n">
        <v>45926</v>
      </c>
      <c r="G403" s="389" t="n">
        <v>46290</v>
      </c>
      <c r="H403" s="386" t="inlineStr">
        <is>
          <t>Annual- Half Yearly Payment</t>
        </is>
      </c>
      <c r="I403" s="380" t="n">
        <v>94400</v>
      </c>
      <c r="J403" s="377" t="n"/>
      <c r="K403" s="381" t="n"/>
      <c r="L403" s="377" t="n">
        <v>365</v>
      </c>
      <c r="M403" s="377" t="n"/>
      <c r="N403" s="381" t="n"/>
      <c r="O403" s="381" t="n"/>
      <c r="P403" s="381" t="n"/>
      <c r="Q403" s="377" t="n"/>
      <c r="R403" s="377" t="n"/>
      <c r="S403" s="377" t="n"/>
      <c r="T403" s="381" t="n"/>
      <c r="U403" s="377" t="n"/>
      <c r="V403" s="381" t="n"/>
      <c r="W403" s="407" t="n"/>
      <c r="X403" s="377" t="n"/>
      <c r="Y403" s="381" t="n"/>
      <c r="Z403" s="377" t="n">
        <v>5</v>
      </c>
      <c r="AA403" s="383" t="n">
        <v>7866.667</v>
      </c>
      <c r="AB403" s="383" t="n">
        <v>1293.151</v>
      </c>
      <c r="AC403" s="387" t="n">
        <v>31</v>
      </c>
      <c r="AD403" s="388" t="n">
        <v>7866.667</v>
      </c>
      <c r="AE403" s="388" t="n">
        <v>8017.534</v>
      </c>
    </row>
    <row r="404" ht="15.75" customHeight="1" s="253">
      <c r="A404" s="377" t="n"/>
      <c r="B404" s="399" t="n">
        <v>45901</v>
      </c>
      <c r="C404" s="377" t="inlineStr">
        <is>
          <t>Debopriyo Moulik</t>
        </is>
      </c>
      <c r="D404" s="377" t="inlineStr">
        <is>
          <t>INV-25-26-000471</t>
        </is>
      </c>
      <c r="E404" s="377" t="n"/>
      <c r="F404" s="389" t="n">
        <v>45926</v>
      </c>
      <c r="G404" s="389" t="n">
        <v>46290</v>
      </c>
      <c r="H404" s="377" t="inlineStr">
        <is>
          <t>Annual Upfront</t>
        </is>
      </c>
      <c r="I404" s="380" t="n">
        <v>70000</v>
      </c>
      <c r="J404" s="377" t="n"/>
      <c r="K404" s="381" t="n"/>
      <c r="L404" s="377" t="n">
        <v>365</v>
      </c>
      <c r="M404" s="377" t="n"/>
      <c r="N404" s="381" t="n"/>
      <c r="O404" s="381" t="n"/>
      <c r="P404" s="381" t="n"/>
      <c r="Q404" s="377" t="n"/>
      <c r="R404" s="377" t="n"/>
      <c r="S404" s="377" t="n"/>
      <c r="T404" s="381" t="n"/>
      <c r="U404" s="377" t="n"/>
      <c r="V404" s="381" t="n"/>
      <c r="W404" s="407" t="n"/>
      <c r="X404" s="377" t="n"/>
      <c r="Y404" s="381" t="n"/>
      <c r="Z404" s="377" t="n">
        <v>5</v>
      </c>
      <c r="AA404" s="383" t="n">
        <v>5833.333</v>
      </c>
      <c r="AB404" s="383" t="n">
        <v>958.904</v>
      </c>
      <c r="AC404" s="387" t="n">
        <v>31</v>
      </c>
      <c r="AD404" s="388" t="n">
        <v>5833.333</v>
      </c>
      <c r="AE404" s="388" t="n">
        <v>5945.205</v>
      </c>
    </row>
    <row r="405" ht="15.75" customHeight="1" s="253">
      <c r="A405" s="377" t="n"/>
      <c r="B405" s="399" t="n">
        <v>45901</v>
      </c>
      <c r="C405" s="377" t="inlineStr">
        <is>
          <t>REMFRY &amp; SAGAR CONSULTANT PVT LTD</t>
        </is>
      </c>
      <c r="D405" s="377" t="inlineStr">
        <is>
          <t>INV-25-26-000472</t>
        </is>
      </c>
      <c r="E405" s="377" t="n"/>
      <c r="F405" s="389" t="n">
        <v>45926</v>
      </c>
      <c r="G405" s="389" t="n">
        <v>45955</v>
      </c>
      <c r="H405" s="377" t="inlineStr">
        <is>
          <t>1 month-Upfront</t>
        </is>
      </c>
      <c r="I405" s="380" t="n">
        <v>19116</v>
      </c>
      <c r="J405" s="377" t="n"/>
      <c r="K405" s="381" t="n"/>
      <c r="L405" s="377" t="n">
        <v>30</v>
      </c>
      <c r="M405" s="377" t="n"/>
      <c r="N405" s="381" t="n"/>
      <c r="O405" s="381" t="n"/>
      <c r="P405" s="381" t="n"/>
      <c r="Q405" s="377" t="n"/>
      <c r="R405" s="377" t="n"/>
      <c r="S405" s="377" t="n"/>
      <c r="T405" s="381" t="n"/>
      <c r="U405" s="377" t="n"/>
      <c r="V405" s="381" t="n"/>
      <c r="W405" s="407" t="n"/>
      <c r="X405" s="377" t="n"/>
      <c r="Y405" s="381" t="n"/>
      <c r="Z405" s="377" t="n">
        <v>5</v>
      </c>
      <c r="AA405" s="383" t="n">
        <v>19116</v>
      </c>
      <c r="AB405" s="383" t="n">
        <v>3186</v>
      </c>
      <c r="AC405" s="387" t="n">
        <v>25</v>
      </c>
      <c r="AD405" s="385" t="n">
        <v>19116</v>
      </c>
      <c r="AE405" s="388" t="n">
        <v>15930</v>
      </c>
    </row>
    <row r="406" ht="15.75" customHeight="1" s="253">
      <c r="A406" s="377" t="n"/>
      <c r="B406" s="399" t="n">
        <v>45901</v>
      </c>
      <c r="C406" s="377" t="inlineStr">
        <is>
          <t>Anirban Bhattacharya</t>
        </is>
      </c>
      <c r="D406" s="377" t="inlineStr">
        <is>
          <t>INV-25-26-000473</t>
        </is>
      </c>
      <c r="E406" s="377" t="n"/>
      <c r="F406" s="389" t="n">
        <v>45929</v>
      </c>
      <c r="G406" s="389" t="n">
        <v>46293</v>
      </c>
      <c r="H406" s="377" t="inlineStr">
        <is>
          <t>Annual Upfront</t>
        </is>
      </c>
      <c r="I406" s="380" t="n">
        <v>80000</v>
      </c>
      <c r="J406" s="377" t="n"/>
      <c r="K406" s="381" t="n"/>
      <c r="L406" s="377" t="n">
        <v>365</v>
      </c>
      <c r="M406" s="377" t="n"/>
      <c r="N406" s="381" t="n"/>
      <c r="O406" s="381" t="n"/>
      <c r="P406" s="381" t="n"/>
      <c r="Q406" s="377" t="n"/>
      <c r="R406" s="377" t="n"/>
      <c r="S406" s="377" t="n"/>
      <c r="T406" s="381" t="n"/>
      <c r="U406" s="377" t="n"/>
      <c r="V406" s="381" t="n"/>
      <c r="W406" s="407" t="n"/>
      <c r="X406" s="377" t="n"/>
      <c r="Y406" s="381" t="n"/>
      <c r="Z406" s="377" t="n">
        <v>2</v>
      </c>
      <c r="AA406" s="383" t="n">
        <v>6666.667</v>
      </c>
      <c r="AB406" s="383" t="n">
        <v>438.356</v>
      </c>
      <c r="AC406" s="387" t="n">
        <v>31</v>
      </c>
      <c r="AD406" s="388" t="n">
        <v>6666.667</v>
      </c>
      <c r="AE406" s="388" t="n">
        <v>6794.521</v>
      </c>
    </row>
    <row r="407" ht="15.75" customHeight="1" s="253">
      <c r="A407" s="377" t="n"/>
      <c r="B407" s="399" t="n">
        <v>45901</v>
      </c>
      <c r="C407" s="392" t="inlineStr">
        <is>
          <t xml:space="preserve">Jayant Mehta 
</t>
        </is>
      </c>
      <c r="D407" s="377" t="inlineStr">
        <is>
          <t>INV-25-26-000475</t>
        </is>
      </c>
      <c r="E407" s="377" t="n"/>
      <c r="F407" s="389" t="n">
        <v>45929</v>
      </c>
      <c r="G407" s="389" t="n">
        <v>46293</v>
      </c>
      <c r="H407" s="377" t="inlineStr">
        <is>
          <t>Annual Upfront</t>
        </is>
      </c>
      <c r="I407" s="380" t="n">
        <v>200000</v>
      </c>
      <c r="J407" s="377" t="n"/>
      <c r="K407" s="381" t="n"/>
      <c r="L407" s="377" t="n">
        <v>365</v>
      </c>
      <c r="M407" s="377" t="n"/>
      <c r="N407" s="381" t="n"/>
      <c r="O407" s="381" t="n"/>
      <c r="P407" s="381" t="n"/>
      <c r="Q407" s="377" t="n"/>
      <c r="R407" s="377" t="n"/>
      <c r="S407" s="377" t="n"/>
      <c r="T407" s="381" t="n"/>
      <c r="U407" s="377" t="n"/>
      <c r="V407" s="381" t="n"/>
      <c r="W407" s="407" t="n"/>
      <c r="X407" s="377" t="n"/>
      <c r="Y407" s="381" t="n"/>
      <c r="Z407" s="377" t="n">
        <v>2</v>
      </c>
      <c r="AA407" s="383" t="n">
        <v>16666.667</v>
      </c>
      <c r="AB407" s="383" t="n">
        <v>1095.89</v>
      </c>
      <c r="AC407" s="387" t="n">
        <v>31</v>
      </c>
      <c r="AD407" s="388" t="n">
        <v>16666.667</v>
      </c>
      <c r="AE407" s="388" t="n">
        <v>16986.301</v>
      </c>
    </row>
    <row r="408" ht="15.75" customHeight="1" s="253">
      <c r="A408" s="377" t="n"/>
      <c r="B408" s="399" t="inlineStr">
        <is>
          <t>Sept &amp; oct 25</t>
        </is>
      </c>
      <c r="C408" s="377" t="inlineStr">
        <is>
          <t>Rohit Sharma</t>
        </is>
      </c>
      <c r="D408" s="377" t="inlineStr">
        <is>
          <t>INV-25-26-000476, CN-00036, INV-25-26-000560</t>
        </is>
      </c>
      <c r="E408" s="377" t="n"/>
      <c r="F408" s="389" t="n">
        <v>45929</v>
      </c>
      <c r="G408" s="389" t="n">
        <v>46323</v>
      </c>
      <c r="H408" s="377" t="inlineStr">
        <is>
          <t>13 month-Upfront</t>
        </is>
      </c>
      <c r="I408" s="380" t="n">
        <v>0</v>
      </c>
      <c r="J408" s="377" t="n"/>
      <c r="K408" s="381" t="n"/>
      <c r="L408" s="377" t="n">
        <v>395</v>
      </c>
      <c r="M408" s="377" t="n"/>
      <c r="N408" s="381" t="n"/>
      <c r="O408" s="381" t="n"/>
      <c r="P408" s="381" t="n"/>
      <c r="Q408" s="377" t="n"/>
      <c r="R408" s="377" t="n"/>
      <c r="S408" s="377" t="n"/>
      <c r="T408" s="381" t="n"/>
      <c r="U408" s="377" t="n"/>
      <c r="V408" s="381" t="n"/>
      <c r="W408" s="407" t="n"/>
      <c r="X408" s="377" t="n"/>
      <c r="Y408" s="381" t="n"/>
      <c r="Z408" s="377" t="n">
        <v>2</v>
      </c>
      <c r="AA408" s="383" t="n">
        <v>0</v>
      </c>
      <c r="AB408" s="383" t="n">
        <v>0</v>
      </c>
      <c r="AC408" s="387" t="n">
        <v>31</v>
      </c>
      <c r="AD408" s="388" t="n">
        <v>0</v>
      </c>
      <c r="AE408" s="388" t="n">
        <v>0</v>
      </c>
    </row>
    <row r="409" ht="15.75" customHeight="1" s="253">
      <c r="A409" s="377" t="n"/>
      <c r="B409" s="399" t="n">
        <v>45901</v>
      </c>
      <c r="C409" s="377" t="inlineStr">
        <is>
          <t>Sourish Roy</t>
        </is>
      </c>
      <c r="D409" s="377" t="inlineStr">
        <is>
          <t>INV-25-26-000477</t>
        </is>
      </c>
      <c r="E409" s="377" t="n"/>
      <c r="F409" s="389" t="n">
        <v>45931</v>
      </c>
      <c r="G409" s="389" t="n">
        <v>46295</v>
      </c>
      <c r="H409" s="377" t="inlineStr">
        <is>
          <t>Annual Upfront</t>
        </is>
      </c>
      <c r="I409" s="380" t="n">
        <v>50000</v>
      </c>
      <c r="J409" s="377" t="n"/>
      <c r="K409" s="381" t="n"/>
      <c r="L409" s="377" t="n">
        <v>365</v>
      </c>
      <c r="M409" s="377" t="n"/>
      <c r="N409" s="381" t="n"/>
      <c r="O409" s="381" t="n"/>
      <c r="P409" s="381" t="n"/>
      <c r="Q409" s="377" t="n"/>
      <c r="R409" s="377" t="n"/>
      <c r="S409" s="377" t="n"/>
      <c r="T409" s="381" t="n"/>
      <c r="U409" s="377" t="n"/>
      <c r="V409" s="381" t="n"/>
      <c r="W409" s="407" t="n"/>
      <c r="X409" s="377" t="n"/>
      <c r="Y409" s="381" t="n"/>
      <c r="Z409" s="377" t="n"/>
      <c r="AA409" s="377" t="n"/>
      <c r="AB409" s="377" t="n"/>
      <c r="AC409" s="387" t="n">
        <v>31</v>
      </c>
      <c r="AD409" s="388" t="n">
        <v>4166.667</v>
      </c>
      <c r="AE409" s="388" t="n">
        <v>4246.575</v>
      </c>
    </row>
    <row r="410" ht="15.75" customHeight="1" s="253">
      <c r="A410" s="377" t="n"/>
      <c r="B410" s="399" t="n">
        <v>45901</v>
      </c>
      <c r="C410" s="377" t="inlineStr">
        <is>
          <t>Acuity Law LLP</t>
        </is>
      </c>
      <c r="D410" s="377" t="inlineStr">
        <is>
          <t>INV-25-26-000478</t>
        </is>
      </c>
      <c r="E410" s="377" t="n"/>
      <c r="F410" s="389" t="n">
        <v>45929</v>
      </c>
      <c r="G410" s="389" t="n">
        <v>46293</v>
      </c>
      <c r="H410" s="390" t="inlineStr">
        <is>
          <t>Annual subscription, Quarterly upfront</t>
        </is>
      </c>
      <c r="I410" s="380" t="n">
        <v>297360</v>
      </c>
      <c r="J410" s="377" t="n"/>
      <c r="K410" s="381" t="n"/>
      <c r="L410" s="377" t="n">
        <v>365</v>
      </c>
      <c r="M410" s="377" t="n"/>
      <c r="N410" s="381" t="n"/>
      <c r="O410" s="381" t="n"/>
      <c r="P410" s="381" t="n"/>
      <c r="Q410" s="377" t="n"/>
      <c r="R410" s="377" t="n"/>
      <c r="S410" s="377" t="n"/>
      <c r="T410" s="381" t="n"/>
      <c r="U410" s="377" t="n"/>
      <c r="V410" s="381" t="n"/>
      <c r="W410" s="407" t="n"/>
      <c r="X410" s="377" t="n"/>
      <c r="Y410" s="381" t="n"/>
      <c r="Z410" s="377" t="n">
        <v>2</v>
      </c>
      <c r="AA410" s="383" t="n">
        <v>24780</v>
      </c>
      <c r="AB410" s="383" t="n">
        <v>1629.37</v>
      </c>
      <c r="AC410" s="387" t="n">
        <v>31</v>
      </c>
      <c r="AD410" s="388" t="n">
        <v>24780</v>
      </c>
      <c r="AE410" s="388" t="n">
        <v>25255.233</v>
      </c>
    </row>
    <row r="411" ht="15.75" customHeight="1" s="253">
      <c r="A411" s="377" t="n"/>
      <c r="B411" s="399" t="n">
        <v>45901</v>
      </c>
      <c r="C411" s="377" t="inlineStr">
        <is>
          <t>Sarvottam Law Offices</t>
        </is>
      </c>
      <c r="D411" s="377" t="inlineStr">
        <is>
          <t>INV-25-26-000480</t>
        </is>
      </c>
      <c r="E411" s="377" t="n"/>
      <c r="F411" s="389" t="n">
        <v>45931</v>
      </c>
      <c r="G411" s="389" t="n">
        <v>46295</v>
      </c>
      <c r="H411" s="377" t="inlineStr">
        <is>
          <t>Annual Upfront</t>
        </is>
      </c>
      <c r="I411" s="380" t="n">
        <v>130000.02</v>
      </c>
      <c r="J411" s="377" t="n"/>
      <c r="K411" s="381" t="n"/>
      <c r="L411" s="377" t="n">
        <v>365</v>
      </c>
      <c r="M411" s="377" t="n"/>
      <c r="N411" s="381" t="n"/>
      <c r="O411" s="381" t="n"/>
      <c r="P411" s="381" t="n"/>
      <c r="Q411" s="377" t="n"/>
      <c r="R411" s="377" t="n"/>
      <c r="S411" s="377" t="n"/>
      <c r="T411" s="381" t="n"/>
      <c r="U411" s="377" t="n"/>
      <c r="V411" s="381" t="n"/>
      <c r="W411" s="407" t="n"/>
      <c r="X411" s="377" t="n"/>
      <c r="Y411" s="381" t="n"/>
      <c r="Z411" s="377" t="n"/>
      <c r="AA411" s="377" t="n"/>
      <c r="AB411" s="377" t="n"/>
      <c r="AC411" s="387" t="n">
        <v>31</v>
      </c>
      <c r="AD411" s="388" t="n">
        <v>10833.335</v>
      </c>
      <c r="AE411" s="388" t="n">
        <v>11041.098</v>
      </c>
    </row>
    <row r="412" ht="15.75" customHeight="1" s="253">
      <c r="A412" s="377" t="n"/>
      <c r="B412" s="399" t="n">
        <v>45901</v>
      </c>
      <c r="C412" s="377" t="inlineStr">
        <is>
          <t>Sarthak Advocates &amp; Solicitors</t>
        </is>
      </c>
      <c r="D412" s="377" t="inlineStr">
        <is>
          <t>INV-25-26-000469, INV-25-26-000297, 000373, 000458, 000550, 000666</t>
        </is>
      </c>
      <c r="E412" s="377" t="n"/>
      <c r="F412" s="389" t="n">
        <v>45859</v>
      </c>
      <c r="G412" s="389" t="n">
        <v>46223</v>
      </c>
      <c r="H412" s="377" t="inlineStr">
        <is>
          <t>Annual Upfront</t>
        </is>
      </c>
      <c r="I412" s="380" t="n">
        <v>4720</v>
      </c>
      <c r="J412" s="377" t="n"/>
      <c r="K412" s="381" t="n"/>
      <c r="L412" s="377" t="n">
        <v>365</v>
      </c>
      <c r="M412" s="377" t="n"/>
      <c r="N412" s="381" t="n"/>
      <c r="O412" s="381" t="n"/>
      <c r="P412" s="381" t="n"/>
      <c r="Q412" s="377" t="n"/>
      <c r="R412" s="377" t="n"/>
      <c r="S412" s="377" t="n"/>
      <c r="T412" s="381" t="n">
        <v>393.333333333333</v>
      </c>
      <c r="U412" s="377" t="n">
        <v>10</v>
      </c>
      <c r="V412" s="380" t="n">
        <v>129.315068493151</v>
      </c>
      <c r="W412" s="381" t="n">
        <v>31</v>
      </c>
      <c r="X412" s="383" t="n">
        <v>393.333</v>
      </c>
      <c r="Y412" s="381" t="n">
        <v>400.877</v>
      </c>
      <c r="Z412" s="384" t="n">
        <v>30</v>
      </c>
      <c r="AA412" s="383" t="n">
        <v>393.333</v>
      </c>
      <c r="AB412" s="383" t="n">
        <v>387.945</v>
      </c>
      <c r="AC412" s="387" t="n">
        <v>31</v>
      </c>
      <c r="AD412" s="388" t="n">
        <v>393.333</v>
      </c>
      <c r="AE412" s="388" t="n">
        <v>400.877</v>
      </c>
    </row>
    <row r="413" ht="15.75" customHeight="1" s="253">
      <c r="A413" s="377" t="n"/>
      <c r="B413" s="399" t="inlineStr">
        <is>
          <t>Oct-25</t>
        </is>
      </c>
      <c r="C413" s="377" t="inlineStr">
        <is>
          <t>SACH &amp; THARAAS ADVOCATES</t>
        </is>
      </c>
      <c r="D413" s="377" t="inlineStr">
        <is>
          <t>INV-25-26-000489</t>
        </is>
      </c>
      <c r="E413" s="377" t="inlineStr">
        <is>
          <t>subscription based service</t>
        </is>
      </c>
      <c r="F413" s="389" t="n">
        <v>45932</v>
      </c>
      <c r="G413" s="389" t="n">
        <v>45962</v>
      </c>
      <c r="H413" s="383" t="inlineStr">
        <is>
          <t>1 month-Upfront</t>
        </is>
      </c>
      <c r="I413" s="380" t="n">
        <v>11800</v>
      </c>
      <c r="J413" s="377" t="n"/>
      <c r="K413" s="381" t="n"/>
      <c r="L413" s="377" t="n">
        <v>31</v>
      </c>
      <c r="M413" s="377" t="n"/>
      <c r="N413" s="381" t="n"/>
      <c r="O413" s="381" t="n"/>
      <c r="P413" s="381" t="n"/>
      <c r="Q413" s="377" t="n"/>
      <c r="R413" s="377" t="n"/>
      <c r="S413" s="377" t="n"/>
      <c r="T413" s="381" t="n"/>
      <c r="U413" s="377" t="n"/>
      <c r="V413" s="380" t="n"/>
      <c r="W413" s="381" t="n"/>
      <c r="X413" s="383" t="n"/>
      <c r="Y413" s="381" t="n"/>
      <c r="Z413" s="377" t="n"/>
      <c r="AA413" s="377" t="n"/>
      <c r="AB413" s="377" t="n"/>
      <c r="AC413" s="385" t="n">
        <v>30</v>
      </c>
      <c r="AD413" s="385" t="n">
        <v>11800</v>
      </c>
      <c r="AE413" s="385" t="n">
        <v>11419.355</v>
      </c>
    </row>
    <row r="414" ht="15.75" customHeight="1" s="253">
      <c r="A414" s="377" t="n"/>
      <c r="B414" s="399" t="inlineStr">
        <is>
          <t>Oct-25</t>
        </is>
      </c>
      <c r="C414" s="377" t="inlineStr">
        <is>
          <t>Udyam Law Practice</t>
        </is>
      </c>
      <c r="D414" s="377" t="inlineStr">
        <is>
          <t xml:space="preserve"> INV-25-26-000491</t>
        </is>
      </c>
      <c r="E414" s="377" t="inlineStr">
        <is>
          <t>subscription based service</t>
        </is>
      </c>
      <c r="F414" s="389" t="n">
        <v>45933</v>
      </c>
      <c r="G414" s="389" t="n">
        <v>46114</v>
      </c>
      <c r="H414" s="377" t="inlineStr">
        <is>
          <t>6 month-Upfront</t>
        </is>
      </c>
      <c r="I414" s="380" t="n">
        <v>50000</v>
      </c>
      <c r="J414" s="377" t="n"/>
      <c r="K414" s="381" t="n"/>
      <c r="L414" s="377" t="n">
        <v>182</v>
      </c>
      <c r="M414" s="377" t="n"/>
      <c r="N414" s="381" t="n"/>
      <c r="O414" s="381" t="n"/>
      <c r="P414" s="381" t="n"/>
      <c r="Q414" s="377" t="n"/>
      <c r="R414" s="377" t="n"/>
      <c r="S414" s="377" t="n"/>
      <c r="T414" s="381" t="n"/>
      <c r="U414" s="377" t="n"/>
      <c r="V414" s="381" t="n"/>
      <c r="W414" s="407" t="n"/>
      <c r="X414" s="377" t="n"/>
      <c r="Y414" s="381" t="n"/>
      <c r="Z414" s="377" t="n"/>
      <c r="AA414" s="377" t="n"/>
      <c r="AB414" s="377" t="n"/>
      <c r="AC414" s="387" t="n">
        <v>29</v>
      </c>
      <c r="AD414" s="388" t="n">
        <v>8333.333000000001</v>
      </c>
      <c r="AE414" s="388" t="n">
        <v>7967.033</v>
      </c>
    </row>
    <row r="415" ht="15.75" customHeight="1" s="253">
      <c r="A415" s="377" t="n"/>
      <c r="B415" s="399" t="inlineStr">
        <is>
          <t>Oct-25</t>
        </is>
      </c>
      <c r="C415" s="377" t="inlineStr">
        <is>
          <t>Lzafeer Ahmad B F</t>
        </is>
      </c>
      <c r="D415" s="377" t="inlineStr">
        <is>
          <t xml:space="preserve"> INV-25-26-000493</t>
        </is>
      </c>
      <c r="E415" s="377" t="inlineStr">
        <is>
          <t>subscription based service</t>
        </is>
      </c>
      <c r="F415" s="389" t="n">
        <v>45934</v>
      </c>
      <c r="G415" s="389" t="n">
        <v>46298</v>
      </c>
      <c r="H415" s="377" t="inlineStr">
        <is>
          <t>Annual-Monthly</t>
        </is>
      </c>
      <c r="I415" s="380" t="n">
        <v>70800</v>
      </c>
      <c r="J415" s="377" t="n"/>
      <c r="K415" s="381" t="n"/>
      <c r="L415" s="377" t="n">
        <v>365</v>
      </c>
      <c r="M415" s="377" t="n"/>
      <c r="N415" s="381" t="n"/>
      <c r="O415" s="381" t="n"/>
      <c r="P415" s="381" t="n"/>
      <c r="Q415" s="377" t="n"/>
      <c r="R415" s="377" t="n"/>
      <c r="S415" s="377" t="n"/>
      <c r="T415" s="381" t="n"/>
      <c r="U415" s="377" t="n"/>
      <c r="V415" s="381" t="n"/>
      <c r="W415" s="407" t="n"/>
      <c r="X415" s="377" t="n"/>
      <c r="Y415" s="381" t="n"/>
      <c r="Z415" s="377" t="n"/>
      <c r="AA415" s="377" t="n"/>
      <c r="AB415" s="377" t="n"/>
      <c r="AC415" s="387" t="n">
        <v>28</v>
      </c>
      <c r="AD415" s="388" t="n">
        <v>5900</v>
      </c>
      <c r="AE415" s="388" t="n">
        <v>5431.233</v>
      </c>
    </row>
    <row r="416" ht="15.75" customHeight="1" s="253">
      <c r="A416" s="377" t="n"/>
      <c r="B416" s="399" t="inlineStr">
        <is>
          <t>Oct-25</t>
        </is>
      </c>
      <c r="C416" s="377" t="inlineStr">
        <is>
          <t>Puneet Rathsharma</t>
        </is>
      </c>
      <c r="D416" s="377" t="inlineStr">
        <is>
          <t xml:space="preserve"> INV-25-26-000497</t>
        </is>
      </c>
      <c r="E416" s="377" t="inlineStr">
        <is>
          <t>One time work</t>
        </is>
      </c>
      <c r="F416" s="389" t="n">
        <v>45936</v>
      </c>
      <c r="G416" s="389" t="n">
        <v>45966</v>
      </c>
      <c r="H416" s="377" t="inlineStr">
        <is>
          <t>1 month-Upfront</t>
        </is>
      </c>
      <c r="I416" s="380" t="n">
        <v>35400</v>
      </c>
      <c r="J416" s="377" t="n"/>
      <c r="K416" s="381" t="n"/>
      <c r="L416" s="377" t="n">
        <v>31</v>
      </c>
      <c r="M416" s="377" t="n"/>
      <c r="N416" s="381" t="n"/>
      <c r="O416" s="381" t="n"/>
      <c r="P416" s="381" t="n"/>
      <c r="Q416" s="377" t="n"/>
      <c r="R416" s="377" t="n"/>
      <c r="S416" s="377" t="n"/>
      <c r="T416" s="381" t="n"/>
      <c r="U416" s="377" t="n"/>
      <c r="V416" s="381" t="n"/>
      <c r="W416" s="407" t="n"/>
      <c r="X416" s="377" t="n"/>
      <c r="Y416" s="381" t="n"/>
      <c r="Z416" s="377" t="n"/>
      <c r="AA416" s="377" t="n"/>
      <c r="AB416" s="377" t="n"/>
      <c r="AC416" s="387" t="n">
        <v>26</v>
      </c>
      <c r="AD416" s="388" t="n">
        <v>35400</v>
      </c>
      <c r="AE416" s="388" t="n">
        <v>29690.323</v>
      </c>
    </row>
    <row r="417" ht="15.75" customHeight="1" s="253">
      <c r="A417" s="377" t="n"/>
      <c r="B417" s="399" t="inlineStr">
        <is>
          <t>Oct-25</t>
        </is>
      </c>
      <c r="C417" s="377" t="inlineStr">
        <is>
          <t>Aarna Law LLP</t>
        </is>
      </c>
      <c r="D417" s="377" t="inlineStr">
        <is>
          <t xml:space="preserve"> INV-25-26-000498</t>
        </is>
      </c>
      <c r="E417" s="377" t="inlineStr">
        <is>
          <t>One time work</t>
        </is>
      </c>
      <c r="F417" s="389" t="n">
        <v>45936</v>
      </c>
      <c r="G417" s="389" t="n">
        <v>45966</v>
      </c>
      <c r="H417" s="377" t="inlineStr">
        <is>
          <t>1 month-Upfront</t>
        </is>
      </c>
      <c r="I417" s="380" t="n">
        <v>8850</v>
      </c>
      <c r="J417" s="377" t="n"/>
      <c r="K417" s="381" t="n"/>
      <c r="L417" s="377" t="n">
        <v>31</v>
      </c>
      <c r="M417" s="377" t="n"/>
      <c r="N417" s="381" t="n"/>
      <c r="O417" s="381" t="n"/>
      <c r="P417" s="381" t="n"/>
      <c r="Q417" s="377" t="n"/>
      <c r="R417" s="377" t="n"/>
      <c r="S417" s="377" t="n"/>
      <c r="T417" s="381" t="n"/>
      <c r="U417" s="377" t="n"/>
      <c r="V417" s="381" t="n"/>
      <c r="W417" s="407" t="n"/>
      <c r="X417" s="377" t="n"/>
      <c r="Y417" s="381" t="n"/>
      <c r="Z417" s="377" t="n"/>
      <c r="AA417" s="377" t="n"/>
      <c r="AB417" s="377" t="n"/>
      <c r="AC417" s="387" t="n">
        <v>26</v>
      </c>
      <c r="AD417" s="388" t="n">
        <v>8850</v>
      </c>
      <c r="AE417" s="388" t="n">
        <v>7422.581</v>
      </c>
    </row>
    <row r="418" ht="15.75" customHeight="1" s="253">
      <c r="A418" s="377" t="n"/>
      <c r="B418" s="399" t="inlineStr">
        <is>
          <t>Oct-25</t>
        </is>
      </c>
      <c r="C418" s="377" t="inlineStr">
        <is>
          <t>Singularity Legal LLP</t>
        </is>
      </c>
      <c r="D418" s="377" t="inlineStr">
        <is>
          <t xml:space="preserve"> INV-25-26-000501</t>
        </is>
      </c>
      <c r="E418" s="377" t="inlineStr">
        <is>
          <t>One time work</t>
        </is>
      </c>
      <c r="F418" s="389" t="n">
        <v>45938</v>
      </c>
      <c r="G418" s="389" t="n">
        <v>45969</v>
      </c>
      <c r="H418" s="377" t="inlineStr">
        <is>
          <t>1 month-Upfront</t>
        </is>
      </c>
      <c r="I418" s="380" t="n">
        <v>14750</v>
      </c>
      <c r="J418" s="377" t="n"/>
      <c r="K418" s="381" t="n"/>
      <c r="L418" s="377" t="n">
        <v>32</v>
      </c>
      <c r="M418" s="377" t="n"/>
      <c r="N418" s="381" t="n"/>
      <c r="O418" s="381" t="n"/>
      <c r="P418" s="381" t="n"/>
      <c r="Q418" s="377" t="n"/>
      <c r="R418" s="377" t="n"/>
      <c r="S418" s="377" t="n"/>
      <c r="T418" s="381" t="n"/>
      <c r="U418" s="377" t="n"/>
      <c r="V418" s="381" t="n"/>
      <c r="W418" s="407" t="n"/>
      <c r="X418" s="377" t="n"/>
      <c r="Y418" s="381" t="n"/>
      <c r="Z418" s="377" t="n"/>
      <c r="AA418" s="377" t="n"/>
      <c r="AB418" s="377" t="n"/>
      <c r="AC418" s="387" t="n">
        <v>24</v>
      </c>
      <c r="AD418" s="388" t="n">
        <v>7375</v>
      </c>
      <c r="AE418" s="388" t="n">
        <v>11062.5</v>
      </c>
    </row>
    <row r="419" ht="15.75" customHeight="1" s="253">
      <c r="A419" s="377" t="n"/>
      <c r="B419" s="399" t="inlineStr">
        <is>
          <t>Oct-25</t>
        </is>
      </c>
      <c r="C419" s="377" t="inlineStr">
        <is>
          <t>Sir Sobha Singh &amp; Sons Pvt Ltd</t>
        </is>
      </c>
      <c r="D419" s="377" t="inlineStr">
        <is>
          <t xml:space="preserve"> INV-25-26-000502</t>
        </is>
      </c>
      <c r="E419" s="377" t="inlineStr">
        <is>
          <t>subscription based service</t>
        </is>
      </c>
      <c r="F419" s="389" t="n">
        <v>45942</v>
      </c>
      <c r="G419" s="389" t="n">
        <v>46306</v>
      </c>
      <c r="H419" s="377" t="inlineStr">
        <is>
          <t>Annual Upfront</t>
        </is>
      </c>
      <c r="I419" s="380" t="n">
        <v>100300</v>
      </c>
      <c r="J419" s="377" t="n"/>
      <c r="K419" s="381" t="n"/>
      <c r="L419" s="377" t="n">
        <v>365</v>
      </c>
      <c r="M419" s="377" t="n"/>
      <c r="N419" s="381" t="n"/>
      <c r="O419" s="381" t="n"/>
      <c r="P419" s="381" t="n"/>
      <c r="Q419" s="377" t="n"/>
      <c r="R419" s="377" t="n"/>
      <c r="S419" s="377" t="n"/>
      <c r="T419" s="381" t="n"/>
      <c r="U419" s="377" t="n"/>
      <c r="V419" s="381" t="n"/>
      <c r="W419" s="407" t="n"/>
      <c r="X419" s="377" t="n"/>
      <c r="Y419" s="381" t="n"/>
      <c r="Z419" s="377" t="n"/>
      <c r="AA419" s="377" t="n"/>
      <c r="AB419" s="377" t="n"/>
      <c r="AC419" s="387" t="n">
        <v>20</v>
      </c>
      <c r="AD419" s="388" t="n">
        <v>8358.333000000001</v>
      </c>
      <c r="AE419" s="388" t="n">
        <v>5495.89</v>
      </c>
    </row>
    <row r="420" ht="15.75" customHeight="1" s="253">
      <c r="A420" s="377" t="n"/>
      <c r="B420" s="399" t="inlineStr">
        <is>
          <t>Oct-25</t>
        </is>
      </c>
      <c r="C420" s="377" t="inlineStr">
        <is>
          <t>Laksha Kalappa B</t>
        </is>
      </c>
      <c r="D420" s="377" t="inlineStr">
        <is>
          <t>INV-25-26-000504</t>
        </is>
      </c>
      <c r="E420" s="377" t="inlineStr">
        <is>
          <t>subscription based service</t>
        </is>
      </c>
      <c r="F420" s="389" t="n">
        <v>45939</v>
      </c>
      <c r="G420" s="389" t="n">
        <v>46303</v>
      </c>
      <c r="H420" s="377" t="inlineStr">
        <is>
          <t>Annual-Monthly</t>
        </is>
      </c>
      <c r="I420" s="380" t="n">
        <v>84960</v>
      </c>
      <c r="J420" s="377" t="n"/>
      <c r="K420" s="381" t="n"/>
      <c r="L420" s="377" t="n">
        <v>365</v>
      </c>
      <c r="M420" s="377" t="n"/>
      <c r="N420" s="381" t="n"/>
      <c r="O420" s="381" t="n"/>
      <c r="P420" s="381" t="n"/>
      <c r="Q420" s="377" t="n"/>
      <c r="R420" s="377" t="n"/>
      <c r="S420" s="377" t="n"/>
      <c r="T420" s="381" t="n"/>
      <c r="U420" s="377" t="n"/>
      <c r="V420" s="381" t="n"/>
      <c r="W420" s="407" t="n"/>
      <c r="X420" s="377" t="n"/>
      <c r="Y420" s="381" t="n"/>
      <c r="Z420" s="377" t="n"/>
      <c r="AA420" s="377" t="n"/>
      <c r="AB420" s="377" t="n"/>
      <c r="AC420" s="387" t="n">
        <v>23</v>
      </c>
      <c r="AD420" s="388" t="n">
        <v>7080</v>
      </c>
      <c r="AE420" s="388" t="n">
        <v>5353.644</v>
      </c>
    </row>
    <row r="421" ht="15.75" customHeight="1" s="253">
      <c r="A421" s="377" t="n"/>
      <c r="B421" s="399" t="inlineStr">
        <is>
          <t>Oct-25</t>
        </is>
      </c>
      <c r="C421" s="377" t="inlineStr">
        <is>
          <t>NINE PILLARS INFRATECH LLP</t>
        </is>
      </c>
      <c r="D421" s="377" t="inlineStr">
        <is>
          <t>INV-25-26-000515</t>
        </is>
      </c>
      <c r="E421" s="377" t="inlineStr">
        <is>
          <t>One time work</t>
        </is>
      </c>
      <c r="F421" s="389" t="n">
        <v>45943</v>
      </c>
      <c r="G421" s="389" t="n">
        <v>45974</v>
      </c>
      <c r="H421" s="336" t="inlineStr">
        <is>
          <t>1 month-Upfront</t>
        </is>
      </c>
      <c r="I421" s="380" t="n">
        <v>29500</v>
      </c>
      <c r="J421" s="377" t="n"/>
      <c r="K421" s="381" t="n"/>
      <c r="L421" s="377" t="n">
        <v>32</v>
      </c>
      <c r="M421" s="377" t="n"/>
      <c r="N421" s="381" t="n"/>
      <c r="O421" s="381" t="n"/>
      <c r="P421" s="381" t="n"/>
      <c r="Q421" s="377" t="n"/>
      <c r="R421" s="377" t="n"/>
      <c r="S421" s="377" t="n"/>
      <c r="T421" s="381" t="n"/>
      <c r="U421" s="377" t="n"/>
      <c r="V421" s="381" t="n"/>
      <c r="W421" s="407" t="n"/>
      <c r="X421" s="377" t="n"/>
      <c r="Y421" s="381" t="n"/>
      <c r="Z421" s="377" t="n"/>
      <c r="AA421" s="377" t="n"/>
      <c r="AB421" s="377" t="n"/>
      <c r="AC421" s="387" t="n">
        <v>19</v>
      </c>
      <c r="AD421" s="388" t="n">
        <v>14750</v>
      </c>
      <c r="AE421" s="388" t="n">
        <v>17515.625</v>
      </c>
    </row>
    <row r="422" ht="15.75" customHeight="1" s="253">
      <c r="A422" s="377" t="n"/>
      <c r="B422" s="399" t="inlineStr">
        <is>
          <t>Oct-25</t>
        </is>
      </c>
      <c r="C422" s="377" t="inlineStr">
        <is>
          <t>Dr Sanjay Jain</t>
        </is>
      </c>
      <c r="D422" s="377" t="inlineStr">
        <is>
          <t>INV-25-26-000516</t>
        </is>
      </c>
      <c r="E422" s="377" t="inlineStr">
        <is>
          <t>subscription based service</t>
        </is>
      </c>
      <c r="F422" s="389" t="n">
        <v>45941</v>
      </c>
      <c r="G422" s="389" t="n">
        <v>45940</v>
      </c>
      <c r="H422" s="377" t="inlineStr">
        <is>
          <t>Annual Upfront</t>
        </is>
      </c>
      <c r="I422" s="380" t="n">
        <v>82600</v>
      </c>
      <c r="J422" s="377" t="n"/>
      <c r="K422" s="381" t="n"/>
      <c r="L422" s="377" t="n">
        <v>0</v>
      </c>
      <c r="M422" s="377" t="n"/>
      <c r="N422" s="381" t="n"/>
      <c r="O422" s="381" t="n"/>
      <c r="P422" s="381" t="n"/>
      <c r="Q422" s="377" t="n"/>
      <c r="R422" s="377" t="n"/>
      <c r="S422" s="377" t="n"/>
      <c r="T422" s="381" t="n"/>
      <c r="U422" s="377" t="n"/>
      <c r="V422" s="381" t="n"/>
      <c r="W422" s="407" t="n"/>
      <c r="X422" s="377" t="n"/>
      <c r="Y422" s="381" t="n"/>
      <c r="Z422" s="377" t="n"/>
      <c r="AA422" s="377" t="n"/>
      <c r="AB422" s="377" t="n"/>
      <c r="AC422" s="387" t="n">
        <v>0</v>
      </c>
      <c r="AD422" s="388" t="n">
        <v>0</v>
      </c>
      <c r="AE422" s="388" t="n">
        <v>0</v>
      </c>
    </row>
    <row r="423" ht="15.75" customHeight="1" s="253">
      <c r="A423" s="377" t="n"/>
      <c r="B423" s="399" t="inlineStr">
        <is>
          <t>Oct-25</t>
        </is>
      </c>
      <c r="C423" s="377" t="inlineStr">
        <is>
          <t>Arun Kumar P</t>
        </is>
      </c>
      <c r="D423" s="377" t="inlineStr">
        <is>
          <t>INV-25-26-000517</t>
        </is>
      </c>
      <c r="E423" s="377" t="inlineStr">
        <is>
          <t>subscription based service</t>
        </is>
      </c>
      <c r="F423" s="389" t="n">
        <v>45944</v>
      </c>
      <c r="G423" s="389" t="n">
        <v>46308</v>
      </c>
      <c r="H423" s="377" t="inlineStr">
        <is>
          <t>Annual-Monthly</t>
        </is>
      </c>
      <c r="I423" s="380" t="n">
        <v>63720</v>
      </c>
      <c r="J423" s="377" t="n"/>
      <c r="K423" s="381" t="n"/>
      <c r="L423" s="377" t="n">
        <v>365</v>
      </c>
      <c r="M423" s="377" t="n"/>
      <c r="N423" s="381" t="n"/>
      <c r="O423" s="381" t="n"/>
      <c r="P423" s="381" t="n"/>
      <c r="Q423" s="377" t="n"/>
      <c r="R423" s="377" t="n"/>
      <c r="S423" s="377" t="n"/>
      <c r="T423" s="381" t="n"/>
      <c r="U423" s="377" t="n"/>
      <c r="V423" s="381" t="n"/>
      <c r="W423" s="407" t="n"/>
      <c r="X423" s="377" t="n"/>
      <c r="Y423" s="381" t="n"/>
      <c r="Z423" s="377" t="n"/>
      <c r="AA423" s="377" t="n"/>
      <c r="AB423" s="377" t="n"/>
      <c r="AC423" s="387" t="n">
        <v>18</v>
      </c>
      <c r="AD423" s="388" t="n">
        <v>5310</v>
      </c>
      <c r="AE423" s="388" t="n">
        <v>3142.356</v>
      </c>
    </row>
    <row r="424" ht="15.75" customHeight="1" s="253">
      <c r="A424" s="377" t="n"/>
      <c r="B424" s="399" t="inlineStr">
        <is>
          <t>Oct-25</t>
        </is>
      </c>
      <c r="C424" s="377" t="inlineStr">
        <is>
          <t>ASREC India Ltd</t>
        </is>
      </c>
      <c r="D424" s="377" t="inlineStr">
        <is>
          <t>INV-25-26-000519</t>
        </is>
      </c>
      <c r="E424" s="377" t="inlineStr">
        <is>
          <t>subscription based service</t>
        </is>
      </c>
      <c r="F424" s="389" t="n">
        <v>45944</v>
      </c>
      <c r="G424" s="389" t="n">
        <v>46308</v>
      </c>
      <c r="H424" s="377" t="inlineStr">
        <is>
          <t xml:space="preserve">Annual ,Quarterly </t>
        </is>
      </c>
      <c r="I424" s="380" t="n">
        <v>59000</v>
      </c>
      <c r="J424" s="377" t="n"/>
      <c r="K424" s="381" t="n"/>
      <c r="L424" s="377" t="n">
        <v>365</v>
      </c>
      <c r="M424" s="377" t="n"/>
      <c r="N424" s="381" t="n"/>
      <c r="O424" s="381" t="n"/>
      <c r="P424" s="381" t="n"/>
      <c r="Q424" s="377" t="n"/>
      <c r="R424" s="377" t="n"/>
      <c r="S424" s="377" t="n"/>
      <c r="T424" s="381" t="n"/>
      <c r="U424" s="377" t="n"/>
      <c r="V424" s="381" t="n"/>
      <c r="W424" s="407" t="n"/>
      <c r="X424" s="377" t="n"/>
      <c r="Y424" s="381" t="n"/>
      <c r="Z424" s="377" t="n"/>
      <c r="AA424" s="377" t="n"/>
      <c r="AB424" s="377" t="n"/>
      <c r="AC424" s="387" t="n">
        <v>18</v>
      </c>
      <c r="AD424" s="388" t="n">
        <v>4916.667</v>
      </c>
      <c r="AE424" s="388" t="n">
        <v>2909.589</v>
      </c>
    </row>
    <row r="425" ht="15.75" customHeight="1" s="253">
      <c r="A425" s="377" t="n"/>
      <c r="B425" s="399" t="inlineStr">
        <is>
          <t>Oct-25</t>
        </is>
      </c>
      <c r="C425" s="377" t="inlineStr">
        <is>
          <t>Chavi V Jain</t>
        </is>
      </c>
      <c r="D425" s="377" t="inlineStr">
        <is>
          <t>INV-25-26-000520, 000621</t>
        </is>
      </c>
      <c r="E425" s="377" t="inlineStr">
        <is>
          <t>subscription based service</t>
        </is>
      </c>
      <c r="F425" s="389" t="n">
        <v>45944</v>
      </c>
      <c r="G425" s="389" t="n">
        <v>46308</v>
      </c>
      <c r="H425" s="386" t="inlineStr">
        <is>
          <t>Annual-Monthly</t>
        </is>
      </c>
      <c r="I425" s="380" t="n">
        <v>63720</v>
      </c>
      <c r="J425" s="377" t="n"/>
      <c r="K425" s="381" t="n"/>
      <c r="L425" s="377" t="n">
        <v>365</v>
      </c>
      <c r="M425" s="377" t="n"/>
      <c r="N425" s="381" t="n"/>
      <c r="O425" s="381" t="n"/>
      <c r="P425" s="381" t="n"/>
      <c r="Q425" s="377" t="n"/>
      <c r="R425" s="377" t="n"/>
      <c r="S425" s="377" t="n"/>
      <c r="T425" s="381" t="n"/>
      <c r="U425" s="377" t="n"/>
      <c r="V425" s="381" t="n"/>
      <c r="W425" s="407" t="n"/>
      <c r="X425" s="377" t="n"/>
      <c r="Y425" s="381" t="n"/>
      <c r="Z425" s="377" t="n"/>
      <c r="AA425" s="377" t="n"/>
      <c r="AB425" s="377" t="n"/>
      <c r="AC425" s="387" t="n">
        <v>18</v>
      </c>
      <c r="AD425" s="388" t="n">
        <v>5310</v>
      </c>
      <c r="AE425" s="388" t="n">
        <v>3142.356</v>
      </c>
    </row>
    <row r="426" ht="15.75" customHeight="1" s="253">
      <c r="A426" s="377" t="n"/>
      <c r="B426" s="399" t="inlineStr">
        <is>
          <t>Oct-25</t>
        </is>
      </c>
      <c r="C426" s="377" t="inlineStr">
        <is>
          <t>Mahadeshwara. D</t>
        </is>
      </c>
      <c r="D426" s="377" t="inlineStr">
        <is>
          <t>INV-25-26-000521</t>
        </is>
      </c>
      <c r="E426" s="377" t="inlineStr">
        <is>
          <t>subscription based service</t>
        </is>
      </c>
      <c r="F426" s="389" t="n">
        <v>45944</v>
      </c>
      <c r="G426" s="389" t="n">
        <v>46308</v>
      </c>
      <c r="H426" s="386" t="inlineStr">
        <is>
          <t xml:space="preserve">Annual ,Quarterly </t>
        </is>
      </c>
      <c r="I426" s="380" t="n">
        <v>59000</v>
      </c>
      <c r="J426" s="377" t="n"/>
      <c r="K426" s="381" t="n"/>
      <c r="L426" s="377" t="n">
        <v>365</v>
      </c>
      <c r="M426" s="377" t="n"/>
      <c r="N426" s="381" t="n"/>
      <c r="O426" s="381" t="n"/>
      <c r="P426" s="381" t="n"/>
      <c r="Q426" s="377" t="n"/>
      <c r="R426" s="377" t="n"/>
      <c r="S426" s="377" t="n"/>
      <c r="T426" s="381" t="n"/>
      <c r="U426" s="377" t="n"/>
      <c r="V426" s="381" t="n"/>
      <c r="W426" s="407" t="n"/>
      <c r="X426" s="377" t="n"/>
      <c r="Y426" s="381" t="n"/>
      <c r="Z426" s="377" t="n"/>
      <c r="AA426" s="377" t="n"/>
      <c r="AB426" s="377" t="n"/>
      <c r="AC426" s="387" t="n">
        <v>18</v>
      </c>
      <c r="AD426" s="388" t="n">
        <v>4916.667</v>
      </c>
      <c r="AE426" s="388" t="n">
        <v>2909.589</v>
      </c>
    </row>
    <row r="427" ht="15.75" customHeight="1" s="253">
      <c r="A427" s="377" t="n"/>
      <c r="B427" s="399" t="inlineStr">
        <is>
          <t>Oct-25</t>
        </is>
      </c>
      <c r="C427" s="377" t="inlineStr">
        <is>
          <t>Pramit Mohanty</t>
        </is>
      </c>
      <c r="D427" s="377" t="inlineStr">
        <is>
          <t>INV-25-26-000522</t>
        </is>
      </c>
      <c r="E427" s="377" t="inlineStr">
        <is>
          <t>subscription based service</t>
        </is>
      </c>
      <c r="F427" s="389" t="n">
        <v>45944</v>
      </c>
      <c r="G427" s="389" t="n">
        <v>46308</v>
      </c>
      <c r="H427" s="377" t="inlineStr">
        <is>
          <t xml:space="preserve">Annual ,Quarterly </t>
        </is>
      </c>
      <c r="I427" s="380" t="n">
        <v>59000</v>
      </c>
      <c r="J427" s="377" t="n"/>
      <c r="K427" s="381" t="n"/>
      <c r="L427" s="377" t="n">
        <v>365</v>
      </c>
      <c r="M427" s="377" t="n"/>
      <c r="N427" s="381" t="n"/>
      <c r="O427" s="381" t="n"/>
      <c r="P427" s="381" t="n"/>
      <c r="Q427" s="377" t="n"/>
      <c r="R427" s="377" t="n"/>
      <c r="S427" s="377" t="n"/>
      <c r="T427" s="381" t="n"/>
      <c r="U427" s="377" t="n"/>
      <c r="V427" s="381" t="n"/>
      <c r="W427" s="407" t="n"/>
      <c r="X427" s="377" t="n"/>
      <c r="Y427" s="381" t="n"/>
      <c r="Z427" s="377" t="n"/>
      <c r="AA427" s="377" t="n"/>
      <c r="AB427" s="377" t="n"/>
      <c r="AC427" s="387" t="n">
        <v>18</v>
      </c>
      <c r="AD427" s="388" t="n">
        <v>4916.667</v>
      </c>
      <c r="AE427" s="388" t="n">
        <v>2909.589</v>
      </c>
    </row>
    <row r="428" ht="15.75" customHeight="1" s="253">
      <c r="A428" s="377" t="n"/>
      <c r="B428" s="399" t="inlineStr">
        <is>
          <t>Oct-25</t>
        </is>
      </c>
      <c r="C428" s="377" t="inlineStr">
        <is>
          <t>Manaswi Agrawal</t>
        </is>
      </c>
      <c r="D428" s="377" t="inlineStr">
        <is>
          <t>INV-25-26-000523, 000622</t>
        </is>
      </c>
      <c r="E428" s="377" t="inlineStr">
        <is>
          <t>subscription based service</t>
        </is>
      </c>
      <c r="F428" s="389" t="n">
        <v>45944</v>
      </c>
      <c r="G428" s="389" t="n">
        <v>46308</v>
      </c>
      <c r="H428" s="377" t="inlineStr">
        <is>
          <t>Annual-Monthly</t>
        </is>
      </c>
      <c r="I428" s="380" t="n">
        <v>63720</v>
      </c>
      <c r="J428" s="377" t="n"/>
      <c r="K428" s="381" t="n"/>
      <c r="L428" s="377" t="n">
        <v>365</v>
      </c>
      <c r="M428" s="377" t="n"/>
      <c r="N428" s="381" t="n"/>
      <c r="O428" s="381" t="n"/>
      <c r="P428" s="381" t="n"/>
      <c r="Q428" s="377" t="n"/>
      <c r="R428" s="377" t="n"/>
      <c r="S428" s="377" t="n"/>
      <c r="T428" s="381" t="n"/>
      <c r="U428" s="377" t="n"/>
      <c r="V428" s="381" t="n"/>
      <c r="W428" s="407" t="n"/>
      <c r="X428" s="377" t="n"/>
      <c r="Y428" s="381" t="n"/>
      <c r="Z428" s="377" t="n"/>
      <c r="AA428" s="377" t="n"/>
      <c r="AB428" s="377" t="n"/>
      <c r="AC428" s="387" t="n">
        <v>18</v>
      </c>
      <c r="AD428" s="388" t="n">
        <v>5310</v>
      </c>
      <c r="AE428" s="388" t="n">
        <v>3142.356</v>
      </c>
    </row>
    <row r="429" ht="15.75" customHeight="1" s="253">
      <c r="A429" s="377" t="n"/>
      <c r="B429" s="399" t="inlineStr">
        <is>
          <t>Oct-25</t>
        </is>
      </c>
      <c r="C429" s="377" t="inlineStr">
        <is>
          <t>Parekh Legal Proprieter Ami Parekh</t>
        </is>
      </c>
      <c r="D429" s="377" t="inlineStr">
        <is>
          <t>INV-25-26-000525, 000623</t>
        </is>
      </c>
      <c r="E429" s="377" t="inlineStr">
        <is>
          <t>subscription based service</t>
        </is>
      </c>
      <c r="F429" s="389" t="n">
        <v>45944</v>
      </c>
      <c r="G429" s="389" t="n">
        <v>46308</v>
      </c>
      <c r="H429" s="377" t="inlineStr">
        <is>
          <t>Annual-Monthly</t>
        </is>
      </c>
      <c r="I429" s="380" t="n">
        <v>70800</v>
      </c>
      <c r="J429" s="377" t="n"/>
      <c r="K429" s="381" t="n"/>
      <c r="L429" s="377" t="n">
        <v>365</v>
      </c>
      <c r="M429" s="377" t="n"/>
      <c r="N429" s="381" t="n"/>
      <c r="O429" s="381" t="n"/>
      <c r="P429" s="381" t="n"/>
      <c r="Q429" s="377" t="n"/>
      <c r="R429" s="377" t="n"/>
      <c r="S429" s="377" t="n"/>
      <c r="T429" s="381" t="n"/>
      <c r="U429" s="377" t="n"/>
      <c r="V429" s="381" t="n"/>
      <c r="W429" s="407" t="n"/>
      <c r="X429" s="377" t="n"/>
      <c r="Y429" s="381" t="n"/>
      <c r="Z429" s="377" t="n"/>
      <c r="AA429" s="377" t="n"/>
      <c r="AB429" s="377" t="n"/>
      <c r="AC429" s="387" t="n">
        <v>18</v>
      </c>
      <c r="AD429" s="388" t="n">
        <v>5900</v>
      </c>
      <c r="AE429" s="388" t="n">
        <v>3491.507</v>
      </c>
    </row>
    <row r="430" ht="15.75" customHeight="1" s="253">
      <c r="A430" s="377" t="n"/>
      <c r="B430" s="399" t="inlineStr">
        <is>
          <t>Oct-25</t>
        </is>
      </c>
      <c r="C430" s="377" t="inlineStr">
        <is>
          <t>AKS LAW ASSOCIATES</t>
        </is>
      </c>
      <c r="D430" s="377" t="inlineStr">
        <is>
          <t>INV-25-26-000526, 000624</t>
        </is>
      </c>
      <c r="E430" s="377" t="inlineStr">
        <is>
          <t>subscription based service</t>
        </is>
      </c>
      <c r="F430" s="389" t="n">
        <v>45944</v>
      </c>
      <c r="G430" s="389" t="n">
        <v>46308</v>
      </c>
      <c r="H430" s="377" t="inlineStr">
        <is>
          <t>Annual-Monthly</t>
        </is>
      </c>
      <c r="I430" s="380" t="n">
        <v>113280</v>
      </c>
      <c r="J430" s="377" t="n"/>
      <c r="K430" s="381" t="n"/>
      <c r="L430" s="377" t="n">
        <v>365</v>
      </c>
      <c r="M430" s="377" t="n"/>
      <c r="N430" s="381" t="n"/>
      <c r="O430" s="381" t="n"/>
      <c r="P430" s="381" t="n"/>
      <c r="Q430" s="377" t="n"/>
      <c r="R430" s="377" t="n"/>
      <c r="S430" s="377" t="n"/>
      <c r="T430" s="381" t="n"/>
      <c r="U430" s="377" t="n"/>
      <c r="V430" s="381" t="n"/>
      <c r="W430" s="407" t="n"/>
      <c r="X430" s="377" t="n"/>
      <c r="Y430" s="381" t="n"/>
      <c r="Z430" s="377" t="n"/>
      <c r="AA430" s="377" t="n"/>
      <c r="AB430" s="377" t="n"/>
      <c r="AC430" s="387" t="n">
        <v>18</v>
      </c>
      <c r="AD430" s="388" t="n">
        <v>9440</v>
      </c>
      <c r="AE430" s="388" t="n">
        <v>5586.411</v>
      </c>
    </row>
    <row r="431" ht="15.75" customHeight="1" s="253">
      <c r="A431" s="377" t="n"/>
      <c r="B431" s="399" t="inlineStr">
        <is>
          <t>Oct-25</t>
        </is>
      </c>
      <c r="C431" s="377" t="inlineStr">
        <is>
          <t>Aravindakshan Nair</t>
        </is>
      </c>
      <c r="D431" s="377" t="inlineStr">
        <is>
          <t xml:space="preserve"> INV-25-26-000529</t>
        </is>
      </c>
      <c r="E431" s="377" t="inlineStr">
        <is>
          <t>subscription based service</t>
        </is>
      </c>
      <c r="F431" s="389" t="n">
        <v>45945</v>
      </c>
      <c r="G431" s="389" t="n">
        <v>46309</v>
      </c>
      <c r="H431" s="377" t="inlineStr">
        <is>
          <t>Annual-Monthly</t>
        </is>
      </c>
      <c r="I431" s="380" t="n">
        <v>63720</v>
      </c>
      <c r="J431" s="377" t="n"/>
      <c r="K431" s="381" t="n"/>
      <c r="L431" s="377" t="n">
        <v>365</v>
      </c>
      <c r="M431" s="377" t="n"/>
      <c r="N431" s="381" t="n"/>
      <c r="O431" s="381" t="n"/>
      <c r="P431" s="381" t="n"/>
      <c r="Q431" s="377" t="n"/>
      <c r="R431" s="377" t="n"/>
      <c r="S431" s="377" t="n"/>
      <c r="T431" s="381" t="n"/>
      <c r="U431" s="377" t="n"/>
      <c r="V431" s="381" t="n"/>
      <c r="W431" s="407" t="n"/>
      <c r="X431" s="377" t="n"/>
      <c r="Y431" s="381" t="n"/>
      <c r="Z431" s="377" t="n"/>
      <c r="AA431" s="377" t="n"/>
      <c r="AB431" s="377" t="n"/>
      <c r="AC431" s="387" t="n">
        <v>17</v>
      </c>
      <c r="AD431" s="388" t="n">
        <v>5310</v>
      </c>
      <c r="AE431" s="388" t="n">
        <v>2967.781</v>
      </c>
    </row>
    <row r="432" ht="15.75" customHeight="1" s="253">
      <c r="A432" s="377" t="n"/>
      <c r="B432" s="399" t="inlineStr">
        <is>
          <t>Oct-25</t>
        </is>
      </c>
      <c r="C432" s="377" t="inlineStr">
        <is>
          <t>Nyayosh Bharucha</t>
        </is>
      </c>
      <c r="D432" s="377" t="inlineStr">
        <is>
          <t>INV-25-26-000530, 000667</t>
        </is>
      </c>
      <c r="E432" s="377" t="inlineStr">
        <is>
          <t>subscription based service</t>
        </is>
      </c>
      <c r="F432" s="389" t="n">
        <v>45945</v>
      </c>
      <c r="G432" s="389" t="n">
        <v>46309</v>
      </c>
      <c r="H432" s="377" t="inlineStr">
        <is>
          <t>Annual-Monthly</t>
        </is>
      </c>
      <c r="I432" s="380" t="n">
        <v>63720</v>
      </c>
      <c r="J432" s="377" t="n"/>
      <c r="K432" s="381" t="n"/>
      <c r="L432" s="377" t="n">
        <v>365</v>
      </c>
      <c r="M432" s="377" t="n"/>
      <c r="N432" s="381" t="n"/>
      <c r="O432" s="381" t="n"/>
      <c r="P432" s="381" t="n"/>
      <c r="Q432" s="377" t="n"/>
      <c r="R432" s="377" t="n"/>
      <c r="S432" s="377" t="n"/>
      <c r="T432" s="381" t="n"/>
      <c r="U432" s="377" t="n"/>
      <c r="V432" s="381" t="n"/>
      <c r="W432" s="407" t="n"/>
      <c r="X432" s="377" t="n"/>
      <c r="Y432" s="381" t="n"/>
      <c r="Z432" s="377" t="n"/>
      <c r="AA432" s="377" t="n"/>
      <c r="AB432" s="377" t="n"/>
      <c r="AC432" s="387" t="n">
        <v>17</v>
      </c>
      <c r="AD432" s="388" t="n">
        <v>5310</v>
      </c>
      <c r="AE432" s="388" t="n">
        <v>2967.781</v>
      </c>
    </row>
    <row r="433" ht="15.75" customHeight="1" s="253">
      <c r="A433" s="377" t="n"/>
      <c r="B433" s="399" t="inlineStr">
        <is>
          <t>Oct-25</t>
        </is>
      </c>
      <c r="C433" s="377" t="inlineStr">
        <is>
          <t>Sahil Singh</t>
        </is>
      </c>
      <c r="D433" s="377" t="inlineStr">
        <is>
          <t xml:space="preserve"> INV-25-26-000531</t>
        </is>
      </c>
      <c r="E433" s="377" t="inlineStr">
        <is>
          <t>subscription based service</t>
        </is>
      </c>
      <c r="F433" s="389" t="n">
        <v>45945</v>
      </c>
      <c r="G433" s="389" t="n">
        <v>46309</v>
      </c>
      <c r="H433" s="377" t="inlineStr">
        <is>
          <t>Annual-Monthly</t>
        </is>
      </c>
      <c r="I433" s="380" t="n">
        <v>63720</v>
      </c>
      <c r="J433" s="377" t="n"/>
      <c r="K433" s="381" t="n"/>
      <c r="L433" s="377" t="n">
        <v>365</v>
      </c>
      <c r="M433" s="377" t="n"/>
      <c r="N433" s="381" t="n"/>
      <c r="O433" s="381" t="n"/>
      <c r="P433" s="381" t="n"/>
      <c r="Q433" s="377" t="n"/>
      <c r="R433" s="377" t="n"/>
      <c r="S433" s="377" t="n"/>
      <c r="T433" s="381" t="n"/>
      <c r="U433" s="377" t="n"/>
      <c r="V433" s="381" t="n"/>
      <c r="W433" s="407" t="n"/>
      <c r="X433" s="377" t="n"/>
      <c r="Y433" s="381" t="n"/>
      <c r="Z433" s="377" t="n"/>
      <c r="AA433" s="377" t="n"/>
      <c r="AB433" s="377" t="n"/>
      <c r="AC433" s="387" t="n">
        <v>17</v>
      </c>
      <c r="AD433" s="388" t="n">
        <v>5310</v>
      </c>
      <c r="AE433" s="388" t="n">
        <v>2967.781</v>
      </c>
    </row>
    <row r="434" ht="15.75" customHeight="1" s="253">
      <c r="A434" s="377" t="n"/>
      <c r="B434" s="399" t="inlineStr">
        <is>
          <t>Oct-25</t>
        </is>
      </c>
      <c r="C434" s="377" t="inlineStr">
        <is>
          <t>Mohammed Moin</t>
        </is>
      </c>
      <c r="D434" s="377" t="inlineStr">
        <is>
          <t xml:space="preserve"> INV-25-26-000532</t>
        </is>
      </c>
      <c r="E434" s="377" t="inlineStr">
        <is>
          <t>subscription based service</t>
        </is>
      </c>
      <c r="F434" s="389" t="n">
        <v>45945</v>
      </c>
      <c r="G434" s="389" t="n">
        <v>46309</v>
      </c>
      <c r="H434" s="377" t="inlineStr">
        <is>
          <t xml:space="preserve">Annual ,Quarterly </t>
        </is>
      </c>
      <c r="I434" s="380" t="n">
        <v>59000</v>
      </c>
      <c r="J434" s="377" t="n"/>
      <c r="K434" s="381" t="n"/>
      <c r="L434" s="377" t="n">
        <v>365</v>
      </c>
      <c r="M434" s="377" t="n"/>
      <c r="N434" s="381" t="n"/>
      <c r="O434" s="381" t="n"/>
      <c r="P434" s="381" t="n"/>
      <c r="Q434" s="377" t="n"/>
      <c r="R434" s="377" t="n"/>
      <c r="S434" s="377" t="n"/>
      <c r="T434" s="381" t="n"/>
      <c r="U434" s="377" t="n"/>
      <c r="V434" s="381" t="n"/>
      <c r="W434" s="407" t="n"/>
      <c r="X434" s="377" t="n"/>
      <c r="Y434" s="381" t="n"/>
      <c r="Z434" s="377" t="n"/>
      <c r="AA434" s="377" t="n"/>
      <c r="AB434" s="377" t="n"/>
      <c r="AC434" s="387" t="n">
        <v>17</v>
      </c>
      <c r="AD434" s="388" t="n">
        <v>4916.667</v>
      </c>
      <c r="AE434" s="388" t="n">
        <v>2747.945</v>
      </c>
    </row>
    <row r="435" ht="15.75" customHeight="1" s="253">
      <c r="A435" s="377" t="n"/>
      <c r="B435" s="399" t="inlineStr">
        <is>
          <t>Oct-25</t>
        </is>
      </c>
      <c r="C435" s="377" t="inlineStr">
        <is>
          <t>Amicus Lex &amp; Associates</t>
        </is>
      </c>
      <c r="D435" s="377" t="inlineStr">
        <is>
          <t xml:space="preserve"> INV-25-26-000535, 000632</t>
        </is>
      </c>
      <c r="E435" s="377" t="inlineStr">
        <is>
          <t>subscription based service</t>
        </is>
      </c>
      <c r="F435" s="389" t="n">
        <v>45945</v>
      </c>
      <c r="G435" s="389" t="n">
        <v>46309</v>
      </c>
      <c r="H435" s="377" t="inlineStr">
        <is>
          <t>Annual-Monthly</t>
        </is>
      </c>
      <c r="I435" s="380" t="n">
        <v>113280</v>
      </c>
      <c r="J435" s="377" t="n"/>
      <c r="K435" s="381" t="n"/>
      <c r="L435" s="377" t="n">
        <v>365</v>
      </c>
      <c r="M435" s="377" t="n"/>
      <c r="N435" s="381" t="n"/>
      <c r="O435" s="381" t="n"/>
      <c r="P435" s="381" t="n"/>
      <c r="Q435" s="377" t="n"/>
      <c r="R435" s="377" t="n"/>
      <c r="S435" s="377" t="n"/>
      <c r="T435" s="381" t="n"/>
      <c r="U435" s="377" t="n"/>
      <c r="V435" s="381" t="n"/>
      <c r="W435" s="407" t="n"/>
      <c r="X435" s="377" t="n"/>
      <c r="Y435" s="381" t="n"/>
      <c r="Z435" s="377" t="n"/>
      <c r="AA435" s="377" t="n"/>
      <c r="AB435" s="377" t="n"/>
      <c r="AC435" s="387" t="n">
        <v>17</v>
      </c>
      <c r="AD435" s="388" t="n">
        <v>9440</v>
      </c>
      <c r="AE435" s="388" t="n">
        <v>5276.055</v>
      </c>
    </row>
    <row r="436" ht="15.75" customHeight="1" s="253">
      <c r="A436" s="377" t="n"/>
      <c r="B436" s="399" t="inlineStr">
        <is>
          <t>Oct-25</t>
        </is>
      </c>
      <c r="C436" s="377" t="inlineStr">
        <is>
          <t>Arvind Menon</t>
        </is>
      </c>
      <c r="D436" s="377" t="inlineStr">
        <is>
          <t>INV-25-26-000537, 000633</t>
        </is>
      </c>
      <c r="E436" s="377" t="inlineStr">
        <is>
          <t>subscription based service</t>
        </is>
      </c>
      <c r="F436" s="389" t="n">
        <v>45946</v>
      </c>
      <c r="G436" s="389" t="n">
        <v>45945</v>
      </c>
      <c r="H436" s="377" t="inlineStr">
        <is>
          <t>Annual-Monthly</t>
        </is>
      </c>
      <c r="I436" s="380" t="n">
        <v>58410</v>
      </c>
      <c r="J436" s="377" t="n"/>
      <c r="K436" s="381" t="n"/>
      <c r="L436" s="377" t="n">
        <v>0</v>
      </c>
      <c r="M436" s="377" t="n"/>
      <c r="N436" s="381" t="n"/>
      <c r="O436" s="381" t="n"/>
      <c r="P436" s="381" t="n"/>
      <c r="Q436" s="377" t="n"/>
      <c r="R436" s="377" t="n"/>
      <c r="S436" s="377" t="n"/>
      <c r="T436" s="381" t="n"/>
      <c r="U436" s="377" t="n"/>
      <c r="V436" s="381" t="n"/>
      <c r="W436" s="407" t="n"/>
      <c r="X436" s="377" t="n"/>
      <c r="Y436" s="381" t="n"/>
      <c r="Z436" s="377" t="n"/>
      <c r="AA436" s="377" t="n"/>
      <c r="AB436" s="377" t="n"/>
      <c r="AC436" s="387" t="n">
        <v>0</v>
      </c>
      <c r="AD436" s="388" t="n">
        <v>0</v>
      </c>
      <c r="AE436" s="388" t="n">
        <v>0</v>
      </c>
    </row>
    <row r="437" ht="15.75" customHeight="1" s="253">
      <c r="A437" s="377" t="n"/>
      <c r="B437" s="399" t="inlineStr">
        <is>
          <t>Oct-25</t>
        </is>
      </c>
      <c r="C437" s="377" t="inlineStr">
        <is>
          <t>Kaizen Law</t>
        </is>
      </c>
      <c r="D437" s="377" t="inlineStr">
        <is>
          <t>INV-25-26-000541</t>
        </is>
      </c>
      <c r="E437" s="377" t="inlineStr">
        <is>
          <t>subscription based service</t>
        </is>
      </c>
      <c r="F437" s="389" t="n">
        <v>45957</v>
      </c>
      <c r="G437" s="389" t="n">
        <v>46321</v>
      </c>
      <c r="H437" s="377" t="inlineStr">
        <is>
          <t>Annual Upfront</t>
        </is>
      </c>
      <c r="I437" s="380" t="n">
        <v>354000</v>
      </c>
      <c r="J437" s="377" t="n"/>
      <c r="K437" s="381" t="n"/>
      <c r="L437" s="377" t="n">
        <v>365</v>
      </c>
      <c r="M437" s="377" t="n"/>
      <c r="N437" s="381" t="n"/>
      <c r="O437" s="381" t="n"/>
      <c r="P437" s="381" t="n"/>
      <c r="Q437" s="377" t="n"/>
      <c r="R437" s="377" t="n"/>
      <c r="S437" s="377" t="n"/>
      <c r="T437" s="381" t="n"/>
      <c r="U437" s="377" t="n"/>
      <c r="V437" s="381" t="n"/>
      <c r="W437" s="407" t="n"/>
      <c r="X437" s="377" t="n"/>
      <c r="Y437" s="381" t="n"/>
      <c r="Z437" s="377" t="n"/>
      <c r="AA437" s="377" t="n"/>
      <c r="AB437" s="377" t="n"/>
      <c r="AC437" s="385" t="n">
        <v>5</v>
      </c>
      <c r="AD437" s="385" t="n">
        <v>29500</v>
      </c>
      <c r="AE437" s="385" t="n">
        <v>4849.315</v>
      </c>
    </row>
    <row r="438" ht="15.75" customHeight="1" s="253">
      <c r="A438" s="377" t="n"/>
      <c r="B438" s="399" t="inlineStr">
        <is>
          <t>Oct-25</t>
        </is>
      </c>
      <c r="C438" s="377" t="inlineStr">
        <is>
          <t>Precinct Legal</t>
        </is>
      </c>
      <c r="D438" s="377" t="inlineStr">
        <is>
          <t>INV-25-26-000552</t>
        </is>
      </c>
      <c r="E438" s="377" t="inlineStr">
        <is>
          <t>subscription based service</t>
        </is>
      </c>
      <c r="F438" s="389" t="n">
        <v>45953</v>
      </c>
      <c r="G438" s="389" t="n">
        <v>46317</v>
      </c>
      <c r="H438" s="377" t="inlineStr">
        <is>
          <t>Annual Upfront</t>
        </is>
      </c>
      <c r="I438" s="380" t="n">
        <v>212400</v>
      </c>
      <c r="J438" s="377" t="n"/>
      <c r="K438" s="381" t="n"/>
      <c r="L438" s="377" t="n">
        <v>365</v>
      </c>
      <c r="M438" s="377" t="n"/>
      <c r="N438" s="381" t="n"/>
      <c r="O438" s="381" t="n"/>
      <c r="P438" s="381" t="n"/>
      <c r="Q438" s="377" t="n"/>
      <c r="R438" s="377" t="n"/>
      <c r="S438" s="377" t="n"/>
      <c r="T438" s="381" t="n"/>
      <c r="U438" s="377" t="n"/>
      <c r="V438" s="381" t="n"/>
      <c r="W438" s="407" t="n"/>
      <c r="X438" s="377" t="n"/>
      <c r="Y438" s="381" t="n"/>
      <c r="Z438" s="377" t="n"/>
      <c r="AA438" s="377" t="n"/>
      <c r="AB438" s="377" t="n"/>
      <c r="AC438" s="387" t="n">
        <v>9</v>
      </c>
      <c r="AD438" s="388" t="n">
        <v>17700</v>
      </c>
      <c r="AE438" s="388" t="n">
        <v>5237.26</v>
      </c>
    </row>
    <row r="439" ht="15.75" customHeight="1" s="253">
      <c r="A439" s="377" t="n"/>
      <c r="B439" s="399" t="inlineStr">
        <is>
          <t>Oct-25</t>
        </is>
      </c>
      <c r="C439" s="377" t="inlineStr">
        <is>
          <t>Major Nirvikar Singh (Retd.)</t>
        </is>
      </c>
      <c r="D439" s="377" t="inlineStr">
        <is>
          <t>INV-25-26-000553</t>
        </is>
      </c>
      <c r="E439" s="377" t="inlineStr">
        <is>
          <t>subscription based service</t>
        </is>
      </c>
      <c r="F439" s="389" t="n">
        <v>45953</v>
      </c>
      <c r="G439" s="389" t="n">
        <v>46317</v>
      </c>
      <c r="H439" s="377" t="inlineStr">
        <is>
          <t>Annual-Monthly</t>
        </is>
      </c>
      <c r="I439" s="380" t="n">
        <v>113280</v>
      </c>
      <c r="J439" s="377" t="n"/>
      <c r="K439" s="381" t="n"/>
      <c r="L439" s="377" t="n">
        <v>365</v>
      </c>
      <c r="M439" s="377" t="n"/>
      <c r="N439" s="381" t="n"/>
      <c r="O439" s="381" t="n"/>
      <c r="P439" s="381" t="n"/>
      <c r="Q439" s="377" t="n"/>
      <c r="R439" s="377" t="n"/>
      <c r="S439" s="377" t="n"/>
      <c r="T439" s="381" t="n"/>
      <c r="U439" s="377" t="n"/>
      <c r="V439" s="381" t="n"/>
      <c r="W439" s="407" t="n"/>
      <c r="X439" s="377" t="n"/>
      <c r="Y439" s="381" t="n"/>
      <c r="Z439" s="377" t="n"/>
      <c r="AA439" s="377" t="n"/>
      <c r="AB439" s="377" t="n"/>
      <c r="AC439" s="387" t="n">
        <v>9</v>
      </c>
      <c r="AD439" s="388" t="n">
        <v>9440</v>
      </c>
      <c r="AE439" s="388" t="n">
        <v>2793.205</v>
      </c>
    </row>
    <row r="440" ht="15.75" customHeight="1" s="253">
      <c r="A440" s="377" t="n"/>
      <c r="B440" s="399" t="inlineStr">
        <is>
          <t>Oct-25</t>
        </is>
      </c>
      <c r="C440" s="377" t="inlineStr">
        <is>
          <t>Sandip Agarwal and Co.</t>
        </is>
      </c>
      <c r="D440" s="377" t="inlineStr">
        <is>
          <t xml:space="preserve"> INV-25-26-000556</t>
        </is>
      </c>
      <c r="E440" s="377" t="inlineStr">
        <is>
          <t>subscription based service</t>
        </is>
      </c>
      <c r="F440" s="389" t="n">
        <v>45954</v>
      </c>
      <c r="G440" s="389" t="n">
        <v>46318</v>
      </c>
      <c r="H440" s="377" t="inlineStr">
        <is>
          <t>Annual Upfront</t>
        </is>
      </c>
      <c r="I440" s="380" t="n">
        <v>71000</v>
      </c>
      <c r="J440" s="377" t="n"/>
      <c r="K440" s="381" t="n"/>
      <c r="L440" s="377" t="n">
        <v>365</v>
      </c>
      <c r="M440" s="377" t="n"/>
      <c r="N440" s="381" t="n"/>
      <c r="O440" s="381" t="n"/>
      <c r="P440" s="381" t="n"/>
      <c r="Q440" s="377" t="n"/>
      <c r="R440" s="377" t="n"/>
      <c r="S440" s="377" t="n"/>
      <c r="T440" s="381" t="n"/>
      <c r="U440" s="377" t="n"/>
      <c r="V440" s="381" t="n"/>
      <c r="W440" s="407" t="n"/>
      <c r="X440" s="377" t="n"/>
      <c r="Y440" s="381" t="n"/>
      <c r="Z440" s="377" t="n"/>
      <c r="AA440" s="377" t="n"/>
      <c r="AB440" s="377" t="n"/>
      <c r="AC440" s="387" t="n">
        <v>8</v>
      </c>
      <c r="AD440" s="388" t="n">
        <v>5916.667</v>
      </c>
      <c r="AE440" s="388" t="n">
        <v>1556.164</v>
      </c>
    </row>
    <row r="441" ht="15.75" customHeight="1" s="253">
      <c r="A441" s="377" t="n"/>
      <c r="B441" s="399" t="inlineStr">
        <is>
          <t>Oct-25</t>
        </is>
      </c>
      <c r="C441" s="377" t="inlineStr">
        <is>
          <t>Vinayak Sharma</t>
        </is>
      </c>
      <c r="D441" s="377" t="inlineStr">
        <is>
          <t xml:space="preserve"> INV-25-26-000559</t>
        </is>
      </c>
      <c r="E441" s="377" t="inlineStr">
        <is>
          <t>subscription based service</t>
        </is>
      </c>
      <c r="F441" s="389" t="n">
        <v>45957</v>
      </c>
      <c r="G441" s="389" t="n">
        <v>46321</v>
      </c>
      <c r="H441" s="377" t="inlineStr">
        <is>
          <t xml:space="preserve">Annual ,Quarterly </t>
        </is>
      </c>
      <c r="I441" s="380" t="n">
        <v>140000</v>
      </c>
      <c r="J441" s="377" t="n"/>
      <c r="K441" s="381" t="n"/>
      <c r="L441" s="377" t="n">
        <v>365</v>
      </c>
      <c r="M441" s="377" t="n"/>
      <c r="N441" s="381" t="n"/>
      <c r="O441" s="381" t="n"/>
      <c r="P441" s="381" t="n"/>
      <c r="Q441" s="377" t="n"/>
      <c r="R441" s="377" t="n"/>
      <c r="S441" s="377" t="n"/>
      <c r="T441" s="381" t="n"/>
      <c r="U441" s="377" t="n"/>
      <c r="V441" s="381" t="n"/>
      <c r="W441" s="407" t="n"/>
      <c r="X441" s="377" t="n"/>
      <c r="Y441" s="381" t="n"/>
      <c r="Z441" s="377" t="n"/>
      <c r="AA441" s="377" t="n"/>
      <c r="AB441" s="377" t="n"/>
      <c r="AC441" s="387" t="n">
        <v>5</v>
      </c>
      <c r="AD441" s="388" t="n">
        <v>11666.667</v>
      </c>
      <c r="AE441" s="388" t="n">
        <v>1917.808</v>
      </c>
    </row>
    <row r="442" ht="15.75" customHeight="1" s="253">
      <c r="A442" s="377" t="n"/>
      <c r="B442" s="399" t="inlineStr">
        <is>
          <t>Oct-25</t>
        </is>
      </c>
      <c r="C442" s="377" t="inlineStr">
        <is>
          <t>Lighthouse Legal</t>
        </is>
      </c>
      <c r="D442" s="377" t="inlineStr">
        <is>
          <t>INV-25-26-000562</t>
        </is>
      </c>
      <c r="E442" s="377" t="inlineStr">
        <is>
          <t>subscription based service</t>
        </is>
      </c>
      <c r="F442" s="389" t="n">
        <v>45958</v>
      </c>
      <c r="G442" s="389" t="n">
        <v>46322</v>
      </c>
      <c r="H442" s="377" t="inlineStr">
        <is>
          <t>Annual Upfront</t>
        </is>
      </c>
      <c r="I442" s="380" t="n">
        <v>74340</v>
      </c>
      <c r="J442" s="377" t="n"/>
      <c r="K442" s="381" t="n"/>
      <c r="L442" s="377" t="n">
        <v>365</v>
      </c>
      <c r="M442" s="377" t="n"/>
      <c r="N442" s="381" t="n"/>
      <c r="O442" s="381" t="n"/>
      <c r="P442" s="381" t="n"/>
      <c r="Q442" s="377" t="n"/>
      <c r="R442" s="377" t="n"/>
      <c r="S442" s="377" t="n"/>
      <c r="T442" s="381" t="n"/>
      <c r="U442" s="377" t="n"/>
      <c r="V442" s="381" t="n"/>
      <c r="W442" s="407" t="n"/>
      <c r="X442" s="377" t="n"/>
      <c r="Y442" s="381" t="n"/>
      <c r="Z442" s="377" t="n"/>
      <c r="AA442" s="377" t="n"/>
      <c r="AB442" s="377" t="n"/>
      <c r="AC442" s="387" t="n">
        <v>4</v>
      </c>
      <c r="AD442" s="388" t="n">
        <v>6195</v>
      </c>
      <c r="AE442" s="388" t="n">
        <v>814.6849999999999</v>
      </c>
    </row>
    <row r="443" ht="15.75" customHeight="1" s="253">
      <c r="A443" s="377" t="n"/>
      <c r="B443" s="399" t="inlineStr">
        <is>
          <t>Oct-25</t>
        </is>
      </c>
      <c r="C443" s="377" t="inlineStr">
        <is>
          <t>AL- Fanar Closed Joint Stock Company</t>
        </is>
      </c>
      <c r="D443" s="377" t="inlineStr">
        <is>
          <t>INV-25-26-000563</t>
        </is>
      </c>
      <c r="E443" s="377" t="inlineStr">
        <is>
          <t>One time work</t>
        </is>
      </c>
      <c r="F443" s="389" t="n">
        <v>45958</v>
      </c>
      <c r="G443" s="389" t="n">
        <v>45988</v>
      </c>
      <c r="H443" s="377" t="inlineStr">
        <is>
          <t>1 month-Upfront</t>
        </is>
      </c>
      <c r="I443" s="380" t="n">
        <v>35313.85</v>
      </c>
      <c r="J443" s="377" t="n"/>
      <c r="K443" s="381" t="n"/>
      <c r="L443" s="377" t="n">
        <v>31</v>
      </c>
      <c r="M443" s="377" t="n"/>
      <c r="N443" s="381" t="n"/>
      <c r="O443" s="381" t="n"/>
      <c r="P443" s="381" t="n"/>
      <c r="Q443" s="377" t="n"/>
      <c r="R443" s="377" t="n"/>
      <c r="S443" s="377" t="n"/>
      <c r="T443" s="381" t="n"/>
      <c r="U443" s="377" t="n"/>
      <c r="V443" s="381" t="n"/>
      <c r="W443" s="407" t="n"/>
      <c r="X443" s="377" t="n"/>
      <c r="Y443" s="381" t="n"/>
      <c r="Z443" s="377" t="n"/>
      <c r="AA443" s="377" t="n"/>
      <c r="AB443" s="377" t="n"/>
      <c r="AC443" s="387" t="n">
        <v>4</v>
      </c>
      <c r="AD443" s="388" t="n">
        <v>35313.85</v>
      </c>
      <c r="AE443" s="388" t="n">
        <v>4556.626</v>
      </c>
    </row>
    <row r="444" ht="15.75" customHeight="1" s="253">
      <c r="A444" s="377" t="n"/>
      <c r="B444" s="399" t="inlineStr">
        <is>
          <t>Oct-25</t>
        </is>
      </c>
      <c r="C444" s="377" t="inlineStr">
        <is>
          <t>Diya Kapur</t>
        </is>
      </c>
      <c r="D444" s="377" t="inlineStr">
        <is>
          <t>INV-25-26-000567</t>
        </is>
      </c>
      <c r="E444" s="377" t="inlineStr">
        <is>
          <t>One time work</t>
        </is>
      </c>
      <c r="F444" s="389" t="n">
        <v>45960</v>
      </c>
      <c r="G444" s="389" t="n">
        <v>45991</v>
      </c>
      <c r="H444" s="377" t="inlineStr">
        <is>
          <t>1 month-Upfront</t>
        </is>
      </c>
      <c r="I444" s="380" t="n">
        <v>8260</v>
      </c>
      <c r="J444" s="377" t="n"/>
      <c r="K444" s="381" t="n"/>
      <c r="L444" s="377" t="n">
        <v>32</v>
      </c>
      <c r="M444" s="377" t="n"/>
      <c r="N444" s="381" t="n"/>
      <c r="O444" s="381" t="n"/>
      <c r="P444" s="381" t="n"/>
      <c r="Q444" s="377" t="n"/>
      <c r="R444" s="377" t="n"/>
      <c r="S444" s="377" t="n"/>
      <c r="T444" s="381" t="n"/>
      <c r="U444" s="377" t="n"/>
      <c r="V444" s="381" t="n"/>
      <c r="W444" s="407" t="n"/>
      <c r="X444" s="377" t="n"/>
      <c r="Y444" s="381" t="n"/>
      <c r="Z444" s="377" t="n"/>
      <c r="AA444" s="377" t="n"/>
      <c r="AB444" s="377" t="n"/>
      <c r="AC444" s="387" t="n">
        <v>2</v>
      </c>
      <c r="AD444" s="388" t="n">
        <v>4130</v>
      </c>
      <c r="AE444" s="388" t="n">
        <v>516.25</v>
      </c>
    </row>
    <row r="445" ht="15.75" customHeight="1" s="253">
      <c r="A445" s="377" t="n"/>
      <c r="B445" s="399" t="inlineStr">
        <is>
          <t>Oct-25</t>
        </is>
      </c>
      <c r="C445" s="377" t="inlineStr">
        <is>
          <t>Optimus Legal</t>
        </is>
      </c>
      <c r="D445" s="377" t="inlineStr">
        <is>
          <t>INV-25-26-000571</t>
        </is>
      </c>
      <c r="E445" s="377" t="inlineStr">
        <is>
          <t>subscription based service</t>
        </is>
      </c>
      <c r="F445" s="389" t="n">
        <v>45960</v>
      </c>
      <c r="G445" s="389" t="n">
        <v>46324</v>
      </c>
      <c r="H445" s="377" t="inlineStr">
        <is>
          <t>Annual-Monthly</t>
        </is>
      </c>
      <c r="I445" s="380" t="n">
        <v>300000</v>
      </c>
      <c r="J445" s="377" t="n"/>
      <c r="K445" s="381" t="n"/>
      <c r="L445" s="377" t="n">
        <v>365</v>
      </c>
      <c r="M445" s="377" t="n"/>
      <c r="N445" s="381" t="n"/>
      <c r="O445" s="381" t="n"/>
      <c r="P445" s="381" t="n"/>
      <c r="Q445" s="377" t="n"/>
      <c r="R445" s="377" t="n"/>
      <c r="S445" s="377" t="n"/>
      <c r="T445" s="381" t="n"/>
      <c r="U445" s="377" t="n"/>
      <c r="V445" s="381" t="n"/>
      <c r="W445" s="407" t="n"/>
      <c r="X445" s="377" t="n"/>
      <c r="Y445" s="381" t="n"/>
      <c r="Z445" s="377" t="n"/>
      <c r="AA445" s="377" t="n"/>
      <c r="AB445" s="377" t="n"/>
      <c r="AC445" s="387" t="n">
        <v>2</v>
      </c>
      <c r="AD445" s="388" t="n">
        <v>25000</v>
      </c>
      <c r="AE445" s="388" t="n">
        <v>1643.836</v>
      </c>
    </row>
    <row r="446" ht="15.75" customHeight="1" s="253">
      <c r="A446" s="377" t="n"/>
      <c r="B446" s="399" t="inlineStr">
        <is>
          <t>Oct-25</t>
        </is>
      </c>
      <c r="C446" s="377" t="inlineStr">
        <is>
          <t>Vidhittas Legal</t>
        </is>
      </c>
      <c r="D446" s="377" t="inlineStr">
        <is>
          <t>INV-25-26-000572</t>
        </is>
      </c>
      <c r="E446" s="377" t="inlineStr">
        <is>
          <t>subscription based service</t>
        </is>
      </c>
      <c r="F446" s="389" t="n">
        <v>45960</v>
      </c>
      <c r="G446" s="389" t="n">
        <v>46324</v>
      </c>
      <c r="H446" s="377" t="inlineStr">
        <is>
          <t>Annual Upfront</t>
        </is>
      </c>
      <c r="I446" s="380" t="n">
        <v>118000</v>
      </c>
      <c r="J446" s="377" t="n"/>
      <c r="K446" s="381" t="n"/>
      <c r="L446" s="377" t="n">
        <v>365</v>
      </c>
      <c r="M446" s="377" t="n"/>
      <c r="N446" s="381" t="n"/>
      <c r="O446" s="381" t="n"/>
      <c r="P446" s="381" t="n"/>
      <c r="Q446" s="377" t="n"/>
      <c r="R446" s="377" t="n"/>
      <c r="S446" s="377" t="n"/>
      <c r="T446" s="381" t="n"/>
      <c r="U446" s="377" t="n"/>
      <c r="V446" s="381" t="n"/>
      <c r="W446" s="407" t="n"/>
      <c r="X446" s="377" t="n"/>
      <c r="Y446" s="381" t="n"/>
      <c r="Z446" s="377" t="n"/>
      <c r="AA446" s="377" t="n"/>
      <c r="AB446" s="377" t="n"/>
      <c r="AC446" s="385" t="n">
        <v>2</v>
      </c>
      <c r="AD446" s="385" t="n">
        <v>9833.333000000001</v>
      </c>
      <c r="AE446" s="385" t="n">
        <v>646.575</v>
      </c>
    </row>
    <row r="447" ht="15.75" customHeight="1" s="253">
      <c r="A447" s="377" t="n"/>
      <c r="B447" s="399" t="inlineStr">
        <is>
          <t>Oct-25</t>
        </is>
      </c>
      <c r="C447" s="377" t="inlineStr">
        <is>
          <t>Solicitors India Law Offices</t>
        </is>
      </c>
      <c r="D447" s="377" t="inlineStr">
        <is>
          <t>INV-25-26-000573</t>
        </is>
      </c>
      <c r="E447" s="377" t="inlineStr">
        <is>
          <t>One time work</t>
        </is>
      </c>
      <c r="F447" s="389" t="n">
        <v>45960</v>
      </c>
      <c r="G447" s="389" t="n">
        <v>45990</v>
      </c>
      <c r="H447" s="377" t="inlineStr">
        <is>
          <t>1 month-Upfront</t>
        </is>
      </c>
      <c r="I447" s="380" t="n">
        <v>9440</v>
      </c>
      <c r="J447" s="377" t="n"/>
      <c r="K447" s="381" t="n"/>
      <c r="L447" s="377" t="n">
        <v>31</v>
      </c>
      <c r="M447" s="377" t="n"/>
      <c r="N447" s="381" t="n"/>
      <c r="O447" s="381" t="n"/>
      <c r="P447" s="381" t="n"/>
      <c r="Q447" s="377" t="n"/>
      <c r="R447" s="377" t="n"/>
      <c r="S447" s="377" t="n"/>
      <c r="T447" s="381" t="n"/>
      <c r="U447" s="377" t="n"/>
      <c r="V447" s="381" t="n"/>
      <c r="W447" s="407" t="n"/>
      <c r="X447" s="377" t="n"/>
      <c r="Y447" s="381" t="n"/>
      <c r="Z447" s="377" t="n"/>
      <c r="AA447" s="377" t="n"/>
      <c r="AB447" s="377" t="n"/>
      <c r="AC447" s="387" t="n">
        <v>2</v>
      </c>
      <c r="AD447" s="388" t="n">
        <v>9440</v>
      </c>
      <c r="AE447" s="388" t="n">
        <v>609.032</v>
      </c>
    </row>
    <row r="448" ht="15.75" customHeight="1" s="253">
      <c r="A448" s="377" t="n"/>
      <c r="B448" s="399" t="inlineStr">
        <is>
          <t>Oct-25</t>
        </is>
      </c>
      <c r="C448" s="377" t="inlineStr">
        <is>
          <t>Jani &amp; Parikh, Advocates and Solicitors</t>
        </is>
      </c>
      <c r="D448" s="377" t="inlineStr">
        <is>
          <t>INV-25-26-000574</t>
        </is>
      </c>
      <c r="E448" s="377" t="inlineStr">
        <is>
          <t>One time work</t>
        </is>
      </c>
      <c r="F448" s="389" t="n">
        <v>45960</v>
      </c>
      <c r="G448" s="389" t="n">
        <v>45990</v>
      </c>
      <c r="H448" s="377" t="inlineStr">
        <is>
          <t>1 month-Upfront</t>
        </is>
      </c>
      <c r="I448" s="380" t="n">
        <v>21240</v>
      </c>
      <c r="J448" s="377" t="n"/>
      <c r="K448" s="381" t="n"/>
      <c r="L448" s="377" t="n">
        <v>31</v>
      </c>
      <c r="M448" s="377" t="n"/>
      <c r="N448" s="381" t="n"/>
      <c r="O448" s="381" t="n"/>
      <c r="P448" s="381" t="n"/>
      <c r="Q448" s="377" t="n"/>
      <c r="R448" s="377" t="n"/>
      <c r="S448" s="377" t="n"/>
      <c r="T448" s="381" t="n"/>
      <c r="U448" s="377" t="n"/>
      <c r="V448" s="381" t="n"/>
      <c r="W448" s="407" t="n"/>
      <c r="X448" s="377" t="n"/>
      <c r="Y448" s="381" t="n"/>
      <c r="Z448" s="377" t="n"/>
      <c r="AA448" s="377" t="n"/>
      <c r="AB448" s="377" t="n"/>
      <c r="AC448" s="387" t="n">
        <v>2</v>
      </c>
      <c r="AD448" s="388" t="n">
        <v>21240</v>
      </c>
      <c r="AE448" s="388" t="n">
        <v>1370.323</v>
      </c>
    </row>
    <row r="449" ht="15.75" customHeight="1" s="253">
      <c r="A449" s="377" t="n"/>
      <c r="B449" s="399" t="inlineStr">
        <is>
          <t>Oct-25</t>
        </is>
      </c>
      <c r="C449" s="377" t="inlineStr">
        <is>
          <t>Siddhant Makkar</t>
        </is>
      </c>
      <c r="D449" s="377" t="inlineStr">
        <is>
          <t>INV-25-26-000575</t>
        </is>
      </c>
      <c r="E449" s="377" t="inlineStr">
        <is>
          <t>One time work</t>
        </is>
      </c>
      <c r="F449" s="389" t="n">
        <v>45961</v>
      </c>
      <c r="G449" s="389" t="n">
        <v>45991</v>
      </c>
      <c r="H449" s="377" t="inlineStr">
        <is>
          <t>1 month-Upfront</t>
        </is>
      </c>
      <c r="I449" s="380" t="n">
        <v>5000</v>
      </c>
      <c r="J449" s="377" t="n"/>
      <c r="K449" s="381" t="n"/>
      <c r="L449" s="377" t="n">
        <v>31</v>
      </c>
      <c r="M449" s="377" t="n"/>
      <c r="N449" s="381" t="n"/>
      <c r="O449" s="381" t="n"/>
      <c r="P449" s="381" t="n"/>
      <c r="Q449" s="377" t="n"/>
      <c r="R449" s="377" t="n"/>
      <c r="S449" s="377" t="n"/>
      <c r="T449" s="381" t="n"/>
      <c r="U449" s="377" t="n"/>
      <c r="V449" s="381" t="n"/>
      <c r="W449" s="407" t="n"/>
      <c r="X449" s="377" t="n"/>
      <c r="Y449" s="381" t="n"/>
      <c r="Z449" s="377" t="n"/>
      <c r="AA449" s="377" t="n"/>
      <c r="AB449" s="377" t="n"/>
      <c r="AC449" s="387" t="n">
        <v>1</v>
      </c>
      <c r="AD449" s="388" t="n">
        <v>5000</v>
      </c>
      <c r="AE449" s="388" t="n">
        <v>161.29</v>
      </c>
    </row>
    <row r="450" ht="15.75" customHeight="1" s="253">
      <c r="A450" s="377" t="n"/>
      <c r="B450" s="399" t="inlineStr">
        <is>
          <t>Oct-25</t>
        </is>
      </c>
      <c r="C450" s="377" t="inlineStr">
        <is>
          <t>Astik Vaid</t>
        </is>
      </c>
      <c r="D450" s="377" t="inlineStr">
        <is>
          <t xml:space="preserve">INV-25-26-000576
</t>
        </is>
      </c>
      <c r="E450" s="377" t="inlineStr">
        <is>
          <t>One time work</t>
        </is>
      </c>
      <c r="F450" s="389" t="n">
        <v>45961</v>
      </c>
      <c r="G450" s="389" t="n">
        <v>45991</v>
      </c>
      <c r="H450" s="377" t="inlineStr">
        <is>
          <t>1 month-Upfront</t>
        </is>
      </c>
      <c r="I450" s="380" t="n">
        <v>8000</v>
      </c>
      <c r="J450" s="377" t="n"/>
      <c r="K450" s="381" t="n"/>
      <c r="L450" s="377" t="n">
        <v>31</v>
      </c>
      <c r="M450" s="377" t="n"/>
      <c r="N450" s="381" t="n"/>
      <c r="O450" s="381" t="n"/>
      <c r="P450" s="381" t="n"/>
      <c r="Q450" s="377" t="n"/>
      <c r="R450" s="377" t="n"/>
      <c r="S450" s="377" t="n"/>
      <c r="T450" s="381" t="n"/>
      <c r="U450" s="377" t="n"/>
      <c r="V450" s="381" t="n"/>
      <c r="W450" s="407" t="n"/>
      <c r="X450" s="377" t="n"/>
      <c r="Y450" s="381" t="n"/>
      <c r="Z450" s="377" t="n"/>
      <c r="AA450" s="377" t="n"/>
      <c r="AB450" s="377" t="n"/>
      <c r="AC450" s="387" t="n">
        <v>1</v>
      </c>
      <c r="AD450" s="388" t="n">
        <v>8000</v>
      </c>
      <c r="AE450" s="388" t="n">
        <v>258.065</v>
      </c>
    </row>
    <row r="451" ht="15.75" customHeight="1" s="253">
      <c r="A451" s="377" t="n"/>
      <c r="B451" s="399" t="n"/>
      <c r="C451" s="377" t="n"/>
      <c r="D451" s="377" t="n"/>
      <c r="E451" s="377" t="n"/>
      <c r="F451" s="389" t="n"/>
      <c r="G451" s="389" t="n"/>
      <c r="H451" s="377" t="n"/>
      <c r="I451" s="380" t="n"/>
      <c r="J451" s="377" t="n"/>
      <c r="K451" s="381" t="n"/>
      <c r="L451" s="377" t="n"/>
      <c r="M451" s="377" t="n"/>
      <c r="N451" s="381" t="n"/>
      <c r="O451" s="381" t="n"/>
      <c r="P451" s="381" t="n"/>
      <c r="Q451" s="377" t="n"/>
      <c r="R451" s="377" t="n"/>
      <c r="S451" s="377" t="n"/>
      <c r="T451" s="381" t="n"/>
      <c r="U451" s="377" t="n"/>
      <c r="V451" s="381" t="n"/>
      <c r="W451" s="407" t="n"/>
      <c r="X451" s="377" t="n"/>
      <c r="Y451" s="381" t="n"/>
      <c r="Z451" s="377" t="n"/>
      <c r="AA451" s="377" t="n"/>
      <c r="AB451" s="377" t="n"/>
      <c r="AC451" s="387" t="n"/>
      <c r="AD451" s="388" t="n"/>
      <c r="AE451" s="388" t="n"/>
    </row>
    <row r="452" ht="15.75" customHeight="1" s="253">
      <c r="A452" s="377" t="n"/>
      <c r="B452" s="399" t="n"/>
      <c r="C452" s="377" t="n"/>
      <c r="D452" s="377" t="n"/>
      <c r="E452" s="377" t="n"/>
      <c r="F452" s="389" t="n"/>
      <c r="G452" s="389" t="n"/>
      <c r="H452" s="377" t="n"/>
      <c r="I452" s="380" t="n"/>
      <c r="J452" s="377" t="n"/>
      <c r="K452" s="381" t="n"/>
      <c r="L452" s="377" t="n"/>
      <c r="M452" s="377" t="n"/>
      <c r="N452" s="381" t="n"/>
      <c r="O452" s="381" t="n"/>
      <c r="P452" s="381" t="n"/>
      <c r="Q452" s="377" t="n"/>
      <c r="R452" s="377" t="n"/>
      <c r="S452" s="377" t="n"/>
      <c r="T452" s="381" t="n"/>
      <c r="U452" s="377" t="n"/>
      <c r="V452" s="381" t="n"/>
      <c r="W452" s="407" t="n"/>
      <c r="X452" s="377" t="n"/>
      <c r="Y452" s="381" t="n"/>
      <c r="Z452" s="377" t="n"/>
      <c r="AA452" s="377" t="n"/>
      <c r="AB452" s="377" t="n"/>
      <c r="AC452" s="385" t="n"/>
      <c r="AD452" s="385" t="n"/>
      <c r="AE452" s="385" t="n"/>
    </row>
    <row r="453" ht="15.75" customHeight="1" s="253">
      <c r="A453" s="377" t="n"/>
      <c r="B453" s="399" t="n"/>
      <c r="C453" s="377" t="n"/>
      <c r="D453" s="377" t="n"/>
      <c r="E453" s="377" t="n"/>
      <c r="F453" s="389" t="n"/>
      <c r="G453" s="389" t="n"/>
      <c r="H453" s="377" t="n"/>
      <c r="I453" s="380" t="n"/>
      <c r="J453" s="377" t="n"/>
      <c r="K453" s="381" t="n"/>
      <c r="L453" s="377" t="n"/>
      <c r="M453" s="377" t="n"/>
      <c r="N453" s="381" t="n"/>
      <c r="O453" s="381" t="n"/>
      <c r="P453" s="381" t="n"/>
      <c r="Q453" s="377" t="n"/>
      <c r="R453" s="377" t="n"/>
      <c r="S453" s="377" t="n"/>
      <c r="T453" s="381" t="n"/>
      <c r="U453" s="377" t="n"/>
      <c r="V453" s="381" t="n"/>
      <c r="W453" s="407" t="n"/>
      <c r="X453" s="377" t="n"/>
      <c r="Y453" s="381" t="n"/>
      <c r="Z453" s="377" t="n"/>
      <c r="AA453" s="377" t="n"/>
      <c r="AB453" s="377" t="n"/>
      <c r="AC453" s="387" t="n"/>
      <c r="AD453" s="388" t="n"/>
      <c r="AE453" s="388" t="n"/>
    </row>
    <row r="454" ht="15.75" customHeight="1" s="253">
      <c r="A454" s="377" t="n"/>
      <c r="B454" s="399" t="n"/>
      <c r="C454" s="377" t="n"/>
      <c r="D454" s="377" t="n"/>
      <c r="E454" s="377" t="n"/>
      <c r="F454" s="389" t="n"/>
      <c r="G454" s="389" t="n"/>
      <c r="H454" s="377" t="n"/>
      <c r="I454" s="380" t="n"/>
      <c r="J454" s="377" t="n"/>
      <c r="K454" s="381" t="n"/>
      <c r="L454" s="377" t="n"/>
      <c r="M454" s="377" t="n"/>
      <c r="N454" s="381" t="n"/>
      <c r="O454" s="381" t="n"/>
      <c r="P454" s="381" t="n"/>
      <c r="Q454" s="377" t="n"/>
      <c r="R454" s="377" t="n"/>
      <c r="S454" s="377" t="n"/>
      <c r="T454" s="381" t="n"/>
      <c r="U454" s="377" t="n"/>
      <c r="V454" s="381" t="n"/>
      <c r="W454" s="407" t="n"/>
      <c r="X454" s="377" t="n"/>
      <c r="Y454" s="381" t="n"/>
      <c r="Z454" s="377" t="n"/>
      <c r="AA454" s="377" t="n"/>
      <c r="AB454" s="377" t="n"/>
      <c r="AC454" s="387" t="n"/>
      <c r="AD454" s="388" t="n"/>
      <c r="AE454" s="388" t="n"/>
    </row>
    <row r="455" ht="15.75" customHeight="1" s="253">
      <c r="A455" s="377" t="n"/>
      <c r="B455" s="399" t="n"/>
      <c r="C455" s="377" t="n"/>
      <c r="D455" s="377" t="n"/>
      <c r="E455" s="377" t="n"/>
      <c r="F455" s="389" t="n"/>
      <c r="G455" s="389" t="n"/>
      <c r="H455" s="377" t="n"/>
      <c r="I455" s="380" t="n"/>
      <c r="J455" s="377" t="n"/>
      <c r="K455" s="381" t="n"/>
      <c r="L455" s="377" t="n"/>
      <c r="M455" s="377" t="n"/>
      <c r="N455" s="381" t="n"/>
      <c r="O455" s="381" t="n"/>
      <c r="P455" s="381" t="n"/>
      <c r="Q455" s="377" t="n"/>
      <c r="R455" s="377" t="n"/>
      <c r="S455" s="377" t="n"/>
      <c r="T455" s="381" t="n"/>
      <c r="U455" s="377" t="n"/>
      <c r="V455" s="381" t="n"/>
      <c r="W455" s="407" t="n"/>
      <c r="X455" s="377" t="n"/>
      <c r="Y455" s="381" t="n"/>
      <c r="Z455" s="377" t="n"/>
      <c r="AA455" s="377" t="n"/>
      <c r="AB455" s="377" t="n"/>
      <c r="AC455" s="387" t="n"/>
      <c r="AD455" s="388" t="n"/>
      <c r="AE455" s="388" t="n"/>
    </row>
    <row r="456" ht="15.75" customHeight="1" s="253">
      <c r="A456" s="377" t="n"/>
      <c r="B456" s="399" t="n"/>
      <c r="C456" s="377" t="n"/>
      <c r="D456" s="377" t="n"/>
      <c r="E456" s="377" t="n"/>
      <c r="F456" s="389" t="n"/>
      <c r="G456" s="389" t="n"/>
      <c r="H456" s="377" t="n"/>
      <c r="I456" s="380" t="n"/>
      <c r="J456" s="377" t="n"/>
      <c r="K456" s="381" t="n"/>
      <c r="L456" s="377" t="n"/>
      <c r="M456" s="377" t="n"/>
      <c r="N456" s="381" t="n"/>
      <c r="O456" s="381" t="n"/>
      <c r="P456" s="381" t="n"/>
      <c r="Q456" s="377" t="n"/>
      <c r="R456" s="377" t="n"/>
      <c r="S456" s="377" t="n"/>
      <c r="T456" s="381" t="n"/>
      <c r="U456" s="377" t="n"/>
      <c r="V456" s="381" t="n"/>
      <c r="W456" s="407" t="n"/>
      <c r="X456" s="377" t="n"/>
      <c r="Y456" s="381" t="n"/>
      <c r="Z456" s="377" t="n"/>
      <c r="AA456" s="377" t="n"/>
      <c r="AB456" s="377" t="n"/>
      <c r="AC456" s="385" t="n"/>
      <c r="AD456" s="385" t="n"/>
      <c r="AE456" s="385" t="n"/>
    </row>
    <row r="457" ht="15.75" customHeight="1" s="253">
      <c r="A457" s="377" t="n"/>
      <c r="B457" s="399" t="n"/>
      <c r="C457" s="377" t="n"/>
      <c r="D457" s="377" t="n"/>
      <c r="E457" s="377" t="n"/>
      <c r="F457" s="389" t="n"/>
      <c r="G457" s="389" t="n"/>
      <c r="H457" s="377" t="n"/>
      <c r="I457" s="380" t="n"/>
      <c r="J457" s="377" t="n"/>
      <c r="K457" s="381" t="n"/>
      <c r="L457" s="377" t="n"/>
      <c r="M457" s="377" t="n"/>
      <c r="N457" s="381" t="n"/>
      <c r="O457" s="381" t="n"/>
      <c r="P457" s="381" t="n"/>
      <c r="Q457" s="377" t="n"/>
      <c r="R457" s="377" t="n"/>
      <c r="S457" s="377" t="n"/>
      <c r="T457" s="381" t="n"/>
      <c r="U457" s="377" t="n"/>
      <c r="V457" s="381" t="n"/>
      <c r="W457" s="407" t="n"/>
      <c r="X457" s="377" t="n"/>
      <c r="Y457" s="381" t="n"/>
      <c r="Z457" s="377" t="n"/>
      <c r="AA457" s="377" t="n"/>
      <c r="AB457" s="377" t="n"/>
      <c r="AC457" s="387" t="n"/>
      <c r="AD457" s="388" t="n"/>
      <c r="AE457" s="388" t="n"/>
    </row>
    <row r="458" ht="15.75" customHeight="1" s="253">
      <c r="A458" s="377" t="n"/>
      <c r="B458" s="399" t="n"/>
      <c r="C458" s="377" t="n"/>
      <c r="D458" s="377" t="n"/>
      <c r="E458" s="377" t="n"/>
      <c r="F458" s="389" t="n"/>
      <c r="G458" s="389" t="n"/>
      <c r="H458" s="377" t="n"/>
      <c r="I458" s="380" t="n"/>
      <c r="J458" s="377" t="n"/>
      <c r="K458" s="381" t="n"/>
      <c r="L458" s="377" t="n"/>
      <c r="M458" s="377" t="n"/>
      <c r="N458" s="381" t="n"/>
      <c r="O458" s="381" t="n"/>
      <c r="P458" s="381" t="n"/>
      <c r="Q458" s="377" t="n"/>
      <c r="R458" s="377" t="n"/>
      <c r="S458" s="377" t="n"/>
      <c r="T458" s="381" t="n"/>
      <c r="U458" s="377" t="n"/>
      <c r="V458" s="381" t="n"/>
      <c r="W458" s="407" t="n"/>
      <c r="X458" s="377" t="n"/>
      <c r="Y458" s="381" t="n"/>
      <c r="Z458" s="377" t="n"/>
      <c r="AA458" s="377" t="n"/>
      <c r="AB458" s="377" t="n"/>
      <c r="AC458" s="387" t="n"/>
      <c r="AD458" s="388" t="n"/>
      <c r="AE458" s="388" t="n"/>
    </row>
    <row r="459" ht="15.75" customHeight="1" s="253">
      <c r="A459" s="377" t="n"/>
      <c r="B459" s="399" t="n"/>
      <c r="C459" s="377" t="n"/>
      <c r="D459" s="377" t="n"/>
      <c r="E459" s="377" t="n"/>
      <c r="F459" s="389" t="n"/>
      <c r="G459" s="389" t="n"/>
      <c r="H459" s="377" t="n"/>
      <c r="I459" s="380" t="n"/>
      <c r="J459" s="377" t="n"/>
      <c r="K459" s="381" t="n"/>
      <c r="L459" s="377" t="n"/>
      <c r="M459" s="377" t="n"/>
      <c r="N459" s="381" t="n"/>
      <c r="O459" s="381" t="n"/>
      <c r="P459" s="381" t="n"/>
      <c r="Q459" s="377" t="n"/>
      <c r="R459" s="377" t="n"/>
      <c r="S459" s="377" t="n"/>
      <c r="T459" s="381" t="n"/>
      <c r="U459" s="377" t="n"/>
      <c r="V459" s="381" t="n"/>
      <c r="W459" s="407" t="n"/>
      <c r="X459" s="377" t="n"/>
      <c r="Y459" s="381" t="n"/>
      <c r="Z459" s="377" t="n"/>
      <c r="AA459" s="377" t="n"/>
      <c r="AB459" s="377" t="n"/>
      <c r="AC459" s="387" t="n"/>
      <c r="AD459" s="388" t="n"/>
      <c r="AE459" s="388" t="n"/>
    </row>
    <row r="460" ht="15.75" customHeight="1" s="253">
      <c r="A460" s="377" t="n"/>
      <c r="B460" s="399" t="n"/>
      <c r="C460" s="377" t="n"/>
      <c r="D460" s="377" t="n"/>
      <c r="E460" s="377" t="n"/>
      <c r="F460" s="389" t="n"/>
      <c r="G460" s="389" t="n"/>
      <c r="H460" s="377" t="n"/>
      <c r="I460" s="380" t="n"/>
      <c r="J460" s="377" t="n"/>
      <c r="K460" s="381" t="n"/>
      <c r="L460" s="377" t="n"/>
      <c r="M460" s="377" t="n"/>
      <c r="N460" s="381" t="n"/>
      <c r="O460" s="381" t="n"/>
      <c r="P460" s="381" t="n"/>
      <c r="Q460" s="377" t="n"/>
      <c r="R460" s="377" t="n"/>
      <c r="S460" s="377" t="n"/>
      <c r="T460" s="381" t="n"/>
      <c r="U460" s="377" t="n"/>
      <c r="V460" s="381" t="n"/>
      <c r="W460" s="407" t="n"/>
      <c r="X460" s="377" t="n"/>
      <c r="Y460" s="381" t="n"/>
      <c r="Z460" s="377" t="n"/>
      <c r="AA460" s="377" t="n"/>
      <c r="AB460" s="377" t="n"/>
      <c r="AC460" s="385" t="n"/>
      <c r="AD460" s="385" t="n"/>
      <c r="AE460" s="385" t="n"/>
    </row>
    <row r="461" ht="15.75" customHeight="1" s="253">
      <c r="A461" s="377" t="n"/>
      <c r="B461" s="399" t="n"/>
      <c r="C461" s="377" t="n"/>
      <c r="D461" s="377" t="n"/>
      <c r="E461" s="377" t="n"/>
      <c r="F461" s="389" t="n"/>
      <c r="G461" s="389" t="n"/>
      <c r="H461" s="377" t="n"/>
      <c r="I461" s="380" t="n"/>
      <c r="J461" s="377" t="n"/>
      <c r="K461" s="381" t="n"/>
      <c r="L461" s="377" t="n"/>
      <c r="M461" s="377" t="n"/>
      <c r="N461" s="381" t="n"/>
      <c r="O461" s="381" t="n"/>
      <c r="P461" s="381" t="n"/>
      <c r="Q461" s="377" t="n"/>
      <c r="R461" s="377" t="n"/>
      <c r="S461" s="377" t="n"/>
      <c r="T461" s="381" t="n"/>
      <c r="U461" s="377" t="n"/>
      <c r="V461" s="381" t="n"/>
      <c r="W461" s="407" t="n"/>
      <c r="X461" s="377" t="n"/>
      <c r="Y461" s="381" t="n"/>
      <c r="Z461" s="377" t="n"/>
      <c r="AA461" s="377" t="n"/>
      <c r="AB461" s="377" t="n"/>
      <c r="AC461" s="387" t="n"/>
      <c r="AD461" s="388" t="n"/>
      <c r="AE461" s="388" t="n"/>
    </row>
    <row r="462" ht="15.75" customHeight="1" s="253">
      <c r="A462" s="377" t="n"/>
      <c r="B462" s="399" t="n"/>
      <c r="C462" s="377" t="n"/>
      <c r="D462" s="377" t="n"/>
      <c r="E462" s="377" t="n"/>
      <c r="F462" s="389" t="n"/>
      <c r="G462" s="389" t="n"/>
      <c r="H462" s="386" t="n"/>
      <c r="I462" s="380" t="n"/>
      <c r="J462" s="377" t="n"/>
      <c r="K462" s="381" t="n"/>
      <c r="L462" s="377" t="n"/>
      <c r="M462" s="377" t="n"/>
      <c r="N462" s="381" t="n"/>
      <c r="O462" s="381" t="n"/>
      <c r="P462" s="381" t="n"/>
      <c r="Q462" s="377" t="n"/>
      <c r="R462" s="377" t="n"/>
      <c r="S462" s="377" t="n"/>
      <c r="T462" s="381" t="n"/>
      <c r="U462" s="377" t="n"/>
      <c r="V462" s="381" t="n"/>
      <c r="W462" s="407" t="n"/>
      <c r="X462" s="377" t="n"/>
      <c r="Y462" s="381" t="n"/>
      <c r="Z462" s="377" t="n"/>
      <c r="AA462" s="377" t="n"/>
      <c r="AB462" s="377" t="n"/>
      <c r="AC462" s="387" t="n"/>
      <c r="AD462" s="388" t="n"/>
      <c r="AE462" s="388" t="n"/>
    </row>
    <row r="463" ht="15.75" customHeight="1" s="253">
      <c r="A463" s="377" t="n"/>
      <c r="B463" s="399" t="n"/>
      <c r="C463" s="377" t="n"/>
      <c r="D463" s="377" t="n"/>
      <c r="E463" s="377" t="n"/>
      <c r="F463" s="389" t="n"/>
      <c r="G463" s="389" t="n"/>
      <c r="H463" s="377" t="n"/>
      <c r="I463" s="380" t="n"/>
      <c r="J463" s="377" t="n"/>
      <c r="K463" s="381" t="n"/>
      <c r="L463" s="377" t="n"/>
      <c r="M463" s="377" t="n"/>
      <c r="N463" s="381" t="n"/>
      <c r="O463" s="381" t="n"/>
      <c r="P463" s="381" t="n"/>
      <c r="Q463" s="377" t="n"/>
      <c r="R463" s="377" t="n"/>
      <c r="S463" s="377" t="n"/>
      <c r="T463" s="381" t="n"/>
      <c r="U463" s="377" t="n"/>
      <c r="V463" s="381" t="n"/>
      <c r="W463" s="407" t="n"/>
      <c r="X463" s="377" t="n"/>
      <c r="Y463" s="381" t="n"/>
      <c r="Z463" s="377" t="n"/>
      <c r="AA463" s="383" t="n"/>
      <c r="AB463" s="383" t="n"/>
      <c r="AC463" s="387" t="n"/>
      <c r="AD463" s="388" t="n"/>
      <c r="AE463" s="388" t="n"/>
    </row>
    <row r="464" ht="15.75" customHeight="1" s="253">
      <c r="A464" s="377" t="n"/>
      <c r="B464" s="399" t="n"/>
      <c r="C464" s="377" t="n"/>
      <c r="D464" s="377" t="n"/>
      <c r="E464" s="377" t="n"/>
      <c r="F464" s="389" t="n"/>
      <c r="G464" s="389" t="n"/>
      <c r="H464" s="377" t="n"/>
      <c r="I464" s="380" t="n"/>
      <c r="J464" s="377" t="n"/>
      <c r="K464" s="381" t="n"/>
      <c r="L464" s="377" t="n"/>
      <c r="M464" s="377" t="n"/>
      <c r="N464" s="381" t="n"/>
      <c r="O464" s="381" t="n"/>
      <c r="P464" s="381" t="n"/>
      <c r="Q464" s="377" t="n"/>
      <c r="R464" s="377" t="n"/>
      <c r="S464" s="377" t="n"/>
      <c r="T464" s="381" t="n"/>
      <c r="U464" s="377" t="n"/>
      <c r="V464" s="381" t="n"/>
      <c r="W464" s="407" t="n"/>
      <c r="X464" s="377" t="n"/>
      <c r="Y464" s="381" t="n"/>
      <c r="Z464" s="377" t="n"/>
      <c r="AA464" s="377" t="n"/>
      <c r="AB464" s="377" t="n"/>
      <c r="AC464" s="385" t="n"/>
      <c r="AD464" s="385" t="n"/>
      <c r="AE464" s="385" t="n"/>
    </row>
    <row r="465" ht="15.75" customHeight="1" s="253">
      <c r="A465" s="377" t="n"/>
      <c r="B465" s="399" t="n"/>
      <c r="C465" s="377" t="n"/>
      <c r="D465" s="377" t="n"/>
      <c r="E465" s="377" t="n"/>
      <c r="F465" s="389" t="n"/>
      <c r="G465" s="389" t="n"/>
      <c r="H465" s="377" t="n"/>
      <c r="I465" s="380" t="n"/>
      <c r="J465" s="377" t="n"/>
      <c r="K465" s="381" t="n"/>
      <c r="L465" s="377" t="n"/>
      <c r="M465" s="377" t="n"/>
      <c r="N465" s="381" t="n"/>
      <c r="O465" s="381" t="n"/>
      <c r="P465" s="381" t="n"/>
      <c r="Q465" s="377" t="n"/>
      <c r="R465" s="377" t="n"/>
      <c r="S465" s="377" t="n"/>
      <c r="T465" s="381" t="n"/>
      <c r="U465" s="377" t="n"/>
      <c r="V465" s="381" t="n"/>
      <c r="W465" s="407" t="n"/>
      <c r="X465" s="377" t="n"/>
      <c r="Y465" s="381" t="n"/>
      <c r="Z465" s="377" t="n"/>
      <c r="AA465" s="377" t="n"/>
      <c r="AB465" s="377" t="n"/>
      <c r="AC465" s="387" t="n"/>
      <c r="AD465" s="388" t="n"/>
      <c r="AE465" s="388" t="n"/>
    </row>
    <row r="466" ht="15.75" customHeight="1" s="253">
      <c r="A466" s="377" t="n"/>
      <c r="B466" s="399" t="n"/>
      <c r="C466" s="377" t="n"/>
      <c r="D466" s="377" t="n"/>
      <c r="E466" s="377" t="n"/>
      <c r="F466" s="389" t="n"/>
      <c r="G466" s="389" t="n"/>
      <c r="H466" s="377" t="n"/>
      <c r="I466" s="380" t="n"/>
      <c r="J466" s="377" t="n"/>
      <c r="K466" s="381" t="n"/>
      <c r="L466" s="377" t="n"/>
      <c r="M466" s="377" t="n"/>
      <c r="N466" s="381" t="n"/>
      <c r="O466" s="381" t="n"/>
      <c r="P466" s="381" t="n"/>
      <c r="Q466" s="377" t="n"/>
      <c r="R466" s="377" t="n"/>
      <c r="S466" s="377" t="n"/>
      <c r="T466" s="381" t="n"/>
      <c r="U466" s="377" t="n"/>
      <c r="V466" s="381" t="n"/>
      <c r="W466" s="407" t="n"/>
      <c r="X466" s="377" t="n"/>
      <c r="Y466" s="381" t="n"/>
      <c r="Z466" s="377" t="n"/>
      <c r="AA466" s="377" t="n"/>
      <c r="AB466" s="377" t="n"/>
      <c r="AC466" s="387" t="n"/>
      <c r="AD466" s="388" t="n"/>
      <c r="AE466" s="388" t="n"/>
    </row>
    <row r="467" ht="15.75" customHeight="1" s="253">
      <c r="A467" s="377" t="n"/>
      <c r="B467" s="399" t="n"/>
      <c r="C467" s="377" t="n"/>
      <c r="D467" s="377" t="n"/>
      <c r="E467" s="377" t="n"/>
      <c r="F467" s="389" t="n"/>
      <c r="G467" s="389" t="n"/>
      <c r="H467" s="377" t="n"/>
      <c r="I467" s="380" t="n"/>
      <c r="J467" s="377" t="n"/>
      <c r="K467" s="381" t="n"/>
      <c r="L467" s="377" t="n"/>
      <c r="M467" s="377" t="n"/>
      <c r="N467" s="381" t="n"/>
      <c r="O467" s="381" t="n"/>
      <c r="P467" s="381" t="n"/>
      <c r="Q467" s="377" t="n"/>
      <c r="R467" s="377" t="n"/>
      <c r="S467" s="377" t="n"/>
      <c r="T467" s="381" t="n"/>
      <c r="U467" s="377" t="n"/>
      <c r="V467" s="381" t="n"/>
      <c r="W467" s="407" t="n"/>
      <c r="X467" s="377" t="n"/>
      <c r="Y467" s="381" t="n"/>
      <c r="Z467" s="377" t="n"/>
      <c r="AA467" s="377" t="n"/>
      <c r="AB467" s="377" t="n"/>
      <c r="AC467" s="387" t="n"/>
      <c r="AD467" s="388" t="n"/>
      <c r="AE467" s="388" t="n"/>
    </row>
    <row r="468" ht="15.75" customHeight="1" s="253">
      <c r="A468" s="377" t="n"/>
      <c r="B468" s="399" t="n"/>
      <c r="C468" s="377" t="n"/>
      <c r="D468" s="377" t="n"/>
      <c r="E468" s="377" t="n"/>
      <c r="F468" s="389" t="n"/>
      <c r="G468" s="389" t="n"/>
      <c r="H468" s="377" t="n"/>
      <c r="I468" s="380" t="n"/>
      <c r="J468" s="377" t="n"/>
      <c r="K468" s="381" t="n"/>
      <c r="L468" s="377" t="n"/>
      <c r="M468" s="377" t="n"/>
      <c r="N468" s="381" t="n"/>
      <c r="O468" s="381" t="n"/>
      <c r="P468" s="381" t="n"/>
      <c r="Q468" s="377" t="n"/>
      <c r="R468" s="377" t="n"/>
      <c r="S468" s="377" t="n"/>
      <c r="T468" s="381" t="n"/>
      <c r="U468" s="377" t="n"/>
      <c r="V468" s="381" t="n"/>
      <c r="W468" s="407" t="n"/>
      <c r="X468" s="377" t="n"/>
      <c r="Y468" s="381" t="n"/>
      <c r="Z468" s="377" t="n"/>
      <c r="AA468" s="377" t="n"/>
      <c r="AB468" s="377" t="n"/>
      <c r="AC468" s="387" t="n"/>
      <c r="AD468" s="388" t="n"/>
      <c r="AE468" s="388" t="n"/>
    </row>
    <row r="469" ht="15.75" customHeight="1" s="253">
      <c r="A469" s="377" t="n"/>
      <c r="B469" s="399" t="n"/>
      <c r="C469" s="377" t="n"/>
      <c r="D469" s="377" t="n"/>
      <c r="E469" s="377" t="n"/>
      <c r="F469" s="389" t="n"/>
      <c r="G469" s="389" t="n"/>
      <c r="H469" s="377" t="n"/>
      <c r="I469" s="380" t="n"/>
      <c r="J469" s="377" t="n"/>
      <c r="K469" s="381" t="n"/>
      <c r="L469" s="377" t="n"/>
      <c r="M469" s="377" t="n"/>
      <c r="N469" s="381" t="n"/>
      <c r="O469" s="381" t="n"/>
      <c r="P469" s="381" t="n"/>
      <c r="Q469" s="377" t="n"/>
      <c r="R469" s="377" t="n"/>
      <c r="S469" s="377" t="n"/>
      <c r="T469" s="381" t="n"/>
      <c r="U469" s="377" t="n"/>
      <c r="V469" s="381" t="n"/>
      <c r="W469" s="407" t="n"/>
      <c r="X469" s="377" t="n"/>
      <c r="Y469" s="381" t="n"/>
      <c r="Z469" s="377" t="n"/>
      <c r="AA469" s="377" t="n"/>
      <c r="AB469" s="377" t="n"/>
      <c r="AC469" s="387" t="n"/>
      <c r="AD469" s="388" t="n"/>
      <c r="AE469" s="388" t="n"/>
    </row>
    <row r="470" ht="15.75" customHeight="1" s="253">
      <c r="A470" s="377" t="n"/>
      <c r="B470" s="399" t="n"/>
      <c r="C470" s="377" t="n"/>
      <c r="D470" s="392" t="n"/>
      <c r="E470" s="377" t="n"/>
      <c r="F470" s="389" t="n"/>
      <c r="G470" s="389" t="n"/>
      <c r="H470" s="377" t="n"/>
      <c r="I470" s="380" t="n"/>
      <c r="J470" s="377" t="n"/>
      <c r="K470" s="381" t="n"/>
      <c r="L470" s="377" t="n"/>
      <c r="M470" s="377" t="n"/>
      <c r="N470" s="381" t="n"/>
      <c r="O470" s="381" t="n"/>
      <c r="P470" s="381" t="n"/>
      <c r="Q470" s="377" t="n"/>
      <c r="R470" s="377" t="n"/>
      <c r="S470" s="377" t="n"/>
      <c r="T470" s="381" t="n"/>
      <c r="U470" s="377" t="n"/>
      <c r="V470" s="381" t="n"/>
      <c r="W470" s="407" t="n"/>
      <c r="X470" s="377" t="n"/>
      <c r="Y470" s="381" t="n"/>
      <c r="Z470" s="377" t="n"/>
      <c r="AA470" s="377" t="n"/>
      <c r="AB470" s="377" t="n"/>
      <c r="AC470" s="387" t="n"/>
      <c r="AD470" s="388" t="n"/>
      <c r="AE470" s="388" t="n"/>
    </row>
    <row r="471" ht="15.75" customHeight="1" s="253">
      <c r="B471" s="408" t="n"/>
      <c r="D471" s="409" t="n"/>
      <c r="F471" s="410" t="n"/>
      <c r="G471" s="410" t="n"/>
      <c r="L471" s="377" t="n"/>
      <c r="N471" s="343" t="n"/>
      <c r="O471" s="343" t="n"/>
      <c r="P471" s="343" t="n"/>
    </row>
    <row r="472" ht="15.75" customHeight="1" s="253">
      <c r="N472" s="343" t="n"/>
      <c r="O472" s="343" t="n"/>
      <c r="P472" s="343" t="n"/>
    </row>
    <row r="473" ht="15.75" customHeight="1" s="253">
      <c r="H473" s="411" t="n"/>
      <c r="N473" s="343" t="n"/>
      <c r="O473" s="343" t="n"/>
      <c r="P473" s="343" t="n"/>
    </row>
    <row r="474" ht="15.75" customHeight="1" s="253">
      <c r="N474" s="343" t="n"/>
      <c r="O474" s="343" t="n"/>
      <c r="P474" s="343" t="n"/>
    </row>
    <row r="475" ht="15.75" customHeight="1" s="253">
      <c r="N475" s="343" t="n"/>
      <c r="O475" s="343" t="n"/>
      <c r="P475" s="343" t="n"/>
    </row>
    <row r="476" ht="15.75" customHeight="1" s="253">
      <c r="N476" s="343" t="n"/>
      <c r="O476" s="343" t="n"/>
      <c r="P476" s="343" t="n"/>
    </row>
    <row r="477" ht="15.75" customHeight="1" s="253">
      <c r="N477" s="343" t="n"/>
      <c r="O477" s="343" t="n"/>
      <c r="P477" s="343" t="n"/>
    </row>
    <row r="478" ht="15.75" customHeight="1" s="253">
      <c r="N478" s="343" t="n"/>
      <c r="O478" s="343" t="n"/>
      <c r="P478" s="343" t="n"/>
    </row>
    <row r="479" ht="15.75" customHeight="1" s="253">
      <c r="N479" s="343" t="n"/>
      <c r="O479" s="343" t="n"/>
      <c r="P479" s="343" t="n"/>
    </row>
    <row r="480" ht="15.75" customHeight="1" s="253">
      <c r="N480" s="343" t="n"/>
      <c r="O480" s="343" t="n"/>
      <c r="P480" s="343" t="n"/>
    </row>
    <row r="481" ht="15.75" customHeight="1" s="253">
      <c r="N481" s="343" t="n"/>
      <c r="O481" s="343" t="n"/>
      <c r="P481" s="343" t="n"/>
    </row>
    <row r="482" ht="15.75" customHeight="1" s="253">
      <c r="N482" s="343" t="n"/>
      <c r="O482" s="343" t="n"/>
      <c r="P482" s="343" t="n"/>
    </row>
    <row r="483" ht="15.75" customHeight="1" s="253">
      <c r="N483" s="343" t="n"/>
      <c r="O483" s="343" t="n"/>
      <c r="P483" s="343" t="n"/>
    </row>
    <row r="484" ht="15.75" customHeight="1" s="253">
      <c r="N484" s="343" t="n"/>
      <c r="O484" s="343" t="n"/>
      <c r="P484" s="343" t="n"/>
    </row>
    <row r="485" ht="15.75" customHeight="1" s="253">
      <c r="N485" s="343" t="n"/>
      <c r="O485" s="343" t="n"/>
      <c r="P485" s="343" t="n"/>
    </row>
    <row r="486" ht="15.75" customHeight="1" s="253">
      <c r="N486" s="343" t="n"/>
      <c r="O486" s="343" t="n"/>
      <c r="P486" s="343" t="n"/>
    </row>
    <row r="487" ht="15.75" customHeight="1" s="253">
      <c r="N487" s="343" t="n"/>
      <c r="O487" s="343" t="n"/>
      <c r="P487" s="343" t="n"/>
    </row>
    <row r="488" ht="15.75" customHeight="1" s="253">
      <c r="N488" s="343" t="n"/>
      <c r="O488" s="343" t="n"/>
      <c r="P488" s="343" t="n"/>
    </row>
    <row r="489" ht="15.75" customHeight="1" s="253">
      <c r="N489" s="343" t="n"/>
      <c r="O489" s="343" t="n"/>
      <c r="P489" s="343" t="n"/>
    </row>
    <row r="490" ht="15.75" customHeight="1" s="253">
      <c r="N490" s="343" t="n"/>
      <c r="O490" s="343" t="n"/>
      <c r="P490" s="343" t="n"/>
    </row>
    <row r="491" ht="15.75" customHeight="1" s="253">
      <c r="N491" s="343" t="n"/>
      <c r="O491" s="343" t="n"/>
      <c r="P491" s="343" t="n"/>
    </row>
    <row r="492" ht="15.75" customHeight="1" s="253">
      <c r="N492" s="343" t="n"/>
      <c r="O492" s="343" t="n"/>
      <c r="P492" s="343" t="n"/>
    </row>
    <row r="493" ht="15.75" customHeight="1" s="253">
      <c r="N493" s="343" t="n"/>
      <c r="O493" s="343" t="n"/>
      <c r="P493" s="343" t="n"/>
    </row>
    <row r="494" ht="15.75" customHeight="1" s="253">
      <c r="N494" s="343" t="n"/>
      <c r="O494" s="343" t="n"/>
      <c r="P494" s="343" t="n"/>
    </row>
    <row r="495" ht="15.75" customHeight="1" s="253">
      <c r="N495" s="343" t="n"/>
      <c r="O495" s="343" t="n"/>
      <c r="P495" s="343" t="n"/>
    </row>
    <row r="496" ht="15.75" customHeight="1" s="253">
      <c r="N496" s="343" t="n"/>
      <c r="O496" s="343" t="n"/>
      <c r="P496" s="343" t="n"/>
    </row>
    <row r="497" ht="15.75" customHeight="1" s="253">
      <c r="N497" s="343" t="n"/>
      <c r="O497" s="343" t="n"/>
      <c r="P497" s="343" t="n"/>
    </row>
    <row r="498" ht="15.75" customHeight="1" s="253">
      <c r="N498" s="343" t="n"/>
      <c r="O498" s="343" t="n"/>
      <c r="P498" s="343" t="n"/>
    </row>
    <row r="499" ht="15.75" customHeight="1" s="253">
      <c r="N499" s="343" t="n"/>
      <c r="O499" s="343" t="n"/>
      <c r="P499" s="343" t="n"/>
    </row>
    <row r="500" ht="15.75" customHeight="1" s="253">
      <c r="N500" s="343" t="n"/>
      <c r="O500" s="343" t="n"/>
      <c r="P500" s="343" t="n"/>
    </row>
    <row r="501" ht="15.75" customHeight="1" s="253">
      <c r="N501" s="343" t="n"/>
      <c r="O501" s="343" t="n"/>
      <c r="P501" s="343" t="n"/>
    </row>
    <row r="502" ht="15.75" customHeight="1" s="253">
      <c r="N502" s="343" t="n"/>
      <c r="O502" s="343" t="n"/>
      <c r="P502" s="343" t="n"/>
    </row>
    <row r="503" ht="15.75" customHeight="1" s="253">
      <c r="N503" s="343" t="n"/>
      <c r="O503" s="343" t="n"/>
      <c r="P503" s="343" t="n"/>
    </row>
    <row r="504" ht="15.75" customHeight="1" s="253">
      <c r="N504" s="343" t="n"/>
      <c r="O504" s="343" t="n"/>
      <c r="P504" s="343" t="n"/>
    </row>
    <row r="505" ht="15.75" customHeight="1" s="253">
      <c r="N505" s="343" t="n"/>
      <c r="O505" s="343" t="n"/>
      <c r="P505" s="343" t="n"/>
    </row>
    <row r="506" ht="15.75" customHeight="1" s="253">
      <c r="N506" s="343" t="n"/>
      <c r="O506" s="343" t="n"/>
      <c r="P506" s="343" t="n"/>
    </row>
    <row r="507" ht="15.75" customHeight="1" s="253">
      <c r="N507" s="343" t="n"/>
      <c r="O507" s="343" t="n"/>
      <c r="P507" s="343" t="n"/>
    </row>
    <row r="508" ht="15.75" customHeight="1" s="253">
      <c r="N508" s="343" t="n"/>
      <c r="O508" s="343" t="n"/>
      <c r="P508" s="343" t="n"/>
    </row>
    <row r="509" ht="15.75" customHeight="1" s="253">
      <c r="N509" s="343" t="n"/>
      <c r="O509" s="343" t="n"/>
      <c r="P509" s="343" t="n"/>
    </row>
    <row r="510" ht="15.75" customHeight="1" s="253">
      <c r="N510" s="343" t="n"/>
      <c r="O510" s="343" t="n"/>
      <c r="P510" s="343" t="n"/>
    </row>
    <row r="511" ht="15.75" customHeight="1" s="253">
      <c r="N511" s="343" t="n"/>
      <c r="O511" s="343" t="n"/>
      <c r="P511" s="343" t="n"/>
    </row>
    <row r="512" ht="15.75" customHeight="1" s="253">
      <c r="N512" s="343" t="n"/>
      <c r="O512" s="343" t="n"/>
      <c r="P512" s="343" t="n"/>
    </row>
    <row r="513" ht="15.75" customHeight="1" s="253">
      <c r="N513" s="343" t="n"/>
      <c r="O513" s="343" t="n"/>
      <c r="P513" s="343" t="n"/>
    </row>
    <row r="514" ht="15.75" customHeight="1" s="253">
      <c r="N514" s="343" t="n"/>
      <c r="O514" s="343" t="n"/>
      <c r="P514" s="343" t="n"/>
    </row>
    <row r="515" ht="15.75" customHeight="1" s="253">
      <c r="N515" s="343" t="n"/>
      <c r="O515" s="343" t="n"/>
      <c r="P515" s="343" t="n"/>
    </row>
    <row r="516" ht="15.75" customHeight="1" s="253">
      <c r="N516" s="343" t="n"/>
      <c r="O516" s="343" t="n"/>
      <c r="P516" s="343" t="n"/>
    </row>
    <row r="517" ht="15.75" customHeight="1" s="253">
      <c r="N517" s="343" t="n"/>
      <c r="O517" s="343" t="n"/>
      <c r="P517" s="343" t="n"/>
    </row>
    <row r="518" ht="15.75" customHeight="1" s="253">
      <c r="N518" s="343" t="n"/>
      <c r="O518" s="343" t="n"/>
      <c r="P518" s="343" t="n"/>
    </row>
    <row r="519" ht="15.75" customHeight="1" s="253">
      <c r="N519" s="343" t="n"/>
      <c r="O519" s="343" t="n"/>
      <c r="P519" s="343" t="n"/>
    </row>
    <row r="520" ht="15.75" customHeight="1" s="253">
      <c r="N520" s="343" t="n"/>
      <c r="O520" s="343" t="n"/>
      <c r="P520" s="343" t="n"/>
    </row>
    <row r="521" ht="15.75" customHeight="1" s="253">
      <c r="N521" s="343" t="n"/>
      <c r="O521" s="343" t="n"/>
      <c r="P521" s="343" t="n"/>
    </row>
    <row r="522" ht="15.75" customHeight="1" s="253">
      <c r="N522" s="343" t="n"/>
      <c r="O522" s="343" t="n"/>
      <c r="P522" s="343" t="n"/>
    </row>
    <row r="523" ht="15.75" customHeight="1" s="253">
      <c r="N523" s="343" t="n"/>
      <c r="O523" s="343" t="n"/>
      <c r="P523" s="343" t="n"/>
    </row>
    <row r="524" ht="15.75" customHeight="1" s="253">
      <c r="N524" s="343" t="n"/>
      <c r="O524" s="343" t="n"/>
      <c r="P524" s="343" t="n"/>
    </row>
    <row r="525" ht="15.75" customHeight="1" s="253">
      <c r="N525" s="343" t="n"/>
      <c r="O525" s="343" t="n"/>
      <c r="P525" s="343" t="n"/>
    </row>
    <row r="526" ht="15.75" customHeight="1" s="253">
      <c r="N526" s="343" t="n"/>
      <c r="O526" s="343" t="n"/>
      <c r="P526" s="343" t="n"/>
    </row>
    <row r="527" ht="15.75" customHeight="1" s="253">
      <c r="N527" s="343" t="n"/>
      <c r="O527" s="343" t="n"/>
      <c r="P527" s="343" t="n"/>
    </row>
    <row r="528" ht="15.75" customHeight="1" s="253">
      <c r="N528" s="343" t="n"/>
      <c r="O528" s="343" t="n"/>
      <c r="P528" s="343" t="n"/>
    </row>
    <row r="529" ht="15.75" customHeight="1" s="253">
      <c r="N529" s="343" t="n"/>
      <c r="O529" s="343" t="n"/>
      <c r="P529" s="343" t="n"/>
    </row>
    <row r="530" ht="15.75" customHeight="1" s="253">
      <c r="N530" s="343" t="n"/>
      <c r="O530" s="343" t="n"/>
      <c r="P530" s="343" t="n"/>
    </row>
    <row r="531" ht="15.75" customHeight="1" s="253">
      <c r="N531" s="343" t="n"/>
      <c r="O531" s="343" t="n"/>
      <c r="P531" s="343" t="n"/>
    </row>
    <row r="532" ht="15.75" customHeight="1" s="253">
      <c r="N532" s="343" t="n"/>
      <c r="O532" s="343" t="n"/>
      <c r="P532" s="343" t="n"/>
    </row>
    <row r="533" ht="15.75" customHeight="1" s="253">
      <c r="N533" s="343" t="n"/>
      <c r="O533" s="343" t="n"/>
      <c r="P533" s="343" t="n"/>
    </row>
    <row r="534" ht="15.75" customHeight="1" s="253">
      <c r="N534" s="343" t="n"/>
      <c r="O534" s="343" t="n"/>
      <c r="P534" s="343" t="n"/>
    </row>
    <row r="535" ht="15.75" customHeight="1" s="253">
      <c r="N535" s="343" t="n"/>
      <c r="O535" s="343" t="n"/>
      <c r="P535" s="343" t="n"/>
    </row>
    <row r="536" ht="15.75" customHeight="1" s="253">
      <c r="N536" s="343" t="n"/>
      <c r="O536" s="343" t="n"/>
      <c r="P536" s="343" t="n"/>
    </row>
    <row r="537" ht="15.75" customHeight="1" s="253">
      <c r="N537" s="343" t="n"/>
      <c r="O537" s="343" t="n"/>
      <c r="P537" s="343" t="n"/>
    </row>
    <row r="538" ht="15.75" customHeight="1" s="253">
      <c r="N538" s="343" t="n"/>
      <c r="O538" s="343" t="n"/>
      <c r="P538" s="343" t="n"/>
    </row>
    <row r="539" ht="15.75" customHeight="1" s="253">
      <c r="N539" s="343" t="n"/>
      <c r="O539" s="343" t="n"/>
      <c r="P539" s="343" t="n"/>
    </row>
    <row r="540" ht="15.75" customHeight="1" s="253">
      <c r="N540" s="343" t="n"/>
      <c r="O540" s="343" t="n"/>
      <c r="P540" s="343" t="n"/>
    </row>
    <row r="541" ht="15.75" customHeight="1" s="253">
      <c r="N541" s="343" t="n"/>
      <c r="O541" s="343" t="n"/>
      <c r="P541" s="343" t="n"/>
    </row>
    <row r="542" ht="15.75" customHeight="1" s="253">
      <c r="N542" s="343" t="n"/>
      <c r="O542" s="343" t="n"/>
      <c r="P542" s="343" t="n"/>
    </row>
    <row r="543" ht="15.75" customHeight="1" s="253">
      <c r="N543" s="343" t="n"/>
      <c r="O543" s="343" t="n"/>
      <c r="P543" s="343" t="n"/>
    </row>
    <row r="544" ht="15.75" customHeight="1" s="253">
      <c r="N544" s="343" t="n"/>
      <c r="O544" s="343" t="n"/>
      <c r="P544" s="343" t="n"/>
    </row>
    <row r="545" ht="15.75" customHeight="1" s="253">
      <c r="N545" s="343" t="n"/>
      <c r="O545" s="343" t="n"/>
      <c r="P545" s="343" t="n"/>
    </row>
    <row r="546" ht="15.75" customHeight="1" s="253">
      <c r="N546" s="343" t="n"/>
      <c r="O546" s="343" t="n"/>
      <c r="P546" s="343" t="n"/>
    </row>
    <row r="547" ht="15.75" customHeight="1" s="253">
      <c r="N547" s="343" t="n"/>
      <c r="O547" s="343" t="n"/>
      <c r="P547" s="343" t="n"/>
    </row>
    <row r="548" ht="15.75" customHeight="1" s="253">
      <c r="N548" s="343" t="n"/>
      <c r="O548" s="343" t="n"/>
      <c r="P548" s="343" t="n"/>
    </row>
    <row r="549" ht="15.75" customHeight="1" s="253">
      <c r="N549" s="343" t="n"/>
      <c r="O549" s="343" t="n"/>
      <c r="P549" s="343" t="n"/>
    </row>
    <row r="550" ht="15.75" customHeight="1" s="253">
      <c r="N550" s="343" t="n"/>
      <c r="O550" s="343" t="n"/>
      <c r="P550" s="343" t="n"/>
    </row>
    <row r="551" ht="15.75" customHeight="1" s="253">
      <c r="N551" s="343" t="n"/>
      <c r="O551" s="343" t="n"/>
      <c r="P551" s="343" t="n"/>
    </row>
    <row r="552" ht="15.75" customHeight="1" s="253">
      <c r="N552" s="343" t="n"/>
      <c r="O552" s="343" t="n"/>
      <c r="P552" s="343" t="n"/>
    </row>
    <row r="553" ht="15.75" customHeight="1" s="253">
      <c r="N553" s="343" t="n"/>
      <c r="O553" s="343" t="n"/>
      <c r="P553" s="343" t="n"/>
    </row>
    <row r="554" ht="15.75" customHeight="1" s="253">
      <c r="N554" s="343" t="n"/>
      <c r="O554" s="343" t="n"/>
      <c r="P554" s="343" t="n"/>
    </row>
    <row r="555" ht="15.75" customHeight="1" s="253">
      <c r="N555" s="343" t="n"/>
      <c r="O555" s="343" t="n"/>
      <c r="P555" s="343" t="n"/>
    </row>
    <row r="556" ht="15.75" customHeight="1" s="253">
      <c r="N556" s="343" t="n"/>
      <c r="O556" s="343" t="n"/>
      <c r="P556" s="343" t="n"/>
    </row>
    <row r="557" ht="15.75" customHeight="1" s="253">
      <c r="N557" s="343" t="n"/>
      <c r="O557" s="343" t="n"/>
      <c r="P557" s="343" t="n"/>
    </row>
    <row r="558" ht="15.75" customHeight="1" s="253">
      <c r="N558" s="343" t="n"/>
      <c r="O558" s="343" t="n"/>
      <c r="P558" s="343" t="n"/>
    </row>
    <row r="559" ht="15.75" customHeight="1" s="253">
      <c r="N559" s="343" t="n"/>
      <c r="O559" s="343" t="n"/>
      <c r="P559" s="343" t="n"/>
    </row>
    <row r="560" ht="15.75" customHeight="1" s="253">
      <c r="N560" s="343" t="n"/>
      <c r="O560" s="343" t="n"/>
      <c r="P560" s="343" t="n"/>
    </row>
    <row r="561" ht="15.75" customHeight="1" s="253">
      <c r="N561" s="343" t="n"/>
      <c r="O561" s="343" t="n"/>
      <c r="P561" s="343" t="n"/>
    </row>
    <row r="562" ht="15.75" customHeight="1" s="253">
      <c r="N562" s="343" t="n"/>
      <c r="O562" s="343" t="n"/>
      <c r="P562" s="343" t="n"/>
    </row>
    <row r="563" ht="15.75" customHeight="1" s="253">
      <c r="N563" s="343" t="n"/>
      <c r="O563" s="343" t="n"/>
      <c r="P563" s="343" t="n"/>
    </row>
    <row r="564" ht="15.75" customHeight="1" s="253">
      <c r="N564" s="343" t="n"/>
      <c r="O564" s="343" t="n"/>
      <c r="P564" s="343" t="n"/>
    </row>
    <row r="565" ht="15.75" customHeight="1" s="253">
      <c r="N565" s="343" t="n"/>
      <c r="O565" s="343" t="n"/>
      <c r="P565" s="343" t="n"/>
    </row>
    <row r="566" ht="15.75" customHeight="1" s="253">
      <c r="N566" s="343" t="n"/>
      <c r="O566" s="343" t="n"/>
      <c r="P566" s="343" t="n"/>
    </row>
    <row r="567" ht="15.75" customHeight="1" s="253">
      <c r="N567" s="343" t="n"/>
      <c r="O567" s="343" t="n"/>
      <c r="P567" s="343" t="n"/>
    </row>
    <row r="568" ht="15.75" customHeight="1" s="253">
      <c r="N568" s="343" t="n"/>
      <c r="O568" s="343" t="n"/>
      <c r="P568" s="343" t="n"/>
    </row>
    <row r="569" ht="15.75" customHeight="1" s="253">
      <c r="N569" s="343" t="n"/>
      <c r="O569" s="343" t="n"/>
      <c r="P569" s="343" t="n"/>
    </row>
    <row r="570" ht="15.75" customHeight="1" s="253">
      <c r="N570" s="343" t="n"/>
      <c r="O570" s="343" t="n"/>
      <c r="P570" s="343" t="n"/>
    </row>
    <row r="571" ht="15.75" customHeight="1" s="253">
      <c r="N571" s="343" t="n"/>
      <c r="O571" s="343" t="n"/>
      <c r="P571" s="343" t="n"/>
    </row>
    <row r="572" ht="15.75" customHeight="1" s="253">
      <c r="N572" s="343" t="n"/>
      <c r="O572" s="343" t="n"/>
      <c r="P572" s="343" t="n"/>
    </row>
    <row r="573" ht="15.75" customHeight="1" s="253">
      <c r="N573" s="343" t="n"/>
      <c r="O573" s="343" t="n"/>
      <c r="P573" s="343" t="n"/>
    </row>
    <row r="574" ht="15.75" customHeight="1" s="253">
      <c r="N574" s="343" t="n"/>
      <c r="O574" s="343" t="n"/>
      <c r="P574" s="343" t="n"/>
    </row>
    <row r="575" ht="15.75" customHeight="1" s="253">
      <c r="N575" s="343" t="n"/>
      <c r="O575" s="343" t="n"/>
      <c r="P575" s="343" t="n"/>
    </row>
    <row r="576" ht="15.75" customHeight="1" s="253">
      <c r="N576" s="343" t="n"/>
      <c r="O576" s="343" t="n"/>
      <c r="P576" s="343" t="n"/>
    </row>
    <row r="577" ht="15.75" customHeight="1" s="253">
      <c r="N577" s="343" t="n"/>
      <c r="O577" s="343" t="n"/>
      <c r="P577" s="343" t="n"/>
    </row>
    <row r="578" ht="15.75" customHeight="1" s="253">
      <c r="N578" s="343" t="n"/>
      <c r="O578" s="343" t="n"/>
      <c r="P578" s="343" t="n"/>
    </row>
    <row r="579" ht="15.75" customHeight="1" s="253">
      <c r="N579" s="343" t="n"/>
      <c r="O579" s="343" t="n"/>
      <c r="P579" s="343" t="n"/>
    </row>
    <row r="580" ht="15.75" customHeight="1" s="253">
      <c r="N580" s="343" t="n"/>
      <c r="O580" s="343" t="n"/>
      <c r="P580" s="343" t="n"/>
    </row>
    <row r="581" ht="15.75" customHeight="1" s="253">
      <c r="N581" s="343" t="n"/>
      <c r="O581" s="343" t="n"/>
      <c r="P581" s="343" t="n"/>
    </row>
    <row r="582" ht="15.75" customHeight="1" s="253">
      <c r="N582" s="343" t="n"/>
      <c r="O582" s="343" t="n"/>
      <c r="P582" s="343" t="n"/>
    </row>
    <row r="583" ht="15.75" customHeight="1" s="253">
      <c r="N583" s="343" t="n"/>
      <c r="O583" s="343" t="n"/>
      <c r="P583" s="343" t="n"/>
    </row>
    <row r="584" ht="15.75" customHeight="1" s="253">
      <c r="N584" s="343" t="n"/>
      <c r="O584" s="343" t="n"/>
      <c r="P584" s="343" t="n"/>
    </row>
    <row r="585" ht="15.75" customHeight="1" s="253">
      <c r="N585" s="343" t="n"/>
      <c r="O585" s="343" t="n"/>
      <c r="P585" s="343" t="n"/>
    </row>
    <row r="586" ht="15.75" customHeight="1" s="253">
      <c r="N586" s="343" t="n"/>
      <c r="O586" s="343" t="n"/>
      <c r="P586" s="343" t="n"/>
    </row>
    <row r="587" ht="15.75" customHeight="1" s="253">
      <c r="N587" s="343" t="n"/>
      <c r="O587" s="343" t="n"/>
      <c r="P587" s="343" t="n"/>
    </row>
    <row r="588" ht="15.75" customHeight="1" s="253">
      <c r="N588" s="343" t="n"/>
      <c r="O588" s="343" t="n"/>
      <c r="P588" s="343" t="n"/>
    </row>
    <row r="589" ht="15.75" customHeight="1" s="253">
      <c r="N589" s="343" t="n"/>
      <c r="O589" s="343" t="n"/>
      <c r="P589" s="343" t="n"/>
    </row>
    <row r="590" ht="15.75" customHeight="1" s="253">
      <c r="N590" s="343" t="n"/>
      <c r="O590" s="343" t="n"/>
      <c r="P590" s="343" t="n"/>
    </row>
    <row r="591" ht="15.75" customHeight="1" s="253">
      <c r="N591" s="343" t="n"/>
      <c r="O591" s="343" t="n"/>
      <c r="P591" s="343" t="n"/>
    </row>
    <row r="592" ht="15.75" customHeight="1" s="253">
      <c r="N592" s="343" t="n"/>
      <c r="O592" s="343" t="n"/>
      <c r="P592" s="343" t="n"/>
    </row>
    <row r="593" ht="15.75" customHeight="1" s="253">
      <c r="N593" s="343" t="n"/>
      <c r="O593" s="343" t="n"/>
      <c r="P593" s="343" t="n"/>
    </row>
    <row r="594" ht="15.75" customHeight="1" s="253">
      <c r="N594" s="343" t="n"/>
      <c r="O594" s="343" t="n"/>
      <c r="P594" s="343" t="n"/>
    </row>
    <row r="595" ht="15.75" customHeight="1" s="253">
      <c r="N595" s="343" t="n"/>
      <c r="O595" s="343" t="n"/>
      <c r="P595" s="343" t="n"/>
    </row>
    <row r="596" ht="15.75" customHeight="1" s="253">
      <c r="N596" s="343" t="n"/>
      <c r="O596" s="343" t="n"/>
      <c r="P596" s="343" t="n"/>
    </row>
    <row r="597" ht="15.75" customHeight="1" s="253">
      <c r="N597" s="343" t="n"/>
      <c r="O597" s="343" t="n"/>
      <c r="P597" s="343" t="n"/>
    </row>
    <row r="598" ht="15.75" customHeight="1" s="253">
      <c r="N598" s="343" t="n"/>
      <c r="O598" s="343" t="n"/>
      <c r="P598" s="343" t="n"/>
    </row>
    <row r="599" ht="15.75" customHeight="1" s="253">
      <c r="N599" s="343" t="n"/>
      <c r="O599" s="343" t="n"/>
      <c r="P599" s="343" t="n"/>
    </row>
    <row r="600" ht="15.75" customHeight="1" s="253">
      <c r="N600" s="343" t="n"/>
      <c r="O600" s="343" t="n"/>
      <c r="P600" s="343" t="n"/>
    </row>
    <row r="601" ht="15.75" customHeight="1" s="253">
      <c r="N601" s="343" t="n"/>
      <c r="O601" s="343" t="n"/>
      <c r="P601" s="343" t="n"/>
    </row>
    <row r="602" ht="15.75" customHeight="1" s="253">
      <c r="N602" s="343" t="n"/>
      <c r="O602" s="343" t="n"/>
      <c r="P602" s="343" t="n"/>
    </row>
    <row r="603" ht="15.75" customHeight="1" s="253">
      <c r="N603" s="343" t="n"/>
      <c r="O603" s="343" t="n"/>
      <c r="P603" s="343" t="n"/>
    </row>
    <row r="604" ht="15.75" customHeight="1" s="253">
      <c r="N604" s="343" t="n"/>
      <c r="O604" s="343" t="n"/>
      <c r="P604" s="343" t="n"/>
    </row>
    <row r="605" ht="15.75" customHeight="1" s="253">
      <c r="N605" s="343" t="n"/>
      <c r="O605" s="343" t="n"/>
      <c r="P605" s="343" t="n"/>
    </row>
    <row r="606" ht="15.75" customHeight="1" s="253">
      <c r="N606" s="343" t="n"/>
      <c r="O606" s="343" t="n"/>
      <c r="P606" s="343" t="n"/>
    </row>
    <row r="607" ht="15.75" customHeight="1" s="253">
      <c r="N607" s="343" t="n"/>
      <c r="O607" s="343" t="n"/>
      <c r="P607" s="343" t="n"/>
    </row>
    <row r="608" ht="15.75" customHeight="1" s="253">
      <c r="N608" s="343" t="n"/>
      <c r="O608" s="343" t="n"/>
      <c r="P608" s="343" t="n"/>
    </row>
    <row r="609" ht="15.75" customHeight="1" s="253">
      <c r="N609" s="343" t="n"/>
      <c r="O609" s="343" t="n"/>
      <c r="P609" s="343" t="n"/>
    </row>
    <row r="610" ht="15.75" customHeight="1" s="253">
      <c r="N610" s="343" t="n"/>
      <c r="O610" s="343" t="n"/>
      <c r="P610" s="343" t="n"/>
    </row>
    <row r="611" ht="15.75" customHeight="1" s="253">
      <c r="N611" s="343" t="n"/>
      <c r="O611" s="343" t="n"/>
      <c r="P611" s="343" t="n"/>
    </row>
    <row r="612" ht="15.75" customHeight="1" s="253">
      <c r="N612" s="343" t="n"/>
      <c r="O612" s="343" t="n"/>
      <c r="P612" s="343" t="n"/>
    </row>
    <row r="613" ht="15.75" customHeight="1" s="253">
      <c r="N613" s="343" t="n"/>
      <c r="O613" s="343" t="n"/>
      <c r="P613" s="343" t="n"/>
    </row>
    <row r="614" ht="15.75" customHeight="1" s="253">
      <c r="N614" s="343" t="n"/>
      <c r="O614" s="343" t="n"/>
      <c r="P614" s="343" t="n"/>
    </row>
    <row r="615" ht="15.75" customHeight="1" s="253">
      <c r="N615" s="343" t="n"/>
      <c r="O615" s="343" t="n"/>
      <c r="P615" s="343" t="n"/>
    </row>
    <row r="616" ht="15.75" customHeight="1" s="253">
      <c r="N616" s="343" t="n"/>
      <c r="O616" s="343" t="n"/>
      <c r="P616" s="343" t="n"/>
    </row>
    <row r="617" ht="15.75" customHeight="1" s="253">
      <c r="N617" s="343" t="n"/>
      <c r="O617" s="343" t="n"/>
      <c r="P617" s="343" t="n"/>
    </row>
    <row r="618" ht="15.75" customHeight="1" s="253">
      <c r="N618" s="343" t="n"/>
      <c r="O618" s="343" t="n"/>
      <c r="P618" s="343" t="n"/>
    </row>
    <row r="619" ht="15.75" customHeight="1" s="253">
      <c r="N619" s="343" t="n"/>
      <c r="O619" s="343" t="n"/>
      <c r="P619" s="343" t="n"/>
    </row>
    <row r="620" ht="15.75" customHeight="1" s="253">
      <c r="N620" s="343" t="n"/>
      <c r="O620" s="343" t="n"/>
      <c r="P620" s="343" t="n"/>
    </row>
    <row r="621" ht="15.75" customHeight="1" s="253">
      <c r="N621" s="343" t="n"/>
      <c r="O621" s="343" t="n"/>
      <c r="P621" s="343" t="n"/>
    </row>
    <row r="622" ht="15.75" customHeight="1" s="253">
      <c r="N622" s="343" t="n"/>
      <c r="O622" s="343" t="n"/>
      <c r="P622" s="343" t="n"/>
    </row>
    <row r="623" ht="15.75" customHeight="1" s="253">
      <c r="N623" s="343" t="n"/>
      <c r="O623" s="343" t="n"/>
      <c r="P623" s="343" t="n"/>
    </row>
    <row r="624" ht="15.75" customHeight="1" s="253">
      <c r="N624" s="343" t="n"/>
      <c r="O624" s="343" t="n"/>
      <c r="P624" s="343" t="n"/>
    </row>
    <row r="625" ht="15.75" customHeight="1" s="253">
      <c r="N625" s="343" t="n"/>
      <c r="O625" s="343" t="n"/>
      <c r="P625" s="343" t="n"/>
    </row>
    <row r="626" ht="15.75" customHeight="1" s="253">
      <c r="N626" s="343" t="n"/>
      <c r="O626" s="343" t="n"/>
      <c r="P626" s="343" t="n"/>
    </row>
    <row r="627" ht="15.75" customHeight="1" s="253">
      <c r="N627" s="343" t="n"/>
      <c r="O627" s="343" t="n"/>
      <c r="P627" s="343" t="n"/>
    </row>
    <row r="628" ht="15.75" customHeight="1" s="253">
      <c r="N628" s="343" t="n"/>
      <c r="O628" s="343" t="n"/>
      <c r="P628" s="343" t="n"/>
    </row>
    <row r="629" ht="15.75" customHeight="1" s="253">
      <c r="N629" s="343" t="n"/>
      <c r="O629" s="343" t="n"/>
      <c r="P629" s="343" t="n"/>
    </row>
    <row r="630" ht="15.75" customHeight="1" s="253">
      <c r="N630" s="343" t="n"/>
      <c r="O630" s="343" t="n"/>
      <c r="P630" s="343" t="n"/>
    </row>
    <row r="631" ht="15.75" customHeight="1" s="253">
      <c r="N631" s="343" t="n"/>
      <c r="O631" s="343" t="n"/>
      <c r="P631" s="343" t="n"/>
    </row>
    <row r="632" ht="15.75" customHeight="1" s="253">
      <c r="N632" s="343" t="n"/>
      <c r="O632" s="343" t="n"/>
      <c r="P632" s="343" t="n"/>
    </row>
    <row r="633" ht="15.75" customHeight="1" s="253">
      <c r="N633" s="343" t="n"/>
      <c r="O633" s="343" t="n"/>
      <c r="P633" s="343" t="n"/>
    </row>
    <row r="634" ht="15.75" customHeight="1" s="253">
      <c r="N634" s="343" t="n"/>
      <c r="O634" s="343" t="n"/>
      <c r="P634" s="343" t="n"/>
    </row>
    <row r="635" ht="15.75" customHeight="1" s="253">
      <c r="N635" s="343" t="n"/>
      <c r="O635" s="343" t="n"/>
      <c r="P635" s="343" t="n"/>
    </row>
    <row r="636" ht="15.75" customHeight="1" s="253">
      <c r="N636" s="343" t="n"/>
      <c r="O636" s="343" t="n"/>
      <c r="P636" s="343" t="n"/>
    </row>
    <row r="637" ht="15.75" customHeight="1" s="253">
      <c r="N637" s="343" t="n"/>
      <c r="O637" s="343" t="n"/>
      <c r="P637" s="343" t="n"/>
    </row>
    <row r="638" ht="15.75" customHeight="1" s="253">
      <c r="N638" s="343" t="n"/>
      <c r="O638" s="343" t="n"/>
      <c r="P638" s="343" t="n"/>
    </row>
    <row r="639" ht="15.75" customHeight="1" s="253">
      <c r="N639" s="343" t="n"/>
      <c r="O639" s="343" t="n"/>
      <c r="P639" s="343" t="n"/>
    </row>
    <row r="640" ht="15.75" customHeight="1" s="253">
      <c r="N640" s="343" t="n"/>
      <c r="O640" s="343" t="n"/>
      <c r="P640" s="343" t="n"/>
    </row>
    <row r="641" ht="15.75" customHeight="1" s="253">
      <c r="N641" s="343" t="n"/>
      <c r="O641" s="343" t="n"/>
      <c r="P641" s="343" t="n"/>
    </row>
    <row r="642" ht="15.75" customHeight="1" s="253">
      <c r="N642" s="343" t="n"/>
      <c r="O642" s="343" t="n"/>
      <c r="P642" s="343" t="n"/>
    </row>
    <row r="643" ht="15.75" customHeight="1" s="253">
      <c r="N643" s="343" t="n"/>
      <c r="O643" s="343" t="n"/>
      <c r="P643" s="343" t="n"/>
    </row>
    <row r="644" ht="15.75" customHeight="1" s="253">
      <c r="N644" s="343" t="n"/>
      <c r="O644" s="343" t="n"/>
      <c r="P644" s="343" t="n"/>
    </row>
    <row r="645" ht="15.75" customHeight="1" s="253">
      <c r="N645" s="343" t="n"/>
      <c r="O645" s="343" t="n"/>
      <c r="P645" s="343" t="n"/>
    </row>
    <row r="646" ht="15.75" customHeight="1" s="253">
      <c r="N646" s="343" t="n"/>
      <c r="O646" s="343" t="n"/>
      <c r="P646" s="343" t="n"/>
    </row>
    <row r="647" ht="15.75" customHeight="1" s="253">
      <c r="N647" s="343" t="n"/>
      <c r="O647" s="343" t="n"/>
      <c r="P647" s="343" t="n"/>
    </row>
    <row r="648" ht="15.75" customHeight="1" s="253">
      <c r="N648" s="343" t="n"/>
      <c r="O648" s="343" t="n"/>
      <c r="P648" s="343" t="n"/>
    </row>
    <row r="649" ht="15.75" customHeight="1" s="253">
      <c r="N649" s="343" t="n"/>
      <c r="O649" s="343" t="n"/>
      <c r="P649" s="343" t="n"/>
    </row>
    <row r="650" ht="15.75" customHeight="1" s="253">
      <c r="N650" s="343" t="n"/>
      <c r="O650" s="343" t="n"/>
      <c r="P650" s="343" t="n"/>
    </row>
    <row r="651" ht="15.75" customHeight="1" s="253">
      <c r="N651" s="343" t="n"/>
      <c r="O651" s="343" t="n"/>
      <c r="P651" s="343" t="n"/>
    </row>
    <row r="652" ht="15.75" customHeight="1" s="253">
      <c r="N652" s="343" t="n"/>
      <c r="O652" s="343" t="n"/>
      <c r="P652" s="343" t="n"/>
    </row>
    <row r="653" ht="15.75" customHeight="1" s="253">
      <c r="N653" s="343" t="n"/>
      <c r="O653" s="343" t="n"/>
      <c r="P653" s="343" t="n"/>
    </row>
    <row r="654" ht="15.75" customHeight="1" s="253">
      <c r="N654" s="343" t="n"/>
      <c r="O654" s="343" t="n"/>
      <c r="P654" s="343" t="n"/>
    </row>
    <row r="655" ht="15.75" customHeight="1" s="253">
      <c r="N655" s="343" t="n"/>
      <c r="O655" s="343" t="n"/>
      <c r="P655" s="343" t="n"/>
    </row>
    <row r="656" ht="15.75" customHeight="1" s="253">
      <c r="N656" s="343" t="n"/>
      <c r="O656" s="343" t="n"/>
      <c r="P656" s="343" t="n"/>
    </row>
    <row r="657" ht="15.75" customHeight="1" s="253">
      <c r="N657" s="343" t="n"/>
      <c r="O657" s="343" t="n"/>
      <c r="P657" s="343" t="n"/>
    </row>
    <row r="658" ht="15.75" customHeight="1" s="253">
      <c r="N658" s="343" t="n"/>
      <c r="O658" s="343" t="n"/>
      <c r="P658" s="343" t="n"/>
    </row>
    <row r="659" ht="15.75" customHeight="1" s="253">
      <c r="N659" s="343" t="n"/>
      <c r="O659" s="343" t="n"/>
      <c r="P659" s="343" t="n"/>
    </row>
    <row r="660" ht="15.75" customHeight="1" s="253">
      <c r="N660" s="343" t="n"/>
      <c r="O660" s="343" t="n"/>
      <c r="P660" s="343" t="n"/>
    </row>
    <row r="661" ht="15.75" customHeight="1" s="253">
      <c r="N661" s="343" t="n"/>
      <c r="O661" s="343" t="n"/>
      <c r="P661" s="343" t="n"/>
    </row>
    <row r="662" ht="15.75" customHeight="1" s="253">
      <c r="N662" s="343" t="n"/>
      <c r="O662" s="343" t="n"/>
      <c r="P662" s="343" t="n"/>
    </row>
    <row r="663" ht="15.75" customHeight="1" s="253">
      <c r="N663" s="343" t="n"/>
      <c r="O663" s="343" t="n"/>
      <c r="P663" s="343" t="n"/>
    </row>
    <row r="664" ht="15.75" customHeight="1" s="253">
      <c r="N664" s="343" t="n"/>
      <c r="O664" s="343" t="n"/>
      <c r="P664" s="343" t="n"/>
    </row>
    <row r="665" ht="15.75" customHeight="1" s="253">
      <c r="N665" s="343" t="n"/>
      <c r="O665" s="343" t="n"/>
      <c r="P665" s="343" t="n"/>
    </row>
    <row r="666" ht="15.75" customHeight="1" s="253">
      <c r="N666" s="343" t="n"/>
      <c r="O666" s="343" t="n"/>
      <c r="P666" s="343" t="n"/>
    </row>
    <row r="667" ht="15.75" customHeight="1" s="253">
      <c r="N667" s="343" t="n"/>
      <c r="O667" s="343" t="n"/>
      <c r="P667" s="343" t="n"/>
    </row>
    <row r="668" ht="15.75" customHeight="1" s="253">
      <c r="N668" s="343" t="n"/>
      <c r="O668" s="343" t="n"/>
      <c r="P668" s="343" t="n"/>
    </row>
    <row r="669" ht="15.75" customHeight="1" s="253">
      <c r="N669" s="343" t="n"/>
      <c r="O669" s="343" t="n"/>
      <c r="P669" s="343" t="n"/>
    </row>
    <row r="670" ht="15.75" customHeight="1" s="253">
      <c r="N670" s="343" t="n"/>
      <c r="O670" s="343" t="n"/>
      <c r="P670" s="343" t="n"/>
    </row>
    <row r="671" ht="15.75" customHeight="1" s="253">
      <c r="N671" s="343" t="n"/>
      <c r="O671" s="343" t="n"/>
      <c r="P671" s="343" t="n"/>
    </row>
    <row r="672" ht="15.75" customHeight="1" s="253">
      <c r="N672" s="343" t="n"/>
      <c r="O672" s="343" t="n"/>
      <c r="P672" s="343" t="n"/>
    </row>
    <row r="673" ht="15.75" customHeight="1" s="253">
      <c r="N673" s="343" t="n"/>
      <c r="O673" s="343" t="n"/>
      <c r="P673" s="343" t="n"/>
    </row>
    <row r="674" ht="15.75" customHeight="1" s="253">
      <c r="N674" s="343" t="n"/>
      <c r="O674" s="343" t="n"/>
      <c r="P674" s="343" t="n"/>
    </row>
    <row r="675" ht="15.75" customHeight="1" s="253">
      <c r="N675" s="343" t="n"/>
      <c r="O675" s="343" t="n"/>
      <c r="P675" s="343" t="n"/>
    </row>
    <row r="676" ht="15.75" customHeight="1" s="253">
      <c r="N676" s="343" t="n"/>
      <c r="O676" s="343" t="n"/>
      <c r="P676" s="343" t="n"/>
    </row>
    <row r="677" ht="15.75" customHeight="1" s="253">
      <c r="N677" s="343" t="n"/>
      <c r="O677" s="343" t="n"/>
      <c r="P677" s="343" t="n"/>
    </row>
    <row r="678" ht="15.75" customHeight="1" s="253">
      <c r="N678" s="343" t="n"/>
      <c r="O678" s="343" t="n"/>
      <c r="P678" s="343" t="n"/>
    </row>
    <row r="679" ht="15.75" customHeight="1" s="253">
      <c r="N679" s="343" t="n"/>
      <c r="O679" s="343" t="n"/>
      <c r="P679" s="343" t="n"/>
    </row>
    <row r="680" ht="15.75" customHeight="1" s="253">
      <c r="N680" s="343" t="n"/>
      <c r="O680" s="343" t="n"/>
      <c r="P680" s="343" t="n"/>
    </row>
    <row r="681" ht="15.75" customHeight="1" s="253">
      <c r="N681" s="343" t="n"/>
      <c r="O681" s="343" t="n"/>
      <c r="P681" s="343" t="n"/>
    </row>
    <row r="682" ht="15.75" customHeight="1" s="253">
      <c r="N682" s="343" t="n"/>
      <c r="O682" s="343" t="n"/>
      <c r="P682" s="343" t="n"/>
    </row>
    <row r="683" ht="15.75" customHeight="1" s="253">
      <c r="N683" s="343" t="n"/>
      <c r="O683" s="343" t="n"/>
      <c r="P683" s="343" t="n"/>
    </row>
    <row r="684" ht="15.75" customHeight="1" s="253">
      <c r="N684" s="343" t="n"/>
      <c r="O684" s="343" t="n"/>
      <c r="P684" s="343" t="n"/>
    </row>
    <row r="685" ht="15.75" customHeight="1" s="253">
      <c r="N685" s="343" t="n"/>
      <c r="O685" s="343" t="n"/>
      <c r="P685" s="343" t="n"/>
    </row>
    <row r="686" ht="15.75" customHeight="1" s="253">
      <c r="N686" s="343" t="n"/>
      <c r="O686" s="343" t="n"/>
      <c r="P686" s="343" t="n"/>
    </row>
    <row r="687" ht="15.75" customHeight="1" s="253">
      <c r="N687" s="343" t="n"/>
      <c r="O687" s="343" t="n"/>
      <c r="P687" s="343" t="n"/>
    </row>
    <row r="688" ht="15.75" customHeight="1" s="253">
      <c r="N688" s="343" t="n"/>
      <c r="O688" s="343" t="n"/>
      <c r="P688" s="343" t="n"/>
    </row>
    <row r="689" ht="15.75" customHeight="1" s="253">
      <c r="N689" s="343" t="n"/>
      <c r="O689" s="343" t="n"/>
      <c r="P689" s="343" t="n"/>
    </row>
    <row r="690" ht="15.75" customHeight="1" s="253">
      <c r="N690" s="343" t="n"/>
      <c r="O690" s="343" t="n"/>
      <c r="P690" s="343" t="n"/>
    </row>
    <row r="691" ht="15.75" customHeight="1" s="253">
      <c r="N691" s="343" t="n"/>
      <c r="O691" s="343" t="n"/>
      <c r="P691" s="343" t="n"/>
    </row>
    <row r="692" ht="15.75" customHeight="1" s="253">
      <c r="N692" s="343" t="n"/>
      <c r="O692" s="343" t="n"/>
      <c r="P692" s="343" t="n"/>
    </row>
    <row r="693" ht="15.75" customHeight="1" s="253">
      <c r="N693" s="343" t="n"/>
      <c r="O693" s="343" t="n"/>
      <c r="P693" s="343" t="n"/>
    </row>
    <row r="694" ht="15.75" customHeight="1" s="253">
      <c r="N694" s="343" t="n"/>
      <c r="O694" s="343" t="n"/>
      <c r="P694" s="343" t="n"/>
    </row>
    <row r="695" ht="15.75" customHeight="1" s="253">
      <c r="N695" s="343" t="n"/>
      <c r="O695" s="343" t="n"/>
      <c r="P695" s="343" t="n"/>
    </row>
    <row r="696" ht="15.75" customHeight="1" s="253">
      <c r="N696" s="343" t="n"/>
      <c r="O696" s="343" t="n"/>
      <c r="P696" s="343" t="n"/>
    </row>
    <row r="697" ht="15.75" customHeight="1" s="253">
      <c r="N697" s="343" t="n"/>
      <c r="O697" s="343" t="n"/>
      <c r="P697" s="343" t="n"/>
    </row>
    <row r="698" ht="15.75" customHeight="1" s="253">
      <c r="N698" s="343" t="n"/>
      <c r="O698" s="343" t="n"/>
      <c r="P698" s="343" t="n"/>
    </row>
    <row r="699" ht="15.75" customHeight="1" s="253">
      <c r="N699" s="343" t="n"/>
      <c r="O699" s="343" t="n"/>
      <c r="P699" s="343" t="n"/>
    </row>
    <row r="700" ht="15.75" customHeight="1" s="253">
      <c r="N700" s="343" t="n"/>
      <c r="O700" s="343" t="n"/>
      <c r="P700" s="343" t="n"/>
    </row>
    <row r="701" ht="15.75" customHeight="1" s="253">
      <c r="N701" s="343" t="n"/>
      <c r="O701" s="343" t="n"/>
      <c r="P701" s="343" t="n"/>
    </row>
    <row r="702" ht="15.75" customHeight="1" s="253">
      <c r="N702" s="343" t="n"/>
      <c r="O702" s="343" t="n"/>
      <c r="P702" s="343" t="n"/>
    </row>
    <row r="703" ht="15.75" customHeight="1" s="253">
      <c r="N703" s="343" t="n"/>
      <c r="O703" s="343" t="n"/>
      <c r="P703" s="343" t="n"/>
    </row>
    <row r="704" ht="15.75" customHeight="1" s="253">
      <c r="N704" s="343" t="n"/>
      <c r="O704" s="343" t="n"/>
      <c r="P704" s="343" t="n"/>
    </row>
    <row r="705" ht="15.75" customHeight="1" s="253">
      <c r="N705" s="343" t="n"/>
      <c r="O705" s="343" t="n"/>
      <c r="P705" s="343" t="n"/>
    </row>
    <row r="706" ht="15.75" customHeight="1" s="253">
      <c r="N706" s="343" t="n"/>
      <c r="O706" s="343" t="n"/>
      <c r="P706" s="343" t="n"/>
    </row>
    <row r="707" ht="15.75" customHeight="1" s="253">
      <c r="N707" s="343" t="n"/>
      <c r="O707" s="343" t="n"/>
      <c r="P707" s="343" t="n"/>
    </row>
    <row r="708" ht="15.75" customHeight="1" s="253">
      <c r="N708" s="343" t="n"/>
      <c r="O708" s="343" t="n"/>
      <c r="P708" s="343" t="n"/>
    </row>
    <row r="709" ht="15.75" customHeight="1" s="253">
      <c r="N709" s="343" t="n"/>
      <c r="O709" s="343" t="n"/>
      <c r="P709" s="343" t="n"/>
    </row>
    <row r="710" ht="15.75" customHeight="1" s="253">
      <c r="N710" s="343" t="n"/>
      <c r="O710" s="343" t="n"/>
      <c r="P710" s="343" t="n"/>
    </row>
    <row r="711" ht="15.75" customHeight="1" s="253">
      <c r="N711" s="343" t="n"/>
      <c r="O711" s="343" t="n"/>
      <c r="P711" s="343" t="n"/>
    </row>
    <row r="712" ht="15.75" customHeight="1" s="253">
      <c r="N712" s="343" t="n"/>
      <c r="O712" s="343" t="n"/>
      <c r="P712" s="343" t="n"/>
    </row>
    <row r="713" ht="15.75" customHeight="1" s="253">
      <c r="N713" s="343" t="n"/>
      <c r="O713" s="343" t="n"/>
      <c r="P713" s="343" t="n"/>
    </row>
    <row r="714" ht="15.75" customHeight="1" s="253">
      <c r="N714" s="343" t="n"/>
      <c r="O714" s="343" t="n"/>
      <c r="P714" s="343" t="n"/>
    </row>
    <row r="715" ht="15.75" customHeight="1" s="253">
      <c r="N715" s="343" t="n"/>
      <c r="O715" s="343" t="n"/>
      <c r="P715" s="343" t="n"/>
    </row>
    <row r="716" ht="15.75" customHeight="1" s="253">
      <c r="N716" s="343" t="n"/>
      <c r="O716" s="343" t="n"/>
      <c r="P716" s="343" t="n"/>
    </row>
    <row r="717" ht="15.75" customHeight="1" s="253">
      <c r="N717" s="343" t="n"/>
      <c r="O717" s="343" t="n"/>
      <c r="P717" s="343" t="n"/>
    </row>
    <row r="718" ht="15.75" customHeight="1" s="253">
      <c r="N718" s="343" t="n"/>
      <c r="O718" s="343" t="n"/>
      <c r="P718" s="343" t="n"/>
    </row>
    <row r="719" ht="15.75" customHeight="1" s="253">
      <c r="N719" s="343" t="n"/>
      <c r="O719" s="343" t="n"/>
      <c r="P719" s="343" t="n"/>
    </row>
    <row r="720" ht="15.75" customHeight="1" s="253">
      <c r="N720" s="343" t="n"/>
      <c r="O720" s="343" t="n"/>
      <c r="P720" s="343" t="n"/>
    </row>
    <row r="721" ht="15.75" customHeight="1" s="253">
      <c r="N721" s="343" t="n"/>
      <c r="O721" s="343" t="n"/>
      <c r="P721" s="343" t="n"/>
    </row>
    <row r="722" ht="15.75" customHeight="1" s="253">
      <c r="N722" s="343" t="n"/>
      <c r="O722" s="343" t="n"/>
      <c r="P722" s="343" t="n"/>
    </row>
    <row r="723" ht="15.75" customHeight="1" s="253">
      <c r="N723" s="343" t="n"/>
      <c r="O723" s="343" t="n"/>
      <c r="P723" s="343" t="n"/>
    </row>
    <row r="724" ht="15.75" customHeight="1" s="253">
      <c r="N724" s="343" t="n"/>
      <c r="O724" s="343" t="n"/>
      <c r="P724" s="343" t="n"/>
    </row>
    <row r="725" ht="15.75" customHeight="1" s="253">
      <c r="N725" s="343" t="n"/>
      <c r="O725" s="343" t="n"/>
      <c r="P725" s="343" t="n"/>
    </row>
    <row r="726" ht="15.75" customHeight="1" s="253">
      <c r="N726" s="343" t="n"/>
      <c r="O726" s="343" t="n"/>
      <c r="P726" s="343" t="n"/>
    </row>
    <row r="727" ht="15.75" customHeight="1" s="253">
      <c r="N727" s="343" t="n"/>
      <c r="O727" s="343" t="n"/>
      <c r="P727" s="343" t="n"/>
    </row>
    <row r="728" ht="15.75" customHeight="1" s="253">
      <c r="N728" s="343" t="n"/>
      <c r="O728" s="343" t="n"/>
      <c r="P728" s="343" t="n"/>
    </row>
    <row r="729" ht="15.75" customHeight="1" s="253">
      <c r="N729" s="343" t="n"/>
      <c r="O729" s="343" t="n"/>
      <c r="P729" s="343" t="n"/>
    </row>
    <row r="730" ht="15.75" customHeight="1" s="253">
      <c r="N730" s="343" t="n"/>
      <c r="O730" s="343" t="n"/>
      <c r="P730" s="343" t="n"/>
    </row>
    <row r="731" ht="15.75" customHeight="1" s="253">
      <c r="N731" s="343" t="n"/>
      <c r="O731" s="343" t="n"/>
      <c r="P731" s="343" t="n"/>
    </row>
    <row r="732" ht="15.75" customHeight="1" s="253">
      <c r="N732" s="343" t="n"/>
      <c r="O732" s="343" t="n"/>
      <c r="P732" s="343" t="n"/>
    </row>
    <row r="733" ht="15.75" customHeight="1" s="253">
      <c r="N733" s="343" t="n"/>
      <c r="O733" s="343" t="n"/>
      <c r="P733" s="343" t="n"/>
    </row>
    <row r="734" ht="15.75" customHeight="1" s="253">
      <c r="N734" s="343" t="n"/>
      <c r="O734" s="343" t="n"/>
      <c r="P734" s="343" t="n"/>
    </row>
    <row r="735" ht="15.75" customHeight="1" s="253">
      <c r="N735" s="343" t="n"/>
      <c r="O735" s="343" t="n"/>
      <c r="P735" s="343" t="n"/>
    </row>
    <row r="736" ht="15.75" customHeight="1" s="253">
      <c r="N736" s="343" t="n"/>
      <c r="O736" s="343" t="n"/>
      <c r="P736" s="343" t="n"/>
    </row>
    <row r="737" ht="15.75" customHeight="1" s="253">
      <c r="N737" s="343" t="n"/>
      <c r="O737" s="343" t="n"/>
      <c r="P737" s="343" t="n"/>
    </row>
    <row r="738" ht="15.75" customHeight="1" s="253">
      <c r="N738" s="343" t="n"/>
      <c r="O738" s="343" t="n"/>
      <c r="P738" s="343" t="n"/>
    </row>
    <row r="739" ht="15.75" customHeight="1" s="253">
      <c r="N739" s="343" t="n"/>
      <c r="O739" s="343" t="n"/>
      <c r="P739" s="343" t="n"/>
    </row>
    <row r="740" ht="15.75" customHeight="1" s="253">
      <c r="N740" s="343" t="n"/>
      <c r="O740" s="343" t="n"/>
      <c r="P740" s="343" t="n"/>
    </row>
    <row r="741" ht="15.75" customHeight="1" s="253">
      <c r="N741" s="343" t="n"/>
      <c r="O741" s="343" t="n"/>
      <c r="P741" s="343" t="n"/>
    </row>
    <row r="742" ht="15.75" customHeight="1" s="253">
      <c r="N742" s="343" t="n"/>
      <c r="O742" s="343" t="n"/>
      <c r="P742" s="343" t="n"/>
    </row>
    <row r="743" ht="15.75" customHeight="1" s="253">
      <c r="N743" s="343" t="n"/>
      <c r="O743" s="343" t="n"/>
      <c r="P743" s="343" t="n"/>
    </row>
    <row r="744" ht="15.75" customHeight="1" s="253">
      <c r="N744" s="343" t="n"/>
      <c r="O744" s="343" t="n"/>
      <c r="P744" s="343" t="n"/>
    </row>
    <row r="745" ht="15.75" customHeight="1" s="253">
      <c r="N745" s="343" t="n"/>
      <c r="O745" s="343" t="n"/>
      <c r="P745" s="343" t="n"/>
    </row>
    <row r="746" ht="15.75" customHeight="1" s="253">
      <c r="N746" s="343" t="n"/>
      <c r="O746" s="343" t="n"/>
      <c r="P746" s="343" t="n"/>
    </row>
    <row r="747" ht="15.75" customHeight="1" s="253">
      <c r="N747" s="343" t="n"/>
      <c r="O747" s="343" t="n"/>
      <c r="P747" s="343" t="n"/>
    </row>
    <row r="748" ht="15.75" customHeight="1" s="253">
      <c r="N748" s="343" t="n"/>
      <c r="O748" s="343" t="n"/>
      <c r="P748" s="343" t="n"/>
    </row>
    <row r="749" ht="15.75" customHeight="1" s="253">
      <c r="N749" s="343" t="n"/>
      <c r="O749" s="343" t="n"/>
      <c r="P749" s="343" t="n"/>
    </row>
    <row r="750" ht="15.75" customHeight="1" s="253">
      <c r="N750" s="343" t="n"/>
      <c r="O750" s="343" t="n"/>
      <c r="P750" s="343" t="n"/>
    </row>
    <row r="751" ht="15.75" customHeight="1" s="253">
      <c r="N751" s="343" t="n"/>
      <c r="O751" s="343" t="n"/>
      <c r="P751" s="343" t="n"/>
    </row>
    <row r="752" ht="15.75" customHeight="1" s="253">
      <c r="N752" s="343" t="n"/>
      <c r="O752" s="343" t="n"/>
      <c r="P752" s="343" t="n"/>
    </row>
    <row r="753" ht="15.75" customHeight="1" s="253">
      <c r="N753" s="343" t="n"/>
      <c r="O753" s="343" t="n"/>
      <c r="P753" s="343" t="n"/>
    </row>
    <row r="754" ht="15.75" customHeight="1" s="253">
      <c r="N754" s="343" t="n"/>
      <c r="O754" s="343" t="n"/>
      <c r="P754" s="343" t="n"/>
    </row>
    <row r="755" ht="15.75" customHeight="1" s="253">
      <c r="N755" s="343" t="n"/>
      <c r="O755" s="343" t="n"/>
      <c r="P755" s="343" t="n"/>
    </row>
    <row r="756" ht="15.75" customHeight="1" s="253">
      <c r="N756" s="343" t="n"/>
      <c r="O756" s="343" t="n"/>
      <c r="P756" s="343" t="n"/>
    </row>
    <row r="757" ht="15.75" customHeight="1" s="253">
      <c r="N757" s="343" t="n"/>
      <c r="O757" s="343" t="n"/>
      <c r="P757" s="343" t="n"/>
    </row>
    <row r="758" ht="15.75" customHeight="1" s="253">
      <c r="N758" s="343" t="n"/>
      <c r="O758" s="343" t="n"/>
      <c r="P758" s="343" t="n"/>
    </row>
    <row r="759" ht="15.75" customHeight="1" s="253">
      <c r="N759" s="343" t="n"/>
      <c r="O759" s="343" t="n"/>
      <c r="P759" s="343" t="n"/>
    </row>
    <row r="760" ht="15.75" customHeight="1" s="253">
      <c r="N760" s="343" t="n"/>
      <c r="O760" s="343" t="n"/>
      <c r="P760" s="343" t="n"/>
    </row>
    <row r="761" ht="15.75" customHeight="1" s="253">
      <c r="N761" s="343" t="n"/>
      <c r="O761" s="343" t="n"/>
      <c r="P761" s="343" t="n"/>
    </row>
    <row r="762" ht="15.75" customHeight="1" s="253">
      <c r="N762" s="343" t="n"/>
      <c r="O762" s="343" t="n"/>
      <c r="P762" s="343" t="n"/>
    </row>
    <row r="763" ht="15.75" customHeight="1" s="253">
      <c r="N763" s="343" t="n"/>
      <c r="O763" s="343" t="n"/>
      <c r="P763" s="343" t="n"/>
    </row>
    <row r="764" ht="15.75" customHeight="1" s="253">
      <c r="N764" s="343" t="n"/>
      <c r="O764" s="343" t="n"/>
      <c r="P764" s="343" t="n"/>
    </row>
    <row r="765" ht="15.75" customHeight="1" s="253">
      <c r="N765" s="343" t="n"/>
      <c r="O765" s="343" t="n"/>
      <c r="P765" s="343" t="n"/>
    </row>
    <row r="766" ht="15.75" customHeight="1" s="253">
      <c r="N766" s="343" t="n"/>
      <c r="O766" s="343" t="n"/>
      <c r="P766" s="343" t="n"/>
    </row>
    <row r="767" ht="15.75" customHeight="1" s="253">
      <c r="N767" s="343" t="n"/>
      <c r="O767" s="343" t="n"/>
      <c r="P767" s="343" t="n"/>
    </row>
    <row r="768" ht="15.75" customHeight="1" s="253">
      <c r="N768" s="343" t="n"/>
      <c r="O768" s="343" t="n"/>
      <c r="P768" s="343" t="n"/>
    </row>
    <row r="769" ht="15.75" customHeight="1" s="253">
      <c r="N769" s="343" t="n"/>
      <c r="O769" s="343" t="n"/>
      <c r="P769" s="343" t="n"/>
    </row>
    <row r="770" ht="15.75" customHeight="1" s="253">
      <c r="N770" s="343" t="n"/>
      <c r="O770" s="343" t="n"/>
      <c r="P770" s="343" t="n"/>
    </row>
    <row r="771" ht="15.75" customHeight="1" s="253">
      <c r="N771" s="343" t="n"/>
      <c r="O771" s="343" t="n"/>
      <c r="P771" s="343" t="n"/>
    </row>
    <row r="772" ht="15.75" customHeight="1" s="253">
      <c r="N772" s="343" t="n"/>
      <c r="O772" s="343" t="n"/>
      <c r="P772" s="343" t="n"/>
    </row>
    <row r="773" ht="15.75" customHeight="1" s="253">
      <c r="N773" s="343" t="n"/>
      <c r="O773" s="343" t="n"/>
      <c r="P773" s="343" t="n"/>
    </row>
    <row r="774" ht="15.75" customHeight="1" s="253">
      <c r="N774" s="343" t="n"/>
      <c r="O774" s="343" t="n"/>
      <c r="P774" s="343" t="n"/>
    </row>
    <row r="775" ht="15.75" customHeight="1" s="253">
      <c r="N775" s="343" t="n"/>
      <c r="O775" s="343" t="n"/>
      <c r="P775" s="343" t="n"/>
    </row>
    <row r="776" ht="15.75" customHeight="1" s="253">
      <c r="N776" s="343" t="n"/>
      <c r="O776" s="343" t="n"/>
      <c r="P776" s="343" t="n"/>
    </row>
    <row r="777" ht="15.75" customHeight="1" s="253">
      <c r="N777" s="343" t="n"/>
      <c r="O777" s="343" t="n"/>
      <c r="P777" s="343" t="n"/>
    </row>
    <row r="778" ht="15.75" customHeight="1" s="253">
      <c r="N778" s="343" t="n"/>
      <c r="O778" s="343" t="n"/>
      <c r="P778" s="343" t="n"/>
    </row>
    <row r="779" ht="15.75" customHeight="1" s="253">
      <c r="N779" s="343" t="n"/>
      <c r="O779" s="343" t="n"/>
      <c r="P779" s="343" t="n"/>
    </row>
    <row r="780" ht="15.75" customHeight="1" s="253">
      <c r="N780" s="343" t="n"/>
      <c r="O780" s="343" t="n"/>
      <c r="P780" s="343" t="n"/>
    </row>
    <row r="781" ht="15.75" customHeight="1" s="253">
      <c r="N781" s="343" t="n"/>
      <c r="O781" s="343" t="n"/>
      <c r="P781" s="343" t="n"/>
    </row>
    <row r="782" ht="15.75" customHeight="1" s="253">
      <c r="N782" s="343" t="n"/>
      <c r="O782" s="343" t="n"/>
      <c r="P782" s="343" t="n"/>
    </row>
    <row r="783" ht="15.75" customHeight="1" s="253">
      <c r="N783" s="343" t="n"/>
      <c r="O783" s="343" t="n"/>
      <c r="P783" s="343" t="n"/>
    </row>
    <row r="784" ht="15.75" customHeight="1" s="253">
      <c r="N784" s="343" t="n"/>
      <c r="O784" s="343" t="n"/>
      <c r="P784" s="343" t="n"/>
    </row>
    <row r="785" ht="15.75" customHeight="1" s="253">
      <c r="N785" s="343" t="n"/>
      <c r="O785" s="343" t="n"/>
      <c r="P785" s="343" t="n"/>
    </row>
    <row r="786" ht="15.75" customHeight="1" s="253">
      <c r="N786" s="343" t="n"/>
      <c r="O786" s="343" t="n"/>
      <c r="P786" s="343" t="n"/>
    </row>
    <row r="787" ht="15.75" customHeight="1" s="253">
      <c r="N787" s="343" t="n"/>
      <c r="O787" s="343" t="n"/>
      <c r="P787" s="343" t="n"/>
    </row>
    <row r="788" ht="15.75" customHeight="1" s="253">
      <c r="N788" s="343" t="n"/>
      <c r="O788" s="343" t="n"/>
      <c r="P788" s="343" t="n"/>
    </row>
    <row r="789" ht="15.75" customHeight="1" s="253">
      <c r="N789" s="343" t="n"/>
      <c r="O789" s="343" t="n"/>
      <c r="P789" s="343" t="n"/>
    </row>
    <row r="790" ht="15.75" customHeight="1" s="253">
      <c r="N790" s="343" t="n"/>
      <c r="O790" s="343" t="n"/>
      <c r="P790" s="343" t="n"/>
    </row>
    <row r="791" ht="15.75" customHeight="1" s="253">
      <c r="N791" s="343" t="n"/>
      <c r="O791" s="343" t="n"/>
      <c r="P791" s="343" t="n"/>
    </row>
    <row r="792" ht="15.75" customHeight="1" s="253">
      <c r="N792" s="343" t="n"/>
      <c r="O792" s="343" t="n"/>
      <c r="P792" s="343" t="n"/>
    </row>
    <row r="793" ht="15.75" customHeight="1" s="253">
      <c r="N793" s="343" t="n"/>
      <c r="O793" s="343" t="n"/>
      <c r="P793" s="343" t="n"/>
    </row>
    <row r="794" ht="15.75" customHeight="1" s="253">
      <c r="N794" s="343" t="n"/>
      <c r="O794" s="343" t="n"/>
      <c r="P794" s="343" t="n"/>
    </row>
    <row r="795" ht="15.75" customHeight="1" s="253">
      <c r="N795" s="343" t="n"/>
      <c r="O795" s="343" t="n"/>
      <c r="P795" s="343" t="n"/>
    </row>
    <row r="796" ht="15.75" customHeight="1" s="253">
      <c r="N796" s="343" t="n"/>
      <c r="O796" s="343" t="n"/>
      <c r="P796" s="343" t="n"/>
    </row>
    <row r="797" ht="15.75" customHeight="1" s="253">
      <c r="N797" s="343" t="n"/>
      <c r="O797" s="343" t="n"/>
      <c r="P797" s="343" t="n"/>
    </row>
    <row r="798" ht="15.75" customHeight="1" s="253">
      <c r="N798" s="343" t="n"/>
      <c r="O798" s="343" t="n"/>
      <c r="P798" s="343" t="n"/>
    </row>
    <row r="799" ht="15.75" customHeight="1" s="253">
      <c r="N799" s="343" t="n"/>
      <c r="O799" s="343" t="n"/>
      <c r="P799" s="343" t="n"/>
    </row>
    <row r="800" ht="15.75" customHeight="1" s="253">
      <c r="N800" s="343" t="n"/>
      <c r="O800" s="343" t="n"/>
      <c r="P800" s="343" t="n"/>
    </row>
    <row r="801" ht="15.75" customHeight="1" s="253">
      <c r="N801" s="343" t="n"/>
      <c r="O801" s="343" t="n"/>
      <c r="P801" s="343" t="n"/>
    </row>
    <row r="802" ht="15.75" customHeight="1" s="253">
      <c r="N802" s="343" t="n"/>
      <c r="O802" s="343" t="n"/>
      <c r="P802" s="343" t="n"/>
    </row>
    <row r="803" ht="15.75" customHeight="1" s="253">
      <c r="N803" s="343" t="n"/>
      <c r="O803" s="343" t="n"/>
      <c r="P803" s="343" t="n"/>
    </row>
    <row r="804" ht="15.75" customHeight="1" s="253">
      <c r="N804" s="343" t="n"/>
      <c r="O804" s="343" t="n"/>
      <c r="P804" s="343" t="n"/>
    </row>
    <row r="805" ht="15.75" customHeight="1" s="253">
      <c r="N805" s="343" t="n"/>
      <c r="O805" s="343" t="n"/>
      <c r="P805" s="343" t="n"/>
    </row>
    <row r="806" ht="15.75" customHeight="1" s="253">
      <c r="N806" s="343" t="n"/>
      <c r="O806" s="343" t="n"/>
      <c r="P806" s="343" t="n"/>
    </row>
    <row r="807" ht="15.75" customHeight="1" s="253">
      <c r="N807" s="343" t="n"/>
      <c r="O807" s="343" t="n"/>
      <c r="P807" s="343" t="n"/>
    </row>
    <row r="808" ht="15.75" customHeight="1" s="253">
      <c r="N808" s="343" t="n"/>
      <c r="O808" s="343" t="n"/>
      <c r="P808" s="343" t="n"/>
    </row>
    <row r="809" ht="15.75" customHeight="1" s="253">
      <c r="N809" s="343" t="n"/>
      <c r="O809" s="343" t="n"/>
      <c r="P809" s="343" t="n"/>
    </row>
    <row r="810" ht="15.75" customHeight="1" s="253">
      <c r="N810" s="343" t="n"/>
      <c r="O810" s="343" t="n"/>
      <c r="P810" s="343" t="n"/>
    </row>
    <row r="811" ht="15.75" customHeight="1" s="253">
      <c r="N811" s="343" t="n"/>
      <c r="O811" s="343" t="n"/>
      <c r="P811" s="343" t="n"/>
    </row>
    <row r="812" ht="15.75" customHeight="1" s="253">
      <c r="N812" s="343" t="n"/>
      <c r="O812" s="343" t="n"/>
      <c r="P812" s="343" t="n"/>
    </row>
    <row r="813" ht="15.75" customHeight="1" s="253">
      <c r="N813" s="343" t="n"/>
      <c r="O813" s="343" t="n"/>
      <c r="P813" s="343" t="n"/>
    </row>
    <row r="814" ht="15.75" customHeight="1" s="253">
      <c r="N814" s="343" t="n"/>
      <c r="O814" s="343" t="n"/>
      <c r="P814" s="343" t="n"/>
    </row>
    <row r="815" ht="15.75" customHeight="1" s="253">
      <c r="N815" s="343" t="n"/>
      <c r="O815" s="343" t="n"/>
      <c r="P815" s="343" t="n"/>
    </row>
    <row r="816" ht="15.75" customHeight="1" s="253">
      <c r="N816" s="343" t="n"/>
      <c r="O816" s="343" t="n"/>
      <c r="P816" s="343" t="n"/>
    </row>
    <row r="817" ht="15.75" customHeight="1" s="253">
      <c r="N817" s="343" t="n"/>
      <c r="O817" s="343" t="n"/>
      <c r="P817" s="343" t="n"/>
    </row>
    <row r="818" ht="15.75" customHeight="1" s="253">
      <c r="N818" s="343" t="n"/>
      <c r="O818" s="343" t="n"/>
      <c r="P818" s="343" t="n"/>
    </row>
    <row r="819" ht="15.75" customHeight="1" s="253">
      <c r="N819" s="343" t="n"/>
      <c r="O819" s="343" t="n"/>
      <c r="P819" s="343" t="n"/>
    </row>
    <row r="820" ht="15.75" customHeight="1" s="253">
      <c r="N820" s="343" t="n"/>
      <c r="O820" s="343" t="n"/>
      <c r="P820" s="343" t="n"/>
    </row>
    <row r="821" ht="15.75" customHeight="1" s="253">
      <c r="N821" s="343" t="n"/>
      <c r="O821" s="343" t="n"/>
      <c r="P821" s="343" t="n"/>
    </row>
    <row r="822" ht="15.75" customHeight="1" s="253">
      <c r="N822" s="343" t="n"/>
      <c r="O822" s="343" t="n"/>
      <c r="P822" s="343" t="n"/>
    </row>
    <row r="823" ht="15.75" customHeight="1" s="253">
      <c r="N823" s="343" t="n"/>
      <c r="O823" s="343" t="n"/>
      <c r="P823" s="343" t="n"/>
    </row>
    <row r="824" ht="15.75" customHeight="1" s="253">
      <c r="N824" s="343" t="n"/>
      <c r="O824" s="343" t="n"/>
      <c r="P824" s="343" t="n"/>
    </row>
    <row r="825" ht="15.75" customHeight="1" s="253">
      <c r="N825" s="343" t="n"/>
      <c r="O825" s="343" t="n"/>
      <c r="P825" s="343" t="n"/>
    </row>
    <row r="826" ht="15.75" customHeight="1" s="253">
      <c r="N826" s="343" t="n"/>
      <c r="O826" s="343" t="n"/>
      <c r="P826" s="343" t="n"/>
    </row>
    <row r="827" ht="15.75" customHeight="1" s="253">
      <c r="N827" s="343" t="n"/>
      <c r="O827" s="343" t="n"/>
      <c r="P827" s="343" t="n"/>
    </row>
    <row r="828" ht="15.75" customHeight="1" s="253">
      <c r="N828" s="343" t="n"/>
      <c r="O828" s="343" t="n"/>
      <c r="P828" s="343" t="n"/>
    </row>
    <row r="829" ht="15.75" customHeight="1" s="253">
      <c r="N829" s="343" t="n"/>
      <c r="O829" s="343" t="n"/>
      <c r="P829" s="343" t="n"/>
    </row>
    <row r="830" ht="15.75" customHeight="1" s="253">
      <c r="N830" s="343" t="n"/>
      <c r="O830" s="343" t="n"/>
      <c r="P830" s="343" t="n"/>
    </row>
    <row r="831" ht="15.75" customHeight="1" s="253">
      <c r="N831" s="343" t="n"/>
      <c r="O831" s="343" t="n"/>
      <c r="P831" s="343" t="n"/>
    </row>
    <row r="832" ht="15.75" customHeight="1" s="253">
      <c r="N832" s="343" t="n"/>
      <c r="O832" s="343" t="n"/>
      <c r="P832" s="343" t="n"/>
    </row>
    <row r="833" ht="15.75" customHeight="1" s="253">
      <c r="N833" s="343" t="n"/>
      <c r="O833" s="343" t="n"/>
      <c r="P833" s="343" t="n"/>
    </row>
    <row r="834" ht="15.75" customHeight="1" s="253">
      <c r="N834" s="343" t="n"/>
      <c r="O834" s="343" t="n"/>
      <c r="P834" s="343" t="n"/>
    </row>
    <row r="835" ht="15.75" customHeight="1" s="253">
      <c r="N835" s="343" t="n"/>
      <c r="O835" s="343" t="n"/>
      <c r="P835" s="343" t="n"/>
    </row>
    <row r="836" ht="15.75" customHeight="1" s="253">
      <c r="N836" s="343" t="n"/>
      <c r="O836" s="343" t="n"/>
      <c r="P836" s="343" t="n"/>
    </row>
    <row r="837" ht="15.75" customHeight="1" s="253">
      <c r="N837" s="343" t="n"/>
      <c r="O837" s="343" t="n"/>
      <c r="P837" s="343" t="n"/>
    </row>
    <row r="838" ht="15.75" customHeight="1" s="253">
      <c r="N838" s="343" t="n"/>
      <c r="O838" s="343" t="n"/>
      <c r="P838" s="343" t="n"/>
    </row>
    <row r="839" ht="15.75" customHeight="1" s="253">
      <c r="N839" s="343" t="n"/>
      <c r="O839" s="343" t="n"/>
      <c r="P839" s="343" t="n"/>
    </row>
    <row r="840" ht="15.75" customHeight="1" s="253">
      <c r="N840" s="343" t="n"/>
      <c r="O840" s="343" t="n"/>
      <c r="P840" s="343" t="n"/>
    </row>
    <row r="841" ht="15.75" customHeight="1" s="253">
      <c r="N841" s="343" t="n"/>
      <c r="O841" s="343" t="n"/>
      <c r="P841" s="343" t="n"/>
    </row>
    <row r="842" ht="15.75" customHeight="1" s="253">
      <c r="N842" s="343" t="n"/>
      <c r="O842" s="343" t="n"/>
      <c r="P842" s="343" t="n"/>
    </row>
    <row r="843" ht="15.75" customHeight="1" s="253">
      <c r="N843" s="343" t="n"/>
      <c r="O843" s="343" t="n"/>
      <c r="P843" s="343" t="n"/>
    </row>
    <row r="844" ht="15.75" customHeight="1" s="253">
      <c r="N844" s="343" t="n"/>
      <c r="O844" s="343" t="n"/>
      <c r="P844" s="343" t="n"/>
    </row>
    <row r="845" ht="15.75" customHeight="1" s="253">
      <c r="N845" s="343" t="n"/>
      <c r="O845" s="343" t="n"/>
      <c r="P845" s="343" t="n"/>
    </row>
    <row r="846" ht="15.75" customHeight="1" s="253">
      <c r="N846" s="343" t="n"/>
      <c r="O846" s="343" t="n"/>
      <c r="P846" s="343" t="n"/>
    </row>
    <row r="847" ht="15.75" customHeight="1" s="253">
      <c r="N847" s="343" t="n"/>
      <c r="O847" s="343" t="n"/>
      <c r="P847" s="343" t="n"/>
    </row>
    <row r="848" ht="15.75" customHeight="1" s="253">
      <c r="N848" s="343" t="n"/>
      <c r="O848" s="343" t="n"/>
      <c r="P848" s="343" t="n"/>
    </row>
    <row r="849" ht="15.75" customHeight="1" s="253">
      <c r="N849" s="343" t="n"/>
      <c r="O849" s="343" t="n"/>
      <c r="P849" s="343" t="n"/>
    </row>
    <row r="850" ht="15.75" customHeight="1" s="253">
      <c r="N850" s="343" t="n"/>
      <c r="O850" s="343" t="n"/>
      <c r="P850" s="343" t="n"/>
    </row>
    <row r="851" ht="15.75" customHeight="1" s="253">
      <c r="N851" s="343" t="n"/>
      <c r="O851" s="343" t="n"/>
      <c r="P851" s="343" t="n"/>
    </row>
    <row r="852" ht="15.75" customHeight="1" s="253">
      <c r="N852" s="343" t="n"/>
      <c r="O852" s="343" t="n"/>
      <c r="P852" s="343" t="n"/>
    </row>
    <row r="853" ht="15.75" customHeight="1" s="253">
      <c r="N853" s="343" t="n"/>
      <c r="O853" s="343" t="n"/>
      <c r="P853" s="343" t="n"/>
    </row>
    <row r="854" ht="15.75" customHeight="1" s="253">
      <c r="N854" s="343" t="n"/>
      <c r="O854" s="343" t="n"/>
      <c r="P854" s="343" t="n"/>
    </row>
    <row r="855" ht="15.75" customHeight="1" s="253">
      <c r="N855" s="343" t="n"/>
      <c r="O855" s="343" t="n"/>
      <c r="P855" s="343" t="n"/>
    </row>
    <row r="856" ht="15.75" customHeight="1" s="253">
      <c r="N856" s="343" t="n"/>
      <c r="O856" s="343" t="n"/>
      <c r="P856" s="343" t="n"/>
    </row>
    <row r="857" ht="15.75" customHeight="1" s="253">
      <c r="N857" s="343" t="n"/>
      <c r="O857" s="343" t="n"/>
      <c r="P857" s="343" t="n"/>
    </row>
    <row r="858" ht="15.75" customHeight="1" s="253">
      <c r="N858" s="343" t="n"/>
      <c r="O858" s="343" t="n"/>
      <c r="P858" s="343" t="n"/>
    </row>
    <row r="859" ht="15.75" customHeight="1" s="253">
      <c r="N859" s="343" t="n"/>
      <c r="O859" s="343" t="n"/>
      <c r="P859" s="343" t="n"/>
    </row>
    <row r="860" ht="15.75" customHeight="1" s="253">
      <c r="N860" s="343" t="n"/>
      <c r="O860" s="343" t="n"/>
      <c r="P860" s="343" t="n"/>
    </row>
    <row r="861" ht="15.75" customHeight="1" s="253">
      <c r="N861" s="343" t="n"/>
      <c r="O861" s="343" t="n"/>
      <c r="P861" s="343" t="n"/>
    </row>
    <row r="862" ht="15.75" customHeight="1" s="253">
      <c r="N862" s="343" t="n"/>
      <c r="O862" s="343" t="n"/>
      <c r="P862" s="343" t="n"/>
    </row>
    <row r="863" ht="15.75" customHeight="1" s="253">
      <c r="N863" s="343" t="n"/>
      <c r="O863" s="343" t="n"/>
      <c r="P863" s="343" t="n"/>
    </row>
    <row r="864" ht="15.75" customHeight="1" s="253">
      <c r="N864" s="343" t="n"/>
      <c r="O864" s="343" t="n"/>
      <c r="P864" s="343" t="n"/>
    </row>
    <row r="865" ht="15.75" customHeight="1" s="253">
      <c r="N865" s="343" t="n"/>
      <c r="O865" s="343" t="n"/>
      <c r="P865" s="343" t="n"/>
    </row>
    <row r="866" ht="15.75" customHeight="1" s="253">
      <c r="N866" s="343" t="n"/>
      <c r="O866" s="343" t="n"/>
      <c r="P866" s="343" t="n"/>
    </row>
    <row r="867" ht="15.75" customHeight="1" s="253">
      <c r="N867" s="343" t="n"/>
      <c r="O867" s="343" t="n"/>
      <c r="P867" s="343" t="n"/>
    </row>
    <row r="868" ht="15.75" customHeight="1" s="253">
      <c r="N868" s="343" t="n"/>
      <c r="O868" s="343" t="n"/>
      <c r="P868" s="343" t="n"/>
    </row>
    <row r="869" ht="15.75" customHeight="1" s="253">
      <c r="N869" s="343" t="n"/>
      <c r="O869" s="343" t="n"/>
      <c r="P869" s="343" t="n"/>
    </row>
    <row r="870" ht="15.75" customHeight="1" s="253">
      <c r="N870" s="343" t="n"/>
      <c r="O870" s="343" t="n"/>
      <c r="P870" s="343" t="n"/>
    </row>
    <row r="871" ht="15.75" customHeight="1" s="253">
      <c r="N871" s="343" t="n"/>
      <c r="O871" s="343" t="n"/>
      <c r="P871" s="343" t="n"/>
    </row>
    <row r="872" ht="15.75" customHeight="1" s="253">
      <c r="N872" s="343" t="n"/>
      <c r="O872" s="343" t="n"/>
      <c r="P872" s="343" t="n"/>
    </row>
    <row r="873" ht="15.75" customHeight="1" s="253">
      <c r="N873" s="343" t="n"/>
      <c r="O873" s="343" t="n"/>
      <c r="P873" s="343" t="n"/>
    </row>
    <row r="874" ht="15.75" customHeight="1" s="253">
      <c r="N874" s="343" t="n"/>
      <c r="O874" s="343" t="n"/>
      <c r="P874" s="343" t="n"/>
    </row>
    <row r="875" ht="15.75" customHeight="1" s="253">
      <c r="N875" s="343" t="n"/>
      <c r="O875" s="343" t="n"/>
      <c r="P875" s="343" t="n"/>
    </row>
    <row r="876" ht="15.75" customHeight="1" s="253">
      <c r="N876" s="343" t="n"/>
      <c r="O876" s="343" t="n"/>
      <c r="P876" s="343" t="n"/>
    </row>
    <row r="877" ht="15.75" customHeight="1" s="253">
      <c r="N877" s="343" t="n"/>
      <c r="O877" s="343" t="n"/>
      <c r="P877" s="343" t="n"/>
    </row>
    <row r="878" ht="15.75" customHeight="1" s="253">
      <c r="N878" s="343" t="n"/>
      <c r="O878" s="343" t="n"/>
      <c r="P878" s="343" t="n"/>
    </row>
    <row r="879" ht="15.75" customHeight="1" s="253">
      <c r="N879" s="343" t="n"/>
      <c r="O879" s="343" t="n"/>
      <c r="P879" s="343" t="n"/>
    </row>
    <row r="880" ht="15.75" customHeight="1" s="253">
      <c r="N880" s="343" t="n"/>
      <c r="O880" s="343" t="n"/>
      <c r="P880" s="343" t="n"/>
    </row>
    <row r="881" ht="15.75" customHeight="1" s="253">
      <c r="N881" s="343" t="n"/>
      <c r="O881" s="343" t="n"/>
      <c r="P881" s="343" t="n"/>
    </row>
    <row r="882" ht="15.75" customHeight="1" s="253">
      <c r="N882" s="343" t="n"/>
      <c r="O882" s="343" t="n"/>
      <c r="P882" s="343" t="n"/>
    </row>
    <row r="883" ht="15.75" customHeight="1" s="253">
      <c r="N883" s="343" t="n"/>
      <c r="O883" s="343" t="n"/>
      <c r="P883" s="343" t="n"/>
    </row>
    <row r="884" ht="15.75" customHeight="1" s="253">
      <c r="N884" s="343" t="n"/>
      <c r="O884" s="343" t="n"/>
      <c r="P884" s="343" t="n"/>
    </row>
    <row r="885" ht="15.75" customHeight="1" s="253">
      <c r="N885" s="343" t="n"/>
      <c r="O885" s="343" t="n"/>
      <c r="P885" s="343" t="n"/>
    </row>
    <row r="886" ht="15.75" customHeight="1" s="253">
      <c r="N886" s="343" t="n"/>
      <c r="O886" s="343" t="n"/>
      <c r="P886" s="343" t="n"/>
    </row>
    <row r="887" ht="15.75" customHeight="1" s="253">
      <c r="N887" s="343" t="n"/>
      <c r="O887" s="343" t="n"/>
      <c r="P887" s="343" t="n"/>
    </row>
    <row r="888" ht="15.75" customHeight="1" s="253">
      <c r="N888" s="343" t="n"/>
      <c r="O888" s="343" t="n"/>
      <c r="P888" s="343" t="n"/>
    </row>
    <row r="889" ht="15.75" customHeight="1" s="253">
      <c r="N889" s="343" t="n"/>
      <c r="O889" s="343" t="n"/>
      <c r="P889" s="343" t="n"/>
    </row>
    <row r="890" ht="15.75" customHeight="1" s="253">
      <c r="N890" s="343" t="n"/>
      <c r="O890" s="343" t="n"/>
      <c r="P890" s="343" t="n"/>
    </row>
    <row r="891" ht="15.75" customHeight="1" s="253">
      <c r="N891" s="343" t="n"/>
      <c r="O891" s="343" t="n"/>
      <c r="P891" s="343" t="n"/>
    </row>
    <row r="892" ht="15.75" customHeight="1" s="253">
      <c r="N892" s="343" t="n"/>
      <c r="O892" s="343" t="n"/>
      <c r="P892" s="343" t="n"/>
    </row>
    <row r="893" ht="15.75" customHeight="1" s="253">
      <c r="N893" s="343" t="n"/>
      <c r="O893" s="343" t="n"/>
      <c r="P893" s="343" t="n"/>
    </row>
    <row r="894" ht="15.75" customHeight="1" s="253">
      <c r="N894" s="343" t="n"/>
      <c r="O894" s="343" t="n"/>
      <c r="P894" s="343" t="n"/>
    </row>
    <row r="895" ht="15.75" customHeight="1" s="253">
      <c r="N895" s="343" t="n"/>
      <c r="O895" s="343" t="n"/>
      <c r="P895" s="343" t="n"/>
    </row>
    <row r="896" ht="15.75" customHeight="1" s="253">
      <c r="N896" s="343" t="n"/>
      <c r="O896" s="343" t="n"/>
      <c r="P896" s="343" t="n"/>
    </row>
    <row r="897" ht="15.75" customHeight="1" s="253">
      <c r="N897" s="343" t="n"/>
      <c r="O897" s="343" t="n"/>
      <c r="P897" s="343" t="n"/>
    </row>
    <row r="898" ht="15.75" customHeight="1" s="253">
      <c r="N898" s="343" t="n"/>
      <c r="O898" s="343" t="n"/>
      <c r="P898" s="343" t="n"/>
    </row>
    <row r="899" ht="15.75" customHeight="1" s="253">
      <c r="N899" s="343" t="n"/>
      <c r="O899" s="343" t="n"/>
      <c r="P899" s="343" t="n"/>
    </row>
    <row r="900" ht="15.75" customHeight="1" s="253">
      <c r="N900" s="343" t="n"/>
      <c r="O900" s="343" t="n"/>
      <c r="P900" s="343" t="n"/>
    </row>
    <row r="901" ht="15.75" customHeight="1" s="253">
      <c r="N901" s="343" t="n"/>
      <c r="O901" s="343" t="n"/>
      <c r="P901" s="343" t="n"/>
    </row>
    <row r="902" ht="15.75" customHeight="1" s="253">
      <c r="N902" s="343" t="n"/>
      <c r="O902" s="343" t="n"/>
      <c r="P902" s="343" t="n"/>
    </row>
    <row r="903" ht="15.75" customHeight="1" s="253">
      <c r="N903" s="343" t="n"/>
      <c r="O903" s="343" t="n"/>
      <c r="P903" s="343" t="n"/>
    </row>
    <row r="904" ht="15.75" customHeight="1" s="253">
      <c r="N904" s="343" t="n"/>
      <c r="O904" s="343" t="n"/>
      <c r="P904" s="343" t="n"/>
    </row>
    <row r="905" ht="15.75" customHeight="1" s="253">
      <c r="N905" s="343" t="n"/>
      <c r="O905" s="343" t="n"/>
      <c r="P905" s="343" t="n"/>
    </row>
    <row r="906" ht="15.75" customHeight="1" s="253">
      <c r="N906" s="343" t="n"/>
      <c r="O906" s="343" t="n"/>
      <c r="P906" s="343" t="n"/>
    </row>
    <row r="907" ht="15.75" customHeight="1" s="253">
      <c r="N907" s="343" t="n"/>
      <c r="O907" s="343" t="n"/>
      <c r="P907" s="343" t="n"/>
    </row>
    <row r="908" ht="15.75" customHeight="1" s="253">
      <c r="N908" s="343" t="n"/>
      <c r="O908" s="343" t="n"/>
      <c r="P908" s="343" t="n"/>
    </row>
    <row r="909" ht="15.75" customHeight="1" s="253">
      <c r="N909" s="343" t="n"/>
      <c r="O909" s="343" t="n"/>
      <c r="P909" s="343" t="n"/>
    </row>
    <row r="910" ht="15.75" customHeight="1" s="253">
      <c r="N910" s="343" t="n"/>
      <c r="O910" s="343" t="n"/>
      <c r="P910" s="343" t="n"/>
    </row>
    <row r="911" ht="15.75" customHeight="1" s="253">
      <c r="N911" s="343" t="n"/>
      <c r="O911" s="343" t="n"/>
      <c r="P911" s="343" t="n"/>
    </row>
    <row r="912" ht="15.75" customHeight="1" s="253">
      <c r="N912" s="343" t="n"/>
      <c r="O912" s="343" t="n"/>
      <c r="P912" s="343" t="n"/>
    </row>
    <row r="913" ht="15.75" customHeight="1" s="253">
      <c r="N913" s="343" t="n"/>
      <c r="O913" s="343" t="n"/>
      <c r="P913" s="343" t="n"/>
    </row>
    <row r="914" ht="15.75" customHeight="1" s="253">
      <c r="N914" s="343" t="n"/>
      <c r="O914" s="343" t="n"/>
      <c r="P914" s="343" t="n"/>
    </row>
    <row r="915" ht="15.75" customHeight="1" s="253">
      <c r="N915" s="343" t="n"/>
      <c r="O915" s="343" t="n"/>
      <c r="P915" s="343" t="n"/>
    </row>
    <row r="916" ht="15.75" customHeight="1" s="253">
      <c r="N916" s="343" t="n"/>
      <c r="O916" s="343" t="n"/>
      <c r="P916" s="343" t="n"/>
    </row>
    <row r="917" ht="15.75" customHeight="1" s="253">
      <c r="N917" s="343" t="n"/>
      <c r="O917" s="343" t="n"/>
      <c r="P917" s="343" t="n"/>
    </row>
    <row r="918" ht="15.75" customHeight="1" s="253">
      <c r="N918" s="343" t="n"/>
      <c r="O918" s="343" t="n"/>
      <c r="P918" s="343" t="n"/>
    </row>
    <row r="919" ht="15.75" customHeight="1" s="253">
      <c r="N919" s="343" t="n"/>
      <c r="O919" s="343" t="n"/>
      <c r="P919" s="343" t="n"/>
    </row>
    <row r="920" ht="15.75" customHeight="1" s="253">
      <c r="N920" s="343" t="n"/>
      <c r="O920" s="343" t="n"/>
      <c r="P920" s="343" t="n"/>
    </row>
    <row r="921" ht="15.75" customHeight="1" s="253">
      <c r="N921" s="343" t="n"/>
      <c r="O921" s="343" t="n"/>
      <c r="P921" s="343" t="n"/>
    </row>
    <row r="922" ht="15.75" customHeight="1" s="253">
      <c r="N922" s="343" t="n"/>
      <c r="O922" s="343" t="n"/>
      <c r="P922" s="343" t="n"/>
    </row>
    <row r="923" ht="15.75" customHeight="1" s="253">
      <c r="N923" s="343" t="n"/>
      <c r="O923" s="343" t="n"/>
      <c r="P923" s="343" t="n"/>
    </row>
    <row r="924" ht="15.75" customHeight="1" s="253">
      <c r="N924" s="343" t="n"/>
      <c r="O924" s="343" t="n"/>
      <c r="P924" s="343" t="n"/>
    </row>
    <row r="925" ht="15.75" customHeight="1" s="253">
      <c r="N925" s="343" t="n"/>
      <c r="O925" s="343" t="n"/>
      <c r="P925" s="343" t="n"/>
    </row>
    <row r="926" ht="15.75" customHeight="1" s="253">
      <c r="N926" s="343" t="n"/>
      <c r="O926" s="343" t="n"/>
      <c r="P926" s="343" t="n"/>
    </row>
    <row r="927" ht="15.75" customHeight="1" s="253">
      <c r="N927" s="343" t="n"/>
      <c r="O927" s="343" t="n"/>
      <c r="P927" s="343" t="n"/>
    </row>
    <row r="928" ht="15.75" customHeight="1" s="253">
      <c r="N928" s="343" t="n"/>
      <c r="O928" s="343" t="n"/>
      <c r="P928" s="343" t="n"/>
    </row>
    <row r="929" ht="15.75" customHeight="1" s="253">
      <c r="N929" s="343" t="n"/>
      <c r="O929" s="343" t="n"/>
      <c r="P929" s="343" t="n"/>
    </row>
    <row r="930" ht="15.75" customHeight="1" s="253">
      <c r="N930" s="343" t="n"/>
      <c r="O930" s="343" t="n"/>
      <c r="P930" s="343" t="n"/>
    </row>
    <row r="931" ht="15.75" customHeight="1" s="253">
      <c r="N931" s="343" t="n"/>
      <c r="O931" s="343" t="n"/>
      <c r="P931" s="343" t="n"/>
    </row>
    <row r="932" ht="15.75" customHeight="1" s="253">
      <c r="N932" s="343" t="n"/>
      <c r="O932" s="343" t="n"/>
      <c r="P932" s="343" t="n"/>
    </row>
    <row r="933" ht="15.75" customHeight="1" s="253">
      <c r="N933" s="343" t="n"/>
      <c r="O933" s="343" t="n"/>
      <c r="P933" s="343" t="n"/>
    </row>
    <row r="934" ht="15.75" customHeight="1" s="253">
      <c r="N934" s="343" t="n"/>
      <c r="O934" s="343" t="n"/>
      <c r="P934" s="343" t="n"/>
    </row>
    <row r="935" ht="15.75" customHeight="1" s="253">
      <c r="N935" s="343" t="n"/>
      <c r="O935" s="343" t="n"/>
      <c r="P935" s="343" t="n"/>
    </row>
    <row r="936" ht="15.75" customHeight="1" s="253">
      <c r="N936" s="343" t="n"/>
      <c r="O936" s="343" t="n"/>
      <c r="P936" s="343" t="n"/>
    </row>
    <row r="937" ht="15.75" customHeight="1" s="253">
      <c r="N937" s="343" t="n"/>
      <c r="O937" s="343" t="n"/>
      <c r="P937" s="343" t="n"/>
    </row>
    <row r="938" ht="15.75" customHeight="1" s="253">
      <c r="N938" s="343" t="n"/>
      <c r="O938" s="343" t="n"/>
      <c r="P938" s="343" t="n"/>
    </row>
    <row r="939" ht="15.75" customHeight="1" s="253">
      <c r="N939" s="343" t="n"/>
      <c r="O939" s="343" t="n"/>
      <c r="P939" s="343" t="n"/>
    </row>
    <row r="940" ht="15.75" customHeight="1" s="253">
      <c r="N940" s="343" t="n"/>
      <c r="O940" s="343" t="n"/>
      <c r="P940" s="343" t="n"/>
    </row>
    <row r="941" ht="15.75" customHeight="1" s="253">
      <c r="N941" s="343" t="n"/>
      <c r="O941" s="343" t="n"/>
      <c r="P941" s="343" t="n"/>
    </row>
    <row r="942" ht="15.75" customHeight="1" s="253">
      <c r="N942" s="343" t="n"/>
      <c r="O942" s="343" t="n"/>
      <c r="P942" s="343" t="n"/>
    </row>
    <row r="943" ht="15.75" customHeight="1" s="253">
      <c r="N943" s="343" t="n"/>
      <c r="O943" s="343" t="n"/>
      <c r="P943" s="343" t="n"/>
    </row>
    <row r="944" ht="15.75" customHeight="1" s="253">
      <c r="N944" s="343" t="n"/>
      <c r="O944" s="343" t="n"/>
      <c r="P944" s="343" t="n"/>
    </row>
    <row r="945" ht="15.75" customHeight="1" s="253">
      <c r="N945" s="343" t="n"/>
      <c r="O945" s="343" t="n"/>
      <c r="P945" s="343" t="n"/>
    </row>
    <row r="946" ht="15.75" customHeight="1" s="253">
      <c r="N946" s="343" t="n"/>
      <c r="O946" s="343" t="n"/>
      <c r="P946" s="343" t="n"/>
    </row>
    <row r="947" ht="15.75" customHeight="1" s="253">
      <c r="N947" s="343" t="n"/>
      <c r="O947" s="343" t="n"/>
      <c r="P947" s="343" t="n"/>
    </row>
    <row r="948" ht="15.75" customHeight="1" s="253">
      <c r="N948" s="343" t="n"/>
      <c r="O948" s="343" t="n"/>
      <c r="P948" s="343" t="n"/>
    </row>
    <row r="949" ht="15.75" customHeight="1" s="253">
      <c r="N949" s="343" t="n"/>
      <c r="O949" s="343" t="n"/>
      <c r="P949" s="343" t="n"/>
    </row>
    <row r="950" ht="15.75" customHeight="1" s="253">
      <c r="N950" s="343" t="n"/>
      <c r="O950" s="343" t="n"/>
      <c r="P950" s="343" t="n"/>
    </row>
    <row r="951" ht="15.75" customHeight="1" s="253">
      <c r="N951" s="343" t="n"/>
      <c r="O951" s="343" t="n"/>
      <c r="P951" s="343" t="n"/>
    </row>
    <row r="952" ht="15.75" customHeight="1" s="253">
      <c r="N952" s="343" t="n"/>
      <c r="O952" s="343" t="n"/>
      <c r="P952" s="343" t="n"/>
    </row>
    <row r="953" ht="15.75" customHeight="1" s="253">
      <c r="N953" s="343" t="n"/>
      <c r="O953" s="343" t="n"/>
      <c r="P953" s="343" t="n"/>
    </row>
    <row r="954" ht="15.75" customHeight="1" s="253">
      <c r="N954" s="343" t="n"/>
      <c r="O954" s="343" t="n"/>
      <c r="P954" s="343" t="n"/>
    </row>
    <row r="955" ht="15.75" customHeight="1" s="253">
      <c r="N955" s="343" t="n"/>
      <c r="O955" s="343" t="n"/>
      <c r="P955" s="343" t="n"/>
    </row>
    <row r="956" ht="15.75" customHeight="1" s="253">
      <c r="N956" s="343" t="n"/>
      <c r="O956" s="343" t="n"/>
      <c r="P956" s="343" t="n"/>
    </row>
    <row r="957" ht="15.75" customHeight="1" s="253">
      <c r="N957" s="343" t="n"/>
      <c r="O957" s="343" t="n"/>
      <c r="P957" s="343" t="n"/>
    </row>
    <row r="958" ht="15.75" customHeight="1" s="253">
      <c r="N958" s="343" t="n"/>
      <c r="O958" s="343" t="n"/>
      <c r="P958" s="343" t="n"/>
    </row>
    <row r="959" ht="15.75" customHeight="1" s="253">
      <c r="N959" s="343" t="n"/>
      <c r="O959" s="343" t="n"/>
      <c r="P959" s="343" t="n"/>
    </row>
    <row r="960" ht="15.75" customHeight="1" s="253">
      <c r="N960" s="343" t="n"/>
      <c r="O960" s="343" t="n"/>
      <c r="P960" s="343" t="n"/>
    </row>
    <row r="961" ht="15.75" customHeight="1" s="253">
      <c r="N961" s="343" t="n"/>
      <c r="O961" s="343" t="n"/>
      <c r="P961" s="343" t="n"/>
    </row>
    <row r="962" ht="15.75" customHeight="1" s="253">
      <c r="N962" s="343" t="n"/>
      <c r="O962" s="343" t="n"/>
      <c r="P962" s="343" t="n"/>
    </row>
    <row r="963" ht="15.75" customHeight="1" s="253">
      <c r="N963" s="343" t="n"/>
      <c r="O963" s="343" t="n"/>
      <c r="P963" s="343" t="n"/>
    </row>
    <row r="964" ht="15.75" customHeight="1" s="253">
      <c r="N964" s="343" t="n"/>
      <c r="O964" s="343" t="n"/>
      <c r="P964" s="343" t="n"/>
    </row>
    <row r="965" ht="15.75" customHeight="1" s="253">
      <c r="N965" s="343" t="n"/>
      <c r="O965" s="343" t="n"/>
      <c r="P965" s="343" t="n"/>
    </row>
    <row r="966" ht="15.75" customHeight="1" s="253">
      <c r="N966" s="343" t="n"/>
      <c r="O966" s="343" t="n"/>
      <c r="P966" s="343" t="n"/>
    </row>
    <row r="967" ht="15.75" customHeight="1" s="253">
      <c r="N967" s="343" t="n"/>
      <c r="O967" s="343" t="n"/>
      <c r="P967" s="343" t="n"/>
    </row>
    <row r="968" ht="15.75" customHeight="1" s="253">
      <c r="N968" s="343" t="n"/>
      <c r="O968" s="343" t="n"/>
      <c r="P968" s="343" t="n"/>
    </row>
    <row r="969" ht="15.75" customHeight="1" s="253">
      <c r="N969" s="343" t="n"/>
      <c r="O969" s="343" t="n"/>
      <c r="P969" s="343" t="n"/>
    </row>
    <row r="970" ht="15.75" customHeight="1" s="253">
      <c r="N970" s="343" t="n"/>
      <c r="O970" s="343" t="n"/>
      <c r="P970" s="343" t="n"/>
    </row>
    <row r="971" ht="15.75" customHeight="1" s="253">
      <c r="N971" s="343" t="n"/>
      <c r="O971" s="343" t="n"/>
      <c r="P971" s="343" t="n"/>
    </row>
    <row r="972" ht="15.75" customHeight="1" s="253">
      <c r="N972" s="343" t="n"/>
      <c r="O972" s="343" t="n"/>
      <c r="P972" s="343" t="n"/>
    </row>
    <row r="973" ht="15.75" customHeight="1" s="253">
      <c r="N973" s="343" t="n"/>
      <c r="O973" s="343" t="n"/>
      <c r="P973" s="343" t="n"/>
    </row>
    <row r="974" ht="15.75" customHeight="1" s="253">
      <c r="N974" s="343" t="n"/>
      <c r="O974" s="343" t="n"/>
      <c r="P974" s="343" t="n"/>
    </row>
    <row r="975" ht="15.75" customHeight="1" s="253">
      <c r="N975" s="343" t="n"/>
      <c r="O975" s="343" t="n"/>
      <c r="P975" s="343" t="n"/>
    </row>
    <row r="976" ht="15.75" customHeight="1" s="253">
      <c r="N976" s="343" t="n"/>
      <c r="O976" s="343" t="n"/>
      <c r="P976" s="343" t="n"/>
    </row>
    <row r="977" ht="15.75" customHeight="1" s="253">
      <c r="N977" s="343" t="n"/>
      <c r="O977" s="343" t="n"/>
      <c r="P977" s="343" t="n"/>
    </row>
    <row r="978" ht="15.75" customHeight="1" s="253">
      <c r="N978" s="343" t="n"/>
      <c r="O978" s="343" t="n"/>
      <c r="P978" s="343" t="n"/>
    </row>
    <row r="979" ht="15.75" customHeight="1" s="253">
      <c r="N979" s="343" t="n"/>
      <c r="O979" s="343" t="n"/>
      <c r="P979" s="343" t="n"/>
    </row>
    <row r="980" ht="15.75" customHeight="1" s="253">
      <c r="N980" s="343" t="n"/>
      <c r="O980" s="343" t="n"/>
      <c r="P980" s="343" t="n"/>
    </row>
    <row r="981" ht="15.75" customHeight="1" s="253">
      <c r="N981" s="343" t="n"/>
      <c r="O981" s="343" t="n"/>
      <c r="P981" s="343" t="n"/>
    </row>
    <row r="982" ht="15.75" customHeight="1" s="253">
      <c r="N982" s="343" t="n"/>
      <c r="O982" s="343" t="n"/>
      <c r="P982" s="343" t="n"/>
    </row>
    <row r="983" ht="15.75" customHeight="1" s="253">
      <c r="N983" s="343" t="n"/>
      <c r="O983" s="343" t="n"/>
      <c r="P983" s="343" t="n"/>
    </row>
    <row r="984" ht="15.75" customHeight="1" s="253">
      <c r="N984" s="343" t="n"/>
      <c r="O984" s="343" t="n"/>
      <c r="P984" s="343" t="n"/>
    </row>
    <row r="985" ht="15.75" customHeight="1" s="253">
      <c r="N985" s="343" t="n"/>
      <c r="O985" s="343" t="n"/>
      <c r="P985" s="343" t="n"/>
    </row>
    <row r="986" ht="15.75" customHeight="1" s="253">
      <c r="N986" s="343" t="n"/>
      <c r="O986" s="343" t="n"/>
      <c r="P986" s="343" t="n"/>
    </row>
    <row r="987" ht="15.75" customHeight="1" s="253">
      <c r="N987" s="343" t="n"/>
      <c r="O987" s="343" t="n"/>
      <c r="P987" s="343" t="n"/>
    </row>
    <row r="988" ht="15.75" customHeight="1" s="253">
      <c r="N988" s="343" t="n"/>
      <c r="O988" s="343" t="n"/>
      <c r="P988" s="343" t="n"/>
    </row>
    <row r="989" ht="15.75" customHeight="1" s="253">
      <c r="N989" s="343" t="n"/>
      <c r="O989" s="343" t="n"/>
      <c r="P989" s="343" t="n"/>
    </row>
    <row r="990" ht="15.75" customHeight="1" s="253">
      <c r="N990" s="343" t="n"/>
      <c r="O990" s="343" t="n"/>
      <c r="P990" s="343" t="n"/>
    </row>
    <row r="991" ht="15.75" customHeight="1" s="253">
      <c r="N991" s="343" t="n"/>
      <c r="O991" s="343" t="n"/>
      <c r="P991" s="343" t="n"/>
    </row>
    <row r="992" ht="15.75" customHeight="1" s="253">
      <c r="N992" s="343" t="n"/>
      <c r="O992" s="343" t="n"/>
      <c r="P992" s="343" t="n"/>
    </row>
    <row r="993" ht="15.75" customHeight="1" s="253">
      <c r="N993" s="343" t="n"/>
      <c r="O993" s="343" t="n"/>
      <c r="P993" s="343" t="n"/>
    </row>
    <row r="994" ht="15.75" customHeight="1" s="253">
      <c r="N994" s="343" t="n"/>
      <c r="O994" s="343" t="n"/>
      <c r="P994" s="343" t="n"/>
    </row>
    <row r="995" ht="15.75" customHeight="1" s="253">
      <c r="N995" s="343" t="n"/>
      <c r="O995" s="343" t="n"/>
      <c r="P995" s="343" t="n"/>
    </row>
    <row r="996" ht="15.75" customHeight="1" s="253">
      <c r="N996" s="343" t="n"/>
      <c r="O996" s="343" t="n"/>
      <c r="P996" s="343" t="n"/>
    </row>
    <row r="997" ht="15.75" customHeight="1" s="253">
      <c r="N997" s="343" t="n"/>
      <c r="O997" s="343" t="n"/>
      <c r="P997" s="343" t="n"/>
    </row>
    <row r="998" ht="15.75" customHeight="1" s="253">
      <c r="N998" s="343" t="n"/>
      <c r="O998" s="343" t="n"/>
      <c r="P998" s="343" t="n"/>
    </row>
    <row r="999" ht="15.75" customHeight="1" s="253">
      <c r="N999" s="343" t="n"/>
      <c r="O999" s="343" t="n"/>
      <c r="P999" s="343" t="n"/>
    </row>
    <row r="1000" ht="15.75" customHeight="1" s="253">
      <c r="N1000" s="343" t="n"/>
      <c r="O1000" s="343" t="n"/>
      <c r="P1000" s="343" t="n"/>
    </row>
    <row r="1001" ht="15.75" customHeight="1" s="253">
      <c r="N1001" s="343" t="n"/>
      <c r="O1001" s="343" t="n"/>
      <c r="P1001" s="343" t="n"/>
    </row>
    <row r="1002" ht="15.75" customHeight="1" s="253">
      <c r="N1002" s="343" t="n"/>
      <c r="O1002" s="343" t="n"/>
      <c r="P1002" s="343" t="n"/>
    </row>
    <row r="1003" ht="15.75" customHeight="1" s="253">
      <c r="N1003" s="343" t="n"/>
      <c r="O1003" s="343" t="n"/>
      <c r="P1003" s="343" t="n"/>
    </row>
    <row r="1004" ht="15.75" customHeight="1" s="253">
      <c r="N1004" s="343" t="n"/>
      <c r="O1004" s="343" t="n"/>
      <c r="P1004" s="343" t="n"/>
    </row>
    <row r="1005" ht="15.75" customHeight="1" s="253">
      <c r="N1005" s="343" t="n"/>
      <c r="O1005" s="343" t="n"/>
      <c r="P1005" s="343" t="n"/>
    </row>
    <row r="1006" ht="15.75" customHeight="1" s="253">
      <c r="N1006" s="343" t="n"/>
      <c r="O1006" s="343" t="n"/>
      <c r="P1006" s="343" t="n"/>
    </row>
    <row r="1007" ht="15.75" customHeight="1" s="253">
      <c r="N1007" s="343" t="n"/>
      <c r="O1007" s="343" t="n"/>
      <c r="P1007" s="343" t="n"/>
    </row>
    <row r="1008" ht="15.75" customHeight="1" s="253">
      <c r="N1008" s="343" t="n"/>
      <c r="O1008" s="343" t="n"/>
      <c r="P1008" s="343" t="n"/>
    </row>
    <row r="1009" ht="15.75" customHeight="1" s="253">
      <c r="N1009" s="343" t="n"/>
      <c r="O1009" s="343" t="n"/>
      <c r="P1009" s="343" t="n"/>
    </row>
    <row r="1010" ht="15.75" customHeight="1" s="253">
      <c r="N1010" s="343" t="n"/>
      <c r="O1010" s="343" t="n"/>
      <c r="P1010" s="343" t="n"/>
    </row>
    <row r="1011" ht="15.75" customHeight="1" s="253">
      <c r="N1011" s="343" t="n"/>
      <c r="O1011" s="343" t="n"/>
      <c r="P1011" s="343" t="n"/>
    </row>
    <row r="1012" ht="15.75" customHeight="1" s="253">
      <c r="N1012" s="343" t="n"/>
      <c r="O1012" s="343" t="n"/>
      <c r="P1012" s="343" t="n"/>
    </row>
    <row r="1013" ht="15.75" customHeight="1" s="253">
      <c r="N1013" s="343" t="n"/>
      <c r="O1013" s="343" t="n"/>
      <c r="P1013" s="343" t="n"/>
    </row>
    <row r="1014" ht="15.75" customHeight="1" s="253">
      <c r="N1014" s="343" t="n"/>
      <c r="O1014" s="343" t="n"/>
      <c r="P1014" s="343" t="n"/>
    </row>
    <row r="1015" ht="15.75" customHeight="1" s="253">
      <c r="N1015" s="343" t="n"/>
      <c r="O1015" s="343" t="n"/>
      <c r="P1015" s="343" t="n"/>
    </row>
    <row r="1016" ht="15.75" customHeight="1" s="253">
      <c r="N1016" s="343" t="n"/>
      <c r="O1016" s="343" t="n"/>
      <c r="P1016" s="343" t="n"/>
    </row>
    <row r="1017" ht="15.75" customHeight="1" s="253">
      <c r="N1017" s="343" t="n"/>
      <c r="O1017" s="343" t="n"/>
      <c r="P1017" s="343" t="n"/>
    </row>
    <row r="1018" ht="15.75" customHeight="1" s="253">
      <c r="N1018" s="343" t="n"/>
      <c r="O1018" s="343" t="n"/>
      <c r="P1018" s="343" t="n"/>
    </row>
    <row r="1019" ht="15.75" customHeight="1" s="253">
      <c r="N1019" s="343" t="n"/>
      <c r="O1019" s="343" t="n"/>
      <c r="P1019" s="343" t="n"/>
    </row>
    <row r="1020" ht="15.75" customHeight="1" s="253">
      <c r="N1020" s="343" t="n"/>
      <c r="O1020" s="343" t="n"/>
      <c r="P1020" s="343" t="n"/>
    </row>
    <row r="1021" ht="15.75" customHeight="1" s="253">
      <c r="N1021" s="343" t="n"/>
      <c r="O1021" s="343" t="n"/>
      <c r="P1021" s="343" t="n"/>
    </row>
    <row r="1022" ht="15" customHeight="1" s="253">
      <c r="N1022" s="343" t="n"/>
      <c r="O1022" s="343" t="n"/>
      <c r="P1022" s="343" t="n"/>
    </row>
    <row r="1023" ht="15" customHeight="1" s="253">
      <c r="N1023" s="343" t="n"/>
      <c r="O1023" s="343" t="n"/>
      <c r="P1023" s="343" t="n"/>
    </row>
    <row r="1024" ht="15" customHeight="1" s="253">
      <c r="N1024" s="343" t="n"/>
      <c r="O1024" s="343" t="n"/>
      <c r="P1024" s="343" t="n"/>
    </row>
    <row r="1025" ht="15" customHeight="1" s="253">
      <c r="N1025" s="343" t="n"/>
      <c r="O1025" s="343" t="n"/>
      <c r="P1025" s="343" t="n"/>
    </row>
    <row r="1026" ht="15" customHeight="1" s="253">
      <c r="N1026" s="343" t="n"/>
      <c r="O1026" s="343" t="n"/>
      <c r="P1026" s="343" t="n"/>
    </row>
    <row r="1027" ht="15" customHeight="1" s="253">
      <c r="N1027" s="343" t="n"/>
      <c r="O1027" s="343" t="n"/>
      <c r="P1027" s="343" t="n"/>
    </row>
    <row r="1028" ht="15" customHeight="1" s="253">
      <c r="N1028" s="343" t="n"/>
      <c r="O1028" s="343" t="n"/>
      <c r="P1028" s="343" t="n"/>
    </row>
    <row r="1029" ht="15" customHeight="1" s="253">
      <c r="N1029" s="343" t="n"/>
      <c r="O1029" s="343" t="n"/>
      <c r="P1029" s="343" t="n"/>
    </row>
    <row r="1030" ht="15" customHeight="1" s="253">
      <c r="N1030" s="343" t="n"/>
      <c r="O1030" s="343" t="n"/>
      <c r="P1030" s="343" t="n"/>
    </row>
    <row r="1031" ht="15" customHeight="1" s="253">
      <c r="N1031" s="343" t="n"/>
      <c r="O1031" s="343" t="n"/>
      <c r="P1031" s="343" t="n"/>
    </row>
    <row r="1032" ht="15" customHeight="1" s="253">
      <c r="N1032" s="343" t="n"/>
      <c r="O1032" s="343" t="n"/>
      <c r="P1032" s="343" t="n"/>
    </row>
    <row r="1033" ht="15" customHeight="1" s="253">
      <c r="N1033" s="343" t="n"/>
      <c r="O1033" s="343" t="n"/>
      <c r="P1033" s="343" t="n"/>
    </row>
    <row r="1034" ht="15" customHeight="1" s="253">
      <c r="N1034" s="343" t="n"/>
      <c r="O1034" s="343" t="n"/>
      <c r="P1034" s="343" t="n"/>
    </row>
    <row r="1035" ht="15" customHeight="1" s="253">
      <c r="N1035" s="343" t="n"/>
      <c r="O1035" s="343" t="n"/>
      <c r="P1035" s="343" t="n"/>
    </row>
    <row r="1036" ht="15" customHeight="1" s="253">
      <c r="N1036" s="343" t="n"/>
      <c r="O1036" s="343" t="n"/>
      <c r="P1036" s="343" t="n"/>
    </row>
    <row r="1037" ht="15" customHeight="1" s="253">
      <c r="N1037" s="343" t="n"/>
      <c r="O1037" s="343" t="n"/>
      <c r="P1037" s="343" t="n"/>
    </row>
    <row r="1038" ht="15" customHeight="1" s="253">
      <c r="N1038" s="343" t="n"/>
      <c r="O1038" s="343" t="n"/>
      <c r="P1038" s="343" t="n"/>
    </row>
    <row r="1039" ht="15" customHeight="1" s="253">
      <c r="N1039" s="343" t="n"/>
      <c r="O1039" s="343" t="n"/>
      <c r="P1039" s="343" t="n"/>
    </row>
    <row r="1040" ht="15" customHeight="1" s="253">
      <c r="N1040" s="343" t="n"/>
      <c r="O1040" s="343" t="n"/>
      <c r="P1040" s="343" t="n"/>
    </row>
    <row r="1041" ht="15" customHeight="1" s="253">
      <c r="N1041" s="343" t="n"/>
      <c r="O1041" s="343" t="n"/>
      <c r="P1041" s="343" t="n"/>
    </row>
    <row r="1042" ht="15" customHeight="1" s="253">
      <c r="N1042" s="343" t="n"/>
      <c r="O1042" s="343" t="n"/>
      <c r="P1042" s="343" t="n"/>
    </row>
    <row r="1043" ht="15" customHeight="1" s="253">
      <c r="N1043" s="343" t="n"/>
      <c r="O1043" s="343" t="n"/>
      <c r="P1043" s="343" t="n"/>
    </row>
    <row r="1044" ht="15" customHeight="1" s="253">
      <c r="N1044" s="343" t="n"/>
      <c r="O1044" s="343" t="n"/>
      <c r="P1044" s="343" t="n"/>
    </row>
    <row r="1045" ht="15" customHeight="1" s="253">
      <c r="N1045" s="343" t="n"/>
      <c r="O1045" s="343" t="n"/>
      <c r="P1045" s="343" t="n"/>
    </row>
    <row r="1046" ht="15" customHeight="1" s="253">
      <c r="N1046" s="343" t="n"/>
      <c r="O1046" s="343" t="n"/>
      <c r="P1046" s="343" t="n"/>
    </row>
    <row r="1047" ht="15" customHeight="1" s="253">
      <c r="N1047" s="343" t="n"/>
      <c r="O1047" s="343" t="n"/>
      <c r="P1047" s="343" t="n"/>
    </row>
    <row r="1048" ht="15" customHeight="1" s="253">
      <c r="N1048" s="343" t="n"/>
      <c r="O1048" s="343" t="n"/>
      <c r="P1048" s="343" t="n"/>
    </row>
    <row r="1049" ht="15" customHeight="1" s="253">
      <c r="N1049" s="343" t="n"/>
      <c r="O1049" s="343" t="n"/>
      <c r="P1049" s="343" t="n"/>
    </row>
    <row r="1050" ht="15" customHeight="1" s="253">
      <c r="N1050" s="343" t="n"/>
      <c r="O1050" s="343" t="n"/>
      <c r="P1050" s="343" t="n"/>
    </row>
    <row r="1051" ht="15" customHeight="1" s="253">
      <c r="N1051" s="343" t="n"/>
      <c r="O1051" s="343" t="n"/>
      <c r="P1051" s="343" t="n"/>
    </row>
    <row r="1052" ht="15" customHeight="1" s="253">
      <c r="N1052" s="343" t="n"/>
      <c r="O1052" s="343" t="n"/>
      <c r="P1052" s="343" t="n"/>
    </row>
    <row r="1053" ht="15" customHeight="1" s="253">
      <c r="N1053" s="343" t="n"/>
      <c r="O1053" s="343" t="n"/>
      <c r="P1053" s="343" t="n"/>
    </row>
    <row r="1054" ht="15" customHeight="1" s="253">
      <c r="N1054" s="343" t="n"/>
      <c r="O1054" s="343" t="n"/>
      <c r="P1054" s="343" t="n"/>
    </row>
    <row r="1055" ht="15" customHeight="1" s="253">
      <c r="N1055" s="343" t="n"/>
      <c r="O1055" s="343" t="n"/>
      <c r="P1055" s="343" t="n"/>
    </row>
    <row r="1056" ht="15" customHeight="1" s="253">
      <c r="N1056" s="343" t="n"/>
      <c r="O1056" s="343" t="n"/>
      <c r="P1056" s="343" t="n"/>
    </row>
    <row r="1057" ht="15" customHeight="1" s="253">
      <c r="N1057" s="343" t="n"/>
      <c r="O1057" s="343" t="n"/>
      <c r="P1057" s="343" t="n"/>
    </row>
    <row r="1058" ht="15" customHeight="1" s="253">
      <c r="N1058" s="343" t="n"/>
      <c r="O1058" s="343" t="n"/>
      <c r="P1058" s="343" t="n"/>
    </row>
    <row r="1059" ht="15" customHeight="1" s="253">
      <c r="N1059" s="343" t="n"/>
      <c r="O1059" s="343" t="n"/>
      <c r="P1059" s="343" t="n"/>
    </row>
    <row r="1060" ht="15" customHeight="1" s="253">
      <c r="N1060" s="343" t="n"/>
      <c r="O1060" s="343" t="n"/>
      <c r="P1060" s="343" t="n"/>
    </row>
    <row r="1061" ht="15" customHeight="1" s="253">
      <c r="N1061" s="343" t="n"/>
      <c r="O1061" s="343" t="n"/>
      <c r="P1061" s="343" t="n"/>
    </row>
    <row r="1062" ht="15" customHeight="1" s="253">
      <c r="N1062" s="343" t="n"/>
      <c r="O1062" s="343" t="n"/>
      <c r="P1062" s="343" t="n"/>
    </row>
    <row r="1063" ht="15" customHeight="1" s="253">
      <c r="N1063" s="343" t="n"/>
      <c r="O1063" s="343" t="n"/>
      <c r="P1063" s="343" t="n"/>
    </row>
    <row r="1064" ht="15" customHeight="1" s="253">
      <c r="N1064" s="343" t="n"/>
      <c r="O1064" s="343" t="n"/>
      <c r="P1064" s="343" t="n"/>
    </row>
    <row r="1065" ht="15" customHeight="1" s="253">
      <c r="N1065" s="343" t="n"/>
      <c r="O1065" s="343" t="n"/>
      <c r="P1065" s="343" t="n"/>
    </row>
    <row r="1066" ht="15" customHeight="1" s="253">
      <c r="N1066" s="343" t="n"/>
      <c r="O1066" s="343" t="n"/>
      <c r="P1066" s="343" t="n"/>
    </row>
    <row r="1067" ht="15" customHeight="1" s="253">
      <c r="N1067" s="343" t="n"/>
      <c r="O1067" s="343" t="n"/>
      <c r="P1067" s="343" t="n"/>
    </row>
    <row r="1068" ht="15" customHeight="1" s="253">
      <c r="N1068" s="343" t="n"/>
      <c r="O1068" s="343" t="n"/>
      <c r="P1068" s="343" t="n"/>
    </row>
    <row r="1069" ht="15" customHeight="1" s="253">
      <c r="N1069" s="343" t="n"/>
      <c r="O1069" s="343" t="n"/>
      <c r="P1069" s="343" t="n"/>
    </row>
    <row r="1070" ht="15" customHeight="1" s="253">
      <c r="N1070" s="343" t="n"/>
      <c r="O1070" s="343" t="n"/>
      <c r="P1070" s="343" t="n"/>
    </row>
    <row r="1071" ht="15" customHeight="1" s="253">
      <c r="N1071" s="343" t="n"/>
      <c r="O1071" s="343" t="n"/>
      <c r="P1071" s="343" t="n"/>
    </row>
    <row r="1072" ht="15" customHeight="1" s="253">
      <c r="N1072" s="343" t="n"/>
      <c r="O1072" s="343" t="n"/>
      <c r="P1072" s="343" t="n"/>
    </row>
    <row r="1073" ht="15" customHeight="1" s="253">
      <c r="N1073" s="343" t="n"/>
      <c r="O1073" s="343" t="n"/>
      <c r="P1073" s="343" t="n"/>
    </row>
    <row r="1074" ht="15" customHeight="1" s="253">
      <c r="N1074" s="343" t="n"/>
      <c r="O1074" s="343" t="n"/>
      <c r="P1074" s="343" t="n"/>
    </row>
    <row r="1075" ht="15" customHeight="1" s="253">
      <c r="N1075" s="343" t="n"/>
      <c r="O1075" s="343" t="n"/>
      <c r="P1075" s="343" t="n"/>
    </row>
    <row r="1076" ht="15" customHeight="1" s="253">
      <c r="N1076" s="343" t="n"/>
      <c r="O1076" s="343" t="n"/>
      <c r="P1076" s="343" t="n"/>
    </row>
    <row r="1077" ht="15" customHeight="1" s="253">
      <c r="N1077" s="343" t="n"/>
      <c r="O1077" s="343" t="n"/>
      <c r="P1077" s="343" t="n"/>
    </row>
    <row r="1078" ht="15" customHeight="1" s="253">
      <c r="N1078" s="343" t="n"/>
      <c r="O1078" s="343" t="n"/>
      <c r="P1078" s="343" t="n"/>
    </row>
    <row r="1079" ht="15" customHeight="1" s="253">
      <c r="N1079" s="343" t="n"/>
      <c r="O1079" s="343" t="n"/>
      <c r="P1079" s="343" t="n"/>
    </row>
    <row r="1080" ht="15" customHeight="1" s="253">
      <c r="N1080" s="343" t="n"/>
      <c r="O1080" s="343" t="n"/>
      <c r="P1080" s="343" t="n"/>
    </row>
    <row r="1081" ht="15" customHeight="1" s="253">
      <c r="N1081" s="343" t="n"/>
      <c r="O1081" s="343" t="n"/>
      <c r="P1081" s="343" t="n"/>
    </row>
    <row r="1082" ht="15" customHeight="1" s="253">
      <c r="N1082" s="343" t="n"/>
      <c r="O1082" s="343" t="n"/>
      <c r="P1082" s="343" t="n"/>
    </row>
    <row r="1083" ht="15" customHeight="1" s="253">
      <c r="N1083" s="343" t="n"/>
      <c r="O1083" s="343" t="n"/>
      <c r="P1083" s="343" t="n"/>
    </row>
    <row r="1084" ht="15" customHeight="1" s="253">
      <c r="N1084" s="343" t="n"/>
      <c r="O1084" s="343" t="n"/>
      <c r="P1084" s="343" t="n"/>
    </row>
    <row r="1085" ht="15" customHeight="1" s="253">
      <c r="N1085" s="343" t="n"/>
      <c r="O1085" s="343" t="n"/>
      <c r="P1085" s="343" t="n"/>
    </row>
    <row r="1086" ht="15" customHeight="1" s="253">
      <c r="N1086" s="343" t="n"/>
      <c r="O1086" s="343" t="n"/>
      <c r="P1086" s="343" t="n"/>
    </row>
    <row r="1087" ht="15" customHeight="1" s="253">
      <c r="N1087" s="343" t="n"/>
      <c r="O1087" s="343" t="n"/>
      <c r="P1087" s="343" t="n"/>
    </row>
    <row r="1088" ht="15" customHeight="1" s="253">
      <c r="N1088" s="343" t="n"/>
      <c r="O1088" s="343" t="n"/>
      <c r="P1088" s="343" t="n"/>
    </row>
    <row r="1089" ht="15" customHeight="1" s="253">
      <c r="N1089" s="343" t="n"/>
      <c r="O1089" s="343" t="n"/>
      <c r="P1089" s="343" t="n"/>
    </row>
    <row r="1090" ht="15" customHeight="1" s="253">
      <c r="N1090" s="343" t="n"/>
      <c r="O1090" s="343" t="n"/>
      <c r="P1090" s="343" t="n"/>
    </row>
    <row r="1091" ht="15" customHeight="1" s="253">
      <c r="N1091" s="343" t="n"/>
      <c r="O1091" s="343" t="n"/>
      <c r="P1091" s="343" t="n"/>
    </row>
    <row r="1092" ht="15" customHeight="1" s="253">
      <c r="N1092" s="343" t="n"/>
      <c r="O1092" s="343" t="n"/>
      <c r="P1092" s="343" t="n"/>
    </row>
    <row r="1093" ht="15" customHeight="1" s="253">
      <c r="N1093" s="343" t="n"/>
      <c r="O1093" s="343" t="n"/>
      <c r="P1093" s="343" t="n"/>
    </row>
    <row r="1094" ht="15" customHeight="1" s="253">
      <c r="N1094" s="343" t="n"/>
      <c r="O1094" s="343" t="n"/>
      <c r="P1094" s="343" t="n"/>
    </row>
    <row r="1095" ht="15" customHeight="1" s="253">
      <c r="N1095" s="343" t="n"/>
      <c r="O1095" s="343" t="n"/>
      <c r="P1095" s="343" t="n"/>
    </row>
    <row r="1096" ht="15" customHeight="1" s="253">
      <c r="N1096" s="343" t="n"/>
      <c r="O1096" s="343" t="n"/>
      <c r="P1096" s="343" t="n"/>
    </row>
    <row r="1097" ht="15" customHeight="1" s="253">
      <c r="N1097" s="343" t="n"/>
      <c r="O1097" s="343" t="n"/>
      <c r="P1097" s="343" t="n"/>
    </row>
    <row r="1098" ht="15" customHeight="1" s="253">
      <c r="N1098" s="343" t="n"/>
      <c r="O1098" s="343" t="n"/>
      <c r="P1098" s="343" t="n"/>
    </row>
    <row r="1099" ht="15" customHeight="1" s="253">
      <c r="N1099" s="343" t="n"/>
      <c r="O1099" s="343" t="n"/>
      <c r="P1099" s="343" t="n"/>
    </row>
    <row r="1100" ht="15" customHeight="1" s="253">
      <c r="N1100" s="343" t="n"/>
      <c r="O1100" s="343" t="n"/>
      <c r="P1100" s="343" t="n"/>
    </row>
    <row r="1101" ht="15" customHeight="1" s="253">
      <c r="N1101" s="343" t="n"/>
      <c r="O1101" s="343" t="n"/>
      <c r="P1101" s="343" t="n"/>
    </row>
    <row r="1102" ht="15" customHeight="1" s="253">
      <c r="N1102" s="343" t="n"/>
      <c r="O1102" s="343" t="n"/>
      <c r="P1102" s="343" t="n"/>
    </row>
    <row r="1103" ht="15" customHeight="1" s="253">
      <c r="N1103" s="343" t="n"/>
      <c r="O1103" s="343" t="n"/>
      <c r="P1103" s="343" t="n"/>
    </row>
    <row r="1104" ht="15" customHeight="1" s="253">
      <c r="N1104" s="343" t="n"/>
      <c r="O1104" s="343" t="n"/>
      <c r="P1104" s="343" t="n"/>
    </row>
    <row r="1105" ht="15" customHeight="1" s="253">
      <c r="N1105" s="343" t="n"/>
      <c r="O1105" s="343" t="n"/>
      <c r="P1105" s="343" t="n"/>
    </row>
    <row r="1106" ht="15" customHeight="1" s="253">
      <c r="N1106" s="343" t="n"/>
      <c r="O1106" s="343" t="n"/>
      <c r="P1106" s="343" t="n"/>
    </row>
    <row r="1107" ht="15" customHeight="1" s="253">
      <c r="N1107" s="343" t="n"/>
      <c r="O1107" s="343" t="n"/>
      <c r="P1107" s="343" t="n"/>
    </row>
    <row r="1108" ht="15" customHeight="1" s="253">
      <c r="N1108" s="343" t="n"/>
      <c r="O1108" s="343" t="n"/>
      <c r="P1108" s="343" t="n"/>
    </row>
    <row r="1109" ht="15" customHeight="1" s="253">
      <c r="N1109" s="343" t="n"/>
      <c r="O1109" s="343" t="n"/>
      <c r="P1109" s="343" t="n"/>
    </row>
    <row r="1110" ht="15" customHeight="1" s="253">
      <c r="N1110" s="343" t="n"/>
      <c r="O1110" s="343" t="n"/>
      <c r="P1110" s="343" t="n"/>
    </row>
    <row r="1111" ht="15" customHeight="1" s="253">
      <c r="N1111" s="343" t="n"/>
      <c r="O1111" s="343" t="n"/>
      <c r="P1111" s="343" t="n"/>
    </row>
    <row r="1112" ht="15" customHeight="1" s="253">
      <c r="N1112" s="343" t="n"/>
      <c r="O1112" s="343" t="n"/>
      <c r="P1112" s="343" t="n"/>
    </row>
    <row r="1113" ht="15" customHeight="1" s="253">
      <c r="N1113" s="343" t="n"/>
      <c r="O1113" s="343" t="n"/>
      <c r="P1113" s="343" t="n"/>
    </row>
    <row r="1114" ht="15" customHeight="1" s="253">
      <c r="N1114" s="343" t="n"/>
      <c r="O1114" s="343" t="n"/>
      <c r="P1114" s="343" t="n"/>
    </row>
    <row r="1115" ht="15" customHeight="1" s="253">
      <c r="N1115" s="343" t="n"/>
      <c r="O1115" s="343" t="n"/>
      <c r="P1115" s="343" t="n"/>
    </row>
    <row r="1116" ht="15" customHeight="1" s="253">
      <c r="N1116" s="343" t="n"/>
      <c r="O1116" s="343" t="n"/>
      <c r="P1116" s="343" t="n"/>
    </row>
    <row r="1117" ht="15" customHeight="1" s="253">
      <c r="N1117" s="343" t="n"/>
      <c r="O1117" s="343" t="n"/>
      <c r="P1117" s="343" t="n"/>
    </row>
    <row r="1118" ht="15" customHeight="1" s="253">
      <c r="N1118" s="343" t="n"/>
      <c r="O1118" s="343" t="n"/>
      <c r="P1118" s="343" t="n"/>
    </row>
    <row r="1119" ht="15" customHeight="1" s="253">
      <c r="N1119" s="343" t="n"/>
      <c r="O1119" s="343" t="n"/>
      <c r="P1119" s="343" t="n"/>
    </row>
    <row r="1120" ht="15" customHeight="1" s="253">
      <c r="N1120" s="343" t="n"/>
      <c r="O1120" s="343" t="n"/>
      <c r="P1120" s="343" t="n"/>
    </row>
    <row r="1121" ht="15" customHeight="1" s="253">
      <c r="N1121" s="343" t="n"/>
      <c r="O1121" s="343" t="n"/>
      <c r="P1121" s="343" t="n"/>
    </row>
    <row r="1122" ht="15" customHeight="1" s="253">
      <c r="N1122" s="343" t="n"/>
      <c r="O1122" s="343" t="n"/>
      <c r="P1122" s="343" t="n"/>
    </row>
    <row r="1123" ht="15" customHeight="1" s="253">
      <c r="N1123" s="343" t="n"/>
      <c r="O1123" s="343" t="n"/>
      <c r="P1123" s="343" t="n"/>
    </row>
    <row r="1124" ht="15" customHeight="1" s="253">
      <c r="N1124" s="343" t="n"/>
      <c r="O1124" s="343" t="n"/>
      <c r="P1124" s="343" t="n"/>
    </row>
    <row r="1125" ht="15" customHeight="1" s="253">
      <c r="N1125" s="343" t="n"/>
      <c r="O1125" s="343" t="n"/>
      <c r="P1125" s="343" t="n"/>
    </row>
    <row r="1126" ht="15" customHeight="1" s="253">
      <c r="N1126" s="343" t="n"/>
      <c r="O1126" s="343" t="n"/>
      <c r="P1126" s="343" t="n"/>
    </row>
    <row r="1127" ht="15" customHeight="1" s="253">
      <c r="N1127" s="343" t="n"/>
      <c r="O1127" s="343" t="n"/>
      <c r="P1127" s="343" t="n"/>
    </row>
    <row r="1128" ht="15" customHeight="1" s="253">
      <c r="N1128" s="343" t="n"/>
      <c r="O1128" s="343" t="n"/>
      <c r="P1128" s="343" t="n"/>
    </row>
    <row r="1129" ht="15" customHeight="1" s="253">
      <c r="N1129" s="343" t="n"/>
      <c r="O1129" s="343" t="n"/>
      <c r="P1129" s="343" t="n"/>
    </row>
    <row r="1130" ht="15" customHeight="1" s="253">
      <c r="N1130" s="343" t="n"/>
      <c r="O1130" s="343" t="n"/>
      <c r="P1130" s="343" t="n"/>
    </row>
    <row r="1131" ht="15" customHeight="1" s="253">
      <c r="N1131" s="343" t="n"/>
      <c r="O1131" s="343" t="n"/>
      <c r="P1131" s="343" t="n"/>
    </row>
    <row r="1132" ht="15" customHeight="1" s="253">
      <c r="N1132" s="343" t="n"/>
      <c r="O1132" s="343" t="n"/>
      <c r="P1132" s="343" t="n"/>
    </row>
    <row r="1133" ht="15" customHeight="1" s="253">
      <c r="N1133" s="343" t="n"/>
      <c r="O1133" s="343" t="n"/>
      <c r="P1133" s="343" t="n"/>
    </row>
    <row r="1134" ht="15" customHeight="1" s="253">
      <c r="N1134" s="343" t="n"/>
      <c r="O1134" s="343" t="n"/>
      <c r="P1134" s="343" t="n"/>
    </row>
    <row r="1135" ht="15" customHeight="1" s="253">
      <c r="N1135" s="343" t="n"/>
      <c r="O1135" s="343" t="n"/>
      <c r="P1135" s="343" t="n"/>
    </row>
    <row r="1136" ht="15" customHeight="1" s="253">
      <c r="N1136" s="343" t="n"/>
      <c r="O1136" s="343" t="n"/>
      <c r="P1136" s="343" t="n"/>
    </row>
    <row r="1137" ht="15" customHeight="1" s="253">
      <c r="N1137" s="343" t="n"/>
      <c r="O1137" s="343" t="n"/>
      <c r="P1137" s="343" t="n"/>
    </row>
    <row r="1138" ht="15" customHeight="1" s="253">
      <c r="N1138" s="343" t="n"/>
      <c r="O1138" s="343" t="n"/>
      <c r="P1138" s="343" t="n"/>
    </row>
    <row r="1139" ht="15" customHeight="1" s="253">
      <c r="N1139" s="343" t="n"/>
      <c r="O1139" s="343" t="n"/>
      <c r="P1139" s="343" t="n"/>
    </row>
    <row r="1140" ht="15" customHeight="1" s="253">
      <c r="N1140" s="343" t="n"/>
      <c r="O1140" s="343" t="n"/>
      <c r="P1140" s="343" t="n"/>
    </row>
    <row r="1141" ht="15" customHeight="1" s="253">
      <c r="N1141" s="343" t="n"/>
      <c r="O1141" s="343" t="n"/>
      <c r="P1141" s="343" t="n"/>
    </row>
    <row r="1142" ht="15" customHeight="1" s="253">
      <c r="N1142" s="343" t="n"/>
      <c r="O1142" s="343" t="n"/>
      <c r="P1142" s="343" t="n"/>
    </row>
    <row r="1143" ht="15" customHeight="1" s="253">
      <c r="N1143" s="343" t="n"/>
      <c r="O1143" s="343" t="n"/>
      <c r="P1143" s="343" t="n"/>
    </row>
    <row r="1144" ht="15" customHeight="1" s="253">
      <c r="N1144" s="343" t="n"/>
      <c r="O1144" s="343" t="n"/>
      <c r="P1144" s="343" t="n"/>
    </row>
    <row r="1145" ht="15" customHeight="1" s="253">
      <c r="N1145" s="343" t="n"/>
      <c r="O1145" s="343" t="n"/>
      <c r="P1145" s="343" t="n"/>
    </row>
    <row r="1146" ht="15" customHeight="1" s="253">
      <c r="N1146" s="343" t="n"/>
      <c r="O1146" s="343" t="n"/>
      <c r="P1146" s="343" t="n"/>
    </row>
    <row r="1147" ht="15" customHeight="1" s="253">
      <c r="N1147" s="343" t="n"/>
      <c r="O1147" s="343" t="n"/>
      <c r="P1147" s="343" t="n"/>
    </row>
    <row r="1148" ht="15" customHeight="1" s="253">
      <c r="N1148" s="343" t="n"/>
      <c r="O1148" s="343" t="n"/>
      <c r="P1148" s="343" t="n"/>
    </row>
    <row r="1149" ht="15" customHeight="1" s="253">
      <c r="N1149" s="343" t="n"/>
      <c r="O1149" s="343" t="n"/>
      <c r="P1149" s="343" t="n"/>
    </row>
    <row r="1150" ht="15" customHeight="1" s="253">
      <c r="N1150" s="343" t="n"/>
      <c r="O1150" s="343" t="n"/>
      <c r="P1150" s="343" t="n"/>
    </row>
    <row r="1151" ht="15" customHeight="1" s="253">
      <c r="N1151" s="343" t="n"/>
      <c r="O1151" s="343" t="n"/>
      <c r="P1151" s="343" t="n"/>
    </row>
    <row r="1152" ht="15" customHeight="1" s="253">
      <c r="N1152" s="343" t="n"/>
      <c r="O1152" s="343" t="n"/>
      <c r="P1152" s="343" t="n"/>
    </row>
    <row r="1153" ht="15" customHeight="1" s="253">
      <c r="N1153" s="343" t="n"/>
      <c r="O1153" s="343" t="n"/>
      <c r="P1153" s="343" t="n"/>
    </row>
    <row r="1154" ht="15" customHeight="1" s="253">
      <c r="N1154" s="343" t="n"/>
      <c r="O1154" s="343" t="n"/>
      <c r="P1154" s="343" t="n"/>
    </row>
    <row r="1155" ht="15" customHeight="1" s="253">
      <c r="N1155" s="343" t="n"/>
      <c r="O1155" s="343" t="n"/>
      <c r="P1155" s="343" t="n"/>
    </row>
    <row r="1156" ht="15" customHeight="1" s="253">
      <c r="N1156" s="343" t="n"/>
      <c r="O1156" s="343" t="n"/>
      <c r="P1156" s="343" t="n"/>
    </row>
    <row r="1157" ht="15" customHeight="1" s="253">
      <c r="N1157" s="343" t="n"/>
      <c r="O1157" s="343" t="n"/>
      <c r="P1157" s="343" t="n"/>
    </row>
    <row r="1158" ht="15" customHeight="1" s="253">
      <c r="N1158" s="343" t="n"/>
      <c r="O1158" s="343" t="n"/>
      <c r="P1158" s="343" t="n"/>
    </row>
    <row r="1159" ht="15" customHeight="1" s="253">
      <c r="N1159" s="343" t="n"/>
      <c r="O1159" s="343" t="n"/>
      <c r="P1159" s="343" t="n"/>
    </row>
    <row r="1160" ht="15" customHeight="1" s="253">
      <c r="N1160" s="343" t="n"/>
      <c r="O1160" s="343" t="n"/>
      <c r="P1160" s="343" t="n"/>
    </row>
    <row r="1161" ht="15" customHeight="1" s="253">
      <c r="N1161" s="343" t="n"/>
      <c r="O1161" s="343" t="n"/>
      <c r="P1161" s="343" t="n"/>
    </row>
    <row r="1162" ht="15" customHeight="1" s="253">
      <c r="N1162" s="343" t="n"/>
      <c r="O1162" s="343" t="n"/>
      <c r="P1162" s="343" t="n"/>
    </row>
    <row r="1163" ht="15" customHeight="1" s="253">
      <c r="N1163" s="343" t="n"/>
      <c r="O1163" s="343" t="n"/>
      <c r="P1163" s="343" t="n"/>
    </row>
    <row r="1164" ht="15" customHeight="1" s="253">
      <c r="N1164" s="343" t="n"/>
      <c r="O1164" s="343" t="n"/>
      <c r="P1164" s="343" t="n"/>
    </row>
    <row r="1165" ht="15" customHeight="1" s="253">
      <c r="N1165" s="343" t="n"/>
      <c r="O1165" s="343" t="n"/>
      <c r="P1165" s="343" t="n"/>
    </row>
    <row r="1166" ht="15" customHeight="1" s="253">
      <c r="N1166" s="343" t="n"/>
      <c r="O1166" s="343" t="n"/>
      <c r="P1166" s="343" t="n"/>
    </row>
    <row r="1167" ht="15" customHeight="1" s="253">
      <c r="N1167" s="343" t="n"/>
      <c r="O1167" s="343" t="n"/>
      <c r="P1167" s="343" t="n"/>
    </row>
    <row r="1168" ht="15" customHeight="1" s="253">
      <c r="N1168" s="343" t="n"/>
      <c r="O1168" s="343" t="n"/>
      <c r="P1168" s="343" t="n"/>
    </row>
    <row r="1169" ht="15" customHeight="1" s="253">
      <c r="N1169" s="343" t="n"/>
      <c r="O1169" s="343" t="n"/>
      <c r="P1169" s="343" t="n"/>
    </row>
    <row r="1170" ht="15" customHeight="1" s="253">
      <c r="N1170" s="343" t="n"/>
      <c r="O1170" s="343" t="n"/>
      <c r="P1170" s="343" t="n"/>
    </row>
    <row r="1171" ht="15" customHeight="1" s="253">
      <c r="N1171" s="343" t="n"/>
      <c r="O1171" s="343" t="n"/>
      <c r="P1171" s="343" t="n"/>
    </row>
    <row r="1172" ht="15" customHeight="1" s="253">
      <c r="N1172" s="343" t="n"/>
      <c r="O1172" s="343" t="n"/>
      <c r="P1172" s="343" t="n"/>
    </row>
    <row r="1173" ht="15" customHeight="1" s="253">
      <c r="N1173" s="343" t="n"/>
      <c r="O1173" s="343" t="n"/>
      <c r="P1173" s="343" t="n"/>
    </row>
    <row r="1174" ht="15" customHeight="1" s="253">
      <c r="N1174" s="343" t="n"/>
      <c r="O1174" s="343" t="n"/>
      <c r="P1174" s="343" t="n"/>
    </row>
    <row r="1175" ht="15" customHeight="1" s="253">
      <c r="N1175" s="343" t="n"/>
      <c r="O1175" s="343" t="n"/>
      <c r="P1175" s="343" t="n"/>
    </row>
    <row r="1176" ht="15" customHeight="1" s="253">
      <c r="N1176" s="343" t="n"/>
      <c r="O1176" s="343" t="n"/>
      <c r="P1176" s="343" t="n"/>
    </row>
    <row r="1177" ht="15" customHeight="1" s="253">
      <c r="N1177" s="343" t="n"/>
      <c r="O1177" s="343" t="n"/>
      <c r="P1177" s="343" t="n"/>
    </row>
    <row r="1178" ht="15" customHeight="1" s="253">
      <c r="N1178" s="343" t="n"/>
      <c r="O1178" s="343" t="n"/>
      <c r="P1178" s="343" t="n"/>
    </row>
    <row r="1179" ht="15" customHeight="1" s="253">
      <c r="N1179" s="343" t="n"/>
      <c r="O1179" s="343" t="n"/>
      <c r="P1179" s="343" t="n"/>
    </row>
    <row r="1180" ht="15" customHeight="1" s="253">
      <c r="N1180" s="343" t="n"/>
      <c r="O1180" s="343" t="n"/>
      <c r="P1180" s="343" t="n"/>
    </row>
    <row r="1181" ht="15" customHeight="1" s="253">
      <c r="N1181" s="343" t="n"/>
      <c r="O1181" s="343" t="n"/>
      <c r="P1181" s="343" t="n"/>
    </row>
    <row r="1182" ht="15" customHeight="1" s="253">
      <c r="N1182" s="343" t="n"/>
      <c r="O1182" s="343" t="n"/>
      <c r="P1182" s="343" t="n"/>
    </row>
    <row r="1183" ht="15" customHeight="1" s="253">
      <c r="N1183" s="343" t="n"/>
      <c r="O1183" s="343" t="n"/>
      <c r="P1183" s="343" t="n"/>
    </row>
    <row r="1184" ht="15" customHeight="1" s="253">
      <c r="N1184" s="343" t="n"/>
      <c r="O1184" s="343" t="n"/>
      <c r="P1184" s="343" t="n"/>
    </row>
    <row r="1185" ht="15" customHeight="1" s="253">
      <c r="N1185" s="343" t="n"/>
      <c r="O1185" s="343" t="n"/>
      <c r="P1185" s="343" t="n"/>
    </row>
    <row r="1186" ht="15" customHeight="1" s="253">
      <c r="N1186" s="343" t="n"/>
      <c r="O1186" s="343" t="n"/>
      <c r="P1186" s="343" t="n"/>
    </row>
    <row r="1187" ht="15" customHeight="1" s="253">
      <c r="N1187" s="343" t="n"/>
      <c r="O1187" s="343" t="n"/>
      <c r="P1187" s="343" t="n"/>
    </row>
    <row r="1188" ht="15" customHeight="1" s="253">
      <c r="N1188" s="343" t="n"/>
      <c r="O1188" s="343" t="n"/>
      <c r="P1188" s="343" t="n"/>
    </row>
    <row r="1189" ht="15" customHeight="1" s="253">
      <c r="N1189" s="343" t="n"/>
      <c r="O1189" s="343" t="n"/>
      <c r="P1189" s="343" t="n"/>
    </row>
    <row r="1190" ht="15" customHeight="1" s="253">
      <c r="N1190" s="343" t="n"/>
      <c r="O1190" s="343" t="n"/>
      <c r="P1190" s="343" t="n"/>
    </row>
    <row r="1191" ht="15" customHeight="1" s="253">
      <c r="N1191" s="343" t="n"/>
      <c r="O1191" s="343" t="n"/>
      <c r="P1191" s="343" t="n"/>
    </row>
    <row r="1192" ht="15" customHeight="1" s="253">
      <c r="N1192" s="343" t="n"/>
      <c r="O1192" s="343" t="n"/>
      <c r="P1192" s="343" t="n"/>
    </row>
    <row r="1193" ht="15" customHeight="1" s="253">
      <c r="N1193" s="343" t="n"/>
      <c r="O1193" s="343" t="n"/>
      <c r="P1193" s="343" t="n"/>
    </row>
    <row r="1194" ht="15" customHeight="1" s="253">
      <c r="N1194" s="343" t="n"/>
      <c r="O1194" s="343" t="n"/>
      <c r="P1194" s="343" t="n"/>
    </row>
    <row r="1195" ht="15" customHeight="1" s="253">
      <c r="N1195" s="343" t="n"/>
      <c r="O1195" s="343" t="n"/>
      <c r="P1195" s="343" t="n"/>
    </row>
    <row r="1196" ht="15" customHeight="1" s="253">
      <c r="N1196" s="343" t="n"/>
      <c r="O1196" s="343" t="n"/>
      <c r="P1196" s="343" t="n"/>
    </row>
    <row r="1197" ht="15" customHeight="1" s="253">
      <c r="N1197" s="343" t="n"/>
      <c r="O1197" s="343" t="n"/>
      <c r="P1197" s="343" t="n"/>
    </row>
    <row r="1198" ht="15" customHeight="1" s="253">
      <c r="N1198" s="343" t="n"/>
      <c r="O1198" s="343" t="n"/>
      <c r="P1198" s="343" t="n"/>
    </row>
    <row r="1199" ht="15" customHeight="1" s="253">
      <c r="N1199" s="343" t="n"/>
      <c r="O1199" s="343" t="n"/>
      <c r="P1199" s="343" t="n"/>
    </row>
    <row r="1200" ht="15" customHeight="1" s="253">
      <c r="N1200" s="343" t="n"/>
      <c r="O1200" s="343" t="n"/>
      <c r="P1200" s="343" t="n"/>
    </row>
    <row r="1201" ht="15" customHeight="1" s="253">
      <c r="N1201" s="343" t="n"/>
      <c r="O1201" s="343" t="n"/>
      <c r="P1201" s="343" t="n"/>
    </row>
    <row r="1202" ht="15" customHeight="1" s="253">
      <c r="N1202" s="343" t="n"/>
      <c r="O1202" s="343" t="n"/>
      <c r="P1202" s="343" t="n"/>
    </row>
    <row r="1203" ht="15" customHeight="1" s="253">
      <c r="N1203" s="343" t="n"/>
      <c r="O1203" s="343" t="n"/>
      <c r="P1203" s="343" t="n"/>
    </row>
    <row r="1204" ht="15" customHeight="1" s="253">
      <c r="N1204" s="343" t="n"/>
      <c r="O1204" s="343" t="n"/>
      <c r="P1204" s="343" t="n"/>
    </row>
    <row r="1205" ht="15" customHeight="1" s="253">
      <c r="N1205" s="343" t="n"/>
      <c r="O1205" s="343" t="n"/>
      <c r="P1205" s="343" t="n"/>
    </row>
    <row r="1206" ht="15" customHeight="1" s="253">
      <c r="N1206" s="343" t="n"/>
      <c r="O1206" s="343" t="n"/>
      <c r="P1206" s="343" t="n"/>
    </row>
    <row r="1207" ht="15" customHeight="1" s="253">
      <c r="N1207" s="343" t="n"/>
      <c r="O1207" s="343" t="n"/>
      <c r="P1207" s="343" t="n"/>
    </row>
    <row r="1208" ht="15" customHeight="1" s="253">
      <c r="N1208" s="343" t="n"/>
      <c r="O1208" s="343" t="n"/>
      <c r="P1208" s="343" t="n"/>
    </row>
    <row r="1209" ht="15" customHeight="1" s="253">
      <c r="N1209" s="343" t="n"/>
      <c r="O1209" s="343" t="n"/>
      <c r="P1209" s="343" t="n"/>
    </row>
    <row r="1210" ht="15" customHeight="1" s="253">
      <c r="N1210" s="343" t="n"/>
      <c r="O1210" s="343" t="n"/>
      <c r="P1210" s="343" t="n"/>
    </row>
    <row r="1211" ht="15" customHeight="1" s="253">
      <c r="N1211" s="343" t="n"/>
      <c r="O1211" s="343" t="n"/>
      <c r="P1211" s="343" t="n"/>
    </row>
    <row r="1212" ht="15" customHeight="1" s="253">
      <c r="N1212" s="343" t="n"/>
      <c r="O1212" s="343" t="n"/>
      <c r="P1212" s="343" t="n"/>
    </row>
    <row r="1213" ht="15" customHeight="1" s="253">
      <c r="N1213" s="343" t="n"/>
      <c r="O1213" s="343" t="n"/>
      <c r="P1213" s="343" t="n"/>
    </row>
    <row r="1214" ht="15" customHeight="1" s="253">
      <c r="N1214" s="343" t="n"/>
      <c r="O1214" s="343" t="n"/>
      <c r="P1214" s="343" t="n"/>
    </row>
    <row r="1215" ht="15" customHeight="1" s="253">
      <c r="N1215" s="343" t="n"/>
      <c r="O1215" s="343" t="n"/>
      <c r="P1215" s="343" t="n"/>
    </row>
    <row r="1216" ht="15" customHeight="1" s="253">
      <c r="N1216" s="343" t="n"/>
      <c r="O1216" s="343" t="n"/>
      <c r="P1216" s="343" t="n"/>
    </row>
    <row r="1217" ht="15" customHeight="1" s="253">
      <c r="N1217" s="343" t="n"/>
      <c r="O1217" s="343" t="n"/>
      <c r="P1217" s="343" t="n"/>
    </row>
    <row r="1218" ht="15" customHeight="1" s="253">
      <c r="N1218" s="343" t="n"/>
      <c r="O1218" s="343" t="n"/>
      <c r="P1218" s="343" t="n"/>
    </row>
    <row r="1219" ht="15" customHeight="1" s="253">
      <c r="N1219" s="343" t="n"/>
      <c r="O1219" s="343" t="n"/>
      <c r="P1219" s="343" t="n"/>
    </row>
    <row r="1220" ht="15" customHeight="1" s="253">
      <c r="N1220" s="343" t="n"/>
      <c r="O1220" s="343" t="n"/>
      <c r="P1220" s="343" t="n"/>
    </row>
    <row r="1221" ht="15" customHeight="1" s="253">
      <c r="N1221" s="343" t="n"/>
      <c r="O1221" s="343" t="n"/>
      <c r="P1221" s="343" t="n"/>
    </row>
    <row r="1222" ht="15" customHeight="1" s="253">
      <c r="N1222" s="343" t="n"/>
      <c r="O1222" s="343" t="n"/>
      <c r="P1222" s="343" t="n"/>
    </row>
    <row r="1223" ht="15" customHeight="1" s="253">
      <c r="N1223" s="343" t="n"/>
      <c r="O1223" s="343" t="n"/>
      <c r="P1223" s="343" t="n"/>
    </row>
    <row r="1224" ht="15" customHeight="1" s="253">
      <c r="N1224" s="343" t="n"/>
      <c r="O1224" s="343" t="n"/>
      <c r="P1224" s="343" t="n"/>
    </row>
    <row r="1225" ht="15" customHeight="1" s="253">
      <c r="N1225" s="343" t="n"/>
      <c r="O1225" s="343" t="n"/>
      <c r="P1225" s="343" t="n"/>
    </row>
    <row r="1226" ht="15" customHeight="1" s="253">
      <c r="N1226" s="343" t="n"/>
      <c r="O1226" s="343" t="n"/>
      <c r="P1226" s="343" t="n"/>
    </row>
    <row r="1227" ht="15" customHeight="1" s="253">
      <c r="N1227" s="343" t="n"/>
      <c r="O1227" s="343" t="n"/>
      <c r="P1227" s="343" t="n"/>
    </row>
    <row r="1228" ht="15" customHeight="1" s="253">
      <c r="N1228" s="343" t="n"/>
      <c r="O1228" s="343" t="n"/>
      <c r="P1228" s="343" t="n"/>
    </row>
    <row r="1229" ht="15" customHeight="1" s="253">
      <c r="N1229" s="343" t="n"/>
      <c r="O1229" s="343" t="n"/>
      <c r="P1229" s="343" t="n"/>
    </row>
    <row r="1230" ht="15" customHeight="1" s="253">
      <c r="N1230" s="343" t="n"/>
      <c r="O1230" s="343" t="n"/>
      <c r="P1230" s="343" t="n"/>
    </row>
    <row r="1231" ht="15" customHeight="1" s="253">
      <c r="N1231" s="343" t="n"/>
      <c r="O1231" s="343" t="n"/>
      <c r="P1231" s="343" t="n"/>
    </row>
    <row r="1232" ht="15" customHeight="1" s="253">
      <c r="N1232" s="343" t="n"/>
      <c r="O1232" s="343" t="n"/>
      <c r="P1232" s="343" t="n"/>
    </row>
    <row r="1233" ht="15" customHeight="1" s="253">
      <c r="N1233" s="343" t="n"/>
      <c r="O1233" s="343" t="n"/>
      <c r="P1233" s="343" t="n"/>
    </row>
    <row r="1234" ht="15" customHeight="1" s="253">
      <c r="N1234" s="343" t="n"/>
      <c r="O1234" s="343" t="n"/>
      <c r="P1234" s="343" t="n"/>
    </row>
    <row r="1235" ht="15" customHeight="1" s="253">
      <c r="N1235" s="343" t="n"/>
      <c r="O1235" s="343" t="n"/>
      <c r="P1235" s="343" t="n"/>
    </row>
    <row r="1236" ht="15" customHeight="1" s="253">
      <c r="N1236" s="343" t="n"/>
      <c r="O1236" s="343" t="n"/>
      <c r="P1236" s="343" t="n"/>
    </row>
    <row r="1237" ht="15" customHeight="1" s="253">
      <c r="N1237" s="343" t="n"/>
      <c r="O1237" s="343" t="n"/>
      <c r="P1237" s="343" t="n"/>
    </row>
    <row r="1238" ht="15" customHeight="1" s="253">
      <c r="N1238" s="343" t="n"/>
      <c r="O1238" s="343" t="n"/>
      <c r="P1238" s="343" t="n"/>
    </row>
    <row r="1239" ht="15" customHeight="1" s="253">
      <c r="N1239" s="343" t="n"/>
      <c r="O1239" s="343" t="n"/>
      <c r="P1239" s="343" t="n"/>
    </row>
    <row r="1240" ht="15" customHeight="1" s="253">
      <c r="N1240" s="343" t="n"/>
      <c r="O1240" s="343" t="n"/>
      <c r="P1240" s="343" t="n"/>
    </row>
    <row r="1241" ht="15" customHeight="1" s="253">
      <c r="N1241" s="343" t="n"/>
      <c r="O1241" s="343" t="n"/>
      <c r="P1241" s="343" t="n"/>
    </row>
    <row r="1242" ht="15" customHeight="1" s="253">
      <c r="N1242" s="343" t="n"/>
      <c r="O1242" s="343" t="n"/>
      <c r="P1242" s="343" t="n"/>
    </row>
    <row r="1243" ht="15" customHeight="1" s="253">
      <c r="N1243" s="343" t="n"/>
      <c r="O1243" s="343" t="n"/>
      <c r="P1243" s="343" t="n"/>
    </row>
    <row r="1244" ht="15" customHeight="1" s="253">
      <c r="N1244" s="343" t="n"/>
      <c r="O1244" s="343" t="n"/>
      <c r="P1244" s="343" t="n"/>
    </row>
    <row r="1245" ht="15" customHeight="1" s="253">
      <c r="N1245" s="343" t="n"/>
      <c r="O1245" s="343" t="n"/>
      <c r="P1245" s="343" t="n"/>
    </row>
    <row r="1246" ht="15" customHeight="1" s="253">
      <c r="N1246" s="343" t="n"/>
      <c r="O1246" s="343" t="n"/>
      <c r="P1246" s="343" t="n"/>
    </row>
    <row r="1247" ht="15" customHeight="1" s="253">
      <c r="N1247" s="343" t="n"/>
      <c r="O1247" s="343" t="n"/>
      <c r="P1247" s="343" t="n"/>
    </row>
    <row r="1248" ht="15" customHeight="1" s="253">
      <c r="N1248" s="343" t="n"/>
      <c r="O1248" s="343" t="n"/>
      <c r="P1248" s="343" t="n"/>
    </row>
    <row r="1249" ht="15" customHeight="1" s="253">
      <c r="N1249" s="343" t="n"/>
      <c r="O1249" s="343" t="n"/>
      <c r="P1249" s="343" t="n"/>
    </row>
    <row r="1250" ht="15" customHeight="1" s="253">
      <c r="N1250" s="343" t="n"/>
      <c r="O1250" s="343" t="n"/>
      <c r="P1250" s="343" t="n"/>
    </row>
    <row r="1251" ht="15" customHeight="1" s="253">
      <c r="N1251" s="343" t="n"/>
      <c r="O1251" s="343" t="n"/>
      <c r="P1251" s="343" t="n"/>
    </row>
    <row r="1252" ht="15" customHeight="1" s="253">
      <c r="N1252" s="343" t="n"/>
      <c r="O1252" s="343" t="n"/>
      <c r="P1252" s="343" t="n"/>
    </row>
    <row r="1253" ht="15" customHeight="1" s="253">
      <c r="N1253" s="343" t="n"/>
      <c r="O1253" s="343" t="n"/>
      <c r="P1253" s="343" t="n"/>
    </row>
    <row r="1254" ht="15" customHeight="1" s="253">
      <c r="N1254" s="343" t="n"/>
      <c r="O1254" s="343" t="n"/>
      <c r="P1254" s="343" t="n"/>
    </row>
    <row r="1255" ht="15" customHeight="1" s="253">
      <c r="N1255" s="343" t="n"/>
      <c r="O1255" s="343" t="n"/>
      <c r="P1255" s="343" t="n"/>
    </row>
    <row r="1256" ht="15" customHeight="1" s="253">
      <c r="N1256" s="343" t="n"/>
      <c r="O1256" s="343" t="n"/>
      <c r="P1256" s="343" t="n"/>
    </row>
    <row r="1257" ht="15" customHeight="1" s="253">
      <c r="N1257" s="343" t="n"/>
      <c r="O1257" s="343" t="n"/>
      <c r="P1257" s="343" t="n"/>
    </row>
    <row r="1258" ht="15" customHeight="1" s="253">
      <c r="N1258" s="343" t="n"/>
      <c r="O1258" s="343" t="n"/>
      <c r="P1258" s="343" t="n"/>
    </row>
    <row r="1259" ht="15" customHeight="1" s="253">
      <c r="N1259" s="343" t="n"/>
      <c r="O1259" s="343" t="n"/>
      <c r="P1259" s="343" t="n"/>
    </row>
    <row r="1260" ht="15" customHeight="1" s="253">
      <c r="N1260" s="343" t="n"/>
      <c r="O1260" s="343" t="n"/>
      <c r="P1260" s="343" t="n"/>
    </row>
    <row r="1261" ht="15" customHeight="1" s="253">
      <c r="N1261" s="343" t="n"/>
      <c r="O1261" s="343" t="n"/>
      <c r="P1261" s="343" t="n"/>
    </row>
    <row r="1262" ht="15" customHeight="1" s="253">
      <c r="N1262" s="343" t="n"/>
      <c r="O1262" s="343" t="n"/>
      <c r="P1262" s="343" t="n"/>
    </row>
    <row r="1263" ht="15" customHeight="1" s="253">
      <c r="N1263" s="343" t="n"/>
      <c r="O1263" s="343" t="n"/>
      <c r="P1263" s="343" t="n"/>
    </row>
    <row r="1264" ht="15" customHeight="1" s="253">
      <c r="N1264" s="343" t="n"/>
      <c r="O1264" s="343" t="n"/>
      <c r="P1264" s="343" t="n"/>
    </row>
    <row r="1265" ht="15" customHeight="1" s="253">
      <c r="N1265" s="343" t="n"/>
      <c r="O1265" s="343" t="n"/>
      <c r="P1265" s="343" t="n"/>
    </row>
    <row r="1266" ht="15" customHeight="1" s="253">
      <c r="N1266" s="343" t="n"/>
      <c r="O1266" s="343" t="n"/>
      <c r="P1266" s="343" t="n"/>
    </row>
    <row r="1267" ht="15" customHeight="1" s="253">
      <c r="N1267" s="343" t="n"/>
      <c r="O1267" s="343" t="n"/>
      <c r="P1267" s="343" t="n"/>
    </row>
    <row r="1268" ht="15" customHeight="1" s="253">
      <c r="N1268" s="343" t="n"/>
      <c r="O1268" s="343" t="n"/>
      <c r="P1268" s="343" t="n"/>
    </row>
    <row r="1269" ht="15" customHeight="1" s="253">
      <c r="N1269" s="343" t="n"/>
      <c r="O1269" s="343" t="n"/>
      <c r="P1269" s="343" t="n"/>
    </row>
    <row r="1270" ht="15" customHeight="1" s="253">
      <c r="N1270" s="343" t="n"/>
      <c r="O1270" s="343" t="n"/>
      <c r="P1270" s="343" t="n"/>
    </row>
    <row r="1271" ht="15" customHeight="1" s="253">
      <c r="N1271" s="343" t="n"/>
      <c r="O1271" s="343" t="n"/>
      <c r="P1271" s="343" t="n"/>
    </row>
    <row r="1272" ht="15" customHeight="1" s="253">
      <c r="N1272" s="343" t="n"/>
      <c r="O1272" s="343" t="n"/>
      <c r="P1272" s="343" t="n"/>
    </row>
    <row r="1273" ht="15" customHeight="1" s="253">
      <c r="N1273" s="343" t="n"/>
      <c r="O1273" s="343" t="n"/>
      <c r="P1273" s="343" t="n"/>
    </row>
    <row r="1274" ht="15" customHeight="1" s="253">
      <c r="N1274" s="343" t="n"/>
      <c r="O1274" s="343" t="n"/>
      <c r="P1274" s="343" t="n"/>
    </row>
    <row r="1275" ht="15" customHeight="1" s="253">
      <c r="N1275" s="343" t="n"/>
      <c r="O1275" s="343" t="n"/>
      <c r="P1275" s="343" t="n"/>
    </row>
    <row r="1276" ht="15" customHeight="1" s="253">
      <c r="N1276" s="343" t="n"/>
      <c r="O1276" s="343" t="n"/>
      <c r="P1276" s="343" t="n"/>
    </row>
    <row r="1277" ht="15" customHeight="1" s="253">
      <c r="N1277" s="343" t="n"/>
      <c r="O1277" s="343" t="n"/>
      <c r="P1277" s="343" t="n"/>
    </row>
    <row r="1278" ht="15" customHeight="1" s="253">
      <c r="N1278" s="343" t="n"/>
      <c r="O1278" s="343" t="n"/>
      <c r="P1278" s="343" t="n"/>
    </row>
    <row r="1279" ht="15" customHeight="1" s="253">
      <c r="N1279" s="343" t="n"/>
      <c r="O1279" s="343" t="n"/>
      <c r="P1279" s="343" t="n"/>
    </row>
    <row r="1280" ht="15" customHeight="1" s="253">
      <c r="N1280" s="343" t="n"/>
      <c r="O1280" s="343" t="n"/>
      <c r="P1280" s="343" t="n"/>
    </row>
    <row r="1281" ht="15" customHeight="1" s="253">
      <c r="N1281" s="343" t="n"/>
      <c r="O1281" s="343" t="n"/>
      <c r="P1281" s="343" t="n"/>
    </row>
    <row r="1282" ht="15" customHeight="1" s="253">
      <c r="N1282" s="343" t="n"/>
      <c r="O1282" s="343" t="n"/>
      <c r="P1282" s="343" t="n"/>
    </row>
    <row r="1283" ht="15" customHeight="1" s="253">
      <c r="N1283" s="343" t="n"/>
      <c r="O1283" s="343" t="n"/>
      <c r="P1283" s="343" t="n"/>
    </row>
    <row r="1284" ht="15" customHeight="1" s="253">
      <c r="N1284" s="343" t="n"/>
      <c r="O1284" s="343" t="n"/>
      <c r="P1284" s="343" t="n"/>
    </row>
    <row r="1285" ht="15" customHeight="1" s="253">
      <c r="N1285" s="343" t="n"/>
      <c r="O1285" s="343" t="n"/>
      <c r="P1285" s="343" t="n"/>
    </row>
    <row r="1286" ht="15" customHeight="1" s="253">
      <c r="N1286" s="343" t="n"/>
      <c r="O1286" s="343" t="n"/>
      <c r="P1286" s="343" t="n"/>
    </row>
    <row r="1287" ht="15" customHeight="1" s="253">
      <c r="N1287" s="343" t="n"/>
      <c r="O1287" s="343" t="n"/>
      <c r="P1287" s="343" t="n"/>
    </row>
    <row r="1288" ht="15" customHeight="1" s="253">
      <c r="N1288" s="343" t="n"/>
      <c r="O1288" s="343" t="n"/>
      <c r="P1288" s="343" t="n"/>
    </row>
    <row r="1289" ht="15" customHeight="1" s="253">
      <c r="N1289" s="343" t="n"/>
      <c r="O1289" s="343" t="n"/>
      <c r="P1289" s="343" t="n"/>
    </row>
    <row r="1290" ht="15" customHeight="1" s="253">
      <c r="N1290" s="343" t="n"/>
      <c r="O1290" s="343" t="n"/>
      <c r="P1290" s="343" t="n"/>
    </row>
    <row r="1291" ht="15" customHeight="1" s="253">
      <c r="N1291" s="343" t="n"/>
      <c r="O1291" s="343" t="n"/>
      <c r="P1291" s="343" t="n"/>
    </row>
    <row r="1292" ht="15" customHeight="1" s="253">
      <c r="N1292" s="343" t="n"/>
      <c r="O1292" s="343" t="n"/>
      <c r="P1292" s="343" t="n"/>
    </row>
    <row r="1293" ht="15" customHeight="1" s="253">
      <c r="N1293" s="343" t="n"/>
      <c r="O1293" s="343" t="n"/>
      <c r="P1293" s="343" t="n"/>
    </row>
    <row r="1294" ht="15" customHeight="1" s="253">
      <c r="N1294" s="343" t="n"/>
      <c r="O1294" s="343" t="n"/>
      <c r="P1294" s="343" t="n"/>
    </row>
    <row r="1295" ht="15" customHeight="1" s="253">
      <c r="N1295" s="343" t="n"/>
      <c r="O1295" s="343" t="n"/>
      <c r="P1295" s="343" t="n"/>
    </row>
    <row r="1296" ht="15" customHeight="1" s="253">
      <c r="N1296" s="343" t="n"/>
      <c r="O1296" s="343" t="n"/>
      <c r="P1296" s="343" t="n"/>
    </row>
    <row r="1297" ht="15" customHeight="1" s="253">
      <c r="N1297" s="343" t="n"/>
      <c r="O1297" s="343" t="n"/>
      <c r="P1297" s="343" t="n"/>
    </row>
    <row r="1298" ht="15" customHeight="1" s="253">
      <c r="N1298" s="343" t="n"/>
      <c r="O1298" s="343" t="n"/>
      <c r="P1298" s="343" t="n"/>
    </row>
    <row r="1299" ht="15" customHeight="1" s="253">
      <c r="N1299" s="343" t="n"/>
      <c r="O1299" s="343" t="n"/>
      <c r="P1299" s="343" t="n"/>
    </row>
    <row r="1300" ht="15" customHeight="1" s="253">
      <c r="N1300" s="343" t="n"/>
      <c r="O1300" s="343" t="n"/>
      <c r="P1300" s="343" t="n"/>
    </row>
    <row r="1301" ht="15" customHeight="1" s="253">
      <c r="N1301" s="343" t="n"/>
      <c r="O1301" s="343" t="n"/>
      <c r="P1301" s="343" t="n"/>
    </row>
    <row r="1302" ht="15" customHeight="1" s="253">
      <c r="N1302" s="343" t="n"/>
      <c r="O1302" s="343" t="n"/>
      <c r="P1302" s="343" t="n"/>
    </row>
    <row r="1303" ht="15" customHeight="1" s="253">
      <c r="N1303" s="343" t="n"/>
      <c r="O1303" s="343" t="n"/>
      <c r="P1303" s="343" t="n"/>
    </row>
    <row r="1304" ht="15" customHeight="1" s="253">
      <c r="N1304" s="343" t="n"/>
      <c r="O1304" s="343" t="n"/>
      <c r="P1304" s="343" t="n"/>
    </row>
    <row r="1305" ht="15" customHeight="1" s="253">
      <c r="N1305" s="343" t="n"/>
      <c r="O1305" s="343" t="n"/>
      <c r="P1305" s="343" t="n"/>
    </row>
    <row r="1306" ht="15" customHeight="1" s="253">
      <c r="N1306" s="343" t="n"/>
      <c r="O1306" s="343" t="n"/>
      <c r="P1306" s="343" t="n"/>
    </row>
    <row r="1307" ht="15" customHeight="1" s="253">
      <c r="N1307" s="343" t="n"/>
      <c r="O1307" s="343" t="n"/>
      <c r="P1307" s="343" t="n"/>
    </row>
    <row r="1308" ht="15" customHeight="1" s="253">
      <c r="N1308" s="343" t="n"/>
      <c r="O1308" s="343" t="n"/>
      <c r="P1308" s="343" t="n"/>
    </row>
    <row r="1309" ht="15" customHeight="1" s="253">
      <c r="N1309" s="343" t="n"/>
      <c r="O1309" s="343" t="n"/>
      <c r="P1309" s="343" t="n"/>
    </row>
    <row r="1310" ht="15" customHeight="1" s="253">
      <c r="N1310" s="343" t="n"/>
      <c r="O1310" s="343" t="n"/>
      <c r="P1310" s="343" t="n"/>
    </row>
    <row r="1311" ht="15" customHeight="1" s="253">
      <c r="N1311" s="343" t="n"/>
      <c r="O1311" s="343" t="n"/>
      <c r="P1311" s="343" t="n"/>
    </row>
    <row r="1312" ht="15" customHeight="1" s="253">
      <c r="N1312" s="343" t="n"/>
      <c r="O1312" s="343" t="n"/>
      <c r="P1312" s="343" t="n"/>
    </row>
    <row r="1313" ht="15" customHeight="1" s="253">
      <c r="N1313" s="343" t="n"/>
      <c r="O1313" s="343" t="n"/>
      <c r="P1313" s="343" t="n"/>
    </row>
    <row r="1314" ht="15" customHeight="1" s="253">
      <c r="N1314" s="343" t="n"/>
      <c r="O1314" s="343" t="n"/>
      <c r="P1314" s="343" t="n"/>
    </row>
    <row r="1315" ht="15" customHeight="1" s="253">
      <c r="N1315" s="343" t="n"/>
      <c r="O1315" s="343" t="n"/>
      <c r="P1315" s="343" t="n"/>
    </row>
    <row r="1316" ht="15" customHeight="1" s="253">
      <c r="N1316" s="343" t="n"/>
      <c r="O1316" s="343" t="n"/>
      <c r="P1316" s="343" t="n"/>
    </row>
    <row r="1317" ht="15" customHeight="1" s="253">
      <c r="N1317" s="343" t="n"/>
      <c r="O1317" s="343" t="n"/>
      <c r="P1317" s="343" t="n"/>
    </row>
    <row r="1318" ht="15" customHeight="1" s="253">
      <c r="N1318" s="343" t="n"/>
      <c r="O1318" s="343" t="n"/>
      <c r="P1318" s="343" t="n"/>
    </row>
    <row r="1319" ht="15" customHeight="1" s="253">
      <c r="N1319" s="343" t="n"/>
      <c r="O1319" s="343" t="n"/>
      <c r="P1319" s="343" t="n"/>
    </row>
    <row r="1320" ht="15" customHeight="1" s="253">
      <c r="N1320" s="343" t="n"/>
      <c r="O1320" s="343" t="n"/>
      <c r="P1320" s="343" t="n"/>
    </row>
    <row r="1321" ht="15" customHeight="1" s="253">
      <c r="N1321" s="343" t="n"/>
      <c r="O1321" s="343" t="n"/>
      <c r="P1321" s="343" t="n"/>
    </row>
    <row r="1322" ht="15" customHeight="1" s="253">
      <c r="N1322" s="343" t="n"/>
      <c r="O1322" s="343" t="n"/>
      <c r="P1322" s="343" t="n"/>
    </row>
    <row r="1323" ht="15" customHeight="1" s="253">
      <c r="N1323" s="343" t="n"/>
      <c r="O1323" s="343" t="n"/>
      <c r="P1323" s="343" t="n"/>
    </row>
    <row r="1324" ht="15" customHeight="1" s="253">
      <c r="N1324" s="343" t="n"/>
      <c r="O1324" s="343" t="n"/>
      <c r="P1324" s="343" t="n"/>
    </row>
    <row r="1325" ht="15" customHeight="1" s="253">
      <c r="N1325" s="343" t="n"/>
      <c r="O1325" s="343" t="n"/>
      <c r="P1325" s="343" t="n"/>
    </row>
    <row r="1326" ht="15" customHeight="1" s="253">
      <c r="N1326" s="343" t="n"/>
      <c r="O1326" s="343" t="n"/>
      <c r="P1326" s="343" t="n"/>
    </row>
    <row r="1327" ht="15" customHeight="1" s="253">
      <c r="N1327" s="343" t="n"/>
      <c r="O1327" s="343" t="n"/>
      <c r="P1327" s="343" t="n"/>
    </row>
    <row r="1328" ht="15" customHeight="1" s="253">
      <c r="N1328" s="343" t="n"/>
      <c r="O1328" s="343" t="n"/>
      <c r="P1328" s="343" t="n"/>
    </row>
    <row r="1329" ht="15" customHeight="1" s="253">
      <c r="N1329" s="343" t="n"/>
      <c r="O1329" s="343" t="n"/>
      <c r="P1329" s="343" t="n"/>
    </row>
    <row r="1330" ht="15" customHeight="1" s="253">
      <c r="N1330" s="343" t="n"/>
      <c r="O1330" s="343" t="n"/>
      <c r="P1330" s="343" t="n"/>
    </row>
    <row r="1331" ht="15" customHeight="1" s="253">
      <c r="N1331" s="343" t="n"/>
      <c r="O1331" s="343" t="n"/>
      <c r="P1331" s="343" t="n"/>
    </row>
    <row r="1332" ht="15" customHeight="1" s="253">
      <c r="N1332" s="343" t="n"/>
      <c r="O1332" s="343" t="n"/>
      <c r="P1332" s="343" t="n"/>
    </row>
    <row r="1333" ht="15" customHeight="1" s="253">
      <c r="N1333" s="343" t="n"/>
      <c r="O1333" s="343" t="n"/>
      <c r="P1333" s="343" t="n"/>
    </row>
    <row r="1334" ht="15" customHeight="1" s="253">
      <c r="N1334" s="343" t="n"/>
      <c r="O1334" s="343" t="n"/>
      <c r="P1334" s="343" t="n"/>
    </row>
    <row r="1335" ht="15" customHeight="1" s="253">
      <c r="N1335" s="343" t="n"/>
      <c r="O1335" s="343" t="n"/>
      <c r="P1335" s="343" t="n"/>
    </row>
    <row r="1336" ht="15" customHeight="1" s="253">
      <c r="N1336" s="343" t="n"/>
      <c r="O1336" s="343" t="n"/>
      <c r="P1336" s="343" t="n"/>
    </row>
    <row r="1337" ht="15" customHeight="1" s="253">
      <c r="N1337" s="343" t="n"/>
      <c r="O1337" s="343" t="n"/>
      <c r="P1337" s="343" t="n"/>
    </row>
    <row r="1338" ht="15" customHeight="1" s="253">
      <c r="N1338" s="343" t="n"/>
      <c r="O1338" s="343" t="n"/>
      <c r="P1338" s="343" t="n"/>
    </row>
    <row r="1339" ht="15" customHeight="1" s="253">
      <c r="N1339" s="343" t="n"/>
      <c r="O1339" s="343" t="n"/>
      <c r="P1339" s="343" t="n"/>
    </row>
    <row r="1340" ht="15" customHeight="1" s="253">
      <c r="N1340" s="343" t="n"/>
      <c r="O1340" s="343" t="n"/>
      <c r="P1340" s="343" t="n"/>
    </row>
    <row r="1341" ht="15" customHeight="1" s="253">
      <c r="N1341" s="343" t="n"/>
      <c r="O1341" s="343" t="n"/>
      <c r="P1341" s="343" t="n"/>
    </row>
    <row r="1342" ht="15" customHeight="1" s="253">
      <c r="N1342" s="343" t="n"/>
      <c r="O1342" s="343" t="n"/>
      <c r="P1342" s="343" t="n"/>
    </row>
    <row r="1343" ht="15" customHeight="1" s="253">
      <c r="N1343" s="343" t="n"/>
      <c r="O1343" s="343" t="n"/>
      <c r="P1343" s="343" t="n"/>
    </row>
    <row r="1344" ht="15" customHeight="1" s="253">
      <c r="N1344" s="343" t="n"/>
      <c r="O1344" s="343" t="n"/>
      <c r="P1344" s="343" t="n"/>
    </row>
    <row r="1345" ht="15" customHeight="1" s="253">
      <c r="N1345" s="343" t="n"/>
      <c r="O1345" s="343" t="n"/>
      <c r="P1345" s="343" t="n"/>
    </row>
    <row r="1346" ht="15" customHeight="1" s="253">
      <c r="N1346" s="343" t="n"/>
      <c r="O1346" s="343" t="n"/>
      <c r="P1346" s="343" t="n"/>
    </row>
    <row r="1347" ht="15" customHeight="1" s="253">
      <c r="N1347" s="343" t="n"/>
      <c r="O1347" s="343" t="n"/>
      <c r="P1347" s="343" t="n"/>
    </row>
    <row r="1348" ht="15" customHeight="1" s="253">
      <c r="N1348" s="343" t="n"/>
      <c r="O1348" s="343" t="n"/>
      <c r="P1348" s="343" t="n"/>
    </row>
    <row r="1349" ht="15" customHeight="1" s="253">
      <c r="N1349" s="343" t="n"/>
      <c r="O1349" s="343" t="n"/>
      <c r="P1349" s="343" t="n"/>
    </row>
    <row r="1350" ht="15" customHeight="1" s="253">
      <c r="N1350" s="343" t="n"/>
      <c r="O1350" s="343" t="n"/>
      <c r="P1350" s="343" t="n"/>
    </row>
    <row r="1351" ht="15" customHeight="1" s="253">
      <c r="N1351" s="343" t="n"/>
      <c r="O1351" s="343" t="n"/>
      <c r="P1351" s="343" t="n"/>
    </row>
    <row r="1352" ht="15" customHeight="1" s="253">
      <c r="N1352" s="343" t="n"/>
      <c r="O1352" s="343" t="n"/>
      <c r="P1352" s="343" t="n"/>
    </row>
    <row r="1353" ht="15" customHeight="1" s="253">
      <c r="N1353" s="343" t="n"/>
      <c r="O1353" s="343" t="n"/>
      <c r="P1353" s="343" t="n"/>
    </row>
    <row r="1354" ht="15" customHeight="1" s="253">
      <c r="N1354" s="343" t="n"/>
      <c r="O1354" s="343" t="n"/>
      <c r="P1354" s="343" t="n"/>
    </row>
    <row r="1355" ht="15" customHeight="1" s="253">
      <c r="N1355" s="343" t="n"/>
      <c r="O1355" s="343" t="n"/>
      <c r="P1355" s="343" t="n"/>
    </row>
    <row r="1356" ht="15" customHeight="1" s="253">
      <c r="N1356" s="343" t="n"/>
      <c r="O1356" s="343" t="n"/>
      <c r="P1356" s="343" t="n"/>
    </row>
    <row r="1357" ht="15" customHeight="1" s="253">
      <c r="N1357" s="343" t="n"/>
      <c r="O1357" s="343" t="n"/>
      <c r="P1357" s="343" t="n"/>
    </row>
    <row r="1358" ht="15" customHeight="1" s="253">
      <c r="N1358" s="343" t="n"/>
      <c r="O1358" s="343" t="n"/>
      <c r="P1358" s="343" t="n"/>
    </row>
    <row r="1359" ht="15" customHeight="1" s="253">
      <c r="N1359" s="343" t="n"/>
      <c r="O1359" s="343" t="n"/>
      <c r="P1359" s="343" t="n"/>
    </row>
    <row r="1360" ht="15" customHeight="1" s="253">
      <c r="N1360" s="343" t="n"/>
      <c r="O1360" s="343" t="n"/>
      <c r="P1360" s="343" t="n"/>
    </row>
    <row r="1361" ht="15" customHeight="1" s="253">
      <c r="N1361" s="343" t="n"/>
      <c r="O1361" s="343" t="n"/>
      <c r="P1361" s="343" t="n"/>
    </row>
    <row r="1362" ht="15" customHeight="1" s="253">
      <c r="N1362" s="343" t="n"/>
      <c r="O1362" s="343" t="n"/>
      <c r="P1362" s="343" t="n"/>
    </row>
    <row r="1363" ht="15" customHeight="1" s="253">
      <c r="N1363" s="343" t="n"/>
      <c r="O1363" s="343" t="n"/>
      <c r="P1363" s="343" t="n"/>
    </row>
    <row r="1364" ht="15" customHeight="1" s="253">
      <c r="N1364" s="343" t="n"/>
      <c r="O1364" s="343" t="n"/>
      <c r="P1364" s="343" t="n"/>
    </row>
    <row r="1365" ht="15" customHeight="1" s="253">
      <c r="N1365" s="343" t="n"/>
      <c r="O1365" s="343" t="n"/>
      <c r="P1365" s="343" t="n"/>
    </row>
    <row r="1366" ht="15" customHeight="1" s="253">
      <c r="N1366" s="343" t="n"/>
      <c r="O1366" s="343" t="n"/>
      <c r="P1366" s="343" t="n"/>
    </row>
    <row r="1367" ht="15" customHeight="1" s="253">
      <c r="N1367" s="343" t="n"/>
      <c r="O1367" s="343" t="n"/>
      <c r="P1367" s="343" t="n"/>
    </row>
    <row r="1368" ht="15" customHeight="1" s="253">
      <c r="N1368" s="343" t="n"/>
      <c r="O1368" s="343" t="n"/>
      <c r="P1368" s="343" t="n"/>
    </row>
    <row r="1369" ht="15" customHeight="1" s="253">
      <c r="N1369" s="343" t="n"/>
      <c r="O1369" s="343" t="n"/>
      <c r="P1369" s="343" t="n"/>
    </row>
    <row r="1370" ht="15" customHeight="1" s="253">
      <c r="N1370" s="343" t="n"/>
      <c r="O1370" s="343" t="n"/>
      <c r="P1370" s="343" t="n"/>
    </row>
    <row r="1371" ht="15" customHeight="1" s="253">
      <c r="N1371" s="343" t="n"/>
      <c r="O1371" s="343" t="n"/>
      <c r="P1371" s="343" t="n"/>
    </row>
    <row r="1372" ht="15" customHeight="1" s="253">
      <c r="N1372" s="343" t="n"/>
      <c r="O1372" s="343" t="n"/>
      <c r="P1372" s="343" t="n"/>
    </row>
    <row r="1373" ht="15" customHeight="1" s="253">
      <c r="N1373" s="343" t="n"/>
      <c r="O1373" s="343" t="n"/>
      <c r="P1373" s="343" t="n"/>
    </row>
    <row r="1374" ht="15" customHeight="1" s="253">
      <c r="N1374" s="343" t="n"/>
      <c r="O1374" s="343" t="n"/>
      <c r="P1374" s="343" t="n"/>
    </row>
    <row r="1375" ht="15" customHeight="1" s="253">
      <c r="N1375" s="343" t="n"/>
      <c r="O1375" s="343" t="n"/>
      <c r="P1375" s="343" t="n"/>
    </row>
    <row r="1376" ht="15" customHeight="1" s="253">
      <c r="N1376" s="343" t="n"/>
      <c r="O1376" s="343" t="n"/>
      <c r="P1376" s="343" t="n"/>
    </row>
    <row r="1377" ht="15" customHeight="1" s="253">
      <c r="N1377" s="343" t="n"/>
      <c r="O1377" s="343" t="n"/>
      <c r="P1377" s="343" t="n"/>
    </row>
    <row r="1378" ht="15" customHeight="1" s="253">
      <c r="N1378" s="343" t="n"/>
      <c r="O1378" s="343" t="n"/>
      <c r="P1378" s="343" t="n"/>
    </row>
    <row r="1379" ht="15" customHeight="1" s="253">
      <c r="N1379" s="343" t="n"/>
      <c r="O1379" s="343" t="n"/>
      <c r="P1379" s="343" t="n"/>
    </row>
    <row r="1380" ht="15" customHeight="1" s="253">
      <c r="N1380" s="343" t="n"/>
      <c r="O1380" s="343" t="n"/>
      <c r="P1380" s="343" t="n"/>
    </row>
    <row r="1381" ht="15" customHeight="1" s="253">
      <c r="N1381" s="343" t="n"/>
      <c r="O1381" s="343" t="n"/>
      <c r="P1381" s="343" t="n"/>
    </row>
    <row r="1382" ht="15" customHeight="1" s="253">
      <c r="N1382" s="343" t="n"/>
      <c r="O1382" s="343" t="n"/>
      <c r="P1382" s="343" t="n"/>
    </row>
    <row r="1383" ht="15" customHeight="1" s="253">
      <c r="N1383" s="343" t="n"/>
      <c r="O1383" s="343" t="n"/>
      <c r="P1383" s="343" t="n"/>
    </row>
    <row r="1384" ht="15" customHeight="1" s="253">
      <c r="N1384" s="343" t="n"/>
      <c r="O1384" s="343" t="n"/>
      <c r="P1384" s="343" t="n"/>
    </row>
    <row r="1385" ht="15" customHeight="1" s="253">
      <c r="N1385" s="343" t="n"/>
      <c r="O1385" s="343" t="n"/>
      <c r="P1385" s="343" t="n"/>
    </row>
    <row r="1386" ht="15" customHeight="1" s="253">
      <c r="N1386" s="343" t="n"/>
      <c r="O1386" s="343" t="n"/>
      <c r="P1386" s="343" t="n"/>
    </row>
    <row r="1387" ht="15" customHeight="1" s="253">
      <c r="N1387" s="343" t="n"/>
      <c r="O1387" s="343" t="n"/>
      <c r="P1387" s="343" t="n"/>
    </row>
    <row r="1388" ht="15" customHeight="1" s="253">
      <c r="N1388" s="343" t="n"/>
      <c r="O1388" s="343" t="n"/>
      <c r="P1388" s="343" t="n"/>
    </row>
    <row r="1389" ht="15" customHeight="1" s="253">
      <c r="N1389" s="343" t="n"/>
      <c r="O1389" s="343" t="n"/>
      <c r="P1389" s="343" t="n"/>
    </row>
    <row r="1390" ht="15" customHeight="1" s="253">
      <c r="N1390" s="343" t="n"/>
      <c r="O1390" s="343" t="n"/>
      <c r="P1390" s="343" t="n"/>
    </row>
    <row r="1391" ht="15" customHeight="1" s="253">
      <c r="N1391" s="343" t="n"/>
      <c r="O1391" s="343" t="n"/>
      <c r="P1391" s="343" t="n"/>
    </row>
    <row r="1392" ht="15" customHeight="1" s="253">
      <c r="N1392" s="343" t="n"/>
      <c r="O1392" s="343" t="n"/>
      <c r="P1392" s="343" t="n"/>
    </row>
    <row r="1393" ht="15" customHeight="1" s="253">
      <c r="N1393" s="343" t="n"/>
      <c r="O1393" s="343" t="n"/>
      <c r="P1393" s="343" t="n"/>
    </row>
    <row r="1394" ht="15" customHeight="1" s="253">
      <c r="N1394" s="343" t="n"/>
      <c r="O1394" s="343" t="n"/>
      <c r="P1394" s="343" t="n"/>
    </row>
    <row r="1395" ht="15" customHeight="1" s="253">
      <c r="N1395" s="343" t="n"/>
      <c r="O1395" s="343" t="n"/>
      <c r="P1395" s="343" t="n"/>
    </row>
    <row r="1396" ht="15" customHeight="1" s="253">
      <c r="N1396" s="343" t="n"/>
      <c r="O1396" s="343" t="n"/>
      <c r="P1396" s="343" t="n"/>
    </row>
    <row r="1397" ht="15" customHeight="1" s="253">
      <c r="N1397" s="343" t="n"/>
      <c r="O1397" s="343" t="n"/>
      <c r="P1397" s="343" t="n"/>
    </row>
    <row r="1398" ht="15" customHeight="1" s="253">
      <c r="N1398" s="343" t="n"/>
      <c r="O1398" s="343" t="n"/>
      <c r="P1398" s="343" t="n"/>
    </row>
    <row r="1399" ht="15" customHeight="1" s="253">
      <c r="N1399" s="343" t="n"/>
      <c r="O1399" s="343" t="n"/>
      <c r="P1399" s="343" t="n"/>
    </row>
    <row r="1400" ht="15" customHeight="1" s="253">
      <c r="N1400" s="343" t="n"/>
      <c r="O1400" s="343" t="n"/>
      <c r="P1400" s="343" t="n"/>
    </row>
    <row r="1401" ht="15" customHeight="1" s="253">
      <c r="N1401" s="343" t="n"/>
      <c r="O1401" s="343" t="n"/>
      <c r="P1401" s="343" t="n"/>
    </row>
    <row r="1402" ht="15" customHeight="1" s="253">
      <c r="N1402" s="343" t="n"/>
      <c r="O1402" s="343" t="n"/>
      <c r="P1402" s="343" t="n"/>
    </row>
    <row r="1403" ht="15" customHeight="1" s="253">
      <c r="N1403" s="343" t="n"/>
      <c r="O1403" s="343" t="n"/>
      <c r="P1403" s="343" t="n"/>
    </row>
    <row r="1404" ht="15" customHeight="1" s="253">
      <c r="N1404" s="343" t="n"/>
      <c r="O1404" s="343" t="n"/>
      <c r="P1404" s="343" t="n"/>
    </row>
    <row r="1405" ht="15" customHeight="1" s="253">
      <c r="N1405" s="343" t="n"/>
      <c r="O1405" s="343" t="n"/>
      <c r="P1405" s="343" t="n"/>
    </row>
    <row r="1406" ht="15" customHeight="1" s="253">
      <c r="N1406" s="343" t="n"/>
      <c r="O1406" s="343" t="n"/>
      <c r="P1406" s="343" t="n"/>
    </row>
    <row r="1407" ht="15" customHeight="1" s="253">
      <c r="N1407" s="343" t="n"/>
      <c r="O1407" s="343" t="n"/>
      <c r="P1407" s="343" t="n"/>
    </row>
    <row r="1408" ht="15" customHeight="1" s="253">
      <c r="N1408" s="343" t="n"/>
      <c r="O1408" s="343" t="n"/>
      <c r="P1408" s="343" t="n"/>
    </row>
    <row r="1409" ht="15" customHeight="1" s="253">
      <c r="N1409" s="343" t="n"/>
      <c r="O1409" s="343" t="n"/>
      <c r="P1409" s="343" t="n"/>
    </row>
    <row r="1410" ht="15" customHeight="1" s="253">
      <c r="N1410" s="343" t="n"/>
      <c r="O1410" s="343" t="n"/>
      <c r="P1410" s="343" t="n"/>
    </row>
    <row r="1411" ht="15" customHeight="1" s="253">
      <c r="N1411" s="343" t="n"/>
      <c r="O1411" s="343" t="n"/>
      <c r="P1411" s="343" t="n"/>
    </row>
    <row r="1412" ht="15" customHeight="1" s="253">
      <c r="N1412" s="343" t="n"/>
      <c r="O1412" s="343" t="n"/>
      <c r="P1412" s="343" t="n"/>
    </row>
    <row r="1413" ht="15" customHeight="1" s="253">
      <c r="N1413" s="343" t="n"/>
      <c r="O1413" s="343" t="n"/>
      <c r="P1413" s="343" t="n"/>
    </row>
    <row r="1414" ht="15" customHeight="1" s="253">
      <c r="N1414" s="343" t="n"/>
      <c r="O1414" s="343" t="n"/>
      <c r="P1414" s="343" t="n"/>
    </row>
    <row r="1415" ht="15" customHeight="1" s="253">
      <c r="N1415" s="343" t="n"/>
      <c r="O1415" s="343" t="n"/>
      <c r="P1415" s="343" t="n"/>
    </row>
    <row r="1416" ht="15" customHeight="1" s="253">
      <c r="N1416" s="343" t="n"/>
      <c r="O1416" s="343" t="n"/>
      <c r="P1416" s="343" t="n"/>
    </row>
    <row r="1417" ht="15" customHeight="1" s="253">
      <c r="N1417" s="343" t="n"/>
      <c r="O1417" s="343" t="n"/>
      <c r="P1417" s="343" t="n"/>
    </row>
    <row r="1418" ht="15" customHeight="1" s="253">
      <c r="N1418" s="343" t="n"/>
      <c r="O1418" s="343" t="n"/>
      <c r="P1418" s="343" t="n"/>
    </row>
    <row r="1419" ht="15" customHeight="1" s="253">
      <c r="N1419" s="343" t="n"/>
      <c r="O1419" s="343" t="n"/>
      <c r="P1419" s="343" t="n"/>
    </row>
    <row r="1420" ht="15" customHeight="1" s="253">
      <c r="N1420" s="343" t="n"/>
      <c r="O1420" s="343" t="n"/>
      <c r="P1420" s="343" t="n"/>
    </row>
    <row r="1421" ht="15" customHeight="1" s="253">
      <c r="N1421" s="343" t="n"/>
      <c r="O1421" s="343" t="n"/>
      <c r="P1421" s="343" t="n"/>
    </row>
    <row r="1422" ht="15" customHeight="1" s="253">
      <c r="N1422" s="343" t="n"/>
      <c r="O1422" s="343" t="n"/>
      <c r="P1422" s="343" t="n"/>
    </row>
    <row r="1423" ht="15" customHeight="1" s="253">
      <c r="N1423" s="343" t="n"/>
      <c r="O1423" s="343" t="n"/>
      <c r="P1423" s="343" t="n"/>
    </row>
    <row r="1424" ht="15" customHeight="1" s="253">
      <c r="N1424" s="343" t="n"/>
      <c r="O1424" s="343" t="n"/>
      <c r="P1424" s="343" t="n"/>
    </row>
    <row r="1425" ht="15" customHeight="1" s="253">
      <c r="N1425" s="343" t="n"/>
      <c r="O1425" s="343" t="n"/>
      <c r="P1425" s="343" t="n"/>
    </row>
    <row r="1426" ht="15" customHeight="1" s="253">
      <c r="N1426" s="343" t="n"/>
      <c r="O1426" s="343" t="n"/>
      <c r="P1426" s="343" t="n"/>
    </row>
    <row r="1427" ht="15" customHeight="1" s="253">
      <c r="N1427" s="343" t="n"/>
      <c r="O1427" s="343" t="n"/>
      <c r="P1427" s="343" t="n"/>
    </row>
    <row r="1428" ht="15" customHeight="1" s="253">
      <c r="N1428" s="343" t="n"/>
      <c r="O1428" s="343" t="n"/>
      <c r="P1428" s="343" t="n"/>
    </row>
    <row r="1429" ht="15" customHeight="1" s="253">
      <c r="N1429" s="343" t="n"/>
      <c r="O1429" s="343" t="n"/>
      <c r="P1429" s="343" t="n"/>
    </row>
    <row r="1430" ht="15" customHeight="1" s="253">
      <c r="N1430" s="343" t="n"/>
      <c r="O1430" s="343" t="n"/>
      <c r="P1430" s="343" t="n"/>
    </row>
    <row r="1431" ht="15" customHeight="1" s="253">
      <c r="N1431" s="343" t="n"/>
      <c r="O1431" s="343" t="n"/>
      <c r="P1431" s="343" t="n"/>
    </row>
    <row r="1432" ht="15" customHeight="1" s="253">
      <c r="N1432" s="343" t="n"/>
      <c r="O1432" s="343" t="n"/>
      <c r="P1432" s="343" t="n"/>
    </row>
    <row r="1433" ht="15" customHeight="1" s="253">
      <c r="N1433" s="343" t="n"/>
      <c r="O1433" s="343" t="n"/>
      <c r="P1433" s="343" t="n"/>
    </row>
    <row r="1434" ht="15" customHeight="1" s="253">
      <c r="N1434" s="343" t="n"/>
      <c r="O1434" s="343" t="n"/>
      <c r="P1434" s="343" t="n"/>
    </row>
    <row r="1435" ht="15" customHeight="1" s="253">
      <c r="N1435" s="343" t="n"/>
      <c r="O1435" s="343" t="n"/>
      <c r="P1435" s="343" t="n"/>
    </row>
    <row r="1436" ht="15" customHeight="1" s="253">
      <c r="N1436" s="343" t="n"/>
      <c r="O1436" s="343" t="n"/>
      <c r="P1436" s="343" t="n"/>
    </row>
    <row r="1437" ht="15" customHeight="1" s="253">
      <c r="N1437" s="343" t="n"/>
      <c r="O1437" s="343" t="n"/>
      <c r="P1437" s="343" t="n"/>
    </row>
    <row r="1438" ht="15" customHeight="1" s="253">
      <c r="N1438" s="343" t="n"/>
      <c r="O1438" s="343" t="n"/>
      <c r="P1438" s="343" t="n"/>
    </row>
    <row r="1439" ht="15" customHeight="1" s="253">
      <c r="N1439" s="343" t="n"/>
      <c r="O1439" s="343" t="n"/>
      <c r="P1439" s="343" t="n"/>
    </row>
    <row r="1440" ht="15" customHeight="1" s="253">
      <c r="N1440" s="343" t="n"/>
      <c r="O1440" s="343" t="n"/>
      <c r="P1440" s="343" t="n"/>
    </row>
    <row r="1441" ht="15" customHeight="1" s="253">
      <c r="N1441" s="343" t="n"/>
      <c r="O1441" s="343" t="n"/>
      <c r="P1441" s="343" t="n"/>
    </row>
    <row r="1442" ht="15" customHeight="1" s="253">
      <c r="N1442" s="343" t="n"/>
      <c r="O1442" s="343" t="n"/>
      <c r="P1442" s="343" t="n"/>
    </row>
    <row r="1443" ht="15" customHeight="1" s="253">
      <c r="N1443" s="343" t="n"/>
      <c r="O1443" s="343" t="n"/>
      <c r="P1443" s="343" t="n"/>
    </row>
    <row r="1444" ht="15" customHeight="1" s="253">
      <c r="N1444" s="343" t="n"/>
      <c r="O1444" s="343" t="n"/>
      <c r="P1444" s="343" t="n"/>
    </row>
    <row r="1445" ht="15" customHeight="1" s="253">
      <c r="N1445" s="343" t="n"/>
      <c r="O1445" s="343" t="n"/>
      <c r="P1445" s="343" t="n"/>
    </row>
    <row r="1446" ht="15" customHeight="1" s="253">
      <c r="N1446" s="343" t="n"/>
      <c r="O1446" s="343" t="n"/>
      <c r="P1446" s="343" t="n"/>
    </row>
    <row r="1447" ht="15" customHeight="1" s="253">
      <c r="N1447" s="343" t="n"/>
      <c r="O1447" s="343" t="n"/>
      <c r="P1447" s="343" t="n"/>
    </row>
    <row r="1448" ht="15" customHeight="1" s="253">
      <c r="N1448" s="343" t="n"/>
      <c r="O1448" s="343" t="n"/>
      <c r="P1448" s="343" t="n"/>
    </row>
    <row r="1449" ht="15" customHeight="1" s="253">
      <c r="N1449" s="343" t="n"/>
      <c r="O1449" s="343" t="n"/>
      <c r="P1449" s="343" t="n"/>
    </row>
    <row r="1450" ht="15" customHeight="1" s="253">
      <c r="N1450" s="343" t="n"/>
      <c r="O1450" s="343" t="n"/>
      <c r="P1450" s="343" t="n"/>
    </row>
    <row r="1451" ht="15" customHeight="1" s="253">
      <c r="N1451" s="343" t="n"/>
      <c r="O1451" s="343" t="n"/>
      <c r="P1451" s="343" t="n"/>
    </row>
    <row r="1452" ht="15" customHeight="1" s="253">
      <c r="N1452" s="343" t="n"/>
      <c r="O1452" s="343" t="n"/>
      <c r="P1452" s="343" t="n"/>
    </row>
    <row r="1453" ht="15" customHeight="1" s="253">
      <c r="N1453" s="343" t="n"/>
      <c r="O1453" s="343" t="n"/>
      <c r="P1453" s="343" t="n"/>
    </row>
    <row r="1454" ht="15" customHeight="1" s="253">
      <c r="N1454" s="343" t="n"/>
      <c r="O1454" s="343" t="n"/>
      <c r="P1454" s="343" t="n"/>
    </row>
    <row r="1455" ht="15" customHeight="1" s="253">
      <c r="N1455" s="343" t="n"/>
      <c r="O1455" s="343" t="n"/>
      <c r="P1455" s="343" t="n"/>
    </row>
    <row r="1456" ht="15" customHeight="1" s="253">
      <c r="N1456" s="343" t="n"/>
      <c r="O1456" s="343" t="n"/>
      <c r="P1456" s="343" t="n"/>
    </row>
    <row r="1457" ht="15" customHeight="1" s="253">
      <c r="N1457" s="343" t="n"/>
      <c r="O1457" s="343" t="n"/>
      <c r="P1457" s="343" t="n"/>
    </row>
    <row r="1458" ht="15" customHeight="1" s="253">
      <c r="N1458" s="343" t="n"/>
      <c r="O1458" s="343" t="n"/>
      <c r="P1458" s="343" t="n"/>
    </row>
    <row r="1459" ht="15" customHeight="1" s="253">
      <c r="N1459" s="343" t="n"/>
      <c r="O1459" s="343" t="n"/>
      <c r="P1459" s="343" t="n"/>
    </row>
    <row r="1460" ht="15" customHeight="1" s="253">
      <c r="N1460" s="343" t="n"/>
      <c r="O1460" s="343" t="n"/>
      <c r="P1460" s="343" t="n"/>
    </row>
    <row r="1461" ht="15" customHeight="1" s="253">
      <c r="N1461" s="343" t="n"/>
      <c r="O1461" s="343" t="n"/>
      <c r="P1461" s="343" t="n"/>
    </row>
    <row r="1462" ht="15" customHeight="1" s="253">
      <c r="N1462" s="343" t="n"/>
      <c r="O1462" s="343" t="n"/>
      <c r="P1462" s="343" t="n"/>
    </row>
    <row r="1463" ht="15" customHeight="1" s="253">
      <c r="N1463" s="343" t="n"/>
      <c r="O1463" s="343" t="n"/>
      <c r="P1463" s="343" t="n"/>
    </row>
    <row r="1464" ht="15" customHeight="1" s="253">
      <c r="N1464" s="343" t="n"/>
      <c r="O1464" s="343" t="n"/>
      <c r="P1464" s="343" t="n"/>
    </row>
    <row r="1465" ht="15" customHeight="1" s="253">
      <c r="N1465" s="343" t="n"/>
      <c r="O1465" s="343" t="n"/>
      <c r="P1465" s="343" t="n"/>
    </row>
    <row r="1466" ht="15" customHeight="1" s="253">
      <c r="N1466" s="343" t="n"/>
      <c r="O1466" s="343" t="n"/>
      <c r="P1466" s="343" t="n"/>
    </row>
    <row r="1467" ht="15" customHeight="1" s="253">
      <c r="N1467" s="343" t="n"/>
      <c r="O1467" s="343" t="n"/>
      <c r="P1467" s="343" t="n"/>
    </row>
    <row r="1468" ht="15" customHeight="1" s="253">
      <c r="N1468" s="343" t="n"/>
      <c r="O1468" s="343" t="n"/>
      <c r="P1468" s="343" t="n"/>
    </row>
    <row r="1469" ht="15" customHeight="1" s="253">
      <c r="N1469" s="343" t="n"/>
      <c r="O1469" s="343" t="n"/>
      <c r="P1469" s="343" t="n"/>
    </row>
    <row r="1470" ht="15" customHeight="1" s="253">
      <c r="N1470" s="343" t="n"/>
      <c r="O1470" s="343" t="n"/>
      <c r="P1470" s="343" t="n"/>
    </row>
    <row r="1471" ht="15" customHeight="1" s="253">
      <c r="N1471" s="343" t="n"/>
      <c r="O1471" s="343" t="n"/>
      <c r="P1471" s="343" t="n"/>
    </row>
  </sheetData>
  <autoFilter ref="A3:AE471"/>
  <mergeCells count="1">
    <mergeCell ref="A2:B2"/>
  </mergeCells>
  <conditionalFormatting sqref="G330">
    <cfRule type="expression" rank="0" priority="2" equalAverage="0" aboveAverage="0" dxfId="8" text="" percent="0" bottom="0">
      <formula>G330&lt;=TODAY()+$G$1</formula>
    </cfRule>
  </conditionalFormatting>
  <conditionalFormatting sqref="C330">
    <cfRule type="duplicateValues" rank="0" priority="3" equalAverage="0" aboveAverage="0" dxfId="9" text="" percent="0" bottom="0"/>
    <cfRule type="duplicateValues" rank="0" priority="4" equalAverage="0" aboveAverage="0" dxfId="9" text="" percent="0" bottom="0"/>
    <cfRule type="duplicateValues" rank="0" priority="5" equalAverage="0" aboveAverage="0" dxfId="9" text="" percent="0" bottom="0"/>
    <cfRule type="duplicateValues" rank="0" priority="6" equalAverage="0" aboveAverage="0" dxfId="9" text="" percent="0" bottom="0"/>
  </conditionalFormatting>
  <conditionalFormatting sqref="C329">
    <cfRule type="duplicateValues" rank="0" priority="7" equalAverage="0" aboveAverage="0" dxfId="9" text="" percent="0" bottom="0"/>
    <cfRule type="duplicateValues" rank="0" priority="8" equalAverage="0" aboveAverage="0" dxfId="9" text="" percent="0" bottom="0"/>
    <cfRule type="duplicateValues" rank="0" priority="9" equalAverage="0" aboveAverage="0" dxfId="9" text="" percent="0" bottom="0"/>
    <cfRule type="duplicateValues" rank="0" priority="10" equalAverage="0" aboveAverage="0" dxfId="9" text="" percent="0" bottom="0"/>
  </conditionalFormatting>
  <conditionalFormatting sqref="G147">
    <cfRule type="expression" rank="0" priority="11" equalAverage="0" aboveAverage="0" dxfId="8" text="" percent="0" bottom="0">
      <formula>G147&lt;=TODAY()+$G$1</formula>
    </cfRule>
  </conditionalFormatting>
  <conditionalFormatting sqref="C279">
    <cfRule type="duplicateValues" rank="0" priority="12" equalAverage="0" aboveAverage="0" dxfId="9" text="" percent="0" bottom="0"/>
  </conditionalFormatting>
  <conditionalFormatting sqref="G127:G146 G148:G234">
    <cfRule type="expression" rank="0" priority="13" equalAverage="0" aboveAverage="0" dxfId="8" text="" percent="0" bottom="0">
      <formula>G127&lt;=TODAY()+$G$1</formula>
    </cfRule>
  </conditionalFormatting>
  <conditionalFormatting sqref="C160">
    <cfRule type="duplicateValues" rank="0" priority="14" equalAverage="0" aboveAverage="0" dxfId="9" text="" percent="0" bottom="0"/>
  </conditionalFormatting>
  <conditionalFormatting sqref="C3">
    <cfRule type="duplicateValues" rank="0" priority="15" equalAverage="0" aboveAverage="0" dxfId="9" text="" percent="0" bottom="0"/>
  </conditionalFormatting>
  <conditionalFormatting sqref="C171:C183">
    <cfRule type="duplicateValues" rank="0" priority="16" equalAverage="0" aboveAverage="0" dxfId="9" text="" percent="0" bottom="0"/>
  </conditionalFormatting>
  <conditionalFormatting sqref="C166">
    <cfRule type="duplicateValues" rank="0" priority="17" equalAverage="0" aboveAverage="0" dxfId="9" text="" percent="0" bottom="0"/>
  </conditionalFormatting>
  <conditionalFormatting sqref="C4:C130 C132:C156 C158:C184 C186">
    <cfRule type="duplicateValues" rank="0" priority="18" equalAverage="0" aboveAverage="0" dxfId="9" text="" percent="0" bottom="0"/>
  </conditionalFormatting>
  <conditionalFormatting sqref="D162">
    <cfRule type="duplicateValues" rank="0" priority="19" equalAverage="0" aboveAverage="0" dxfId="9" text="" percent="0" bottom="0"/>
    <cfRule type="duplicateValues" rank="0" priority="20" equalAverage="0" aboveAverage="0" dxfId="9" text="" percent="0" bottom="0"/>
    <cfRule type="duplicateValues" rank="0" priority="21" equalAverage="0" aboveAverage="0" dxfId="9" text="" percent="0" bottom="0"/>
  </conditionalFormatting>
  <conditionalFormatting sqref="C1:C130 C132:C156 C158:C184 C186 C191:C233 C235:C278 C280:C328 C331:C1048576">
    <cfRule type="duplicateValues" rank="0" priority="22" equalAverage="0" aboveAverage="0" dxfId="9" text="" percent="0" bottom="0"/>
  </conditionalFormatting>
  <conditionalFormatting sqref="G76 G244:G329 G331:G412">
    <cfRule type="expression" rank="0" priority="23" equalAverage="0" aboveAverage="0" dxfId="8" text="" percent="0" bottom="0">
      <formula>G76&lt;=TODAY()+$G$1</formula>
    </cfRule>
  </conditionalFormatting>
  <conditionalFormatting sqref="C1:C78 C93 C133 C184 C192:C233 C235:C278 C280:C328 C331:C1048576 D79:D126">
    <cfRule type="duplicateValues" rank="0" priority="24" equalAverage="0" aboveAverage="0" dxfId="9" text="" percent="0" bottom="0"/>
  </conditionalFormatting>
  <conditionalFormatting sqref="H1:H2">
    <cfRule type="expression" rank="0" priority="25" equalAverage="0" aboveAverage="0" dxfId="31" text="" percent="0" bottom="0">
      <formula>H1&lt;=TODAY()+$G$1</formula>
    </cfRule>
  </conditionalFormatting>
  <conditionalFormatting sqref="G4:G75 G77:G126">
    <cfRule type="expression" rank="0" priority="26" equalAverage="0" aboveAverage="0" dxfId="31" text="" percent="0" bottom="0">
      <formula>G4&lt;=TODAY()+$G$1</formula>
    </cfRule>
  </conditionalFormatting>
  <conditionalFormatting sqref="C1:C78 C93 C127:C130 C132:C156 C158:C184 C186 C191:C233 C235:C278 C280:C328 C331:C1048576 D79:D126">
    <cfRule type="duplicateValues" rank="0" priority="27" equalAverage="0" aboveAverage="0" dxfId="9" text="" percent="0" bottom="0"/>
    <cfRule type="duplicateValues" rank="0" priority="28" equalAverage="0" aboveAverage="0" dxfId="9" text="" percent="0" bottom="0"/>
  </conditionalFormatting>
  <conditionalFormatting sqref="C127:C130 C132:C156 C158:C183 C186 C191">
    <cfRule type="duplicateValues" rank="0" priority="29" equalAverage="0" aboveAverage="0" dxfId="9" text="" percent="0" bottom="0"/>
  </conditionalFormatting>
  <dataValidations count="2">
    <dataValidation sqref="E127:E146 E148 E150:E158 E161" showDropDown="0" showInputMessage="1" showErrorMessage="1" allowBlank="1" type="list" errorStyle="stop" operator="between">
      <formula1>"One time work,subscription based service"</formula1>
      <formula2>0</formula2>
    </dataValidation>
    <dataValidation sqref="E4:E126" showDropDown="0" showInputMessage="0" showErrorMessage="1" allowBlank="1" type="list" errorStyle="stop" operator="between">
      <formula1>"One time work,subscription based service"</formula1>
      <formula2>0</formula2>
    </dataValidation>
  </dataValidations>
  <hyperlinks>
    <hyperlink xmlns:r="http://schemas.openxmlformats.org/officeDocument/2006/relationships" ref="C56" location="/contacts/2297152000000117207" display="ICL CORPORATE ADVISORY PRIVATE LIMITED" r:id="rId1"/>
  </hyperlink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O745"/>
  <sheetViews>
    <sheetView showFormulas="0" showGridLines="1" showRowColHeaders="1" showZeros="1" rightToLeft="0" tabSelected="0" showOutlineSymbols="1" defaultGridColor="1" view="normal" topLeftCell="E1" colorId="64" zoomScale="100" zoomScaleNormal="100" zoomScalePageLayoutView="100" workbookViewId="0">
      <selection pane="topLeft" activeCell="K12" activeCellId="0" sqref="K12"/>
    </sheetView>
  </sheetViews>
  <sheetFormatPr baseColWidth="8" defaultColWidth="8.73046875" defaultRowHeight="12" zeroHeight="0" outlineLevelRow="0"/>
  <cols>
    <col width="8.82" customWidth="1" style="412" min="1" max="1"/>
    <col width="13" customWidth="1" style="412" min="2" max="2"/>
    <col width="17.09" customWidth="1" style="412" min="3" max="3"/>
    <col width="14.64" customWidth="1" style="412" min="4" max="4"/>
    <col width="26.73" customWidth="1" style="412" min="5" max="5"/>
    <col width="14.54" customWidth="1" style="412" min="6" max="6"/>
    <col width="8.82" customWidth="1" style="412" min="7" max="7"/>
    <col width="12.54" customWidth="1" style="412" min="8" max="8"/>
    <col width="8.73" customWidth="1" style="412" min="9" max="9"/>
    <col width="8.9" customWidth="1" style="412" min="10" max="10"/>
    <col width="19.64" customWidth="1" style="412" min="11" max="11"/>
    <col width="15.91" customWidth="1" style="412" min="12" max="12"/>
    <col width="9" customWidth="1" style="412" min="13" max="13"/>
    <col width="6.73" customWidth="1" style="412" min="14" max="14"/>
    <col width="11.54" customWidth="1" style="412" min="15" max="15"/>
    <col width="8.73" customWidth="1" style="412" min="16" max="16384"/>
  </cols>
  <sheetData>
    <row r="2" ht="12" customHeight="1" s="253">
      <c r="F2" s="412">
        <f>SUBTOTAL(9,F23:F54)</f>
        <v/>
      </c>
      <c r="H2" s="412">
        <f>SUBTOTAL(9,H23:H54)</f>
        <v/>
      </c>
    </row>
    <row r="3" ht="12" customHeight="1" s="253">
      <c r="A3" s="412" t="inlineStr">
        <is>
          <t>Months</t>
        </is>
      </c>
      <c r="B3" s="412" t="inlineStr">
        <is>
          <t>Invoice Date</t>
        </is>
      </c>
      <c r="C3" s="412" t="inlineStr">
        <is>
          <t>Invoice Number</t>
        </is>
      </c>
      <c r="D3" s="412" t="inlineStr">
        <is>
          <t>Invoice Status</t>
        </is>
      </c>
      <c r="E3" s="412" t="inlineStr">
        <is>
          <t>Customer Name</t>
        </is>
      </c>
      <c r="F3" s="413" t="inlineStr">
        <is>
          <t>Taxable Value</t>
        </is>
      </c>
      <c r="G3" s="412" t="inlineStr">
        <is>
          <t>Total Tax</t>
        </is>
      </c>
      <c r="H3" s="412" t="inlineStr">
        <is>
          <t>Total</t>
        </is>
      </c>
      <c r="I3" s="412" t="inlineStr">
        <is>
          <t>Nature</t>
        </is>
      </c>
    </row>
    <row r="4" ht="13.8" customHeight="1" s="253">
      <c r="A4" s="414" t="n">
        <v>45627</v>
      </c>
      <c r="B4" s="415" t="n">
        <v>45628</v>
      </c>
      <c r="C4" s="412" t="inlineStr">
        <is>
          <t>INV-000027</t>
        </is>
      </c>
      <c r="D4" s="412" t="inlineStr">
        <is>
          <t>Closed</t>
        </is>
      </c>
      <c r="E4" s="412" t="inlineStr">
        <is>
          <t>B2C</t>
        </is>
      </c>
      <c r="F4" s="413" t="n">
        <v>1295</v>
      </c>
      <c r="G4" s="413" t="n">
        <v>0</v>
      </c>
      <c r="H4" s="413" t="n">
        <v>1295</v>
      </c>
      <c r="I4" s="412" t="inlineStr">
        <is>
          <t>B2C</t>
        </is>
      </c>
      <c r="K4" s="306" t="inlineStr">
        <is>
          <t>Sum of Taxable Value</t>
        </is>
      </c>
      <c r="L4" s="307" t="inlineStr">
        <is>
          <t>Nature</t>
        </is>
      </c>
      <c r="M4" s="308" t="n"/>
      <c r="N4" s="308" t="n"/>
      <c r="O4" s="309" t="n"/>
    </row>
    <row r="5" ht="13.8" customHeight="1" s="253">
      <c r="A5" s="414" t="n">
        <v>45627</v>
      </c>
      <c r="B5" s="415" t="n">
        <v>45628</v>
      </c>
      <c r="C5" s="412" t="inlineStr">
        <is>
          <t>INV-000028</t>
        </is>
      </c>
      <c r="D5" s="412" t="inlineStr">
        <is>
          <t>Closed</t>
        </is>
      </c>
      <c r="E5" s="412" t="inlineStr">
        <is>
          <t>Office of ASG (N. Venkatraman)</t>
        </is>
      </c>
      <c r="F5" s="413" t="n">
        <v>195000</v>
      </c>
      <c r="G5" s="413" t="n">
        <v>0</v>
      </c>
      <c r="H5" s="413" t="n">
        <v>195000</v>
      </c>
      <c r="I5" s="412" t="inlineStr">
        <is>
          <t>B2B</t>
        </is>
      </c>
      <c r="K5" s="310" t="inlineStr">
        <is>
          <t>Months</t>
        </is>
      </c>
      <c r="L5" s="311" t="inlineStr">
        <is>
          <t>B2B</t>
        </is>
      </c>
      <c r="M5" s="312" t="inlineStr">
        <is>
          <t>B2C</t>
        </is>
      </c>
      <c r="N5" s="312" t="inlineStr">
        <is>
          <t>(empty)</t>
        </is>
      </c>
      <c r="O5" s="416" t="inlineStr">
        <is>
          <t>Total Result</t>
        </is>
      </c>
    </row>
    <row r="6" ht="13.8" customHeight="1" s="253">
      <c r="A6" s="414" t="n">
        <v>45627</v>
      </c>
      <c r="B6" s="415" t="n">
        <v>45635</v>
      </c>
      <c r="C6" s="412" t="inlineStr">
        <is>
          <t>INV-000029</t>
        </is>
      </c>
      <c r="D6" s="412" t="inlineStr">
        <is>
          <t>Closed</t>
        </is>
      </c>
      <c r="E6" s="412" t="inlineStr">
        <is>
          <t>B2C</t>
        </is>
      </c>
      <c r="F6" s="413" t="n">
        <v>9164</v>
      </c>
      <c r="G6" s="413" t="n">
        <v>0</v>
      </c>
      <c r="H6" s="413" t="n">
        <v>9164</v>
      </c>
      <c r="I6" s="412" t="inlineStr">
        <is>
          <t>B2C</t>
        </is>
      </c>
      <c r="K6" s="417" t="n">
        <v>45536</v>
      </c>
      <c r="L6" s="418" t="n">
        <v>3999</v>
      </c>
      <c r="M6" s="317" t="n">
        <v>23809</v>
      </c>
      <c r="N6" s="419" t="n"/>
      <c r="O6" s="420" t="n">
        <v>27808</v>
      </c>
    </row>
    <row r="7" ht="13.8" customHeight="1" s="253">
      <c r="A7" s="414" t="n">
        <v>45627</v>
      </c>
      <c r="B7" s="415" t="n">
        <v>45635</v>
      </c>
      <c r="C7" s="412" t="inlineStr">
        <is>
          <t>INV-000030</t>
        </is>
      </c>
      <c r="D7" s="412" t="inlineStr">
        <is>
          <t>Closed</t>
        </is>
      </c>
      <c r="E7" s="412" t="inlineStr">
        <is>
          <t>Kanungo &amp; Co.</t>
        </is>
      </c>
      <c r="F7" s="413" t="n">
        <v>3999</v>
      </c>
      <c r="G7" s="413" t="n">
        <v>0</v>
      </c>
      <c r="H7" s="413" t="n">
        <v>3999</v>
      </c>
      <c r="I7" s="412" t="inlineStr">
        <is>
          <t>B2B</t>
        </is>
      </c>
      <c r="K7" s="421" t="n">
        <v>45566</v>
      </c>
      <c r="L7" s="422" t="n">
        <v>49997</v>
      </c>
      <c r="M7" s="322" t="n">
        <v>41135</v>
      </c>
      <c r="N7" s="423" t="n"/>
      <c r="O7" s="424" t="n">
        <v>91132</v>
      </c>
    </row>
    <row r="8" ht="13.8" customHeight="1" s="253">
      <c r="A8" s="414" t="n">
        <v>45627</v>
      </c>
      <c r="B8" s="415" t="n">
        <v>45638</v>
      </c>
      <c r="C8" s="412" t="inlineStr">
        <is>
          <t>INV-000031</t>
        </is>
      </c>
      <c r="D8" s="412" t="inlineStr">
        <is>
          <t>Closed</t>
        </is>
      </c>
      <c r="E8" s="412" t="inlineStr">
        <is>
          <t>B2C</t>
        </is>
      </c>
      <c r="F8" s="413" t="n">
        <v>3786</v>
      </c>
      <c r="G8" s="413" t="n">
        <v>0</v>
      </c>
      <c r="H8" s="413" t="n">
        <v>3786</v>
      </c>
      <c r="I8" s="412" t="inlineStr">
        <is>
          <t>B2C</t>
        </is>
      </c>
      <c r="K8" s="421" t="n">
        <v>45597</v>
      </c>
      <c r="L8" s="422" t="n">
        <v>158496</v>
      </c>
      <c r="M8" s="322" t="n">
        <v>20926</v>
      </c>
      <c r="N8" s="423" t="n"/>
      <c r="O8" s="424" t="n">
        <v>179422</v>
      </c>
    </row>
    <row r="9" ht="13.8" customHeight="1" s="253">
      <c r="A9" s="414" t="n">
        <v>45627</v>
      </c>
      <c r="B9" s="415" t="n">
        <v>45638</v>
      </c>
      <c r="C9" s="412" t="inlineStr">
        <is>
          <t>INV-000032</t>
        </is>
      </c>
      <c r="D9" s="412" t="inlineStr">
        <is>
          <t>Closed</t>
        </is>
      </c>
      <c r="E9" s="412" t="inlineStr">
        <is>
          <t>Diwan Law Associates</t>
        </is>
      </c>
      <c r="F9" s="413" t="n">
        <v>5000</v>
      </c>
      <c r="G9" s="413" t="n">
        <v>0</v>
      </c>
      <c r="H9" s="413" t="n">
        <v>5000</v>
      </c>
      <c r="I9" s="412" t="inlineStr">
        <is>
          <t>B2B</t>
        </is>
      </c>
      <c r="K9" s="421" t="n">
        <v>45627</v>
      </c>
      <c r="L9" s="422" t="n">
        <v>514892</v>
      </c>
      <c r="M9" s="322" t="n">
        <v>34284</v>
      </c>
      <c r="N9" s="423" t="n"/>
      <c r="O9" s="424" t="n">
        <v>549176</v>
      </c>
    </row>
    <row r="10" ht="13.8" customHeight="1" s="253">
      <c r="A10" s="414" t="n">
        <v>45627</v>
      </c>
      <c r="B10" s="415" t="n">
        <v>45639</v>
      </c>
      <c r="C10" s="412" t="inlineStr">
        <is>
          <t>INV-000033</t>
        </is>
      </c>
      <c r="D10" s="412" t="inlineStr">
        <is>
          <t>Closed</t>
        </is>
      </c>
      <c r="E10" s="412" t="inlineStr">
        <is>
          <t>Aditya Sikka / Tvashta Law</t>
        </is>
      </c>
      <c r="F10" s="413" t="n">
        <v>45000</v>
      </c>
      <c r="G10" s="413" t="n">
        <v>0</v>
      </c>
      <c r="H10" s="413" t="n">
        <v>45000</v>
      </c>
      <c r="I10" s="412" t="inlineStr">
        <is>
          <t>B2B</t>
        </is>
      </c>
      <c r="K10" s="421" t="n">
        <v>45658</v>
      </c>
      <c r="L10" s="422" t="n">
        <v>1464041</v>
      </c>
      <c r="M10" s="322" t="n">
        <v>32266</v>
      </c>
      <c r="N10" s="423" t="n"/>
      <c r="O10" s="424" t="n">
        <v>1496307</v>
      </c>
    </row>
    <row r="11" ht="13.8" customHeight="1" s="253">
      <c r="A11" s="414" t="n">
        <v>45627</v>
      </c>
      <c r="B11" s="415" t="n">
        <v>45639</v>
      </c>
      <c r="C11" s="412" t="inlineStr">
        <is>
          <t>INV-000034</t>
        </is>
      </c>
      <c r="D11" s="412" t="inlineStr">
        <is>
          <t>Closed</t>
        </is>
      </c>
      <c r="E11" s="412" t="inlineStr">
        <is>
          <t>B2C</t>
        </is>
      </c>
      <c r="F11" s="413" t="n">
        <v>1493</v>
      </c>
      <c r="G11" s="413" t="n">
        <v>0</v>
      </c>
      <c r="H11" s="413" t="n">
        <v>1493</v>
      </c>
      <c r="I11" s="412" t="inlineStr">
        <is>
          <t>B2C</t>
        </is>
      </c>
      <c r="K11" s="421" t="n">
        <v>45689</v>
      </c>
      <c r="L11" s="422" t="n">
        <v>1192593</v>
      </c>
      <c r="M11" s="322" t="n">
        <v>33183</v>
      </c>
      <c r="N11" s="423" t="n"/>
      <c r="O11" s="424" t="n">
        <v>1225776</v>
      </c>
    </row>
    <row r="12" ht="13.8" customHeight="1" s="253">
      <c r="A12" s="414" t="n">
        <v>45627</v>
      </c>
      <c r="B12" s="415" t="n">
        <v>45640</v>
      </c>
      <c r="C12" s="412" t="inlineStr">
        <is>
          <t>INV-000035</t>
        </is>
      </c>
      <c r="D12" s="412" t="inlineStr">
        <is>
          <t>Closed</t>
        </is>
      </c>
      <c r="E12" s="412" t="inlineStr">
        <is>
          <t>Amrita Panda / Chambers of Amrita Panda</t>
        </is>
      </c>
      <c r="F12" s="413" t="n">
        <v>10000</v>
      </c>
      <c r="G12" s="413" t="n">
        <v>0</v>
      </c>
      <c r="H12" s="413" t="n">
        <v>10000</v>
      </c>
      <c r="I12" s="412" t="inlineStr">
        <is>
          <t>B2B</t>
        </is>
      </c>
      <c r="K12" s="421" t="n">
        <v>45717</v>
      </c>
      <c r="L12" s="422" t="n">
        <v>4569923</v>
      </c>
      <c r="M12" s="322" t="n">
        <v>50543</v>
      </c>
      <c r="N12" s="423" t="n"/>
      <c r="O12" s="424" t="n">
        <v>4620466</v>
      </c>
    </row>
    <row r="13" ht="13.8" customHeight="1" s="253">
      <c r="A13" s="414" t="n">
        <v>45627</v>
      </c>
      <c r="B13" s="415" t="n">
        <v>45644</v>
      </c>
      <c r="C13" s="412" t="inlineStr">
        <is>
          <t>INV-000036</t>
        </is>
      </c>
      <c r="D13" s="412" t="inlineStr">
        <is>
          <t>Closed</t>
        </is>
      </c>
      <c r="E13" s="412" t="inlineStr">
        <is>
          <t>B2C</t>
        </is>
      </c>
      <c r="F13" s="413" t="n">
        <v>5481</v>
      </c>
      <c r="G13" s="413" t="n">
        <v>0</v>
      </c>
      <c r="H13" s="413" t="n">
        <v>5481</v>
      </c>
      <c r="I13" s="412" t="inlineStr">
        <is>
          <t>B2C</t>
        </is>
      </c>
      <c r="K13" s="421" t="n">
        <v>45748</v>
      </c>
      <c r="L13" s="422" t="n">
        <v>4040388</v>
      </c>
      <c r="M13" s="322" t="n">
        <v>42252</v>
      </c>
      <c r="N13" s="423" t="n"/>
      <c r="O13" s="424" t="n">
        <v>4082640</v>
      </c>
    </row>
    <row r="14" ht="13.8" customHeight="1" s="253">
      <c r="A14" s="414" t="n">
        <v>45627</v>
      </c>
      <c r="B14" s="415" t="n">
        <v>45644</v>
      </c>
      <c r="C14" s="412" t="inlineStr">
        <is>
          <t>INV-000037</t>
        </is>
      </c>
      <c r="D14" s="412" t="inlineStr">
        <is>
          <t>Closed</t>
        </is>
      </c>
      <c r="E14" s="412" t="inlineStr">
        <is>
          <t>Ish Jain / Regius Partners LLP</t>
        </is>
      </c>
      <c r="F14" s="413" t="n">
        <v>146994</v>
      </c>
      <c r="G14" s="413" t="n">
        <v>0</v>
      </c>
      <c r="H14" s="413" t="n">
        <v>146994</v>
      </c>
      <c r="I14" s="412" t="inlineStr">
        <is>
          <t>B2B</t>
        </is>
      </c>
      <c r="K14" s="421" t="n">
        <v>45778</v>
      </c>
      <c r="L14" s="422" t="n">
        <v>4666763</v>
      </c>
      <c r="M14" s="322" t="n">
        <v>24128</v>
      </c>
      <c r="N14" s="423" t="n"/>
      <c r="O14" s="424" t="n">
        <v>4690891</v>
      </c>
    </row>
    <row r="15" ht="13.8" customHeight="1" s="253">
      <c r="A15" s="414" t="n">
        <v>45627</v>
      </c>
      <c r="B15" s="415" t="n">
        <v>45645</v>
      </c>
      <c r="C15" s="412" t="inlineStr">
        <is>
          <t>INV-000038</t>
        </is>
      </c>
      <c r="D15" s="412" t="inlineStr">
        <is>
          <t>Closed</t>
        </is>
      </c>
      <c r="E15" s="412" t="inlineStr">
        <is>
          <t>The Guild | Advocates &amp; Associate Counsel</t>
        </is>
      </c>
      <c r="F15" s="413" t="n">
        <v>60000</v>
      </c>
      <c r="G15" s="413" t="n">
        <v>0</v>
      </c>
      <c r="H15" s="413" t="n">
        <v>60000</v>
      </c>
      <c r="I15" s="412" t="inlineStr">
        <is>
          <t>B2B</t>
        </is>
      </c>
      <c r="K15" s="421" t="n">
        <v>45809</v>
      </c>
      <c r="L15" s="422" t="n">
        <v>3054847.66</v>
      </c>
      <c r="M15" s="322" t="n">
        <v>24554.28</v>
      </c>
      <c r="N15" s="423" t="n"/>
      <c r="O15" s="424" t="n">
        <v>3079401.94</v>
      </c>
    </row>
    <row r="16" ht="13.8" customHeight="1" s="253">
      <c r="A16" s="414" t="n">
        <v>45627</v>
      </c>
      <c r="B16" s="415" t="n">
        <v>45648</v>
      </c>
      <c r="C16" s="412" t="inlineStr">
        <is>
          <t>INV-000039</t>
        </is>
      </c>
      <c r="D16" s="412" t="inlineStr">
        <is>
          <t>Closed</t>
        </is>
      </c>
      <c r="E16" s="412" t="inlineStr">
        <is>
          <t>B2C</t>
        </is>
      </c>
      <c r="F16" s="413" t="n">
        <v>2293</v>
      </c>
      <c r="G16" s="413" t="n">
        <v>0</v>
      </c>
      <c r="H16" s="413" t="n">
        <v>2293</v>
      </c>
      <c r="I16" s="412" t="inlineStr">
        <is>
          <t>B2C</t>
        </is>
      </c>
      <c r="K16" s="421" t="n">
        <v>45839</v>
      </c>
      <c r="L16" s="422" t="n">
        <v>8195261</v>
      </c>
      <c r="M16" s="322" t="n">
        <v>19474</v>
      </c>
      <c r="N16" s="423" t="n"/>
      <c r="O16" s="424" t="n">
        <v>8214735</v>
      </c>
    </row>
    <row r="17" ht="13.8" customHeight="1" s="253">
      <c r="A17" s="414" t="n">
        <v>45627</v>
      </c>
      <c r="B17" s="415" t="n">
        <v>45648</v>
      </c>
      <c r="C17" s="412" t="inlineStr">
        <is>
          <t>INV-000040</t>
        </is>
      </c>
      <c r="D17" s="412" t="inlineStr">
        <is>
          <t>Closed</t>
        </is>
      </c>
      <c r="E17" s="412" t="inlineStr">
        <is>
          <t>Manish kelker</t>
        </is>
      </c>
      <c r="F17" s="413" t="n">
        <v>3999</v>
      </c>
      <c r="G17" s="413" t="n">
        <v>0</v>
      </c>
      <c r="H17" s="413" t="n">
        <v>3999</v>
      </c>
      <c r="I17" s="412" t="inlineStr">
        <is>
          <t>B2B</t>
        </is>
      </c>
      <c r="K17" s="421" t="n">
        <v>45870</v>
      </c>
      <c r="L17" s="422" t="n">
        <v>9351621</v>
      </c>
      <c r="M17" s="322" t="n">
        <v>18627</v>
      </c>
      <c r="N17" s="423" t="n"/>
      <c r="O17" s="424" t="n">
        <v>9370248</v>
      </c>
    </row>
    <row r="18" ht="13.8" customHeight="1" s="253">
      <c r="A18" s="414" t="n">
        <v>45627</v>
      </c>
      <c r="B18" s="415" t="n">
        <v>45651</v>
      </c>
      <c r="C18" s="412" t="inlineStr">
        <is>
          <t>INV-000041</t>
        </is>
      </c>
      <c r="D18" s="412" t="inlineStr">
        <is>
          <t>Closed</t>
        </is>
      </c>
      <c r="E18" s="412" t="inlineStr">
        <is>
          <t>B2C</t>
        </is>
      </c>
      <c r="F18" s="413" t="n">
        <v>2095</v>
      </c>
      <c r="G18" s="413" t="n">
        <v>0</v>
      </c>
      <c r="H18" s="413" t="n">
        <v>2095</v>
      </c>
      <c r="I18" s="412" t="inlineStr">
        <is>
          <t>B2C</t>
        </is>
      </c>
      <c r="K18" s="421" t="n">
        <v>45901</v>
      </c>
      <c r="L18" s="422" t="n">
        <v>4189179.54</v>
      </c>
      <c r="M18" s="322" t="n">
        <v>14394.92</v>
      </c>
      <c r="N18" s="423" t="n"/>
      <c r="O18" s="424" t="n">
        <v>4203574.46</v>
      </c>
    </row>
    <row r="19" ht="13.8" customHeight="1" s="253">
      <c r="A19" s="414" t="n">
        <v>45627</v>
      </c>
      <c r="B19" s="415" t="n">
        <v>45651</v>
      </c>
      <c r="C19" s="412" t="inlineStr">
        <is>
          <t>INV-000042</t>
        </is>
      </c>
      <c r="D19" s="412" t="inlineStr">
        <is>
          <t>Closed</t>
        </is>
      </c>
      <c r="E19" s="412" t="inlineStr">
        <is>
          <t>Abhimanyu Garg / Methodica Legal</t>
        </is>
      </c>
      <c r="F19" s="413" t="n">
        <v>36900</v>
      </c>
      <c r="G19" s="413" t="n">
        <v>0</v>
      </c>
      <c r="H19" s="413" t="n">
        <v>36900</v>
      </c>
      <c r="I19" s="412" t="inlineStr">
        <is>
          <t>B2B</t>
        </is>
      </c>
      <c r="K19" s="421" t="inlineStr">
        <is>
          <t>(empty)</t>
        </is>
      </c>
      <c r="L19" s="325" t="n"/>
      <c r="M19" s="323" t="n"/>
      <c r="N19" s="423" t="n"/>
      <c r="O19" s="425" t="n"/>
    </row>
    <row r="20" ht="13.8" customHeight="1" s="253">
      <c r="A20" s="414" t="n">
        <v>45627</v>
      </c>
      <c r="B20" s="415" t="n">
        <v>45655</v>
      </c>
      <c r="C20" s="412" t="inlineStr">
        <is>
          <t>INV-000043</t>
        </is>
      </c>
      <c r="D20" s="412" t="inlineStr">
        <is>
          <t>Closed</t>
        </is>
      </c>
      <c r="E20" s="412" t="inlineStr">
        <is>
          <t>B2C</t>
        </is>
      </c>
      <c r="F20" s="413" t="n">
        <v>3687</v>
      </c>
      <c r="G20" s="413" t="n">
        <v>0</v>
      </c>
      <c r="H20" s="413" t="n">
        <v>3687</v>
      </c>
      <c r="I20" s="412" t="inlineStr">
        <is>
          <t>B2C</t>
        </is>
      </c>
      <c r="K20" s="421" t="n">
        <v>45931</v>
      </c>
      <c r="L20" s="426" t="n">
        <v>5730227.66</v>
      </c>
      <c r="M20" s="328" t="n">
        <v>13549.16</v>
      </c>
      <c r="N20" s="427" t="n"/>
      <c r="O20" s="428" t="n">
        <v>5743776.82</v>
      </c>
    </row>
    <row r="21" ht="13.8" customHeight="1" s="253">
      <c r="A21" s="414" t="n">
        <v>45627</v>
      </c>
      <c r="B21" s="415" t="n">
        <v>45655</v>
      </c>
      <c r="C21" s="412" t="inlineStr">
        <is>
          <t>INV-000044</t>
        </is>
      </c>
      <c r="D21" s="412" t="inlineStr">
        <is>
          <t>Closed</t>
        </is>
      </c>
      <c r="E21" s="412" t="inlineStr">
        <is>
          <t>SRCO Legal / Salvador Raghav &amp; Co.</t>
        </is>
      </c>
      <c r="F21" s="413" t="n">
        <v>8000</v>
      </c>
      <c r="G21" s="413" t="n">
        <v>0</v>
      </c>
      <c r="H21" s="413" t="n">
        <v>8000</v>
      </c>
      <c r="I21" s="412" t="inlineStr">
        <is>
          <t>B2B</t>
        </is>
      </c>
      <c r="K21" s="429" t="inlineStr">
        <is>
          <t>Total Result</t>
        </is>
      </c>
      <c r="L21" s="430" t="n">
        <v>47182228.86</v>
      </c>
      <c r="M21" s="334" t="n">
        <v>393125.36</v>
      </c>
      <c r="N21" s="431" t="n"/>
      <c r="O21" s="432" t="n">
        <v>47575354.22</v>
      </c>
    </row>
    <row r="22" ht="12" customHeight="1" s="253">
      <c r="A22" s="414" t="n">
        <v>45627</v>
      </c>
      <c r="B22" s="415" t="n">
        <v>45657</v>
      </c>
      <c r="C22" s="412" t="inlineStr">
        <is>
          <t>INV-000045</t>
        </is>
      </c>
      <c r="D22" s="412" t="inlineStr">
        <is>
          <t>Closed</t>
        </is>
      </c>
      <c r="E22" s="412" t="inlineStr">
        <is>
          <t>B2C</t>
        </is>
      </c>
      <c r="F22" s="413" t="n">
        <v>4990</v>
      </c>
      <c r="G22" s="413" t="n">
        <v>0</v>
      </c>
      <c r="H22" s="413" t="n">
        <v>4990</v>
      </c>
      <c r="I22" s="412" t="inlineStr">
        <is>
          <t>B2C</t>
        </is>
      </c>
    </row>
    <row r="23" ht="12" customHeight="1" s="253">
      <c r="A23" s="414" t="n">
        <v>45658</v>
      </c>
      <c r="B23" s="415" t="n">
        <v>45658</v>
      </c>
      <c r="C23" s="412" t="inlineStr">
        <is>
          <t>INV-000046</t>
        </is>
      </c>
      <c r="D23" s="412" t="inlineStr">
        <is>
          <t>Closed</t>
        </is>
      </c>
      <c r="E23" s="412" t="inlineStr">
        <is>
          <t>Agama Law Associates</t>
        </is>
      </c>
      <c r="F23" s="413" t="n">
        <v>80000</v>
      </c>
      <c r="G23" s="413" t="n">
        <v>0</v>
      </c>
      <c r="H23" s="413" t="n">
        <v>80000</v>
      </c>
      <c r="I23" s="412" t="inlineStr">
        <is>
          <t>B2B</t>
        </is>
      </c>
    </row>
    <row r="24" ht="12" customHeight="1" s="253">
      <c r="A24" s="414" t="n">
        <v>45658</v>
      </c>
      <c r="B24" s="415" t="n">
        <v>45662</v>
      </c>
      <c r="C24" s="412" t="inlineStr">
        <is>
          <t>INV-000047</t>
        </is>
      </c>
      <c r="D24" s="412" t="inlineStr">
        <is>
          <t>Closed</t>
        </is>
      </c>
      <c r="E24" s="412" t="inlineStr">
        <is>
          <t>B2C</t>
        </is>
      </c>
      <c r="F24" s="413" t="n">
        <v>6780</v>
      </c>
      <c r="G24" s="413" t="n">
        <v>0</v>
      </c>
      <c r="H24" s="413" t="n">
        <v>6780</v>
      </c>
      <c r="I24" s="412" t="inlineStr">
        <is>
          <t>B2C</t>
        </is>
      </c>
    </row>
    <row r="25" ht="12" customHeight="1" s="253">
      <c r="A25" s="414" t="n">
        <v>45658</v>
      </c>
      <c r="B25" s="415" t="n">
        <v>45662</v>
      </c>
      <c r="C25" s="412" t="inlineStr">
        <is>
          <t>INV-000048</t>
        </is>
      </c>
      <c r="D25" s="412" t="inlineStr">
        <is>
          <t>Closed</t>
        </is>
      </c>
      <c r="E25" s="412" t="inlineStr">
        <is>
          <t>Gourab Banerji</t>
        </is>
      </c>
      <c r="F25" s="413" t="n">
        <v>49998</v>
      </c>
      <c r="G25" s="413" t="n">
        <v>0</v>
      </c>
      <c r="H25" s="413" t="n">
        <v>49998</v>
      </c>
      <c r="I25" s="412" t="inlineStr">
        <is>
          <t>B2B</t>
        </is>
      </c>
    </row>
    <row r="26" ht="12" customHeight="1" s="253">
      <c r="A26" s="414" t="n">
        <v>45658</v>
      </c>
      <c r="B26" s="415" t="n">
        <v>45665</v>
      </c>
      <c r="C26" s="412" t="inlineStr">
        <is>
          <t>INV-000049</t>
        </is>
      </c>
      <c r="D26" s="412" t="inlineStr">
        <is>
          <t>Closed</t>
        </is>
      </c>
      <c r="E26" s="412" t="inlineStr">
        <is>
          <t>B2C</t>
        </is>
      </c>
      <c r="F26" s="413" t="n">
        <v>1691</v>
      </c>
      <c r="G26" s="413" t="n">
        <v>0</v>
      </c>
      <c r="H26" s="413" t="n">
        <v>1691</v>
      </c>
      <c r="I26" s="412" t="inlineStr">
        <is>
          <t>B2C</t>
        </is>
      </c>
    </row>
    <row r="27" ht="12" customHeight="1" s="253">
      <c r="A27" s="414" t="n">
        <v>45658</v>
      </c>
      <c r="B27" s="415" t="n">
        <v>45665</v>
      </c>
      <c r="C27" s="412" t="inlineStr">
        <is>
          <t>INV-000050</t>
        </is>
      </c>
      <c r="D27" s="412" t="inlineStr">
        <is>
          <t>Closed</t>
        </is>
      </c>
      <c r="E27" s="412" t="inlineStr">
        <is>
          <t>Parakram Legal</t>
        </is>
      </c>
      <c r="F27" s="413" t="n">
        <v>5000</v>
      </c>
      <c r="G27" s="413" t="n">
        <v>0</v>
      </c>
      <c r="H27" s="413" t="n">
        <v>5000</v>
      </c>
      <c r="I27" s="412" t="inlineStr">
        <is>
          <t>B2B</t>
        </is>
      </c>
    </row>
    <row r="28" ht="12" customHeight="1" s="253">
      <c r="A28" s="414" t="n">
        <v>45658</v>
      </c>
      <c r="B28" s="415" t="n">
        <v>45666</v>
      </c>
      <c r="C28" s="412" t="inlineStr">
        <is>
          <t>INV-000051</t>
        </is>
      </c>
      <c r="D28" s="412" t="inlineStr">
        <is>
          <t>Closed</t>
        </is>
      </c>
      <c r="E28" s="412" t="inlineStr">
        <is>
          <t>Kanungo &amp; Co.</t>
        </is>
      </c>
      <c r="F28" s="413" t="n">
        <v>3999</v>
      </c>
      <c r="G28" s="413" t="n">
        <v>0</v>
      </c>
      <c r="H28" s="413" t="n">
        <v>3999</v>
      </c>
      <c r="I28" s="412" t="inlineStr">
        <is>
          <t>B2B</t>
        </is>
      </c>
    </row>
    <row r="29" ht="12" customHeight="1" s="253">
      <c r="A29" s="414" t="n">
        <v>45658</v>
      </c>
      <c r="B29" s="415" t="n">
        <v>45668</v>
      </c>
      <c r="C29" s="412" t="inlineStr">
        <is>
          <t>INV-000052</t>
        </is>
      </c>
      <c r="D29" s="412" t="inlineStr">
        <is>
          <t>Closed</t>
        </is>
      </c>
      <c r="E29" s="412" t="inlineStr">
        <is>
          <t>B2C</t>
        </is>
      </c>
      <c r="F29" s="413" t="n">
        <v>4487</v>
      </c>
      <c r="G29" s="413" t="n">
        <v>0</v>
      </c>
      <c r="H29" s="413" t="n">
        <v>4487</v>
      </c>
      <c r="I29" s="412" t="inlineStr">
        <is>
          <t>B2C</t>
        </is>
      </c>
    </row>
    <row r="30" ht="12" customHeight="1" s="253">
      <c r="A30" s="414" t="n">
        <v>45658</v>
      </c>
      <c r="B30" s="415" t="n">
        <v>45668</v>
      </c>
      <c r="C30" s="412" t="inlineStr">
        <is>
          <t>INV-000053</t>
        </is>
      </c>
      <c r="D30" s="412" t="inlineStr">
        <is>
          <t>Closed</t>
        </is>
      </c>
      <c r="E30" s="412" t="inlineStr">
        <is>
          <t>Diwan Law Associates</t>
        </is>
      </c>
      <c r="F30" s="413" t="n">
        <v>5000</v>
      </c>
      <c r="G30" s="413" t="n">
        <v>0</v>
      </c>
      <c r="H30" s="413" t="n">
        <v>5000</v>
      </c>
      <c r="I30" s="412" t="inlineStr">
        <is>
          <t>B2B</t>
        </is>
      </c>
    </row>
    <row r="31" ht="12" customHeight="1" s="253">
      <c r="A31" s="414" t="n">
        <v>45658</v>
      </c>
      <c r="B31" s="415" t="n">
        <v>45671</v>
      </c>
      <c r="C31" s="412" t="inlineStr">
        <is>
          <t>INV-000054</t>
        </is>
      </c>
      <c r="D31" s="412" t="inlineStr">
        <is>
          <t>Closed</t>
        </is>
      </c>
      <c r="E31" s="412" t="inlineStr">
        <is>
          <t>B2C</t>
        </is>
      </c>
      <c r="F31" s="413" t="n">
        <v>1889</v>
      </c>
      <c r="G31" s="413" t="n">
        <v>0</v>
      </c>
      <c r="H31" s="413" t="n">
        <v>1889</v>
      </c>
      <c r="I31" s="412" t="inlineStr">
        <is>
          <t>B2C</t>
        </is>
      </c>
    </row>
    <row r="32" ht="12" customHeight="1" s="253">
      <c r="A32" s="414" t="n">
        <v>45658</v>
      </c>
      <c r="B32" s="415" t="n">
        <v>45671</v>
      </c>
      <c r="C32" s="412" t="inlineStr">
        <is>
          <t>INV-000055</t>
        </is>
      </c>
      <c r="D32" s="412" t="inlineStr">
        <is>
          <t>Closed</t>
        </is>
      </c>
      <c r="E32" s="412" t="inlineStr">
        <is>
          <t>Mustafa S. Doctor</t>
        </is>
      </c>
      <c r="F32" s="413" t="n">
        <v>162000</v>
      </c>
      <c r="G32" s="413" t="n">
        <v>0</v>
      </c>
      <c r="H32" s="413" t="n">
        <v>162000</v>
      </c>
      <c r="I32" s="412" t="inlineStr">
        <is>
          <t>B2B</t>
        </is>
      </c>
    </row>
    <row r="33" ht="12" customHeight="1" s="253">
      <c r="A33" s="414" t="n">
        <v>45658</v>
      </c>
      <c r="B33" s="415" t="n">
        <v>45674</v>
      </c>
      <c r="C33" s="412" t="inlineStr">
        <is>
          <t>INV-000056</t>
        </is>
      </c>
      <c r="D33" s="412" t="inlineStr">
        <is>
          <t>Closed</t>
        </is>
      </c>
      <c r="E33" s="412" t="inlineStr">
        <is>
          <t>B2C</t>
        </is>
      </c>
      <c r="F33" s="413" t="n">
        <v>5683</v>
      </c>
      <c r="G33" s="413" t="n">
        <v>0</v>
      </c>
      <c r="H33" s="413" t="n">
        <v>5683</v>
      </c>
      <c r="I33" s="412" t="inlineStr">
        <is>
          <t>B2C</t>
        </is>
      </c>
    </row>
    <row r="34" ht="12" customHeight="1" s="253">
      <c r="A34" s="414" t="n">
        <v>45658</v>
      </c>
      <c r="B34" s="415" t="n">
        <v>45674</v>
      </c>
      <c r="C34" s="412" t="inlineStr">
        <is>
          <t>INV-000057</t>
        </is>
      </c>
      <c r="D34" s="412" t="inlineStr">
        <is>
          <t>Closed</t>
        </is>
      </c>
      <c r="E34" s="412" t="inlineStr">
        <is>
          <t>Keystone Partners Advocates &amp; Solicitors</t>
        </is>
      </c>
      <c r="F34" s="413" t="n">
        <v>538909</v>
      </c>
      <c r="G34" s="413" t="n">
        <v>0</v>
      </c>
      <c r="H34" s="413" t="n">
        <v>538909</v>
      </c>
      <c r="I34" s="412" t="inlineStr">
        <is>
          <t>B2B</t>
        </is>
      </c>
    </row>
    <row r="35" ht="12" customHeight="1" s="253">
      <c r="A35" s="414" t="n">
        <v>45658</v>
      </c>
      <c r="B35" s="415" t="n">
        <v>45675</v>
      </c>
      <c r="C35" s="412" t="inlineStr">
        <is>
          <t>INV-000058</t>
        </is>
      </c>
      <c r="D35" s="412" t="inlineStr">
        <is>
          <t>Closed</t>
        </is>
      </c>
      <c r="E35" s="412" t="inlineStr">
        <is>
          <t>Naushad Engineer</t>
        </is>
      </c>
      <c r="F35" s="413" t="n">
        <v>162000</v>
      </c>
      <c r="G35" s="413" t="n">
        <v>0</v>
      </c>
      <c r="H35" s="413" t="n">
        <v>162000</v>
      </c>
      <c r="I35" s="412" t="inlineStr">
        <is>
          <t>B2B</t>
        </is>
      </c>
    </row>
    <row r="36" ht="12" customHeight="1" s="253">
      <c r="A36" s="414" t="n">
        <v>45658</v>
      </c>
      <c r="B36" s="415" t="n">
        <v>45677</v>
      </c>
      <c r="C36" s="412" t="inlineStr">
        <is>
          <t>INV-000059</t>
        </is>
      </c>
      <c r="D36" s="412" t="inlineStr">
        <is>
          <t>Closed</t>
        </is>
      </c>
      <c r="E36" s="412" t="inlineStr">
        <is>
          <t>B2C</t>
        </is>
      </c>
      <c r="F36" s="413" t="n">
        <v>2491</v>
      </c>
      <c r="G36" s="413" t="n">
        <v>0</v>
      </c>
      <c r="H36" s="413" t="n">
        <v>2491</v>
      </c>
      <c r="I36" s="412" t="inlineStr">
        <is>
          <t>B2C</t>
        </is>
      </c>
    </row>
    <row r="37" ht="12" customHeight="1" s="253">
      <c r="A37" s="414" t="n">
        <v>45658</v>
      </c>
      <c r="B37" s="415" t="n">
        <v>45677</v>
      </c>
      <c r="C37" s="412" t="inlineStr">
        <is>
          <t>INV-000060</t>
        </is>
      </c>
      <c r="D37" s="412" t="inlineStr">
        <is>
          <t>Closed</t>
        </is>
      </c>
      <c r="E37" s="412" t="inlineStr">
        <is>
          <t>Farhan Dubash</t>
        </is>
      </c>
      <c r="F37" s="413" t="n">
        <v>90000</v>
      </c>
      <c r="G37" s="413" t="n">
        <v>0</v>
      </c>
      <c r="H37" s="413" t="n">
        <v>90000</v>
      </c>
      <c r="I37" s="412" t="inlineStr">
        <is>
          <t>B2B</t>
        </is>
      </c>
    </row>
    <row r="38" ht="12" customHeight="1" s="253">
      <c r="A38" s="414" t="n">
        <v>45658</v>
      </c>
      <c r="B38" s="415" t="n">
        <v>45679</v>
      </c>
      <c r="C38" s="412" t="inlineStr">
        <is>
          <t>INV-000061</t>
        </is>
      </c>
      <c r="D38" s="412" t="inlineStr">
        <is>
          <t>Closed</t>
        </is>
      </c>
      <c r="E38" s="412" t="inlineStr">
        <is>
          <t>B2C</t>
        </is>
      </c>
      <c r="F38" s="413" t="n">
        <v>2586</v>
      </c>
      <c r="G38" s="413" t="n">
        <v>0</v>
      </c>
      <c r="H38" s="413" t="n">
        <v>2586</v>
      </c>
      <c r="I38" s="412" t="inlineStr">
        <is>
          <t>B2C</t>
        </is>
      </c>
    </row>
    <row r="39" ht="12" customHeight="1" s="253">
      <c r="A39" s="414" t="n">
        <v>45658</v>
      </c>
      <c r="B39" s="415" t="n">
        <v>45679</v>
      </c>
      <c r="C39" s="412" t="inlineStr">
        <is>
          <t>INV-000062</t>
        </is>
      </c>
      <c r="D39" s="412" t="inlineStr">
        <is>
          <t>Closed</t>
        </is>
      </c>
      <c r="E39" s="412" t="inlineStr">
        <is>
          <t>Manish kelker</t>
        </is>
      </c>
      <c r="F39" s="413" t="n">
        <v>3999</v>
      </c>
      <c r="G39" s="413" t="n">
        <v>0</v>
      </c>
      <c r="H39" s="413" t="n">
        <v>3999</v>
      </c>
      <c r="I39" s="412" t="inlineStr">
        <is>
          <t>B2B</t>
        </is>
      </c>
    </row>
    <row r="40" ht="12" customHeight="1" s="253">
      <c r="A40" s="414" t="n">
        <v>45658</v>
      </c>
      <c r="B40" s="415" t="n">
        <v>45680</v>
      </c>
      <c r="C40" s="412" t="inlineStr">
        <is>
          <t>INV-000063</t>
        </is>
      </c>
      <c r="D40" s="412" t="inlineStr">
        <is>
          <t>Closed</t>
        </is>
      </c>
      <c r="E40" s="412" t="inlineStr">
        <is>
          <t>B2C</t>
        </is>
      </c>
      <c r="F40" s="413" t="n">
        <v>1</v>
      </c>
      <c r="G40" s="413" t="n">
        <v>0</v>
      </c>
      <c r="H40" s="413" t="n">
        <v>1688</v>
      </c>
      <c r="I40" s="412" t="inlineStr">
        <is>
          <t>B2C</t>
        </is>
      </c>
    </row>
    <row r="41" ht="12" customHeight="1" s="253">
      <c r="A41" s="414" t="n">
        <v>45658</v>
      </c>
      <c r="B41" s="415" t="n">
        <v>45680</v>
      </c>
      <c r="C41" s="412" t="inlineStr">
        <is>
          <t>INV-000064</t>
        </is>
      </c>
      <c r="D41" s="412" t="inlineStr">
        <is>
          <t>Closed</t>
        </is>
      </c>
      <c r="E41" s="412" t="inlineStr">
        <is>
          <t>Venkatesh Dhond</t>
        </is>
      </c>
      <c r="F41" s="413" t="n">
        <v>12712</v>
      </c>
      <c r="G41" s="413" t="n">
        <v>2288</v>
      </c>
      <c r="H41" s="413" t="n">
        <v>15000</v>
      </c>
      <c r="I41" s="412" t="inlineStr">
        <is>
          <t>B2B</t>
        </is>
      </c>
    </row>
    <row r="42" ht="12" customHeight="1" s="253">
      <c r="A42" s="414" t="n">
        <v>45658</v>
      </c>
      <c r="B42" s="415" t="n">
        <v>45680</v>
      </c>
      <c r="C42" s="412" t="inlineStr">
        <is>
          <t>INV-000065</t>
        </is>
      </c>
      <c r="D42" s="412" t="inlineStr">
        <is>
          <t>Closed</t>
        </is>
      </c>
      <c r="E42" s="412" t="inlineStr">
        <is>
          <t>Shyam Kapadia</t>
        </is>
      </c>
      <c r="F42" s="413" t="n">
        <v>76271</v>
      </c>
      <c r="G42" s="413" t="n">
        <v>13729</v>
      </c>
      <c r="H42" s="413" t="n">
        <v>90000</v>
      </c>
      <c r="I42" s="412" t="inlineStr">
        <is>
          <t>B2B</t>
        </is>
      </c>
    </row>
    <row r="43" ht="12" customHeight="1" s="253">
      <c r="A43" s="414" t="n">
        <v>45658</v>
      </c>
      <c r="B43" s="415" t="n">
        <v>45680</v>
      </c>
      <c r="C43" s="412" t="inlineStr">
        <is>
          <t>INV-000066</t>
        </is>
      </c>
      <c r="D43" s="412" t="inlineStr">
        <is>
          <t>Closed</t>
        </is>
      </c>
      <c r="E43" s="412" t="inlineStr">
        <is>
          <t>Gaurav Joshi</t>
        </is>
      </c>
      <c r="F43" s="413" t="n">
        <v>45763</v>
      </c>
      <c r="G43" s="413" t="n">
        <v>8237</v>
      </c>
      <c r="H43" s="413" t="n">
        <v>54000</v>
      </c>
      <c r="I43" s="412" t="inlineStr">
        <is>
          <t>B2B</t>
        </is>
      </c>
    </row>
    <row r="44" ht="12" customHeight="1" s="253">
      <c r="A44" s="414" t="n">
        <v>45658</v>
      </c>
      <c r="B44" s="415" t="n">
        <v>45681</v>
      </c>
      <c r="C44" s="412" t="inlineStr">
        <is>
          <t>INV-000067</t>
        </is>
      </c>
      <c r="D44" s="412" t="inlineStr">
        <is>
          <t>Closed</t>
        </is>
      </c>
      <c r="E44" s="412" t="inlineStr">
        <is>
          <t>B2C</t>
        </is>
      </c>
      <c r="F44" s="413" t="n">
        <v>842</v>
      </c>
      <c r="G44" s="413" t="n">
        <v>152</v>
      </c>
      <c r="H44" s="413" t="n">
        <v>994</v>
      </c>
      <c r="I44" s="412" t="inlineStr">
        <is>
          <t>B2C</t>
        </is>
      </c>
    </row>
    <row r="45" ht="12" customHeight="1" s="253">
      <c r="A45" s="414" t="n">
        <v>45658</v>
      </c>
      <c r="B45" s="415" t="n">
        <v>45681</v>
      </c>
      <c r="C45" s="412" t="inlineStr">
        <is>
          <t>INV-000068</t>
        </is>
      </c>
      <c r="D45" s="412" t="inlineStr">
        <is>
          <t>Closed</t>
        </is>
      </c>
      <c r="E45" s="412" t="inlineStr">
        <is>
          <t>Prantar</t>
        </is>
      </c>
      <c r="F45" s="413" t="n">
        <v>8475</v>
      </c>
      <c r="G45" s="413" t="n">
        <v>1525</v>
      </c>
      <c r="H45" s="413" t="n">
        <v>10000</v>
      </c>
      <c r="I45" s="412" t="inlineStr">
        <is>
          <t>B2B</t>
        </is>
      </c>
    </row>
    <row r="46" ht="12" customHeight="1" s="253">
      <c r="A46" s="414" t="n">
        <v>45658</v>
      </c>
      <c r="B46" s="415" t="n">
        <v>45684</v>
      </c>
      <c r="C46" s="412" t="inlineStr">
        <is>
          <t>INV-000069</t>
        </is>
      </c>
      <c r="D46" s="412" t="inlineStr">
        <is>
          <t>Closed</t>
        </is>
      </c>
      <c r="E46" s="412" t="inlineStr">
        <is>
          <t>B2C</t>
        </is>
      </c>
      <c r="F46" s="413" t="n">
        <v>2447</v>
      </c>
      <c r="G46" s="413" t="n">
        <v>440</v>
      </c>
      <c r="H46" s="413" t="n">
        <v>2887</v>
      </c>
      <c r="I46" s="412" t="inlineStr">
        <is>
          <t>B2C</t>
        </is>
      </c>
    </row>
    <row r="47" ht="12" customHeight="1" s="253">
      <c r="A47" s="414" t="n">
        <v>45658</v>
      </c>
      <c r="B47" s="415" t="n">
        <v>45684</v>
      </c>
      <c r="C47" s="412" t="inlineStr">
        <is>
          <t>INV-000070</t>
        </is>
      </c>
      <c r="D47" s="412" t="inlineStr">
        <is>
          <t>Closed</t>
        </is>
      </c>
      <c r="E47" s="412" t="inlineStr">
        <is>
          <t>Sajal Awasthi</t>
        </is>
      </c>
      <c r="F47" s="413" t="n">
        <v>22881</v>
      </c>
      <c r="G47" s="413" t="n">
        <v>4119</v>
      </c>
      <c r="H47" s="413" t="n">
        <v>27000</v>
      </c>
      <c r="I47" s="412" t="inlineStr">
        <is>
          <t>B2B</t>
        </is>
      </c>
    </row>
    <row r="48" ht="12" customHeight="1" s="253">
      <c r="A48" s="414" t="n">
        <v>45658</v>
      </c>
      <c r="B48" s="415" t="n">
        <v>45684</v>
      </c>
      <c r="C48" s="412" t="inlineStr">
        <is>
          <t>INV-000071</t>
        </is>
      </c>
      <c r="D48" s="412" t="inlineStr">
        <is>
          <t>Closed</t>
        </is>
      </c>
      <c r="E48" s="412" t="inlineStr">
        <is>
          <t>Shiraz Rustomjee</t>
        </is>
      </c>
      <c r="F48" s="413" t="n">
        <v>137288</v>
      </c>
      <c r="G48" s="413" t="n">
        <v>24712</v>
      </c>
      <c r="H48" s="413" t="n">
        <v>162000</v>
      </c>
      <c r="I48" s="412" t="inlineStr">
        <is>
          <t>B2B</t>
        </is>
      </c>
    </row>
    <row r="49" ht="12" customHeight="1" s="253">
      <c r="A49" s="414" t="n">
        <v>45658</v>
      </c>
      <c r="B49" s="415" t="n">
        <v>45685</v>
      </c>
      <c r="C49" s="412" t="inlineStr">
        <is>
          <t>INV-000072</t>
        </is>
      </c>
      <c r="D49" s="412" t="inlineStr">
        <is>
          <t>Closed</t>
        </is>
      </c>
      <c r="E49" s="412" t="inlineStr">
        <is>
          <t>Tejas Bhide</t>
        </is>
      </c>
      <c r="F49" s="413" t="n">
        <v>8475</v>
      </c>
      <c r="G49" s="413" t="n">
        <v>1525</v>
      </c>
      <c r="H49" s="413" t="n">
        <v>10000</v>
      </c>
      <c r="I49" s="412" t="inlineStr">
        <is>
          <t>B2B</t>
        </is>
      </c>
    </row>
    <row r="50" ht="12" customHeight="1" s="253">
      <c r="A50" s="414" t="n">
        <v>45658</v>
      </c>
      <c r="B50" s="415" t="n">
        <v>45686</v>
      </c>
      <c r="C50" s="412" t="inlineStr">
        <is>
          <t>INV-000073</t>
        </is>
      </c>
      <c r="D50" s="412" t="inlineStr">
        <is>
          <t>Closed</t>
        </is>
      </c>
      <c r="E50" s="412" t="inlineStr">
        <is>
          <t>B2C</t>
        </is>
      </c>
      <c r="F50" s="413" t="n">
        <v>1685</v>
      </c>
      <c r="G50" s="413" t="n">
        <v>304</v>
      </c>
      <c r="H50" s="413" t="n">
        <v>1988</v>
      </c>
      <c r="I50" s="412" t="inlineStr">
        <is>
          <t>B2C</t>
        </is>
      </c>
    </row>
    <row r="51" ht="12" customHeight="1" s="253">
      <c r="A51" s="414" t="n">
        <v>45658</v>
      </c>
      <c r="B51" s="415" t="n">
        <v>45686</v>
      </c>
      <c r="C51" s="412" t="inlineStr">
        <is>
          <t>INV-000074</t>
        </is>
      </c>
      <c r="D51" s="412" t="inlineStr">
        <is>
          <t>Closed</t>
        </is>
      </c>
      <c r="E51" s="412" t="inlineStr">
        <is>
          <t>SRCO Legal / Salvador Raghav &amp; Co.</t>
        </is>
      </c>
      <c r="F51" s="413" t="n">
        <v>6780</v>
      </c>
      <c r="G51" s="413" t="n">
        <v>1220</v>
      </c>
      <c r="H51" s="413" t="n">
        <v>8000</v>
      </c>
      <c r="I51" s="412" t="inlineStr">
        <is>
          <t>B2B</t>
        </is>
      </c>
    </row>
    <row r="52" ht="12" customHeight="1" s="253">
      <c r="A52" s="414" t="n">
        <v>45658</v>
      </c>
      <c r="B52" s="415" t="n">
        <v>45687</v>
      </c>
      <c r="C52" s="412" t="inlineStr">
        <is>
          <t>INV-000075</t>
        </is>
      </c>
      <c r="D52" s="412" t="inlineStr">
        <is>
          <t>Closed</t>
        </is>
      </c>
      <c r="E52" s="412" t="inlineStr">
        <is>
          <t>Saswat Mohanty</t>
        </is>
      </c>
      <c r="F52" s="413" t="n">
        <v>42373</v>
      </c>
      <c r="G52" s="413" t="n">
        <v>7627</v>
      </c>
      <c r="H52" s="413" t="n">
        <v>50000</v>
      </c>
      <c r="I52" s="412" t="inlineStr">
        <is>
          <t>B2B</t>
        </is>
      </c>
    </row>
    <row r="53" ht="12" customHeight="1" s="253">
      <c r="A53" s="414" t="n">
        <v>45658</v>
      </c>
      <c r="B53" s="415" t="n">
        <v>45688</v>
      </c>
      <c r="C53" s="412" t="inlineStr">
        <is>
          <t>INV-000076</t>
        </is>
      </c>
      <c r="D53" s="412" t="inlineStr">
        <is>
          <t>Closed</t>
        </is>
      </c>
      <c r="E53" s="412" t="inlineStr">
        <is>
          <t>B2C</t>
        </is>
      </c>
      <c r="F53" s="413" t="n">
        <v>1684</v>
      </c>
      <c r="G53" s="413" t="n">
        <v>304</v>
      </c>
      <c r="H53" s="413" t="n">
        <v>1987</v>
      </c>
      <c r="I53" s="412" t="inlineStr">
        <is>
          <t>B2C</t>
        </is>
      </c>
    </row>
    <row r="54" ht="12" customHeight="1" s="253">
      <c r="A54" s="414" t="n">
        <v>45658</v>
      </c>
      <c r="B54" s="415" t="n">
        <v>45688</v>
      </c>
      <c r="C54" s="412" t="inlineStr">
        <is>
          <t>INV-000077</t>
        </is>
      </c>
      <c r="D54" s="412" t="inlineStr">
        <is>
          <t>Closed</t>
        </is>
      </c>
      <c r="E54" s="412" t="inlineStr">
        <is>
          <t>ANG Partners</t>
        </is>
      </c>
      <c r="F54" s="413" t="n">
        <v>2118</v>
      </c>
      <c r="G54" s="413" t="n">
        <v>381</v>
      </c>
      <c r="H54" s="413" t="n">
        <v>2499</v>
      </c>
      <c r="I54" s="412" t="inlineStr">
        <is>
          <t>B2B</t>
        </is>
      </c>
    </row>
    <row r="55" ht="12" customHeight="1" s="253">
      <c r="A55" s="414" t="n">
        <v>45689</v>
      </c>
      <c r="B55" s="415" t="n">
        <v>45691</v>
      </c>
      <c r="C55" s="412" t="inlineStr">
        <is>
          <t>INV-000078</t>
        </is>
      </c>
      <c r="D55" s="412" t="inlineStr">
        <is>
          <t>Closed</t>
        </is>
      </c>
      <c r="E55" s="412" t="inlineStr">
        <is>
          <t>B2C</t>
        </is>
      </c>
      <c r="F55" s="413" t="n">
        <v>3379</v>
      </c>
      <c r="G55" s="413" t="n">
        <v>608</v>
      </c>
      <c r="H55" s="413" t="n">
        <v>3987</v>
      </c>
      <c r="I55" s="412" t="inlineStr">
        <is>
          <t>B2C</t>
        </is>
      </c>
    </row>
    <row r="56" ht="12" customHeight="1" s="253">
      <c r="A56" s="414" t="n">
        <v>45689</v>
      </c>
      <c r="B56" s="415" t="n">
        <v>45691</v>
      </c>
      <c r="C56" s="412" t="inlineStr">
        <is>
          <t>INV-000079</t>
        </is>
      </c>
      <c r="D56" s="412" t="inlineStr">
        <is>
          <t>Closed</t>
        </is>
      </c>
      <c r="E56" s="412" t="inlineStr">
        <is>
          <t>Asahi Legal LLP</t>
        </is>
      </c>
      <c r="F56" s="413" t="n">
        <v>19068</v>
      </c>
      <c r="G56" s="413" t="n">
        <v>3432</v>
      </c>
      <c r="H56" s="413" t="n">
        <v>22500</v>
      </c>
      <c r="I56" s="412" t="inlineStr">
        <is>
          <t>B2B</t>
        </is>
      </c>
    </row>
    <row r="57" ht="12" customHeight="1" s="253">
      <c r="A57" s="414" t="n">
        <v>45689</v>
      </c>
      <c r="B57" s="415" t="n">
        <v>45691</v>
      </c>
      <c r="C57" s="412" t="inlineStr">
        <is>
          <t>INV-000080</t>
        </is>
      </c>
      <c r="D57" s="412" t="inlineStr">
        <is>
          <t>Closed</t>
        </is>
      </c>
      <c r="E57" s="412" t="inlineStr">
        <is>
          <t>ANG Partners</t>
        </is>
      </c>
      <c r="F57" s="413" t="n">
        <v>2118</v>
      </c>
      <c r="G57" s="413" t="n">
        <v>381</v>
      </c>
      <c r="H57" s="413" t="n">
        <v>2499</v>
      </c>
      <c r="I57" s="412" t="inlineStr">
        <is>
          <t>B2B</t>
        </is>
      </c>
    </row>
    <row r="58" ht="12" customHeight="1" s="253">
      <c r="A58" s="414" t="n">
        <v>45689</v>
      </c>
      <c r="B58" s="415" t="n">
        <v>45692</v>
      </c>
      <c r="C58" s="412" t="inlineStr">
        <is>
          <t>INV-000081</t>
        </is>
      </c>
      <c r="D58" s="412" t="inlineStr">
        <is>
          <t>Overdue</t>
        </is>
      </c>
      <c r="E58" s="412" t="inlineStr">
        <is>
          <t>Vesta Legal</t>
        </is>
      </c>
      <c r="F58" s="413" t="n">
        <v>92540</v>
      </c>
      <c r="G58" s="413" t="n">
        <v>16657</v>
      </c>
      <c r="H58" s="413" t="n">
        <v>109197</v>
      </c>
      <c r="I58" s="412" t="inlineStr">
        <is>
          <t>B2B</t>
        </is>
      </c>
    </row>
    <row r="59" ht="12" customHeight="1" s="253">
      <c r="A59" s="414" t="n">
        <v>45689</v>
      </c>
      <c r="B59" s="415" t="n">
        <v>45692</v>
      </c>
      <c r="C59" s="412" t="inlineStr">
        <is>
          <t>INV-000082</t>
        </is>
      </c>
      <c r="D59" s="412" t="inlineStr">
        <is>
          <t>Closed</t>
        </is>
      </c>
      <c r="E59" s="412" t="inlineStr">
        <is>
          <t>B2C</t>
        </is>
      </c>
      <c r="F59" s="413" t="n">
        <v>842</v>
      </c>
      <c r="G59" s="413" t="n">
        <v>152</v>
      </c>
      <c r="H59" s="413" t="n">
        <v>993</v>
      </c>
      <c r="I59" s="412" t="inlineStr">
        <is>
          <t>B2C</t>
        </is>
      </c>
    </row>
    <row r="60" ht="12" customHeight="1" s="253">
      <c r="A60" s="414" t="n">
        <v>45689</v>
      </c>
      <c r="B60" s="415" t="n">
        <v>45693</v>
      </c>
      <c r="C60" s="412" t="inlineStr">
        <is>
          <t>INV-000083</t>
        </is>
      </c>
      <c r="D60" s="412" t="inlineStr">
        <is>
          <t>Closed</t>
        </is>
      </c>
      <c r="E60" s="412" t="inlineStr">
        <is>
          <t>Jehangir Jejeebhoy</t>
        </is>
      </c>
      <c r="F60" s="413" t="n">
        <v>27119</v>
      </c>
      <c r="G60" s="413" t="n">
        <v>4881</v>
      </c>
      <c r="H60" s="413" t="n">
        <v>32000</v>
      </c>
      <c r="I60" s="412" t="inlineStr">
        <is>
          <t>B2B</t>
        </is>
      </c>
    </row>
    <row r="61" ht="12" customHeight="1" s="253">
      <c r="A61" s="414" t="n">
        <v>45689</v>
      </c>
      <c r="B61" s="415" t="n">
        <v>45695</v>
      </c>
      <c r="C61" s="412" t="inlineStr">
        <is>
          <t>INV-000084</t>
        </is>
      </c>
      <c r="D61" s="412" t="inlineStr">
        <is>
          <t>Closed</t>
        </is>
      </c>
      <c r="E61" s="412" t="inlineStr">
        <is>
          <t>B2C</t>
        </is>
      </c>
      <c r="F61" s="413" t="n">
        <v>1675</v>
      </c>
      <c r="G61" s="413" t="n">
        <v>302</v>
      </c>
      <c r="H61" s="413" t="n">
        <v>1976</v>
      </c>
      <c r="I61" s="412" t="inlineStr">
        <is>
          <t>B2C</t>
        </is>
      </c>
    </row>
    <row r="62" ht="12" customHeight="1" s="253">
      <c r="A62" s="414" t="n">
        <v>45689</v>
      </c>
      <c r="B62" s="415" t="n">
        <v>45695</v>
      </c>
      <c r="C62" s="412" t="inlineStr">
        <is>
          <t>INV-000085</t>
        </is>
      </c>
      <c r="D62" s="412" t="inlineStr">
        <is>
          <t>Closed</t>
        </is>
      </c>
      <c r="E62" s="412" t="inlineStr">
        <is>
          <t>Darius J. Khambata</t>
        </is>
      </c>
      <c r="F62" s="413" t="n">
        <v>16949</v>
      </c>
      <c r="G62" s="413" t="n">
        <v>3051</v>
      </c>
      <c r="H62" s="413" t="n">
        <v>20000</v>
      </c>
      <c r="I62" s="412" t="inlineStr">
        <is>
          <t>B2B</t>
        </is>
      </c>
    </row>
    <row r="63" ht="12" customHeight="1" s="253">
      <c r="A63" s="414" t="n">
        <v>45689</v>
      </c>
      <c r="B63" s="415" t="n">
        <v>45695</v>
      </c>
      <c r="C63" s="412" t="inlineStr">
        <is>
          <t>INV-000086</t>
        </is>
      </c>
      <c r="D63" s="412" t="inlineStr">
        <is>
          <t>Closed</t>
        </is>
      </c>
      <c r="E63" s="412" t="inlineStr">
        <is>
          <t>ANG Partners</t>
        </is>
      </c>
      <c r="F63" s="413" t="n">
        <v>2118</v>
      </c>
      <c r="G63" s="413" t="n">
        <v>381</v>
      </c>
      <c r="H63" s="413" t="n">
        <v>2499</v>
      </c>
      <c r="I63" s="412" t="inlineStr">
        <is>
          <t>B2B</t>
        </is>
      </c>
    </row>
    <row r="64" ht="12" customHeight="1" s="253">
      <c r="A64" s="414" t="n">
        <v>45689</v>
      </c>
      <c r="B64" s="415" t="n">
        <v>45697</v>
      </c>
      <c r="C64" s="412" t="inlineStr">
        <is>
          <t>INV-000087</t>
        </is>
      </c>
      <c r="D64" s="412" t="inlineStr">
        <is>
          <t>Closed</t>
        </is>
      </c>
      <c r="E64" s="412" t="inlineStr">
        <is>
          <t>B2C</t>
        </is>
      </c>
      <c r="F64" s="413" t="n">
        <v>3378</v>
      </c>
      <c r="G64" s="413" t="n">
        <v>608</v>
      </c>
      <c r="H64" s="413" t="n">
        <v>3986</v>
      </c>
      <c r="I64" s="412" t="inlineStr">
        <is>
          <t>B2C</t>
        </is>
      </c>
    </row>
    <row r="65" ht="12" customHeight="1" s="253">
      <c r="A65" s="414" t="n">
        <v>45689</v>
      </c>
      <c r="B65" s="415" t="n">
        <v>45697</v>
      </c>
      <c r="C65" s="412" t="inlineStr">
        <is>
          <t>INV-000088</t>
        </is>
      </c>
      <c r="D65" s="412" t="inlineStr">
        <is>
          <t>Closed</t>
        </is>
      </c>
      <c r="E65" s="412" t="inlineStr">
        <is>
          <t>Manish kelker</t>
        </is>
      </c>
      <c r="F65" s="413" t="n">
        <v>3389</v>
      </c>
      <c r="G65" s="413" t="n">
        <v>610</v>
      </c>
      <c r="H65" s="413" t="n">
        <v>3999</v>
      </c>
      <c r="I65" s="412" t="inlineStr">
        <is>
          <t>B2B</t>
        </is>
      </c>
    </row>
    <row r="66" ht="12" customHeight="1" s="253">
      <c r="A66" s="414" t="n">
        <v>45689</v>
      </c>
      <c r="B66" s="415" t="n">
        <v>45698</v>
      </c>
      <c r="C66" s="412" t="inlineStr">
        <is>
          <t>INV-000089</t>
        </is>
      </c>
      <c r="D66" s="412" t="inlineStr">
        <is>
          <t>Closed</t>
        </is>
      </c>
      <c r="E66" s="412" t="inlineStr">
        <is>
          <t>B2C</t>
        </is>
      </c>
      <c r="F66" s="413" t="n">
        <v>2964</v>
      </c>
      <c r="G66" s="413" t="n">
        <v>534</v>
      </c>
      <c r="H66" s="413" t="n">
        <v>3497</v>
      </c>
      <c r="I66" s="412" t="inlineStr">
        <is>
          <t>B2C</t>
        </is>
      </c>
    </row>
    <row r="67" ht="12" customHeight="1" s="253">
      <c r="A67" s="414" t="n">
        <v>45689</v>
      </c>
      <c r="B67" s="415" t="n">
        <v>45698</v>
      </c>
      <c r="C67" s="412" t="inlineStr">
        <is>
          <t>INV-000090</t>
        </is>
      </c>
      <c r="D67" s="412" t="inlineStr">
        <is>
          <t>Closed</t>
        </is>
      </c>
      <c r="E67" s="412" t="inlineStr">
        <is>
          <t>Abel Tom Benny // Thomas and Thomas Advocates</t>
        </is>
      </c>
      <c r="F67" s="413" t="n">
        <v>91525</v>
      </c>
      <c r="G67" s="413" t="n">
        <v>16475</v>
      </c>
      <c r="H67" s="413" t="n">
        <v>108000</v>
      </c>
      <c r="I67" s="412" t="inlineStr">
        <is>
          <t>B2B</t>
        </is>
      </c>
    </row>
    <row r="68" ht="12" customHeight="1" s="253">
      <c r="A68" s="414" t="n">
        <v>45689</v>
      </c>
      <c r="B68" s="415" t="n">
        <v>45699</v>
      </c>
      <c r="C68" s="412" t="inlineStr">
        <is>
          <t>INV-000091</t>
        </is>
      </c>
      <c r="D68" s="412" t="inlineStr">
        <is>
          <t>Closed</t>
        </is>
      </c>
      <c r="E68" s="412" t="inlineStr">
        <is>
          <t>Diwan Law Associates</t>
        </is>
      </c>
      <c r="F68" s="413" t="n">
        <v>4237</v>
      </c>
      <c r="G68" s="413" t="n">
        <v>763</v>
      </c>
      <c r="H68" s="413" t="n">
        <v>5000</v>
      </c>
      <c r="I68" s="412" t="inlineStr">
        <is>
          <t>B2B</t>
        </is>
      </c>
    </row>
    <row r="69" ht="12" customHeight="1" s="253">
      <c r="A69" s="414" t="n">
        <v>45689</v>
      </c>
      <c r="B69" s="415" t="n">
        <v>45705</v>
      </c>
      <c r="C69" s="412" t="inlineStr">
        <is>
          <t>INV-000092</t>
        </is>
      </c>
      <c r="D69" s="412" t="inlineStr">
        <is>
          <t>Closed</t>
        </is>
      </c>
      <c r="E69" s="412" t="inlineStr">
        <is>
          <t>B2C</t>
        </is>
      </c>
      <c r="F69" s="413" t="n">
        <v>6753</v>
      </c>
      <c r="G69" s="413" t="n">
        <v>1216</v>
      </c>
      <c r="H69" s="413" t="n">
        <v>7969</v>
      </c>
      <c r="I69" s="412" t="inlineStr">
        <is>
          <t>B2C</t>
        </is>
      </c>
    </row>
    <row r="70" ht="12" customHeight="1" s="253">
      <c r="A70" s="414" t="n">
        <v>45689</v>
      </c>
      <c r="B70" s="415" t="n">
        <v>45705</v>
      </c>
      <c r="C70" s="412" t="inlineStr">
        <is>
          <t>INV-000093</t>
        </is>
      </c>
      <c r="D70" s="412" t="inlineStr">
        <is>
          <t>Closed</t>
        </is>
      </c>
      <c r="E70" s="412" t="inlineStr">
        <is>
          <t>MZM Legal LLP</t>
        </is>
      </c>
      <c r="F70" s="413" t="n">
        <v>255000</v>
      </c>
      <c r="G70" s="413" t="n">
        <v>45900</v>
      </c>
      <c r="H70" s="413" t="n">
        <v>300900</v>
      </c>
      <c r="I70" s="412" t="inlineStr">
        <is>
          <t>B2B</t>
        </is>
      </c>
    </row>
    <row r="71" ht="12" customHeight="1" s="253">
      <c r="A71" s="414" t="n">
        <v>45689</v>
      </c>
      <c r="B71" s="415" t="n">
        <v>45711</v>
      </c>
      <c r="C71" s="412" t="inlineStr">
        <is>
          <t>INV-000094</t>
        </is>
      </c>
      <c r="D71" s="412" t="inlineStr">
        <is>
          <t>Closed</t>
        </is>
      </c>
      <c r="E71" s="412" t="inlineStr">
        <is>
          <t>B2C</t>
        </is>
      </c>
      <c r="F71" s="413" t="n">
        <v>2114</v>
      </c>
      <c r="G71" s="413" t="n">
        <v>380</v>
      </c>
      <c r="H71" s="413" t="n">
        <v>2495</v>
      </c>
      <c r="I71" s="412" t="inlineStr">
        <is>
          <t>B2C</t>
        </is>
      </c>
    </row>
    <row r="72" ht="12" customHeight="1" s="253">
      <c r="A72" s="414" t="n">
        <v>45689</v>
      </c>
      <c r="B72" s="415" t="n">
        <v>45711</v>
      </c>
      <c r="C72" s="412" t="inlineStr">
        <is>
          <t>INV-000095</t>
        </is>
      </c>
      <c r="D72" s="412" t="inlineStr">
        <is>
          <t>Overdue</t>
        </is>
      </c>
      <c r="E72" s="412" t="inlineStr">
        <is>
          <t>Prompt Legal</t>
        </is>
      </c>
      <c r="F72" s="413" t="n">
        <v>137288</v>
      </c>
      <c r="G72" s="413" t="n">
        <v>24712</v>
      </c>
      <c r="H72" s="413" t="n">
        <v>162000</v>
      </c>
      <c r="I72" s="412" t="inlineStr">
        <is>
          <t>B2B</t>
        </is>
      </c>
    </row>
    <row r="73" ht="12" customHeight="1" s="253">
      <c r="A73" s="414" t="n">
        <v>45689</v>
      </c>
      <c r="B73" s="415" t="n">
        <v>45711</v>
      </c>
      <c r="C73" s="412" t="inlineStr">
        <is>
          <t>INV-000096</t>
        </is>
      </c>
      <c r="D73" s="412" t="inlineStr">
        <is>
          <t>Closed</t>
        </is>
      </c>
      <c r="E73" s="412" t="inlineStr">
        <is>
          <t>Monalisa Kosaria</t>
        </is>
      </c>
      <c r="F73" s="413" t="n">
        <v>19068</v>
      </c>
      <c r="G73" s="413" t="n">
        <v>3432</v>
      </c>
      <c r="H73" s="413" t="n">
        <v>22500</v>
      </c>
      <c r="I73" s="412" t="inlineStr">
        <is>
          <t>B2B</t>
        </is>
      </c>
    </row>
    <row r="74" ht="12" customHeight="1" s="253">
      <c r="A74" s="414" t="n">
        <v>45689</v>
      </c>
      <c r="B74" s="415" t="n">
        <v>45712</v>
      </c>
      <c r="C74" s="412" t="inlineStr">
        <is>
          <t>INV-000097</t>
        </is>
      </c>
      <c r="D74" s="412" t="inlineStr">
        <is>
          <t>Closed</t>
        </is>
      </c>
      <c r="E74" s="412" t="inlineStr">
        <is>
          <t>Eternity Legal</t>
        </is>
      </c>
      <c r="F74" s="413" t="n">
        <v>9999</v>
      </c>
      <c r="G74" s="413" t="n">
        <v>1800</v>
      </c>
      <c r="H74" s="413" t="n">
        <v>11799</v>
      </c>
      <c r="I74" s="412" t="inlineStr">
        <is>
          <t>B2B</t>
        </is>
      </c>
    </row>
    <row r="75" ht="12" customHeight="1" s="253">
      <c r="A75" s="414" t="n">
        <v>45689</v>
      </c>
      <c r="B75" s="415" t="n">
        <v>45712</v>
      </c>
      <c r="C75" s="412" t="inlineStr">
        <is>
          <t>INV-000098</t>
        </is>
      </c>
      <c r="D75" s="412" t="inlineStr">
        <is>
          <t>Closed</t>
        </is>
      </c>
      <c r="E75" s="412" t="inlineStr">
        <is>
          <t>Argus Partners</t>
        </is>
      </c>
      <c r="F75" s="413" t="n">
        <v>133650</v>
      </c>
      <c r="G75" s="413" t="n">
        <v>24057</v>
      </c>
      <c r="H75" s="413" t="n">
        <v>157707</v>
      </c>
      <c r="I75" s="412" t="inlineStr">
        <is>
          <t>B2B</t>
        </is>
      </c>
    </row>
    <row r="76" ht="12" customHeight="1" s="253">
      <c r="A76" s="414" t="n">
        <v>45689</v>
      </c>
      <c r="B76" s="415" t="n">
        <v>45712</v>
      </c>
      <c r="C76" s="412" t="inlineStr">
        <is>
          <t>INV-000099</t>
        </is>
      </c>
      <c r="D76" s="412" t="inlineStr">
        <is>
          <t>Closed</t>
        </is>
      </c>
      <c r="E76" s="412" t="inlineStr">
        <is>
          <t>Dipankar Majumdar</t>
        </is>
      </c>
      <c r="F76" s="413" t="n">
        <v>33864</v>
      </c>
      <c r="G76" s="413" t="n">
        <v>6096</v>
      </c>
      <c r="H76" s="413" t="n">
        <v>39960</v>
      </c>
      <c r="I76" s="412" t="inlineStr">
        <is>
          <t>B2B</t>
        </is>
      </c>
    </row>
    <row r="77" ht="12" customHeight="1" s="253">
      <c r="A77" s="414" t="n">
        <v>45689</v>
      </c>
      <c r="B77" s="415" t="n">
        <v>45713</v>
      </c>
      <c r="C77" s="412" t="inlineStr">
        <is>
          <t>INV-000100</t>
        </is>
      </c>
      <c r="D77" s="412" t="inlineStr">
        <is>
          <t>Closed</t>
        </is>
      </c>
      <c r="E77" s="412" t="inlineStr">
        <is>
          <t>B2C</t>
        </is>
      </c>
      <c r="F77" s="413" t="n">
        <v>846</v>
      </c>
      <c r="G77" s="413" t="n">
        <v>152</v>
      </c>
      <c r="H77" s="413" t="n">
        <v>998</v>
      </c>
      <c r="I77" s="412" t="inlineStr">
        <is>
          <t>B2C</t>
        </is>
      </c>
    </row>
    <row r="78" ht="12" customHeight="1" s="253">
      <c r="A78" s="414" t="n">
        <v>45689</v>
      </c>
      <c r="B78" s="415" t="n">
        <v>45713</v>
      </c>
      <c r="C78" s="412" t="inlineStr">
        <is>
          <t>INV-000101</t>
        </is>
      </c>
      <c r="D78" s="412" t="inlineStr">
        <is>
          <t>Closed</t>
        </is>
      </c>
      <c r="E78" s="412" t="inlineStr">
        <is>
          <t>Sanjay Udeshi &amp; Co</t>
        </is>
      </c>
      <c r="F78" s="413" t="n">
        <v>240000</v>
      </c>
      <c r="G78" s="413" t="n">
        <v>43200</v>
      </c>
      <c r="H78" s="413" t="n">
        <v>283200</v>
      </c>
      <c r="I78" s="412" t="inlineStr">
        <is>
          <t>B2B</t>
        </is>
      </c>
    </row>
    <row r="79" ht="12" customHeight="1" s="253">
      <c r="A79" s="414" t="n">
        <v>45689</v>
      </c>
      <c r="B79" s="415" t="n">
        <v>45713</v>
      </c>
      <c r="C79" s="412" t="inlineStr">
        <is>
          <t>INV-000102</t>
        </is>
      </c>
      <c r="D79" s="412" t="inlineStr">
        <is>
          <t>Closed</t>
        </is>
      </c>
      <c r="E79" s="412" t="inlineStr">
        <is>
          <t>Chetan Dedhia</t>
        </is>
      </c>
      <c r="F79" s="413" t="n">
        <v>15000</v>
      </c>
      <c r="G79" s="413" t="n">
        <v>2700</v>
      </c>
      <c r="H79" s="413" t="n">
        <v>17700</v>
      </c>
      <c r="I79" s="412" t="inlineStr">
        <is>
          <t>B2B</t>
        </is>
      </c>
    </row>
    <row r="80" ht="12" customHeight="1" s="253">
      <c r="A80" s="414" t="n">
        <v>45689</v>
      </c>
      <c r="B80" s="415" t="n">
        <v>45714</v>
      </c>
      <c r="C80" s="412" t="inlineStr">
        <is>
          <t>INV-000103</t>
        </is>
      </c>
      <c r="D80" s="412" t="inlineStr">
        <is>
          <t>Closed</t>
        </is>
      </c>
      <c r="E80" s="412" t="inlineStr">
        <is>
          <t>Sajal Awasthi</t>
        </is>
      </c>
      <c r="F80" s="413" t="n">
        <v>22881</v>
      </c>
      <c r="G80" s="413" t="n">
        <v>4119</v>
      </c>
      <c r="H80" s="413" t="n">
        <v>27000</v>
      </c>
      <c r="I80" s="412" t="inlineStr">
        <is>
          <t>B2B</t>
        </is>
      </c>
    </row>
    <row r="81" ht="12" customHeight="1" s="253">
      <c r="A81" s="414" t="n">
        <v>45689</v>
      </c>
      <c r="B81" s="415" t="n">
        <v>45715</v>
      </c>
      <c r="C81" s="412" t="inlineStr">
        <is>
          <t>INV-000104</t>
        </is>
      </c>
      <c r="D81" s="412" t="inlineStr">
        <is>
          <t>Closed</t>
        </is>
      </c>
      <c r="E81" s="412" t="inlineStr">
        <is>
          <t>B2C</t>
        </is>
      </c>
      <c r="F81" s="413" t="n">
        <v>7846</v>
      </c>
      <c r="G81" s="413" t="n">
        <v>1412</v>
      </c>
      <c r="H81" s="413" t="n">
        <v>9258</v>
      </c>
      <c r="I81" s="412" t="inlineStr">
        <is>
          <t>B2C</t>
        </is>
      </c>
    </row>
    <row r="82" ht="12" customHeight="1" s="253">
      <c r="A82" s="414" t="n">
        <v>45689</v>
      </c>
      <c r="B82" s="415" t="n">
        <v>45715</v>
      </c>
      <c r="C82" s="412" t="inlineStr">
        <is>
          <t>INV-000105</t>
        </is>
      </c>
      <c r="D82" s="412" t="inlineStr">
        <is>
          <t>Closed</t>
        </is>
      </c>
      <c r="E82" s="412" t="inlineStr">
        <is>
          <t>MV Law Partners</t>
        </is>
      </c>
      <c r="F82" s="413" t="n">
        <v>60000</v>
      </c>
      <c r="G82" s="413" t="n">
        <v>10800</v>
      </c>
      <c r="H82" s="413" t="n">
        <v>70800</v>
      </c>
      <c r="I82" s="412" t="inlineStr">
        <is>
          <t>B2B</t>
        </is>
      </c>
    </row>
    <row r="83" ht="12" customHeight="1" s="253">
      <c r="A83" s="414" t="n">
        <v>45689</v>
      </c>
      <c r="B83" s="415" t="n">
        <v>45716</v>
      </c>
      <c r="C83" s="412" t="inlineStr">
        <is>
          <t>INV-000106</t>
        </is>
      </c>
      <c r="D83" s="412" t="inlineStr">
        <is>
          <t>Closed</t>
        </is>
      </c>
      <c r="E83" s="412" t="inlineStr">
        <is>
          <t>SRCO Legal / Salvador Raghav &amp; Co.</t>
        </is>
      </c>
      <c r="F83" s="413" t="n">
        <v>6780</v>
      </c>
      <c r="G83" s="413" t="n">
        <v>1220</v>
      </c>
      <c r="H83" s="413" t="n">
        <v>8000</v>
      </c>
      <c r="I83" s="412" t="inlineStr">
        <is>
          <t>B2B</t>
        </is>
      </c>
    </row>
    <row r="84" ht="12" customHeight="1" s="253">
      <c r="A84" s="414" t="n">
        <v>45689</v>
      </c>
      <c r="B84" s="415" t="n">
        <v>45716</v>
      </c>
      <c r="C84" s="412" t="inlineStr">
        <is>
          <t>INV-000107</t>
        </is>
      </c>
      <c r="D84" s="412" t="inlineStr">
        <is>
          <t>Closed</t>
        </is>
      </c>
      <c r="E84" s="412" t="inlineStr">
        <is>
          <t>B2C</t>
        </is>
      </c>
      <c r="F84" s="413" t="n">
        <v>3386</v>
      </c>
      <c r="G84" s="413" t="n">
        <v>610</v>
      </c>
      <c r="H84" s="413" t="n">
        <v>3996</v>
      </c>
      <c r="I84" s="412" t="inlineStr">
        <is>
          <t>B2C</t>
        </is>
      </c>
    </row>
    <row r="85" ht="12" customHeight="1" s="253">
      <c r="A85" s="414" t="n">
        <v>45717</v>
      </c>
      <c r="B85" s="415" t="n">
        <v>45719</v>
      </c>
      <c r="C85" s="412" t="inlineStr">
        <is>
          <t>INV-000108</t>
        </is>
      </c>
      <c r="D85" s="412" t="inlineStr">
        <is>
          <t>Closed</t>
        </is>
      </c>
      <c r="E85" s="412" t="inlineStr">
        <is>
          <t>B2C</t>
        </is>
      </c>
      <c r="F85" s="413" t="n">
        <v>2537</v>
      </c>
      <c r="G85" s="413" t="n">
        <v>456</v>
      </c>
      <c r="H85" s="413" t="n">
        <v>2994</v>
      </c>
      <c r="I85" s="412" t="inlineStr">
        <is>
          <t>B2C</t>
        </is>
      </c>
    </row>
    <row r="86" ht="12" customHeight="1" s="253">
      <c r="A86" s="414" t="n">
        <v>45717</v>
      </c>
      <c r="B86" s="415" t="n">
        <v>45721</v>
      </c>
      <c r="C86" s="412" t="inlineStr">
        <is>
          <t>INV-000109</t>
        </is>
      </c>
      <c r="D86" s="412" t="inlineStr">
        <is>
          <t>Closed</t>
        </is>
      </c>
      <c r="E86" s="412" t="inlineStr">
        <is>
          <t>GM Legal</t>
        </is>
      </c>
      <c r="F86" s="413" t="n">
        <v>16000</v>
      </c>
      <c r="G86" s="413" t="n">
        <v>2880</v>
      </c>
      <c r="H86" s="413" t="n">
        <v>18880</v>
      </c>
      <c r="I86" s="412" t="inlineStr">
        <is>
          <t>B2B</t>
        </is>
      </c>
    </row>
    <row r="87" ht="12" customHeight="1" s="253">
      <c r="A87" s="414" t="n">
        <v>45717</v>
      </c>
      <c r="B87" s="415" t="n">
        <v>45724</v>
      </c>
      <c r="C87" s="412" t="inlineStr">
        <is>
          <t>INV-000110</t>
        </is>
      </c>
      <c r="D87" s="412" t="inlineStr">
        <is>
          <t>Closed</t>
        </is>
      </c>
      <c r="E87" s="412" t="inlineStr">
        <is>
          <t>B2C</t>
        </is>
      </c>
      <c r="F87" s="413" t="n">
        <v>3039</v>
      </c>
      <c r="G87" s="413" t="n">
        <v>548</v>
      </c>
      <c r="H87" s="413" t="n">
        <v>3586</v>
      </c>
      <c r="I87" s="412" t="inlineStr">
        <is>
          <t>B2C</t>
        </is>
      </c>
    </row>
    <row r="88" ht="12" customHeight="1" s="253">
      <c r="A88" s="414" t="n">
        <v>45717</v>
      </c>
      <c r="B88" s="415" t="n">
        <v>45725</v>
      </c>
      <c r="C88" s="412" t="inlineStr">
        <is>
          <t>INV-000111</t>
        </is>
      </c>
      <c r="D88" s="412" t="inlineStr">
        <is>
          <t>Closed</t>
        </is>
      </c>
      <c r="E88" s="412" t="inlineStr">
        <is>
          <t>Harshit Malik</t>
        </is>
      </c>
      <c r="F88" s="413" t="n">
        <v>10000</v>
      </c>
      <c r="G88" s="413" t="n">
        <v>1800</v>
      </c>
      <c r="H88" s="413" t="n">
        <v>11800</v>
      </c>
      <c r="I88" s="412" t="inlineStr">
        <is>
          <t>B2B</t>
        </is>
      </c>
    </row>
    <row r="89" ht="12" customHeight="1" s="253">
      <c r="A89" s="414" t="n">
        <v>45717</v>
      </c>
      <c r="B89" s="415" t="n">
        <v>45725</v>
      </c>
      <c r="C89" s="412" t="inlineStr">
        <is>
          <t>INV-000112</t>
        </is>
      </c>
      <c r="D89" s="412" t="inlineStr">
        <is>
          <t>Closed</t>
        </is>
      </c>
      <c r="E89" s="412" t="inlineStr">
        <is>
          <t>Manish kelker</t>
        </is>
      </c>
      <c r="F89" s="413" t="n">
        <v>3389</v>
      </c>
      <c r="G89" s="413" t="n">
        <v>610</v>
      </c>
      <c r="H89" s="413" t="n">
        <v>3999</v>
      </c>
      <c r="I89" s="412" t="inlineStr">
        <is>
          <t>B2B</t>
        </is>
      </c>
    </row>
    <row r="90" ht="12" customHeight="1" s="253">
      <c r="A90" s="414" t="n">
        <v>45717</v>
      </c>
      <c r="B90" s="415" t="n">
        <v>45727</v>
      </c>
      <c r="C90" s="412" t="inlineStr">
        <is>
          <t>INV-000113</t>
        </is>
      </c>
      <c r="D90" s="412" t="inlineStr">
        <is>
          <t>Closed</t>
        </is>
      </c>
      <c r="E90" s="412" t="inlineStr">
        <is>
          <t>B2C</t>
        </is>
      </c>
      <c r="F90" s="413" t="n">
        <v>6692</v>
      </c>
      <c r="G90" s="413" t="n">
        <v>1204</v>
      </c>
      <c r="H90" s="413" t="n">
        <v>7896</v>
      </c>
      <c r="I90" s="412" t="inlineStr">
        <is>
          <t>B2C</t>
        </is>
      </c>
    </row>
    <row r="91" ht="12" customHeight="1" s="253">
      <c r="A91" s="414" t="n">
        <v>45717</v>
      </c>
      <c r="B91" s="415" t="n">
        <v>45727</v>
      </c>
      <c r="C91" s="412" t="inlineStr">
        <is>
          <t>INV-000114</t>
        </is>
      </c>
      <c r="D91" s="412" t="inlineStr">
        <is>
          <t>Closed</t>
        </is>
      </c>
      <c r="E91" s="412" t="inlineStr">
        <is>
          <t>Diwan Law Associates</t>
        </is>
      </c>
      <c r="F91" s="413" t="n">
        <v>4237</v>
      </c>
      <c r="G91" s="413" t="n">
        <v>762</v>
      </c>
      <c r="H91" s="413" t="n">
        <v>5000</v>
      </c>
      <c r="I91" s="412" t="inlineStr">
        <is>
          <t>B2B</t>
        </is>
      </c>
    </row>
    <row r="92" ht="12" customHeight="1" s="253">
      <c r="A92" s="414" t="n">
        <v>45717</v>
      </c>
      <c r="B92" s="415" t="n">
        <v>45728</v>
      </c>
      <c r="C92" s="412" t="inlineStr">
        <is>
          <t>INV-000115</t>
        </is>
      </c>
      <c r="D92" s="412" t="inlineStr">
        <is>
          <t>Closed</t>
        </is>
      </c>
      <c r="E92" s="412" t="inlineStr">
        <is>
          <t>Federal &amp; Company</t>
        </is>
      </c>
      <c r="F92" s="413" t="n">
        <v>25000</v>
      </c>
      <c r="G92" s="413" t="n">
        <v>4500</v>
      </c>
      <c r="H92" s="413" t="n">
        <v>29500</v>
      </c>
      <c r="I92" s="412" t="inlineStr">
        <is>
          <t>B2B</t>
        </is>
      </c>
    </row>
    <row r="93" ht="12" customHeight="1" s="253">
      <c r="A93" s="414" t="n">
        <v>45717</v>
      </c>
      <c r="B93" s="415" t="n">
        <v>45728</v>
      </c>
      <c r="C93" s="412" t="inlineStr">
        <is>
          <t>INV-000116</t>
        </is>
      </c>
      <c r="D93" s="412" t="inlineStr">
        <is>
          <t>Closed</t>
        </is>
      </c>
      <c r="E93" s="412" t="inlineStr">
        <is>
          <t>Megha Chandra</t>
        </is>
      </c>
      <c r="F93" s="413" t="n">
        <v>10000</v>
      </c>
      <c r="G93" s="413" t="n">
        <v>1800</v>
      </c>
      <c r="H93" s="413" t="n">
        <v>11800</v>
      </c>
      <c r="I93" s="412" t="inlineStr">
        <is>
          <t>B2B</t>
        </is>
      </c>
    </row>
    <row r="94" ht="12" customHeight="1" s="253">
      <c r="A94" s="414" t="n">
        <v>45717</v>
      </c>
      <c r="B94" s="415" t="n">
        <v>45730</v>
      </c>
      <c r="C94" s="412" t="inlineStr">
        <is>
          <t>INV-000117</t>
        </is>
      </c>
      <c r="D94" s="412" t="inlineStr">
        <is>
          <t>Closed</t>
        </is>
      </c>
      <c r="E94" s="412" t="inlineStr">
        <is>
          <t>B2C</t>
        </is>
      </c>
      <c r="F94" s="413" t="n">
        <v>2541</v>
      </c>
      <c r="G94" s="413" t="n">
        <v>458</v>
      </c>
      <c r="H94" s="413" t="n">
        <v>2998</v>
      </c>
      <c r="I94" s="412" t="inlineStr">
        <is>
          <t>B2C</t>
        </is>
      </c>
    </row>
    <row r="95" ht="12" customHeight="1" s="253">
      <c r="A95" s="414" t="n">
        <v>45717</v>
      </c>
      <c r="B95" s="415" t="n">
        <v>45730</v>
      </c>
      <c r="C95" s="412" t="inlineStr">
        <is>
          <t>INV-000118</t>
        </is>
      </c>
      <c r="D95" s="412" t="inlineStr">
        <is>
          <t>Closed</t>
        </is>
      </c>
      <c r="E95" s="412" t="inlineStr">
        <is>
          <t>Yash Momaya</t>
        </is>
      </c>
      <c r="F95" s="413" t="n">
        <v>5000</v>
      </c>
      <c r="G95" s="413" t="n">
        <v>900</v>
      </c>
      <c r="H95" s="413" t="n">
        <v>5900</v>
      </c>
      <c r="I95" s="412" t="inlineStr">
        <is>
          <t>B2B</t>
        </is>
      </c>
    </row>
    <row r="96" ht="12" customHeight="1" s="253">
      <c r="A96" s="414" t="n">
        <v>45717</v>
      </c>
      <c r="B96" s="415" t="n">
        <v>45733</v>
      </c>
      <c r="C96" s="412" t="inlineStr">
        <is>
          <t>INV-000119</t>
        </is>
      </c>
      <c r="D96" s="412" t="inlineStr">
        <is>
          <t>Closed</t>
        </is>
      </c>
      <c r="E96" s="412" t="inlineStr">
        <is>
          <t>B2C</t>
        </is>
      </c>
      <c r="F96" s="413" t="n">
        <v>6773</v>
      </c>
      <c r="G96" s="413" t="n">
        <v>1220</v>
      </c>
      <c r="H96" s="413" t="n">
        <v>7992</v>
      </c>
      <c r="I96" s="412" t="inlineStr">
        <is>
          <t>B2C</t>
        </is>
      </c>
    </row>
    <row r="97" ht="12" customHeight="1" s="253">
      <c r="A97" s="414" t="n">
        <v>45717</v>
      </c>
      <c r="B97" s="415" t="n">
        <v>45733</v>
      </c>
      <c r="C97" s="412" t="inlineStr">
        <is>
          <t>INV-000120</t>
        </is>
      </c>
      <c r="D97" s="412" t="inlineStr">
        <is>
          <t>Closed</t>
        </is>
      </c>
      <c r="E97" s="412" t="inlineStr">
        <is>
          <t>MZM Legal LLP</t>
        </is>
      </c>
      <c r="F97" s="413" t="n">
        <v>255000</v>
      </c>
      <c r="G97" s="413" t="n">
        <v>45900</v>
      </c>
      <c r="H97" s="413" t="n">
        <v>300900</v>
      </c>
      <c r="I97" s="412" t="inlineStr">
        <is>
          <t>B2B</t>
        </is>
      </c>
    </row>
    <row r="98" ht="12" customHeight="1" s="253">
      <c r="A98" s="414" t="n">
        <v>45717</v>
      </c>
      <c r="B98" s="415" t="n">
        <v>45735</v>
      </c>
      <c r="C98" s="412" t="inlineStr">
        <is>
          <t>INV-000121</t>
        </is>
      </c>
      <c r="D98" s="412" t="inlineStr">
        <is>
          <t>Closed</t>
        </is>
      </c>
      <c r="E98" s="412" t="inlineStr">
        <is>
          <t>Prantar</t>
        </is>
      </c>
      <c r="F98" s="413" t="n">
        <v>31144</v>
      </c>
      <c r="G98" s="413" t="n">
        <v>5606</v>
      </c>
      <c r="H98" s="413" t="n">
        <v>36750</v>
      </c>
      <c r="I98" s="412" t="inlineStr">
        <is>
          <t>B2B</t>
        </is>
      </c>
    </row>
    <row r="99" ht="12" customHeight="1" s="253">
      <c r="A99" s="414" t="n">
        <v>45717</v>
      </c>
      <c r="B99" s="415" t="n">
        <v>45736</v>
      </c>
      <c r="C99" s="412" t="inlineStr">
        <is>
          <t>INV-000122</t>
        </is>
      </c>
      <c r="D99" s="412" t="inlineStr">
        <is>
          <t>Closed</t>
        </is>
      </c>
      <c r="E99" s="412" t="inlineStr">
        <is>
          <t>B2C</t>
        </is>
      </c>
      <c r="F99" s="413" t="n">
        <v>1264</v>
      </c>
      <c r="G99" s="413" t="n">
        <v>228</v>
      </c>
      <c r="H99" s="413" t="n">
        <v>1492</v>
      </c>
      <c r="I99" s="412" t="inlineStr">
        <is>
          <t>B2C</t>
        </is>
      </c>
    </row>
    <row r="100" ht="12" customHeight="1" s="253">
      <c r="A100" s="414" t="n">
        <v>45717</v>
      </c>
      <c r="B100" s="415" t="n">
        <v>45736</v>
      </c>
      <c r="C100" s="412" t="inlineStr">
        <is>
          <t>INV-000123</t>
        </is>
      </c>
      <c r="D100" s="412" t="inlineStr">
        <is>
          <t>Closed</t>
        </is>
      </c>
      <c r="E100" s="412" t="inlineStr">
        <is>
          <t>Tvashta Law</t>
        </is>
      </c>
      <c r="F100" s="413" t="n">
        <v>45000</v>
      </c>
      <c r="G100" s="413" t="n">
        <v>8100</v>
      </c>
      <c r="H100" s="413" t="n">
        <v>53100</v>
      </c>
      <c r="I100" s="412" t="inlineStr">
        <is>
          <t>B2B</t>
        </is>
      </c>
    </row>
    <row r="101" ht="12" customHeight="1" s="253">
      <c r="A101" s="414" t="n">
        <v>45717</v>
      </c>
      <c r="B101" s="415" t="n">
        <v>45736</v>
      </c>
      <c r="C101" s="412" t="inlineStr">
        <is>
          <t>INV-000124</t>
        </is>
      </c>
      <c r="D101" s="412" t="inlineStr">
        <is>
          <t>Closed</t>
        </is>
      </c>
      <c r="E101" s="412" t="inlineStr">
        <is>
          <t>Innovatus Law</t>
        </is>
      </c>
      <c r="F101" s="413" t="n">
        <v>302400</v>
      </c>
      <c r="G101" s="413" t="n">
        <v>54432</v>
      </c>
      <c r="H101" s="413" t="n">
        <v>356832</v>
      </c>
      <c r="I101" s="412" t="inlineStr">
        <is>
          <t>B2B</t>
        </is>
      </c>
    </row>
    <row r="102" ht="12" customHeight="1" s="253">
      <c r="A102" s="414" t="n">
        <v>45717</v>
      </c>
      <c r="B102" s="415" t="n">
        <v>45736</v>
      </c>
      <c r="C102" s="412" t="inlineStr">
        <is>
          <t>INV-000125</t>
        </is>
      </c>
      <c r="D102" s="412" t="inlineStr">
        <is>
          <t>Closed</t>
        </is>
      </c>
      <c r="E102" s="412" t="inlineStr">
        <is>
          <t>Eternity Legal</t>
        </is>
      </c>
      <c r="F102" s="413" t="n">
        <v>99000</v>
      </c>
      <c r="G102" s="413" t="n">
        <v>17820</v>
      </c>
      <c r="H102" s="413" t="n">
        <v>116820</v>
      </c>
      <c r="I102" s="412" t="inlineStr">
        <is>
          <t>B2B</t>
        </is>
      </c>
    </row>
    <row r="103" ht="12" customHeight="1" s="253">
      <c r="A103" s="414" t="n">
        <v>45717</v>
      </c>
      <c r="B103" s="415" t="n">
        <v>45737</v>
      </c>
      <c r="C103" s="412" t="inlineStr">
        <is>
          <t>INV-000126</t>
        </is>
      </c>
      <c r="D103" s="412" t="inlineStr">
        <is>
          <t>Closed</t>
        </is>
      </c>
      <c r="E103" s="412" t="inlineStr">
        <is>
          <t>Solaris Legal</t>
        </is>
      </c>
      <c r="F103" s="413" t="n">
        <v>40000</v>
      </c>
      <c r="G103" s="413" t="n">
        <v>7200</v>
      </c>
      <c r="H103" s="413" t="n">
        <v>47200</v>
      </c>
      <c r="I103" s="412" t="inlineStr">
        <is>
          <t>B2B</t>
        </is>
      </c>
    </row>
    <row r="104" ht="12" customHeight="1" s="253">
      <c r="A104" s="414" t="n">
        <v>45717</v>
      </c>
      <c r="B104" s="415" t="n">
        <v>45738</v>
      </c>
      <c r="C104" s="412" t="inlineStr">
        <is>
          <t>INV-000127</t>
        </is>
      </c>
      <c r="D104" s="412" t="inlineStr">
        <is>
          <t>Closed</t>
        </is>
      </c>
      <c r="E104" s="412" t="inlineStr">
        <is>
          <t>Justice (Retd.) Kurian Joseph</t>
        </is>
      </c>
      <c r="F104" s="413" t="n">
        <v>12500</v>
      </c>
      <c r="G104" s="413" t="n">
        <v>2250</v>
      </c>
      <c r="H104" s="413" t="n">
        <v>14750</v>
      </c>
      <c r="I104" s="412" t="inlineStr">
        <is>
          <t>B2B</t>
        </is>
      </c>
    </row>
    <row r="105" ht="12" customHeight="1" s="253">
      <c r="A105" s="414" t="n">
        <v>45717</v>
      </c>
      <c r="B105" s="415" t="n">
        <v>45738</v>
      </c>
      <c r="C105" s="412" t="inlineStr">
        <is>
          <t>INV-000128</t>
        </is>
      </c>
      <c r="D105" s="412" t="inlineStr">
        <is>
          <t>Closed</t>
        </is>
      </c>
      <c r="E105" s="412" t="inlineStr">
        <is>
          <t>Amrita Panda / Chambers of Amrita Panda</t>
        </is>
      </c>
      <c r="F105" s="413" t="n">
        <v>150000</v>
      </c>
      <c r="G105" s="413" t="n">
        <v>27000</v>
      </c>
      <c r="H105" s="413" t="n">
        <v>177000</v>
      </c>
      <c r="I105" s="412" t="inlineStr">
        <is>
          <t>B2B</t>
        </is>
      </c>
    </row>
    <row r="106" ht="12" customHeight="1" s="253">
      <c r="A106" s="414" t="n">
        <v>45717</v>
      </c>
      <c r="B106" s="415" t="n">
        <v>45739</v>
      </c>
      <c r="C106" s="412" t="inlineStr">
        <is>
          <t>INV-000129</t>
        </is>
      </c>
      <c r="D106" s="412" t="inlineStr">
        <is>
          <t>Closed</t>
        </is>
      </c>
      <c r="E106" s="412" t="inlineStr">
        <is>
          <t>Rohit Sharma</t>
        </is>
      </c>
      <c r="F106" s="413" t="n">
        <v>10000</v>
      </c>
      <c r="G106" s="413" t="n">
        <v>1800</v>
      </c>
      <c r="H106" s="413" t="n">
        <v>11800</v>
      </c>
      <c r="I106" s="412" t="inlineStr">
        <is>
          <t>B2B</t>
        </is>
      </c>
    </row>
    <row r="107" ht="12" customHeight="1" s="253">
      <c r="A107" s="414" t="n">
        <v>45717</v>
      </c>
      <c r="B107" s="415" t="n">
        <v>45740</v>
      </c>
      <c r="C107" s="412" t="inlineStr">
        <is>
          <t>INV-000130</t>
        </is>
      </c>
      <c r="D107" s="412" t="inlineStr">
        <is>
          <t>Closed</t>
        </is>
      </c>
      <c r="E107" s="412" t="inlineStr">
        <is>
          <t>B2C</t>
        </is>
      </c>
      <c r="F107" s="413" t="n">
        <v>2106</v>
      </c>
      <c r="G107" s="413" t="n">
        <v>380</v>
      </c>
      <c r="H107" s="413" t="n">
        <v>2485</v>
      </c>
      <c r="I107" s="412" t="inlineStr">
        <is>
          <t>B2C</t>
        </is>
      </c>
    </row>
    <row r="108" ht="12" customHeight="1" s="253">
      <c r="A108" s="414" t="n">
        <v>45717</v>
      </c>
      <c r="B108" s="415" t="n">
        <v>45740</v>
      </c>
      <c r="C108" s="412" t="inlineStr">
        <is>
          <t>INV-000131</t>
        </is>
      </c>
      <c r="D108" s="412" t="inlineStr">
        <is>
          <t>Closed</t>
        </is>
      </c>
      <c r="E108" s="412" t="inlineStr">
        <is>
          <t>Gourab Banreji</t>
        </is>
      </c>
      <c r="F108" s="413" t="n">
        <v>255000</v>
      </c>
      <c r="G108" s="413" t="n">
        <v>45900</v>
      </c>
      <c r="H108" s="413" t="n">
        <v>300900</v>
      </c>
      <c r="I108" s="412" t="inlineStr">
        <is>
          <t>B2B</t>
        </is>
      </c>
    </row>
    <row r="109" ht="12" customHeight="1" s="253">
      <c r="A109" s="414" t="n">
        <v>45717</v>
      </c>
      <c r="B109" s="415" t="n">
        <v>45740</v>
      </c>
      <c r="C109" s="412" t="inlineStr">
        <is>
          <t>INV-000132</t>
        </is>
      </c>
      <c r="D109" s="412" t="inlineStr">
        <is>
          <t>Overdue</t>
        </is>
      </c>
      <c r="E109" s="412" t="inlineStr">
        <is>
          <t>Argus Partners</t>
        </is>
      </c>
      <c r="F109" s="413" t="n">
        <v>3000</v>
      </c>
      <c r="G109" s="413" t="n">
        <v>540</v>
      </c>
      <c r="H109" s="413" t="n">
        <v>3540</v>
      </c>
      <c r="I109" s="412" t="inlineStr">
        <is>
          <t>B2B</t>
        </is>
      </c>
    </row>
    <row r="110" ht="12" customHeight="1" s="253">
      <c r="A110" s="414" t="n">
        <v>45717</v>
      </c>
      <c r="B110" s="415" t="n">
        <v>45741</v>
      </c>
      <c r="C110" s="412" t="inlineStr">
        <is>
          <t>INV-000133</t>
        </is>
      </c>
      <c r="D110" s="412" t="inlineStr">
        <is>
          <t>Closed</t>
        </is>
      </c>
      <c r="E110" s="412" t="inlineStr">
        <is>
          <t>B2C</t>
        </is>
      </c>
      <c r="F110" s="413" t="n">
        <v>850</v>
      </c>
      <c r="G110" s="413" t="n">
        <v>154</v>
      </c>
      <c r="H110" s="413" t="n">
        <v>1003</v>
      </c>
      <c r="I110" s="412" t="inlineStr">
        <is>
          <t>B2C</t>
        </is>
      </c>
    </row>
    <row r="111" ht="12" customHeight="1" s="253">
      <c r="A111" s="414" t="n">
        <v>45717</v>
      </c>
      <c r="B111" s="415" t="n">
        <v>45741</v>
      </c>
      <c r="C111" s="412" t="inlineStr">
        <is>
          <t>INV-000134</t>
        </is>
      </c>
      <c r="D111" s="412" t="inlineStr">
        <is>
          <t>Closed</t>
        </is>
      </c>
      <c r="E111" s="412" t="inlineStr">
        <is>
          <t>Justice (Retd.) AK Sikri</t>
        </is>
      </c>
      <c r="F111" s="413" t="n">
        <v>150000</v>
      </c>
      <c r="G111" s="413" t="n">
        <v>27000</v>
      </c>
      <c r="H111" s="413" t="n">
        <v>177000</v>
      </c>
      <c r="I111" s="412" t="inlineStr">
        <is>
          <t>B2B</t>
        </is>
      </c>
    </row>
    <row r="112" ht="12" customHeight="1" s="253">
      <c r="A112" s="414" t="n">
        <v>45717</v>
      </c>
      <c r="B112" s="415" t="n">
        <v>45741</v>
      </c>
      <c r="C112" s="412" t="inlineStr">
        <is>
          <t>INV-000135</t>
        </is>
      </c>
      <c r="D112" s="412" t="inlineStr">
        <is>
          <t>Closed</t>
        </is>
      </c>
      <c r="E112" s="412" t="inlineStr">
        <is>
          <t>Burgeon Law LLP</t>
        </is>
      </c>
      <c r="F112" s="413" t="n">
        <v>67500</v>
      </c>
      <c r="G112" s="413" t="n">
        <v>12150</v>
      </c>
      <c r="H112" s="413" t="n">
        <v>79650</v>
      </c>
      <c r="I112" s="412" t="inlineStr">
        <is>
          <t>B2B</t>
        </is>
      </c>
    </row>
    <row r="113" ht="12" customHeight="1" s="253">
      <c r="A113" s="414" t="n">
        <v>45717</v>
      </c>
      <c r="B113" s="415" t="n">
        <v>45742</v>
      </c>
      <c r="C113" s="412" t="inlineStr">
        <is>
          <t>INV-000136</t>
        </is>
      </c>
      <c r="D113" s="412" t="inlineStr">
        <is>
          <t>Closed</t>
        </is>
      </c>
      <c r="E113" s="412" t="inlineStr">
        <is>
          <t>Balbir Singh</t>
        </is>
      </c>
      <c r="F113" s="413" t="n">
        <v>15000</v>
      </c>
      <c r="G113" s="413" t="n">
        <v>2700</v>
      </c>
      <c r="H113" s="413" t="n">
        <v>17700</v>
      </c>
      <c r="I113" s="412" t="inlineStr">
        <is>
          <t>B2B</t>
        </is>
      </c>
    </row>
    <row r="114" ht="12" customHeight="1" s="253">
      <c r="A114" s="414" t="n">
        <v>45717</v>
      </c>
      <c r="B114" s="415" t="n">
        <v>45742</v>
      </c>
      <c r="C114" s="412" t="inlineStr">
        <is>
          <t>INV-000137</t>
        </is>
      </c>
      <c r="D114" s="412" t="inlineStr">
        <is>
          <t>Closed</t>
        </is>
      </c>
      <c r="E114" s="412" t="inlineStr">
        <is>
          <t>Akshat Vachher</t>
        </is>
      </c>
      <c r="F114" s="413" t="n">
        <v>129600</v>
      </c>
      <c r="G114" s="413" t="n">
        <v>23328</v>
      </c>
      <c r="H114" s="413" t="n">
        <v>152928</v>
      </c>
      <c r="I114" s="412" t="inlineStr">
        <is>
          <t>B2B</t>
        </is>
      </c>
    </row>
    <row r="115" ht="12" customHeight="1" s="253">
      <c r="A115" s="414" t="n">
        <v>45717</v>
      </c>
      <c r="B115" s="415" t="n">
        <v>45742</v>
      </c>
      <c r="C115" s="412" t="inlineStr">
        <is>
          <t>INV-000138</t>
        </is>
      </c>
      <c r="D115" s="412" t="inlineStr">
        <is>
          <t>Closed</t>
        </is>
      </c>
      <c r="E115" s="412" t="inlineStr">
        <is>
          <t>Sudhanshu Kumar</t>
        </is>
      </c>
      <c r="F115" s="413" t="n">
        <v>5000</v>
      </c>
      <c r="G115" s="413" t="n">
        <v>900</v>
      </c>
      <c r="H115" s="413" t="n">
        <v>5900</v>
      </c>
      <c r="I115" s="412" t="inlineStr">
        <is>
          <t>B2B</t>
        </is>
      </c>
    </row>
    <row r="116" ht="12" customHeight="1" s="253">
      <c r="A116" s="414" t="n">
        <v>45717</v>
      </c>
      <c r="B116" s="415" t="n">
        <v>45742</v>
      </c>
      <c r="C116" s="412" t="inlineStr">
        <is>
          <t>INV-000139</t>
        </is>
      </c>
      <c r="D116" s="412" t="inlineStr">
        <is>
          <t>Closed</t>
        </is>
      </c>
      <c r="E116" s="412" t="inlineStr">
        <is>
          <t>Nora Legal Consultants LLP</t>
        </is>
      </c>
      <c r="F116" s="413" t="n">
        <v>161017</v>
      </c>
      <c r="G116" s="413" t="n">
        <v>28983</v>
      </c>
      <c r="H116" s="413" t="n">
        <v>190000</v>
      </c>
      <c r="I116" s="412" t="inlineStr">
        <is>
          <t>B2B</t>
        </is>
      </c>
    </row>
    <row r="117" ht="12" customHeight="1" s="253">
      <c r="A117" s="414" t="n">
        <v>45717</v>
      </c>
      <c r="B117" s="415" t="n">
        <v>45743</v>
      </c>
      <c r="C117" s="412" t="inlineStr">
        <is>
          <t>INV-000140</t>
        </is>
      </c>
      <c r="D117" s="412" t="inlineStr">
        <is>
          <t>Closed</t>
        </is>
      </c>
      <c r="E117" s="412" t="inlineStr">
        <is>
          <t>B2C</t>
        </is>
      </c>
      <c r="F117" s="413" t="n">
        <v>2964</v>
      </c>
      <c r="G117" s="413" t="n">
        <v>534</v>
      </c>
      <c r="H117" s="413" t="n">
        <v>3497</v>
      </c>
      <c r="I117" s="412" t="inlineStr">
        <is>
          <t>B2C</t>
        </is>
      </c>
    </row>
    <row r="118" ht="12" customHeight="1" s="253">
      <c r="A118" s="414" t="n">
        <v>45717</v>
      </c>
      <c r="B118" s="415" t="n">
        <v>45743</v>
      </c>
      <c r="C118" s="412" t="inlineStr">
        <is>
          <t>INV-000141</t>
        </is>
      </c>
      <c r="D118" s="412" t="inlineStr">
        <is>
          <t>Closed</t>
        </is>
      </c>
      <c r="E118" s="412" t="inlineStr">
        <is>
          <t>Chambers of Justice Mohit S Shah (Retd.) Former Chief Justice of Bombay and Calcutta High Courts</t>
        </is>
      </c>
      <c r="F118" s="413" t="n">
        <v>45000</v>
      </c>
      <c r="G118" s="413" t="n">
        <v>8100</v>
      </c>
      <c r="H118" s="413" t="n">
        <v>53100</v>
      </c>
      <c r="I118" s="412" t="inlineStr">
        <is>
          <t>B2B</t>
        </is>
      </c>
    </row>
    <row r="119" ht="12" customHeight="1" s="253">
      <c r="A119" s="414" t="n">
        <v>45717</v>
      </c>
      <c r="B119" s="415" t="n">
        <v>45744</v>
      </c>
      <c r="C119" s="412" t="inlineStr">
        <is>
          <t>INV-000142</t>
        </is>
      </c>
      <c r="D119" s="412" t="inlineStr">
        <is>
          <t>Closed</t>
        </is>
      </c>
      <c r="E119" s="412" t="inlineStr">
        <is>
          <t>Akriti Chaubey</t>
        </is>
      </c>
      <c r="F119" s="413" t="n">
        <v>50000</v>
      </c>
      <c r="G119" s="413" t="n">
        <v>9000</v>
      </c>
      <c r="H119" s="413" t="n">
        <v>59000</v>
      </c>
      <c r="I119" s="412" t="inlineStr">
        <is>
          <t>B2B</t>
        </is>
      </c>
    </row>
    <row r="120" ht="12" customHeight="1" s="253">
      <c r="A120" s="414" t="n">
        <v>45717</v>
      </c>
      <c r="B120" s="415" t="n">
        <v>45745</v>
      </c>
      <c r="C120" s="412" t="inlineStr">
        <is>
          <t>INV-000143</t>
        </is>
      </c>
      <c r="D120" s="412" t="inlineStr">
        <is>
          <t>Closed</t>
        </is>
      </c>
      <c r="E120" s="412" t="inlineStr">
        <is>
          <t>B2C</t>
        </is>
      </c>
      <c r="F120" s="413" t="n">
        <v>2541</v>
      </c>
      <c r="G120" s="413" t="n">
        <v>458</v>
      </c>
      <c r="H120" s="413" t="n">
        <v>2998</v>
      </c>
      <c r="I120" s="412" t="inlineStr">
        <is>
          <t>B2C</t>
        </is>
      </c>
    </row>
    <row r="121" ht="12" customHeight="1" s="253">
      <c r="A121" s="414" t="n">
        <v>45717</v>
      </c>
      <c r="B121" s="415" t="n">
        <v>45745</v>
      </c>
      <c r="C121" s="412" t="inlineStr">
        <is>
          <t>INV-000144</t>
        </is>
      </c>
      <c r="D121" s="412" t="inlineStr">
        <is>
          <t>Closed</t>
        </is>
      </c>
      <c r="E121" s="412" t="inlineStr">
        <is>
          <t>Wadia Ghandy &amp; Co.</t>
        </is>
      </c>
      <c r="F121" s="413" t="n">
        <v>2592000</v>
      </c>
      <c r="G121" s="413" t="n">
        <v>466560</v>
      </c>
      <c r="H121" s="413" t="n">
        <v>3058560</v>
      </c>
      <c r="I121" s="412" t="inlineStr">
        <is>
          <t>B2B</t>
        </is>
      </c>
    </row>
    <row r="122" ht="12" customHeight="1" s="253">
      <c r="A122" s="414" t="n">
        <v>45717</v>
      </c>
      <c r="B122" s="415" t="n">
        <v>45745</v>
      </c>
      <c r="C122" s="412" t="inlineStr">
        <is>
          <t>INV-000145</t>
        </is>
      </c>
      <c r="D122" s="412" t="inlineStr">
        <is>
          <t>Closed</t>
        </is>
      </c>
      <c r="E122" s="412" t="inlineStr">
        <is>
          <t>SRCO Legal / Salvador Raghav &amp; Co.</t>
        </is>
      </c>
      <c r="F122" s="413" t="n">
        <v>6780</v>
      </c>
      <c r="G122" s="413" t="n">
        <v>1220</v>
      </c>
      <c r="H122" s="413" t="n">
        <v>8000</v>
      </c>
      <c r="I122" s="412" t="inlineStr">
        <is>
          <t>B2B</t>
        </is>
      </c>
    </row>
    <row r="123" ht="12" customHeight="1" s="253">
      <c r="A123" s="414" t="n">
        <v>45717</v>
      </c>
      <c r="B123" s="415" t="n">
        <v>45747</v>
      </c>
      <c r="C123" s="412" t="inlineStr">
        <is>
          <t>INV-000146</t>
        </is>
      </c>
      <c r="D123" s="412" t="inlineStr">
        <is>
          <t>Closed</t>
        </is>
      </c>
      <c r="E123" s="412" t="inlineStr">
        <is>
          <t>Sajal Awasthi</t>
        </is>
      </c>
      <c r="F123" s="413" t="n">
        <v>22881</v>
      </c>
      <c r="G123" s="413" t="n">
        <v>4119</v>
      </c>
      <c r="H123" s="413" t="n">
        <v>27000</v>
      </c>
      <c r="I123" s="412" t="inlineStr">
        <is>
          <t>B2B</t>
        </is>
      </c>
    </row>
    <row r="124" ht="12" customHeight="1" s="253">
      <c r="A124" s="414" t="n">
        <v>45717</v>
      </c>
      <c r="B124" s="415" t="n">
        <v>45747</v>
      </c>
      <c r="C124" s="412" t="inlineStr">
        <is>
          <t>INV-000147</t>
        </is>
      </c>
      <c r="D124" s="412" t="inlineStr">
        <is>
          <t>Closed</t>
        </is>
      </c>
      <c r="E124" s="412" t="inlineStr">
        <is>
          <t>Rohit Gupta</t>
        </is>
      </c>
      <c r="F124" s="413" t="n">
        <v>35000</v>
      </c>
      <c r="G124" s="413" t="n">
        <v>6300</v>
      </c>
      <c r="H124" s="413" t="n">
        <v>41300</v>
      </c>
      <c r="I124" s="412" t="inlineStr">
        <is>
          <t>B2B</t>
        </is>
      </c>
    </row>
    <row r="125" ht="12" customHeight="1" s="253">
      <c r="A125" s="414" t="n">
        <v>45717</v>
      </c>
      <c r="B125" s="415" t="n">
        <v>45747</v>
      </c>
      <c r="C125" s="412" t="inlineStr">
        <is>
          <t>INV-000148</t>
        </is>
      </c>
      <c r="D125" s="412" t="inlineStr">
        <is>
          <t>Closed</t>
        </is>
      </c>
      <c r="E125" s="412" t="inlineStr">
        <is>
          <t>Santosh</t>
        </is>
      </c>
      <c r="F125" s="413" t="n">
        <v>8475</v>
      </c>
      <c r="G125" s="413" t="n">
        <v>1526</v>
      </c>
      <c r="H125" s="413" t="n">
        <v>10000</v>
      </c>
      <c r="I125" s="412" t="inlineStr">
        <is>
          <t>B2B</t>
        </is>
      </c>
    </row>
    <row r="126" ht="12" customHeight="1" s="253">
      <c r="A126" s="414" t="n">
        <v>45717</v>
      </c>
      <c r="B126" s="415" t="n">
        <v>45747</v>
      </c>
      <c r="C126" s="412" t="inlineStr">
        <is>
          <t>INV-000149</t>
        </is>
      </c>
      <c r="D126" s="412" t="inlineStr">
        <is>
          <t>Closed</t>
        </is>
      </c>
      <c r="E126" s="412" t="inlineStr">
        <is>
          <t>NIKHIL DEELIP P</t>
        </is>
      </c>
      <c r="F126" s="413" t="n">
        <v>5000</v>
      </c>
      <c r="G126" s="413" t="n">
        <v>900</v>
      </c>
      <c r="H126" s="413" t="n">
        <v>5900</v>
      </c>
      <c r="I126" s="412" t="inlineStr">
        <is>
          <t>B2B</t>
        </is>
      </c>
    </row>
    <row r="127" ht="12" customHeight="1" s="253">
      <c r="A127" s="414" t="n">
        <v>45717</v>
      </c>
      <c r="B127" s="415" t="n">
        <v>45747</v>
      </c>
      <c r="C127" s="412" t="inlineStr">
        <is>
          <t>INV-000150</t>
        </is>
      </c>
      <c r="D127" s="412" t="inlineStr">
        <is>
          <t>Closed</t>
        </is>
      </c>
      <c r="E127" s="412" t="inlineStr">
        <is>
          <t>B2C</t>
        </is>
      </c>
      <c r="F127" s="413" t="n">
        <v>19236</v>
      </c>
      <c r="G127" s="413" t="n">
        <v>3462</v>
      </c>
      <c r="H127" s="413" t="n">
        <v>22698</v>
      </c>
      <c r="I127" s="412" t="inlineStr">
        <is>
          <t>B2C</t>
        </is>
      </c>
    </row>
    <row r="128" ht="12" customHeight="1" s="253">
      <c r="A128" s="414" t="n">
        <v>45748</v>
      </c>
      <c r="B128" s="415" t="n">
        <v>45748</v>
      </c>
      <c r="C128" s="412" t="inlineStr">
        <is>
          <t>INV-25-26-000001</t>
        </is>
      </c>
      <c r="D128" s="412" t="inlineStr">
        <is>
          <t>Closed</t>
        </is>
      </c>
      <c r="E128" s="412" t="inlineStr">
        <is>
          <t>Touchstone Partners</t>
        </is>
      </c>
      <c r="F128" s="413" t="n">
        <v>60000</v>
      </c>
      <c r="G128" s="413" t="n">
        <v>10800</v>
      </c>
      <c r="H128" s="413" t="n">
        <v>70800</v>
      </c>
      <c r="I128" s="412" t="inlineStr">
        <is>
          <t>B2B</t>
        </is>
      </c>
    </row>
    <row r="129" ht="12" customHeight="1" s="253">
      <c r="A129" s="414" t="n">
        <v>45748</v>
      </c>
      <c r="B129" s="415" t="n">
        <v>45748</v>
      </c>
      <c r="C129" s="412" t="inlineStr">
        <is>
          <t>INV-25-26-000002</t>
        </is>
      </c>
      <c r="D129" s="412" t="inlineStr">
        <is>
          <t>Closed</t>
        </is>
      </c>
      <c r="E129" s="412" t="inlineStr">
        <is>
          <t>Bimal Rajasekhar</t>
        </is>
      </c>
      <c r="F129" s="413" t="n">
        <v>30000</v>
      </c>
      <c r="G129" s="413" t="n">
        <v>5400</v>
      </c>
      <c r="H129" s="413" t="n">
        <v>35400</v>
      </c>
      <c r="I129" s="412" t="inlineStr">
        <is>
          <t>B2B</t>
        </is>
      </c>
    </row>
    <row r="130" ht="12" customHeight="1" s="253">
      <c r="A130" s="414" t="n">
        <v>45748</v>
      </c>
      <c r="B130" s="415" t="n">
        <v>45749</v>
      </c>
      <c r="C130" s="412" t="inlineStr">
        <is>
          <t>INV-25-26-000003</t>
        </is>
      </c>
      <c r="D130" s="412" t="inlineStr">
        <is>
          <t>Closed</t>
        </is>
      </c>
      <c r="E130" s="412" t="inlineStr">
        <is>
          <t>Veritas Legal Advocates and Solicitors</t>
        </is>
      </c>
      <c r="F130" s="413" t="n">
        <v>993600</v>
      </c>
      <c r="G130" s="413" t="n">
        <v>178848</v>
      </c>
      <c r="H130" s="413" t="n">
        <v>1172448</v>
      </c>
      <c r="I130" s="412" t="inlineStr">
        <is>
          <t>B2B</t>
        </is>
      </c>
    </row>
    <row r="131" ht="12" customHeight="1" s="253">
      <c r="A131" s="414" t="n">
        <v>45748</v>
      </c>
      <c r="B131" s="415" t="n">
        <v>45749</v>
      </c>
      <c r="C131" s="412" t="inlineStr">
        <is>
          <t>INV-25-26-000004</t>
        </is>
      </c>
      <c r="D131" s="412" t="inlineStr">
        <is>
          <t>Closed</t>
        </is>
      </c>
      <c r="E131" s="412" t="inlineStr">
        <is>
          <t>LEGALOGIC CONSULTING LLP</t>
        </is>
      </c>
      <c r="F131" s="413" t="n">
        <v>30000</v>
      </c>
      <c r="G131" s="413" t="n">
        <v>5400</v>
      </c>
      <c r="H131" s="413" t="n">
        <v>35400</v>
      </c>
      <c r="I131" s="412" t="inlineStr">
        <is>
          <t>B2B</t>
        </is>
      </c>
    </row>
    <row r="132" ht="12" customHeight="1" s="253">
      <c r="A132" s="414" t="n">
        <v>45748</v>
      </c>
      <c r="B132" s="415" t="n">
        <v>45750</v>
      </c>
      <c r="C132" s="412" t="inlineStr">
        <is>
          <t>INV-25-26-000005</t>
        </is>
      </c>
      <c r="D132" s="412" t="inlineStr">
        <is>
          <t>Overdue</t>
        </is>
      </c>
      <c r="E132" s="412" t="inlineStr">
        <is>
          <t>VACUITAS COUNSELLOR LLP</t>
        </is>
      </c>
      <c r="F132" s="413" t="n">
        <v>99000</v>
      </c>
      <c r="G132" s="413" t="n">
        <v>17820</v>
      </c>
      <c r="H132" s="413" t="n">
        <v>116820</v>
      </c>
      <c r="I132" s="412" t="inlineStr">
        <is>
          <t>B2B</t>
        </is>
      </c>
    </row>
    <row r="133" ht="12" customHeight="1" s="253">
      <c r="A133" s="414" t="n">
        <v>45748</v>
      </c>
      <c r="B133" s="415" t="n">
        <v>45752</v>
      </c>
      <c r="C133" s="412" t="inlineStr">
        <is>
          <t>INV-25-26-000006</t>
        </is>
      </c>
      <c r="D133" s="412" t="inlineStr">
        <is>
          <t>Closed</t>
        </is>
      </c>
      <c r="E133" s="412" t="inlineStr">
        <is>
          <t>Tvashta Law</t>
        </is>
      </c>
      <c r="F133" s="413" t="n">
        <v>2000</v>
      </c>
      <c r="G133" s="413" t="n">
        <v>360</v>
      </c>
      <c r="H133" s="413" t="n">
        <v>2360</v>
      </c>
      <c r="I133" s="412" t="inlineStr">
        <is>
          <t>B2B</t>
        </is>
      </c>
    </row>
    <row r="134" ht="12" customHeight="1" s="253">
      <c r="A134" s="414" t="n">
        <v>45748</v>
      </c>
      <c r="B134" s="415" t="n">
        <v>45754</v>
      </c>
      <c r="C134" s="412" t="inlineStr">
        <is>
          <t>INV-25-26-000007</t>
        </is>
      </c>
      <c r="D134" s="412" t="inlineStr">
        <is>
          <t>Closed</t>
        </is>
      </c>
      <c r="E134" s="412" t="inlineStr">
        <is>
          <t>U. S. GANDHI &amp; CO.</t>
        </is>
      </c>
      <c r="F134" s="413" t="n">
        <v>8000</v>
      </c>
      <c r="G134" s="413" t="n">
        <v>1440</v>
      </c>
      <c r="H134" s="413" t="n">
        <v>9440</v>
      </c>
      <c r="I134" s="412" t="inlineStr">
        <is>
          <t>B2B</t>
        </is>
      </c>
    </row>
    <row r="135" ht="12" customHeight="1" s="253">
      <c r="A135" s="414" t="n">
        <v>45748</v>
      </c>
      <c r="B135" s="415" t="n">
        <v>45754</v>
      </c>
      <c r="C135" s="412" t="inlineStr">
        <is>
          <t>INV-25-26-000008</t>
        </is>
      </c>
      <c r="D135" s="412" t="inlineStr">
        <is>
          <t>Closed</t>
        </is>
      </c>
      <c r="E135" s="412" t="inlineStr">
        <is>
          <t>B2C</t>
        </is>
      </c>
      <c r="F135" s="413" t="n">
        <v>12277</v>
      </c>
      <c r="G135" s="413" t="n">
        <v>2210</v>
      </c>
      <c r="H135" s="413" t="n">
        <v>14487</v>
      </c>
      <c r="I135" s="412" t="inlineStr">
        <is>
          <t>B2C</t>
        </is>
      </c>
    </row>
    <row r="136" ht="12" customHeight="1" s="253">
      <c r="A136" s="414" t="n">
        <v>45748</v>
      </c>
      <c r="B136" s="415" t="n">
        <v>45754</v>
      </c>
      <c r="C136" s="412" t="inlineStr">
        <is>
          <t>INV-25-26-000009</t>
        </is>
      </c>
      <c r="D136" s="412" t="inlineStr">
        <is>
          <t>Closed</t>
        </is>
      </c>
      <c r="E136" s="412" t="inlineStr">
        <is>
          <t>Advocate Rohit Jaiswal</t>
        </is>
      </c>
      <c r="F136" s="413" t="n">
        <v>5000</v>
      </c>
      <c r="G136" s="413" t="n">
        <v>900</v>
      </c>
      <c r="H136" s="413" t="n">
        <v>5900</v>
      </c>
      <c r="I136" s="412" t="inlineStr">
        <is>
          <t>B2B</t>
        </is>
      </c>
    </row>
    <row r="137" ht="12" customHeight="1" s="253">
      <c r="A137" s="414" t="n">
        <v>45748</v>
      </c>
      <c r="B137" s="415" t="n">
        <v>45755</v>
      </c>
      <c r="C137" s="412" t="inlineStr">
        <is>
          <t>INV-25-26-000010</t>
        </is>
      </c>
      <c r="D137" s="412" t="inlineStr">
        <is>
          <t>Overdue</t>
        </is>
      </c>
      <c r="E137" s="412" t="inlineStr">
        <is>
          <t>Dileep Poolakkot</t>
        </is>
      </c>
      <c r="F137" s="413" t="n">
        <v>60004</v>
      </c>
      <c r="G137" s="413" t="n">
        <v>10801</v>
      </c>
      <c r="H137" s="413" t="n">
        <v>70805</v>
      </c>
      <c r="I137" s="412" t="inlineStr">
        <is>
          <t>B2B</t>
        </is>
      </c>
    </row>
    <row r="138" ht="12" customHeight="1" s="253">
      <c r="A138" s="414" t="n">
        <v>45748</v>
      </c>
      <c r="B138" s="415" t="n">
        <v>45755</v>
      </c>
      <c r="C138" s="412" t="inlineStr">
        <is>
          <t>INV-25-26-000011</t>
        </is>
      </c>
      <c r="D138" s="412" t="inlineStr">
        <is>
          <t>Closed</t>
        </is>
      </c>
      <c r="E138" s="412" t="inlineStr">
        <is>
          <t>Utkarsh Joshi</t>
        </is>
      </c>
      <c r="F138" s="413" t="n">
        <v>6000</v>
      </c>
      <c r="G138" s="413" t="n">
        <v>1080</v>
      </c>
      <c r="H138" s="413" t="n">
        <v>7080</v>
      </c>
      <c r="I138" s="412" t="inlineStr">
        <is>
          <t>B2B</t>
        </is>
      </c>
    </row>
    <row r="139" ht="12" customHeight="1" s="253">
      <c r="A139" s="414" t="n">
        <v>45748</v>
      </c>
      <c r="B139" s="415" t="n">
        <v>45755</v>
      </c>
      <c r="C139" s="412" t="inlineStr">
        <is>
          <t>INV-25-26-000012</t>
        </is>
      </c>
      <c r="D139" s="412" t="inlineStr">
        <is>
          <t>Closed</t>
        </is>
      </c>
      <c r="E139" s="412" t="inlineStr">
        <is>
          <t>Karan Butalia</t>
        </is>
      </c>
      <c r="F139" s="413" t="n">
        <v>4000</v>
      </c>
      <c r="G139" s="413" t="n">
        <v>720</v>
      </c>
      <c r="H139" s="413" t="n">
        <v>4720</v>
      </c>
      <c r="I139" s="412" t="inlineStr">
        <is>
          <t>B2B</t>
        </is>
      </c>
    </row>
    <row r="140" ht="12" customHeight="1" s="253">
      <c r="A140" s="414" t="n">
        <v>45748</v>
      </c>
      <c r="B140" s="415" t="n">
        <v>45755</v>
      </c>
      <c r="C140" s="412" t="inlineStr">
        <is>
          <t>INV-25-26-000013</t>
        </is>
      </c>
      <c r="D140" s="412" t="inlineStr">
        <is>
          <t>Overdue</t>
        </is>
      </c>
      <c r="E140" s="412" t="inlineStr">
        <is>
          <t>Agama Law Associates</t>
        </is>
      </c>
      <c r="F140" s="413" t="n">
        <v>67797</v>
      </c>
      <c r="G140" s="413" t="n">
        <v>12203</v>
      </c>
      <c r="H140" s="413" t="n">
        <v>80000</v>
      </c>
      <c r="I140" s="412" t="inlineStr">
        <is>
          <t>B2B</t>
        </is>
      </c>
    </row>
    <row r="141" ht="12" customHeight="1" s="253">
      <c r="A141" s="414" t="n">
        <v>45748</v>
      </c>
      <c r="B141" s="415" t="n">
        <v>45755</v>
      </c>
      <c r="C141" s="412" t="inlineStr">
        <is>
          <t>INV-25-26-000014</t>
        </is>
      </c>
      <c r="D141" s="412" t="inlineStr">
        <is>
          <t>Closed</t>
        </is>
      </c>
      <c r="E141" s="412" t="inlineStr">
        <is>
          <t>RAJANI ASSOCIATES</t>
        </is>
      </c>
      <c r="F141" s="413" t="n">
        <v>21000</v>
      </c>
      <c r="G141" s="413" t="n">
        <v>3780</v>
      </c>
      <c r="H141" s="413" t="n">
        <v>24780</v>
      </c>
      <c r="I141" s="412" t="inlineStr">
        <is>
          <t>B2B</t>
        </is>
      </c>
    </row>
    <row r="142" ht="12" customHeight="1" s="253">
      <c r="A142" s="414" t="n">
        <v>45748</v>
      </c>
      <c r="B142" s="415" t="n">
        <v>45756</v>
      </c>
      <c r="C142" s="412" t="inlineStr">
        <is>
          <t>INV-25-26-000015</t>
        </is>
      </c>
      <c r="D142" s="412" t="inlineStr">
        <is>
          <t>Closed</t>
        </is>
      </c>
      <c r="E142" s="412" t="inlineStr">
        <is>
          <t>Venkatesh Dhond</t>
        </is>
      </c>
      <c r="F142" s="413" t="n">
        <v>85500</v>
      </c>
      <c r="G142" s="413" t="n">
        <v>15390</v>
      </c>
      <c r="H142" s="413" t="n">
        <v>100890</v>
      </c>
      <c r="I142" s="412" t="inlineStr">
        <is>
          <t>B2B</t>
        </is>
      </c>
    </row>
    <row r="143" ht="12" customHeight="1" s="253">
      <c r="A143" s="414" t="n">
        <v>45748</v>
      </c>
      <c r="B143" s="415" t="n">
        <v>45756</v>
      </c>
      <c r="C143" s="412" t="inlineStr">
        <is>
          <t>INV-25-26-000016</t>
        </is>
      </c>
      <c r="D143" s="412" t="inlineStr">
        <is>
          <t>Closed</t>
        </is>
      </c>
      <c r="E143" s="412" t="inlineStr">
        <is>
          <t>Harshit Malik</t>
        </is>
      </c>
      <c r="F143" s="413" t="n">
        <v>10000</v>
      </c>
      <c r="G143" s="413" t="n">
        <v>1800</v>
      </c>
      <c r="H143" s="413" t="n">
        <v>11800</v>
      </c>
      <c r="I143" s="412" t="inlineStr">
        <is>
          <t>B2B</t>
        </is>
      </c>
    </row>
    <row r="144" ht="12" customHeight="1" s="253">
      <c r="A144" s="414" t="n">
        <v>45748</v>
      </c>
      <c r="B144" s="415" t="n">
        <v>45757</v>
      </c>
      <c r="C144" s="412" t="inlineStr">
        <is>
          <t>INV-25-26-000017</t>
        </is>
      </c>
      <c r="D144" s="412" t="inlineStr">
        <is>
          <t>Closed</t>
        </is>
      </c>
      <c r="E144" s="412" t="inlineStr">
        <is>
          <t>PSN Legal Advocates and Legal Consultants</t>
        </is>
      </c>
      <c r="F144" s="413" t="n">
        <v>150012</v>
      </c>
      <c r="G144" s="413" t="n">
        <v>27002</v>
      </c>
      <c r="H144" s="413" t="n">
        <v>177014</v>
      </c>
      <c r="I144" s="412" t="inlineStr">
        <is>
          <t>B2B</t>
        </is>
      </c>
    </row>
    <row r="145" ht="12" customHeight="1" s="253">
      <c r="A145" s="414" t="n">
        <v>45748</v>
      </c>
      <c r="B145" s="415" t="n">
        <v>45757</v>
      </c>
      <c r="C145" s="412" t="inlineStr">
        <is>
          <t>INV-25-26-000019</t>
        </is>
      </c>
      <c r="D145" s="412" t="inlineStr">
        <is>
          <t>Closed</t>
        </is>
      </c>
      <c r="E145" s="412" t="inlineStr">
        <is>
          <t>Swapna Sheshadri</t>
        </is>
      </c>
      <c r="F145" s="413" t="n">
        <v>10000</v>
      </c>
      <c r="G145" s="413" t="n">
        <v>1800</v>
      </c>
      <c r="H145" s="413" t="n">
        <v>11800</v>
      </c>
      <c r="I145" s="412" t="inlineStr">
        <is>
          <t>B2B</t>
        </is>
      </c>
    </row>
    <row r="146" ht="12" customHeight="1" s="253">
      <c r="A146" s="414" t="n">
        <v>45748</v>
      </c>
      <c r="B146" s="415" t="n">
        <v>45758</v>
      </c>
      <c r="C146" s="412" t="inlineStr">
        <is>
          <t>INV-25-26-000020</t>
        </is>
      </c>
      <c r="D146" s="412" t="inlineStr">
        <is>
          <t>Closed</t>
        </is>
      </c>
      <c r="E146" s="412" t="inlineStr">
        <is>
          <t>Vutts &amp; AssociatesÂ LLP</t>
        </is>
      </c>
      <c r="F146" s="413" t="n">
        <v>30000</v>
      </c>
      <c r="G146" s="413" t="n">
        <v>5400</v>
      </c>
      <c r="H146" s="413" t="n">
        <v>35400</v>
      </c>
      <c r="I146" s="412" t="inlineStr">
        <is>
          <t>B2B</t>
        </is>
      </c>
    </row>
    <row r="147" ht="12" customHeight="1" s="253">
      <c r="A147" s="414" t="n">
        <v>45748</v>
      </c>
      <c r="B147" s="415" t="n">
        <v>45758</v>
      </c>
      <c r="C147" s="412" t="inlineStr">
        <is>
          <t>INV-25-26-000021</t>
        </is>
      </c>
      <c r="D147" s="412" t="inlineStr">
        <is>
          <t>Overdue</t>
        </is>
      </c>
      <c r="E147" s="412" t="inlineStr">
        <is>
          <t>Darius J. Khambata</t>
        </is>
      </c>
      <c r="F147" s="413" t="n">
        <v>16949</v>
      </c>
      <c r="G147" s="413" t="n">
        <v>3051</v>
      </c>
      <c r="H147" s="413" t="n">
        <v>20000</v>
      </c>
      <c r="I147" s="412" t="inlineStr">
        <is>
          <t>B2B</t>
        </is>
      </c>
    </row>
    <row r="148" ht="12" customHeight="1" s="253">
      <c r="A148" s="414" t="n">
        <v>45748</v>
      </c>
      <c r="B148" s="415" t="n">
        <v>45758</v>
      </c>
      <c r="C148" s="412" t="inlineStr">
        <is>
          <t>INV-25-26-000022</t>
        </is>
      </c>
      <c r="D148" s="412" t="inlineStr">
        <is>
          <t>Overdue</t>
        </is>
      </c>
      <c r="E148" s="412" t="inlineStr">
        <is>
          <t>Darius J. Khambata</t>
        </is>
      </c>
      <c r="F148" s="413" t="n">
        <v>16949</v>
      </c>
      <c r="G148" s="413" t="n">
        <v>3051</v>
      </c>
      <c r="H148" s="413" t="n">
        <v>20000</v>
      </c>
      <c r="I148" s="412" t="inlineStr">
        <is>
          <t>B2B</t>
        </is>
      </c>
    </row>
    <row r="149" ht="12" customHeight="1" s="253">
      <c r="A149" s="414" t="n">
        <v>45748</v>
      </c>
      <c r="B149" s="415" t="n">
        <v>45758</v>
      </c>
      <c r="C149" s="412" t="inlineStr">
        <is>
          <t>INV-25-26-000023</t>
        </is>
      </c>
      <c r="D149" s="412" t="inlineStr">
        <is>
          <t>Closed</t>
        </is>
      </c>
      <c r="E149" s="412" t="inlineStr">
        <is>
          <t>Miglani Varma &amp; Co.</t>
        </is>
      </c>
      <c r="F149" s="413" t="n">
        <v>15000</v>
      </c>
      <c r="G149" s="413" t="n">
        <v>2700</v>
      </c>
      <c r="H149" s="413" t="n">
        <v>17700</v>
      </c>
      <c r="I149" s="412" t="inlineStr">
        <is>
          <t>B2B</t>
        </is>
      </c>
    </row>
    <row r="150" ht="12" customHeight="1" s="253">
      <c r="A150" s="414" t="n">
        <v>45748</v>
      </c>
      <c r="B150" s="415" t="n">
        <v>45759</v>
      </c>
      <c r="C150" s="412" t="inlineStr">
        <is>
          <t>INV-25-26-000024</t>
        </is>
      </c>
      <c r="D150" s="412" t="inlineStr">
        <is>
          <t>Closed</t>
        </is>
      </c>
      <c r="E150" s="412" t="inlineStr">
        <is>
          <t>Venkatesh Mohanraj</t>
        </is>
      </c>
      <c r="F150" s="413" t="n">
        <v>5000</v>
      </c>
      <c r="G150" s="413" t="n">
        <v>900</v>
      </c>
      <c r="H150" s="413" t="n">
        <v>5900</v>
      </c>
      <c r="I150" s="412" t="inlineStr">
        <is>
          <t>B2B</t>
        </is>
      </c>
    </row>
    <row r="151" ht="12" customHeight="1" s="253">
      <c r="A151" s="414" t="n">
        <v>45748</v>
      </c>
      <c r="B151" s="415" t="n">
        <v>45759</v>
      </c>
      <c r="C151" s="412" t="inlineStr">
        <is>
          <t>INV-25-26-000025</t>
        </is>
      </c>
      <c r="D151" s="412" t="inlineStr">
        <is>
          <t>Closed</t>
        </is>
      </c>
      <c r="E151" s="412" t="inlineStr">
        <is>
          <t>Jade Lex Partners</t>
        </is>
      </c>
      <c r="F151" s="413" t="n">
        <v>6000</v>
      </c>
      <c r="G151" s="413" t="n">
        <v>1080</v>
      </c>
      <c r="H151" s="413" t="n">
        <v>7080</v>
      </c>
      <c r="I151" s="412" t="inlineStr">
        <is>
          <t>B2B</t>
        </is>
      </c>
    </row>
    <row r="152" ht="12" customHeight="1" s="253">
      <c r="A152" s="414" t="n">
        <v>45748</v>
      </c>
      <c r="B152" s="415" t="n">
        <v>45759</v>
      </c>
      <c r="C152" s="412" t="inlineStr">
        <is>
          <t>INV-25-26-000026</t>
        </is>
      </c>
      <c r="D152" s="412" t="inlineStr">
        <is>
          <t>Closed</t>
        </is>
      </c>
      <c r="E152" s="412" t="inlineStr">
        <is>
          <t>Alankrit Bajpai</t>
        </is>
      </c>
      <c r="F152" s="413" t="n">
        <v>5000</v>
      </c>
      <c r="G152" s="413" t="n">
        <v>900</v>
      </c>
      <c r="H152" s="413" t="n">
        <v>5900</v>
      </c>
      <c r="I152" s="412" t="inlineStr">
        <is>
          <t>B2B</t>
        </is>
      </c>
    </row>
    <row r="153" ht="12" customHeight="1" s="253">
      <c r="A153" s="414" t="n">
        <v>45748</v>
      </c>
      <c r="B153" s="415" t="n">
        <v>45760</v>
      </c>
      <c r="C153" s="412" t="inlineStr">
        <is>
          <t>INV-25-26-000028</t>
        </is>
      </c>
      <c r="D153" s="412" t="inlineStr">
        <is>
          <t>Overdue</t>
        </is>
      </c>
      <c r="E153" s="412" t="inlineStr">
        <is>
          <t>Badar Durrez</t>
        </is>
      </c>
      <c r="F153" s="413" t="n">
        <v>5000</v>
      </c>
      <c r="G153" s="413" t="n">
        <v>900</v>
      </c>
      <c r="H153" s="413" t="n">
        <v>5900</v>
      </c>
      <c r="I153" s="412" t="inlineStr">
        <is>
          <t>B2B</t>
        </is>
      </c>
    </row>
    <row r="154" ht="12" customHeight="1" s="253">
      <c r="A154" s="414" t="n">
        <v>45748</v>
      </c>
      <c r="B154" s="415" t="n">
        <v>45761</v>
      </c>
      <c r="C154" s="412" t="inlineStr">
        <is>
          <t>INV-25-26-000029</t>
        </is>
      </c>
      <c r="D154" s="412" t="inlineStr">
        <is>
          <t>Closed</t>
        </is>
      </c>
      <c r="E154" s="412" t="inlineStr">
        <is>
          <t>Rashmikant and Partners</t>
        </is>
      </c>
      <c r="F154" s="413" t="n">
        <v>150720</v>
      </c>
      <c r="G154" s="413" t="n">
        <v>27130</v>
      </c>
      <c r="H154" s="413" t="n">
        <v>177850</v>
      </c>
      <c r="I154" s="412" t="inlineStr">
        <is>
          <t>B2B</t>
        </is>
      </c>
    </row>
    <row r="155" ht="12" customHeight="1" s="253">
      <c r="A155" s="414" t="n">
        <v>45748</v>
      </c>
      <c r="B155" s="415" t="n">
        <v>45761</v>
      </c>
      <c r="C155" s="412" t="inlineStr">
        <is>
          <t>INV-25-26-000029</t>
        </is>
      </c>
      <c r="D155" s="412" t="inlineStr">
        <is>
          <t>Closed</t>
        </is>
      </c>
      <c r="E155" s="412" t="inlineStr">
        <is>
          <t>Rashmikant and Partners</t>
        </is>
      </c>
      <c r="F155" s="413" t="n">
        <v>69281</v>
      </c>
      <c r="G155" s="413" t="n">
        <v>12471</v>
      </c>
      <c r="H155" s="413" t="n">
        <v>81752</v>
      </c>
      <c r="I155" s="412" t="inlineStr">
        <is>
          <t>B2B</t>
        </is>
      </c>
    </row>
    <row r="156" ht="12" customHeight="1" s="253">
      <c r="A156" s="414" t="n">
        <v>45748</v>
      </c>
      <c r="B156" s="415" t="n">
        <v>45762</v>
      </c>
      <c r="C156" s="412" t="inlineStr">
        <is>
          <t>INV-25-26-000030</t>
        </is>
      </c>
      <c r="D156" s="412" t="inlineStr">
        <is>
          <t>Closed</t>
        </is>
      </c>
      <c r="E156" s="412" t="inlineStr">
        <is>
          <t>Tatva Legal Hyderabad</t>
        </is>
      </c>
      <c r="F156" s="413" t="n">
        <v>150000</v>
      </c>
      <c r="G156" s="413" t="n">
        <v>27000</v>
      </c>
      <c r="H156" s="413" t="n">
        <v>177000</v>
      </c>
      <c r="I156" s="412" t="inlineStr">
        <is>
          <t>B2B</t>
        </is>
      </c>
    </row>
    <row r="157" ht="12" customHeight="1" s="253">
      <c r="A157" s="414" t="n">
        <v>45748</v>
      </c>
      <c r="B157" s="415" t="n">
        <v>45762</v>
      </c>
      <c r="C157" s="412" t="inlineStr">
        <is>
          <t>INV-25-26-000031</t>
        </is>
      </c>
      <c r="D157" s="412" t="inlineStr">
        <is>
          <t>Closed</t>
        </is>
      </c>
      <c r="E157" s="412" t="inlineStr">
        <is>
          <t>B2C</t>
        </is>
      </c>
      <c r="F157" s="413" t="n">
        <v>4652</v>
      </c>
      <c r="G157" s="413" t="n">
        <v>838</v>
      </c>
      <c r="H157" s="413" t="n">
        <v>5489</v>
      </c>
      <c r="I157" s="412" t="inlineStr">
        <is>
          <t>B2C</t>
        </is>
      </c>
    </row>
    <row r="158" ht="12" customHeight="1" s="253">
      <c r="A158" s="414" t="n">
        <v>45748</v>
      </c>
      <c r="B158" s="415" t="n">
        <v>45762</v>
      </c>
      <c r="C158" s="412" t="inlineStr">
        <is>
          <t>INV-25-26-000032</t>
        </is>
      </c>
      <c r="D158" s="412" t="inlineStr">
        <is>
          <t>Closed</t>
        </is>
      </c>
      <c r="E158" s="412" t="inlineStr">
        <is>
          <t>Shreeyash Lalit</t>
        </is>
      </c>
      <c r="F158" s="413" t="n">
        <v>36000</v>
      </c>
      <c r="G158" s="413" t="n">
        <v>6480</v>
      </c>
      <c r="H158" s="413" t="n">
        <v>42480</v>
      </c>
      <c r="I158" s="412" t="inlineStr">
        <is>
          <t>B2B</t>
        </is>
      </c>
    </row>
    <row r="159" ht="12" customHeight="1" s="253">
      <c r="A159" s="414" t="n">
        <v>45748</v>
      </c>
      <c r="B159" s="415" t="n">
        <v>45762</v>
      </c>
      <c r="C159" s="412" t="inlineStr">
        <is>
          <t>INV-25-26-000033</t>
        </is>
      </c>
      <c r="D159" s="412" t="inlineStr">
        <is>
          <t>Closed</t>
        </is>
      </c>
      <c r="E159" s="412" t="inlineStr">
        <is>
          <t>Dewani Associates</t>
        </is>
      </c>
      <c r="F159" s="413" t="n">
        <v>20000</v>
      </c>
      <c r="G159" s="413" t="n">
        <v>3600</v>
      </c>
      <c r="H159" s="413" t="n">
        <v>23600</v>
      </c>
      <c r="I159" s="412" t="inlineStr">
        <is>
          <t>B2B</t>
        </is>
      </c>
    </row>
    <row r="160" ht="12" customHeight="1" s="253">
      <c r="A160" s="414" t="n">
        <v>45748</v>
      </c>
      <c r="B160" s="415" t="n">
        <v>45762</v>
      </c>
      <c r="C160" s="412" t="inlineStr">
        <is>
          <t>INV-25-26-000034</t>
        </is>
      </c>
      <c r="D160" s="412" t="inlineStr">
        <is>
          <t>Closed</t>
        </is>
      </c>
      <c r="E160" s="412" t="inlineStr">
        <is>
          <t>R. Vishnu Kumar Advocate</t>
        </is>
      </c>
      <c r="F160" s="413" t="n">
        <v>16950</v>
      </c>
      <c r="G160" s="413" t="n">
        <v>3051</v>
      </c>
      <c r="H160" s="413" t="n">
        <v>20001</v>
      </c>
      <c r="I160" s="412" t="inlineStr">
        <is>
          <t>B2B</t>
        </is>
      </c>
    </row>
    <row r="161" ht="12" customHeight="1" s="253">
      <c r="A161" s="414" t="n">
        <v>45748</v>
      </c>
      <c r="B161" s="415" t="n">
        <v>45763</v>
      </c>
      <c r="C161" s="412" t="inlineStr">
        <is>
          <t>INV-25-26-000035</t>
        </is>
      </c>
      <c r="D161" s="412" t="inlineStr">
        <is>
          <t>Closed</t>
        </is>
      </c>
      <c r="E161" s="412" t="inlineStr">
        <is>
          <t>Yash Momaya</t>
        </is>
      </c>
      <c r="F161" s="413" t="n">
        <v>10000</v>
      </c>
      <c r="G161" s="413" t="n">
        <v>1800</v>
      </c>
      <c r="H161" s="413" t="n">
        <v>11800</v>
      </c>
      <c r="I161" s="412" t="inlineStr">
        <is>
          <t>B2B</t>
        </is>
      </c>
    </row>
    <row r="162" ht="12" customHeight="1" s="253">
      <c r="A162" s="414" t="n">
        <v>45748</v>
      </c>
      <c r="B162" s="415" t="n">
        <v>45763</v>
      </c>
      <c r="C162" s="412" t="inlineStr">
        <is>
          <t>INV-25-26-000036</t>
        </is>
      </c>
      <c r="D162" s="412" t="inlineStr">
        <is>
          <t>Closed</t>
        </is>
      </c>
      <c r="E162" s="412" t="inlineStr">
        <is>
          <t>Chetan Dedhia</t>
        </is>
      </c>
      <c r="F162" s="413" t="n">
        <v>15000</v>
      </c>
      <c r="G162" s="413" t="n">
        <v>2700</v>
      </c>
      <c r="H162" s="413" t="n">
        <v>17700</v>
      </c>
      <c r="I162" s="412" t="inlineStr">
        <is>
          <t>B2B</t>
        </is>
      </c>
    </row>
    <row r="163" ht="12" customHeight="1" s="253">
      <c r="A163" s="414" t="n">
        <v>45748</v>
      </c>
      <c r="B163" s="415" t="n">
        <v>45763</v>
      </c>
      <c r="C163" s="412" t="inlineStr">
        <is>
          <t>INV-25-26-000037</t>
        </is>
      </c>
      <c r="D163" s="412" t="inlineStr">
        <is>
          <t>Closed</t>
        </is>
      </c>
      <c r="E163" s="412" t="inlineStr">
        <is>
          <t>NC Legal</t>
        </is>
      </c>
      <c r="F163" s="413" t="n">
        <v>68000</v>
      </c>
      <c r="G163" s="413" t="n">
        <v>12240</v>
      </c>
      <c r="H163" s="413" t="n">
        <v>80240</v>
      </c>
      <c r="I163" s="412" t="inlineStr">
        <is>
          <t>B2B</t>
        </is>
      </c>
    </row>
    <row r="164" ht="12" customHeight="1" s="253">
      <c r="A164" s="414" t="n">
        <v>45748</v>
      </c>
      <c r="B164" s="415" t="n">
        <v>45765</v>
      </c>
      <c r="C164" s="412" t="inlineStr">
        <is>
          <t>INV-25-26-000038</t>
        </is>
      </c>
      <c r="D164" s="412" t="inlineStr">
        <is>
          <t>Closed</t>
        </is>
      </c>
      <c r="E164" s="412" t="inlineStr">
        <is>
          <t>Aakash Sharma</t>
        </is>
      </c>
      <c r="F164" s="413" t="n">
        <v>5000</v>
      </c>
      <c r="G164" s="413" t="n">
        <v>900</v>
      </c>
      <c r="H164" s="413" t="n">
        <v>5900</v>
      </c>
      <c r="I164" s="412" t="inlineStr">
        <is>
          <t>B2B</t>
        </is>
      </c>
    </row>
    <row r="165" ht="12" customHeight="1" s="253">
      <c r="A165" s="414" t="n">
        <v>45748</v>
      </c>
      <c r="B165" s="415" t="n">
        <v>45768</v>
      </c>
      <c r="C165" s="412" t="inlineStr">
        <is>
          <t>INV-25-26-000039</t>
        </is>
      </c>
      <c r="D165" s="412" t="inlineStr">
        <is>
          <t>Closed</t>
        </is>
      </c>
      <c r="E165" s="412" t="inlineStr">
        <is>
          <t>SAGA LEGAL</t>
        </is>
      </c>
      <c r="F165" s="413" t="n">
        <v>20000</v>
      </c>
      <c r="G165" s="413" t="n">
        <v>3600</v>
      </c>
      <c r="H165" s="413" t="n">
        <v>23600</v>
      </c>
      <c r="I165" s="412" t="inlineStr">
        <is>
          <t>B2B</t>
        </is>
      </c>
    </row>
    <row r="166" ht="12" customHeight="1" s="253">
      <c r="A166" s="414" t="n">
        <v>45748</v>
      </c>
      <c r="B166" s="415" t="n">
        <v>45769</v>
      </c>
      <c r="C166" s="412" t="inlineStr">
        <is>
          <t>INV-25-26-000040</t>
        </is>
      </c>
      <c r="D166" s="412" t="inlineStr">
        <is>
          <t>Closed</t>
        </is>
      </c>
      <c r="E166" s="412" t="inlineStr">
        <is>
          <t>RPV LEGAL</t>
        </is>
      </c>
      <c r="F166" s="413" t="n">
        <v>148305</v>
      </c>
      <c r="G166" s="413" t="n">
        <v>26695</v>
      </c>
      <c r="H166" s="413" t="n">
        <v>175000</v>
      </c>
      <c r="I166" s="412" t="inlineStr">
        <is>
          <t>B2B</t>
        </is>
      </c>
    </row>
    <row r="167" ht="12" customHeight="1" s="253">
      <c r="A167" s="414" t="n">
        <v>45748</v>
      </c>
      <c r="B167" s="415" t="n">
        <v>45770</v>
      </c>
      <c r="C167" s="412" t="inlineStr">
        <is>
          <t>INV-25-26-000041</t>
        </is>
      </c>
      <c r="D167" s="412" t="inlineStr">
        <is>
          <t>Overdue</t>
        </is>
      </c>
      <c r="E167" s="412" t="inlineStr">
        <is>
          <t>AP &amp; Partners Advocates</t>
        </is>
      </c>
      <c r="F167" s="413" t="n">
        <v>24000</v>
      </c>
      <c r="G167" s="413" t="n">
        <v>4320</v>
      </c>
      <c r="H167" s="413" t="n">
        <v>28320</v>
      </c>
      <c r="I167" s="412" t="inlineStr">
        <is>
          <t>B2B</t>
        </is>
      </c>
    </row>
    <row r="168" ht="12" customHeight="1" s="253">
      <c r="A168" s="414" t="n">
        <v>45748</v>
      </c>
      <c r="B168" s="415" t="n">
        <v>45770</v>
      </c>
      <c r="C168" s="412" t="inlineStr">
        <is>
          <t>INV-25-26-000042</t>
        </is>
      </c>
      <c r="D168" s="412" t="inlineStr">
        <is>
          <t>Closed</t>
        </is>
      </c>
      <c r="E168" s="412" t="inlineStr">
        <is>
          <t>Pranay Chitale</t>
        </is>
      </c>
      <c r="F168" s="413" t="n">
        <v>15000</v>
      </c>
      <c r="G168" s="413" t="n">
        <v>2700</v>
      </c>
      <c r="H168" s="413" t="n">
        <v>17700</v>
      </c>
      <c r="I168" s="412" t="inlineStr">
        <is>
          <t>B2B</t>
        </is>
      </c>
    </row>
    <row r="169" ht="12" customHeight="1" s="253">
      <c r="A169" s="414" t="n">
        <v>45748</v>
      </c>
      <c r="B169" s="415" t="n">
        <v>45771</v>
      </c>
      <c r="C169" s="412" t="inlineStr">
        <is>
          <t>INV-25-26-000043</t>
        </is>
      </c>
      <c r="D169" s="412" t="inlineStr">
        <is>
          <t>Overdue</t>
        </is>
      </c>
      <c r="E169" s="412" t="inlineStr">
        <is>
          <t>Spark Legal</t>
        </is>
      </c>
      <c r="F169" s="413" t="n">
        <v>10000</v>
      </c>
      <c r="G169" s="413" t="n">
        <v>1800</v>
      </c>
      <c r="H169" s="413" t="n">
        <v>11800</v>
      </c>
      <c r="I169" s="412" t="inlineStr">
        <is>
          <t>B2B</t>
        </is>
      </c>
    </row>
    <row r="170" ht="12" customHeight="1" s="253">
      <c r="A170" s="414" t="n">
        <v>45748</v>
      </c>
      <c r="B170" s="415" t="n">
        <v>45771</v>
      </c>
      <c r="C170" s="412" t="inlineStr">
        <is>
          <t>INV-25-26-000044</t>
        </is>
      </c>
      <c r="D170" s="412" t="inlineStr">
        <is>
          <t>Overdue</t>
        </is>
      </c>
      <c r="E170" s="412" t="inlineStr">
        <is>
          <t>Bathiya Legal</t>
        </is>
      </c>
      <c r="F170" s="413" t="n">
        <v>30000</v>
      </c>
      <c r="G170" s="413" t="n">
        <v>5400</v>
      </c>
      <c r="H170" s="413" t="n">
        <v>35400</v>
      </c>
      <c r="I170" s="412" t="inlineStr">
        <is>
          <t>B2B</t>
        </is>
      </c>
    </row>
    <row r="171" ht="12" customHeight="1" s="253">
      <c r="A171" s="414" t="n">
        <v>45748</v>
      </c>
      <c r="B171" s="415" t="n">
        <v>45771</v>
      </c>
      <c r="C171" s="412" t="inlineStr">
        <is>
          <t>INV-25-26-000045</t>
        </is>
      </c>
      <c r="D171" s="412" t="inlineStr">
        <is>
          <t>Closed</t>
        </is>
      </c>
      <c r="E171" s="412" t="inlineStr">
        <is>
          <t>Justice (Retd.) Kurian Joseph</t>
        </is>
      </c>
      <c r="F171" s="413" t="n">
        <v>150000</v>
      </c>
      <c r="G171" s="413" t="n">
        <v>27000</v>
      </c>
      <c r="H171" s="413" t="n">
        <v>177000</v>
      </c>
      <c r="I171" s="412" t="inlineStr">
        <is>
          <t>B2B</t>
        </is>
      </c>
    </row>
    <row r="172" ht="12" customHeight="1" s="253">
      <c r="A172" s="414" t="n">
        <v>45748</v>
      </c>
      <c r="B172" s="415" t="n">
        <v>45771</v>
      </c>
      <c r="C172" s="412" t="inlineStr">
        <is>
          <t>INV-25-26-000046</t>
        </is>
      </c>
      <c r="D172" s="412" t="inlineStr">
        <is>
          <t>Closed</t>
        </is>
      </c>
      <c r="E172" s="412" t="inlineStr">
        <is>
          <t>SINHA &amp; COMPANY</t>
        </is>
      </c>
      <c r="F172" s="413" t="n">
        <v>172800</v>
      </c>
      <c r="G172" s="413" t="n">
        <v>31104</v>
      </c>
      <c r="H172" s="413" t="n">
        <v>203904</v>
      </c>
      <c r="I172" s="412" t="inlineStr">
        <is>
          <t>B2B</t>
        </is>
      </c>
    </row>
    <row r="173" ht="12" customHeight="1" s="253">
      <c r="A173" s="414" t="n">
        <v>45748</v>
      </c>
      <c r="B173" s="415" t="n">
        <v>45772</v>
      </c>
      <c r="C173" s="412" t="inlineStr">
        <is>
          <t>INV-25-26-000047</t>
        </is>
      </c>
      <c r="D173" s="412" t="inlineStr">
        <is>
          <t>Closed</t>
        </is>
      </c>
      <c r="E173" s="412" t="inlineStr">
        <is>
          <t>Darshit Jain</t>
        </is>
      </c>
      <c r="F173" s="413" t="n">
        <v>21600</v>
      </c>
      <c r="G173" s="413" t="n">
        <v>3888</v>
      </c>
      <c r="H173" s="413" t="n">
        <v>25488</v>
      </c>
      <c r="I173" s="412" t="inlineStr">
        <is>
          <t>B2B</t>
        </is>
      </c>
    </row>
    <row r="174" ht="12" customHeight="1" s="253">
      <c r="A174" s="414" t="n">
        <v>45748</v>
      </c>
      <c r="B174" s="415" t="n">
        <v>45772</v>
      </c>
      <c r="C174" s="412" t="inlineStr">
        <is>
          <t>INV-25-26-000048</t>
        </is>
      </c>
      <c r="D174" s="412" t="inlineStr">
        <is>
          <t>Closed</t>
        </is>
      </c>
      <c r="E174" s="412" t="inlineStr">
        <is>
          <t>Sagar Ghogre</t>
        </is>
      </c>
      <c r="F174" s="413" t="n">
        <v>21600</v>
      </c>
      <c r="G174" s="413" t="n">
        <v>3888</v>
      </c>
      <c r="H174" s="413" t="n">
        <v>25488</v>
      </c>
      <c r="I174" s="412" t="inlineStr">
        <is>
          <t>B2B</t>
        </is>
      </c>
    </row>
    <row r="175" ht="12" customHeight="1" s="253">
      <c r="A175" s="414" t="n">
        <v>45748</v>
      </c>
      <c r="B175" s="415" t="n">
        <v>45772</v>
      </c>
      <c r="C175" s="412" t="inlineStr">
        <is>
          <t>INV-25-26-000049</t>
        </is>
      </c>
      <c r="D175" s="412" t="inlineStr">
        <is>
          <t>Closed</t>
        </is>
      </c>
      <c r="E175" s="412" t="inlineStr">
        <is>
          <t>Chetan shah</t>
        </is>
      </c>
      <c r="F175" s="413" t="n">
        <v>21600</v>
      </c>
      <c r="G175" s="413" t="n">
        <v>3888</v>
      </c>
      <c r="H175" s="413" t="n">
        <v>25488</v>
      </c>
      <c r="I175" s="412" t="inlineStr">
        <is>
          <t>B2B</t>
        </is>
      </c>
    </row>
    <row r="176" ht="12" customHeight="1" s="253">
      <c r="A176" s="414" t="n">
        <v>45748</v>
      </c>
      <c r="B176" s="415" t="n">
        <v>45772</v>
      </c>
      <c r="C176" s="412" t="inlineStr">
        <is>
          <t>INV-25-26-000050</t>
        </is>
      </c>
      <c r="D176" s="412" t="inlineStr">
        <is>
          <t>Closed</t>
        </is>
      </c>
      <c r="E176" s="412" t="inlineStr">
        <is>
          <t>Sneha Phene</t>
        </is>
      </c>
      <c r="F176" s="413" t="n">
        <v>21600</v>
      </c>
      <c r="G176" s="413" t="n">
        <v>3888</v>
      </c>
      <c r="H176" s="413" t="n">
        <v>25488</v>
      </c>
      <c r="I176" s="412" t="inlineStr">
        <is>
          <t>B2B</t>
        </is>
      </c>
    </row>
    <row r="177" ht="12" customHeight="1" s="253">
      <c r="A177" s="414" t="n">
        <v>45748</v>
      </c>
      <c r="B177" s="415" t="n">
        <v>45772</v>
      </c>
      <c r="C177" s="412" t="inlineStr">
        <is>
          <t>INV-25-26-000051</t>
        </is>
      </c>
      <c r="D177" s="412" t="inlineStr">
        <is>
          <t>Closed</t>
        </is>
      </c>
      <c r="E177" s="412" t="inlineStr">
        <is>
          <t>Gunjan Mangla</t>
        </is>
      </c>
      <c r="F177" s="413" t="n">
        <v>21600</v>
      </c>
      <c r="G177" s="413" t="n">
        <v>3888</v>
      </c>
      <c r="H177" s="413" t="n">
        <v>25488</v>
      </c>
      <c r="I177" s="412" t="inlineStr">
        <is>
          <t>B2B</t>
        </is>
      </c>
    </row>
    <row r="178" ht="12" customHeight="1" s="253">
      <c r="A178" s="414" t="n">
        <v>45748</v>
      </c>
      <c r="B178" s="415" t="n">
        <v>45772</v>
      </c>
      <c r="C178" s="412" t="inlineStr">
        <is>
          <t>INV-25-26-000052</t>
        </is>
      </c>
      <c r="D178" s="412" t="inlineStr">
        <is>
          <t>Closed</t>
        </is>
      </c>
      <c r="E178" s="412" t="inlineStr">
        <is>
          <t>Zulfiqar Jariwala</t>
        </is>
      </c>
      <c r="F178" s="413" t="n">
        <v>21600</v>
      </c>
      <c r="G178" s="413" t="n">
        <v>3888</v>
      </c>
      <c r="H178" s="413" t="n">
        <v>25488</v>
      </c>
      <c r="I178" s="412" t="inlineStr">
        <is>
          <t>B2B</t>
        </is>
      </c>
    </row>
    <row r="179" ht="12" customHeight="1" s="253">
      <c r="A179" s="414" t="n">
        <v>45748</v>
      </c>
      <c r="B179" s="415" t="n">
        <v>45772</v>
      </c>
      <c r="C179" s="412" t="inlineStr">
        <is>
          <t>INV-25-26-000053</t>
        </is>
      </c>
      <c r="D179" s="412" t="inlineStr">
        <is>
          <t>Closed</t>
        </is>
      </c>
      <c r="E179" s="412" t="inlineStr">
        <is>
          <t>Manjari Shah</t>
        </is>
      </c>
      <c r="F179" s="413" t="n">
        <v>21600</v>
      </c>
      <c r="G179" s="413" t="n">
        <v>3888</v>
      </c>
      <c r="H179" s="413" t="n">
        <v>25488</v>
      </c>
      <c r="I179" s="412" t="inlineStr">
        <is>
          <t>B2B</t>
        </is>
      </c>
    </row>
    <row r="180" ht="12" customHeight="1" s="253">
      <c r="A180" s="414" t="n">
        <v>45748</v>
      </c>
      <c r="B180" s="415" t="n">
        <v>45772</v>
      </c>
      <c r="C180" s="412" t="inlineStr">
        <is>
          <t>INV-25-26-000054</t>
        </is>
      </c>
      <c r="D180" s="412" t="inlineStr">
        <is>
          <t>Closed</t>
        </is>
      </c>
      <c r="E180" s="412" t="inlineStr">
        <is>
          <t>Sagar Sheth</t>
        </is>
      </c>
      <c r="F180" s="413" t="n">
        <v>21600</v>
      </c>
      <c r="G180" s="413" t="n">
        <v>3888</v>
      </c>
      <c r="H180" s="413" t="n">
        <v>25488</v>
      </c>
      <c r="I180" s="412" t="inlineStr">
        <is>
          <t>B2B</t>
        </is>
      </c>
    </row>
    <row r="181" ht="12" customHeight="1" s="253">
      <c r="A181" s="414" t="n">
        <v>45748</v>
      </c>
      <c r="B181" s="415" t="n">
        <v>45772</v>
      </c>
      <c r="C181" s="412" t="inlineStr">
        <is>
          <t>INV-25-26-000055</t>
        </is>
      </c>
      <c r="D181" s="412" t="inlineStr">
        <is>
          <t>Closed</t>
        </is>
      </c>
      <c r="E181" s="412" t="inlineStr">
        <is>
          <t>Mahek Bookwala</t>
        </is>
      </c>
      <c r="F181" s="413" t="n">
        <v>21600</v>
      </c>
      <c r="G181" s="413" t="n">
        <v>3888</v>
      </c>
      <c r="H181" s="413" t="n">
        <v>25488</v>
      </c>
      <c r="I181" s="412" t="inlineStr">
        <is>
          <t>B2B</t>
        </is>
      </c>
    </row>
    <row r="182" ht="12" customHeight="1" s="253">
      <c r="A182" s="414" t="n">
        <v>45748</v>
      </c>
      <c r="B182" s="415" t="n">
        <v>45772</v>
      </c>
      <c r="C182" s="412" t="inlineStr">
        <is>
          <t>INV-25-26-000056</t>
        </is>
      </c>
      <c r="D182" s="412" t="inlineStr">
        <is>
          <t>Overdue</t>
        </is>
      </c>
      <c r="E182" s="412" t="inlineStr">
        <is>
          <t>Pradeep Sancheti</t>
        </is>
      </c>
      <c r="F182" s="413" t="n">
        <v>21600</v>
      </c>
      <c r="G182" s="413" t="n">
        <v>3888</v>
      </c>
      <c r="H182" s="413" t="n">
        <v>25488</v>
      </c>
      <c r="I182" s="412" t="inlineStr">
        <is>
          <t>B2B</t>
        </is>
      </c>
    </row>
    <row r="183" ht="12" customHeight="1" s="253">
      <c r="A183" s="414" t="n">
        <v>45748</v>
      </c>
      <c r="B183" s="415" t="n">
        <v>45772</v>
      </c>
      <c r="C183" s="412" t="inlineStr">
        <is>
          <t>INV-25-26-000057</t>
        </is>
      </c>
      <c r="D183" s="412" t="inlineStr">
        <is>
          <t>Closed</t>
        </is>
      </c>
      <c r="E183" s="412" t="inlineStr">
        <is>
          <t>AHUJA VALECHA &amp; ASSOCIATES LLP</t>
        </is>
      </c>
      <c r="F183" s="413" t="n">
        <v>75000</v>
      </c>
      <c r="G183" s="413" t="n">
        <v>13500</v>
      </c>
      <c r="H183" s="413" t="n">
        <v>88500</v>
      </c>
      <c r="I183" s="412" t="inlineStr">
        <is>
          <t>B2B</t>
        </is>
      </c>
    </row>
    <row r="184" ht="12" customHeight="1" s="253">
      <c r="A184" s="414" t="n">
        <v>45748</v>
      </c>
      <c r="B184" s="415" t="n">
        <v>45773</v>
      </c>
      <c r="C184" s="412" t="inlineStr">
        <is>
          <t>INV-25-26-000058</t>
        </is>
      </c>
      <c r="D184" s="412" t="inlineStr">
        <is>
          <t>Overdue</t>
        </is>
      </c>
      <c r="E184" s="412" t="inlineStr">
        <is>
          <t>IC Legal</t>
        </is>
      </c>
      <c r="F184" s="413" t="n">
        <v>40000</v>
      </c>
      <c r="G184" s="413" t="n">
        <v>7200</v>
      </c>
      <c r="H184" s="413" t="n">
        <v>47200</v>
      </c>
      <c r="I184" s="412" t="inlineStr">
        <is>
          <t>B2B</t>
        </is>
      </c>
    </row>
    <row r="185" ht="12" customHeight="1" s="253">
      <c r="A185" s="414" t="n">
        <v>45748</v>
      </c>
      <c r="B185" s="415" t="n">
        <v>45773</v>
      </c>
      <c r="C185" s="412" t="inlineStr">
        <is>
          <t>INV-25-26-000059</t>
        </is>
      </c>
      <c r="D185" s="412" t="inlineStr">
        <is>
          <t>Overdue</t>
        </is>
      </c>
      <c r="E185" s="412" t="inlineStr">
        <is>
          <t>Argus Partners</t>
        </is>
      </c>
      <c r="F185" s="413" t="n">
        <v>10000</v>
      </c>
      <c r="G185" s="413" t="n">
        <v>1800</v>
      </c>
      <c r="H185" s="413" t="n">
        <v>11800</v>
      </c>
      <c r="I185" s="412" t="inlineStr">
        <is>
          <t>B2B</t>
        </is>
      </c>
    </row>
    <row r="186" ht="12" customHeight="1" s="253">
      <c r="A186" s="414" t="n">
        <v>45748</v>
      </c>
      <c r="B186" s="415" t="n">
        <v>45773</v>
      </c>
      <c r="C186" s="412" t="inlineStr">
        <is>
          <t>INV-25-26-000060</t>
        </is>
      </c>
      <c r="D186" s="412" t="inlineStr">
        <is>
          <t>Closed</t>
        </is>
      </c>
      <c r="E186" s="412" t="inlineStr">
        <is>
          <t>Pratik Patnaik</t>
        </is>
      </c>
      <c r="F186" s="413" t="n">
        <v>12000</v>
      </c>
      <c r="G186" s="413" t="n">
        <v>2160</v>
      </c>
      <c r="H186" s="413" t="n">
        <v>14160</v>
      </c>
      <c r="I186" s="412" t="inlineStr">
        <is>
          <t>B2B</t>
        </is>
      </c>
    </row>
    <row r="187" ht="12" customHeight="1" s="253">
      <c r="A187" s="414" t="n">
        <v>45748</v>
      </c>
      <c r="B187" s="415" t="n">
        <v>45775</v>
      </c>
      <c r="C187" s="412" t="inlineStr">
        <is>
          <t>INV-25-26-000061</t>
        </is>
      </c>
      <c r="D187" s="412" t="inlineStr">
        <is>
          <t>Closed</t>
        </is>
      </c>
      <c r="E187" s="412" t="inlineStr">
        <is>
          <t>Saswat Mohanty</t>
        </is>
      </c>
      <c r="F187" s="413" t="n">
        <v>44916</v>
      </c>
      <c r="G187" s="413" t="n">
        <v>8085</v>
      </c>
      <c r="H187" s="413" t="n">
        <v>53000</v>
      </c>
      <c r="I187" s="412" t="inlineStr">
        <is>
          <t>B2B</t>
        </is>
      </c>
    </row>
    <row r="188" ht="12" customHeight="1" s="253">
      <c r="A188" s="414" t="n">
        <v>45748</v>
      </c>
      <c r="B188" s="415" t="n">
        <v>45775</v>
      </c>
      <c r="C188" s="412" t="inlineStr">
        <is>
          <t>INV-25-26-000062</t>
        </is>
      </c>
      <c r="D188" s="412" t="inlineStr">
        <is>
          <t>Closed</t>
        </is>
      </c>
      <c r="E188" s="412" t="inlineStr">
        <is>
          <t>Chambers of Aman Vachher</t>
        </is>
      </c>
      <c r="F188" s="413" t="n">
        <v>172800</v>
      </c>
      <c r="G188" s="413" t="n">
        <v>31104</v>
      </c>
      <c r="H188" s="413" t="n">
        <v>203904</v>
      </c>
      <c r="I188" s="412" t="inlineStr">
        <is>
          <t>B2B</t>
        </is>
      </c>
    </row>
    <row r="189" ht="12" customHeight="1" s="253">
      <c r="A189" s="414" t="n">
        <v>45748</v>
      </c>
      <c r="B189" s="415" t="n">
        <v>45775</v>
      </c>
      <c r="C189" s="412" t="inlineStr">
        <is>
          <t>INV-25-26-000063</t>
        </is>
      </c>
      <c r="D189" s="412" t="inlineStr">
        <is>
          <t>Closed</t>
        </is>
      </c>
      <c r="E189" s="412" t="inlineStr">
        <is>
          <t>SK Singhi and Partners</t>
        </is>
      </c>
      <c r="F189" s="413" t="n">
        <v>270000</v>
      </c>
      <c r="G189" s="413" t="n">
        <v>48600</v>
      </c>
      <c r="H189" s="413" t="n">
        <v>318600</v>
      </c>
      <c r="I189" s="412" t="inlineStr">
        <is>
          <t>B2B</t>
        </is>
      </c>
    </row>
    <row r="190" ht="12" customHeight="1" s="253">
      <c r="A190" s="414" t="n">
        <v>45748</v>
      </c>
      <c r="B190" s="415" t="n">
        <v>45775</v>
      </c>
      <c r="C190" s="412" t="inlineStr">
        <is>
          <t>INV-25-26-000064</t>
        </is>
      </c>
      <c r="D190" s="412" t="inlineStr">
        <is>
          <t>Closed</t>
        </is>
      </c>
      <c r="E190" s="412" t="inlineStr">
        <is>
          <t>Centre for Law and Policy Research Trust</t>
        </is>
      </c>
      <c r="F190" s="413" t="n">
        <v>4000</v>
      </c>
      <c r="G190" s="413" t="n">
        <v>720</v>
      </c>
      <c r="H190" s="413" t="n">
        <v>4720</v>
      </c>
      <c r="I190" s="412" t="inlineStr">
        <is>
          <t>B2B</t>
        </is>
      </c>
    </row>
    <row r="191" ht="12" customHeight="1" s="253">
      <c r="A191" s="414" t="n">
        <v>45748</v>
      </c>
      <c r="B191" s="415" t="n">
        <v>45775</v>
      </c>
      <c r="C191" s="412" t="inlineStr">
        <is>
          <t>INV-25-26-000065</t>
        </is>
      </c>
      <c r="D191" s="412" t="inlineStr">
        <is>
          <t>Closed</t>
        </is>
      </c>
      <c r="E191" s="412" t="inlineStr">
        <is>
          <t>SKR &amp; associates</t>
        </is>
      </c>
      <c r="F191" s="413" t="n">
        <v>8729</v>
      </c>
      <c r="G191" s="413" t="n">
        <v>1571</v>
      </c>
      <c r="H191" s="413" t="n">
        <v>10300</v>
      </c>
      <c r="I191" s="412" t="inlineStr">
        <is>
          <t>B2B</t>
        </is>
      </c>
    </row>
    <row r="192" ht="12" customHeight="1" s="253">
      <c r="A192" s="414" t="n">
        <v>45748</v>
      </c>
      <c r="B192" s="415" t="n">
        <v>45776</v>
      </c>
      <c r="C192" s="412" t="inlineStr">
        <is>
          <t>INV-25-26-000066</t>
        </is>
      </c>
      <c r="D192" s="412" t="inlineStr">
        <is>
          <t>Closed</t>
        </is>
      </c>
      <c r="E192" s="412" t="inlineStr">
        <is>
          <t>Srivastava &amp; Company</t>
        </is>
      </c>
      <c r="F192" s="413" t="n">
        <v>33898</v>
      </c>
      <c r="G192" s="413" t="n">
        <v>6102</v>
      </c>
      <c r="H192" s="413" t="n">
        <v>40000</v>
      </c>
      <c r="I192" s="412" t="inlineStr">
        <is>
          <t>B2B</t>
        </is>
      </c>
    </row>
    <row r="193" ht="12" customHeight="1" s="253">
      <c r="A193" s="414" t="n">
        <v>45748</v>
      </c>
      <c r="B193" s="415" t="n">
        <v>45776</v>
      </c>
      <c r="C193" s="412" t="inlineStr">
        <is>
          <t>INV-25-26-000067</t>
        </is>
      </c>
      <c r="D193" s="412" t="inlineStr">
        <is>
          <t>Closed</t>
        </is>
      </c>
      <c r="E193" s="412" t="inlineStr">
        <is>
          <t>Piyush Raheja</t>
        </is>
      </c>
      <c r="F193" s="413" t="n">
        <v>22034</v>
      </c>
      <c r="G193" s="413" t="n">
        <v>3966</v>
      </c>
      <c r="H193" s="413" t="n">
        <v>26000</v>
      </c>
      <c r="I193" s="412" t="inlineStr">
        <is>
          <t>B2B</t>
        </is>
      </c>
    </row>
    <row r="194" ht="12" customHeight="1" s="253">
      <c r="A194" s="414" t="n">
        <v>45748</v>
      </c>
      <c r="B194" s="415" t="n">
        <v>45776</v>
      </c>
      <c r="C194" s="412" t="inlineStr">
        <is>
          <t>INV-25-26-000068</t>
        </is>
      </c>
      <c r="D194" s="412" t="inlineStr">
        <is>
          <t>Closed</t>
        </is>
      </c>
      <c r="E194" s="412" t="inlineStr">
        <is>
          <t>Feroze Patel</t>
        </is>
      </c>
      <c r="F194" s="413" t="n">
        <v>22034</v>
      </c>
      <c r="G194" s="413" t="n">
        <v>3966</v>
      </c>
      <c r="H194" s="413" t="n">
        <v>26000</v>
      </c>
      <c r="I194" s="412" t="inlineStr">
        <is>
          <t>B2B</t>
        </is>
      </c>
    </row>
    <row r="195" ht="12" customHeight="1" s="253">
      <c r="A195" s="414" t="n">
        <v>45748</v>
      </c>
      <c r="B195" s="415" t="n">
        <v>45776</v>
      </c>
      <c r="C195" s="412" t="inlineStr">
        <is>
          <t>INV-25-26-000069</t>
        </is>
      </c>
      <c r="D195" s="412" t="inlineStr">
        <is>
          <t>Closed</t>
        </is>
      </c>
      <c r="E195" s="412" t="inlineStr">
        <is>
          <t>Kazan Shroff</t>
        </is>
      </c>
      <c r="F195" s="413" t="n">
        <v>22034</v>
      </c>
      <c r="G195" s="413" t="n">
        <v>3966</v>
      </c>
      <c r="H195" s="413" t="n">
        <v>26000</v>
      </c>
      <c r="I195" s="412" t="inlineStr">
        <is>
          <t>B2B</t>
        </is>
      </c>
    </row>
    <row r="196" ht="12" customHeight="1" s="253">
      <c r="A196" s="414" t="n">
        <v>45748</v>
      </c>
      <c r="B196" s="415" t="n">
        <v>45776</v>
      </c>
      <c r="C196" s="412" t="inlineStr">
        <is>
          <t>INV-25-26-000070</t>
        </is>
      </c>
      <c r="D196" s="412" t="inlineStr">
        <is>
          <t>Closed</t>
        </is>
      </c>
      <c r="E196" s="412" t="inlineStr">
        <is>
          <t>Kajol Punjabi</t>
        </is>
      </c>
      <c r="F196" s="413" t="n">
        <v>22034</v>
      </c>
      <c r="G196" s="413" t="n">
        <v>3966</v>
      </c>
      <c r="H196" s="413" t="n">
        <v>26000</v>
      </c>
      <c r="I196" s="412" t="inlineStr">
        <is>
          <t>B2B</t>
        </is>
      </c>
    </row>
    <row r="197" ht="12" customHeight="1" s="253">
      <c r="A197" s="414" t="n">
        <v>45748</v>
      </c>
      <c r="B197" s="415" t="n">
        <v>45776</v>
      </c>
      <c r="C197" s="412" t="inlineStr">
        <is>
          <t>INV-25-26-000071</t>
        </is>
      </c>
      <c r="D197" s="412" t="inlineStr">
        <is>
          <t>Closed</t>
        </is>
      </c>
      <c r="E197" s="412" t="inlineStr">
        <is>
          <t>Neeta Jain</t>
        </is>
      </c>
      <c r="F197" s="413" t="n">
        <v>22034</v>
      </c>
      <c r="G197" s="413" t="n">
        <v>3966</v>
      </c>
      <c r="H197" s="413" t="n">
        <v>26000</v>
      </c>
      <c r="I197" s="412" t="inlineStr">
        <is>
          <t>B2B</t>
        </is>
      </c>
    </row>
    <row r="198" ht="12" customHeight="1" s="253">
      <c r="A198" s="414" t="n">
        <v>45748</v>
      </c>
      <c r="B198" s="415" t="n">
        <v>45776</v>
      </c>
      <c r="C198" s="412" t="inlineStr">
        <is>
          <t>INV-25-26-000072</t>
        </is>
      </c>
      <c r="D198" s="412" t="inlineStr">
        <is>
          <t>Closed</t>
        </is>
      </c>
      <c r="E198" s="412" t="inlineStr">
        <is>
          <t>Amrut Joshi</t>
        </is>
      </c>
      <c r="F198" s="413" t="n">
        <v>22034</v>
      </c>
      <c r="G198" s="413" t="n">
        <v>3966</v>
      </c>
      <c r="H198" s="413" t="n">
        <v>26000</v>
      </c>
      <c r="I198" s="412" t="inlineStr">
        <is>
          <t>B2B</t>
        </is>
      </c>
    </row>
    <row r="199" ht="12" customHeight="1" s="253">
      <c r="A199" s="414" t="n">
        <v>45748</v>
      </c>
      <c r="B199" s="415" t="n">
        <v>45776</v>
      </c>
      <c r="C199" s="412" t="inlineStr">
        <is>
          <t>INV-25-26-000073</t>
        </is>
      </c>
      <c r="D199" s="412" t="inlineStr">
        <is>
          <t>Closed</t>
        </is>
      </c>
      <c r="E199" s="412" t="inlineStr">
        <is>
          <t>Gaurav Joshi</t>
        </is>
      </c>
      <c r="F199" s="413" t="n">
        <v>44068</v>
      </c>
      <c r="G199" s="413" t="n">
        <v>7932</v>
      </c>
      <c r="H199" s="413" t="n">
        <v>52000</v>
      </c>
      <c r="I199" s="412" t="inlineStr">
        <is>
          <t>B2B</t>
        </is>
      </c>
    </row>
    <row r="200" ht="12" customHeight="1" s="253">
      <c r="A200" s="414" t="n">
        <v>45748</v>
      </c>
      <c r="B200" s="415" t="n">
        <v>45777</v>
      </c>
      <c r="C200" s="412" t="inlineStr">
        <is>
          <t>INV-25-26-000074</t>
        </is>
      </c>
      <c r="D200" s="412" t="inlineStr">
        <is>
          <t>Closed</t>
        </is>
      </c>
      <c r="E200" s="412" t="inlineStr">
        <is>
          <t>Kamaljeet Singh</t>
        </is>
      </c>
      <c r="F200" s="413" t="n">
        <v>36000</v>
      </c>
      <c r="G200" s="413" t="n">
        <v>6480</v>
      </c>
      <c r="H200" s="413" t="n">
        <v>42480</v>
      </c>
      <c r="I200" s="412" t="inlineStr">
        <is>
          <t>B2B</t>
        </is>
      </c>
    </row>
    <row r="201" ht="12" customHeight="1" s="253">
      <c r="A201" s="414" t="n">
        <v>45748</v>
      </c>
      <c r="B201" s="415" t="n">
        <v>45777</v>
      </c>
      <c r="C201" s="412" t="inlineStr">
        <is>
          <t>INV-25-26-000075</t>
        </is>
      </c>
      <c r="D201" s="412" t="inlineStr">
        <is>
          <t>Closed</t>
        </is>
      </c>
      <c r="E201" s="412" t="inlineStr">
        <is>
          <t>Saraf and Partners</t>
        </is>
      </c>
      <c r="F201" s="413" t="n">
        <v>42500</v>
      </c>
      <c r="G201" s="413" t="n">
        <v>7650</v>
      </c>
      <c r="H201" s="413" t="n">
        <v>50150</v>
      </c>
      <c r="I201" s="412" t="inlineStr">
        <is>
          <t>B2B</t>
        </is>
      </c>
    </row>
    <row r="202" ht="12" customHeight="1" s="253">
      <c r="A202" s="414" t="n">
        <v>45748</v>
      </c>
      <c r="B202" s="415" t="n">
        <v>45777</v>
      </c>
      <c r="C202" s="412" t="inlineStr">
        <is>
          <t>INV-25-26-000076</t>
        </is>
      </c>
      <c r="D202" s="412" t="inlineStr">
        <is>
          <t>Overdue</t>
        </is>
      </c>
      <c r="E202" s="412" t="inlineStr">
        <is>
          <t>Pioneer Legal</t>
        </is>
      </c>
      <c r="F202" s="413" t="n">
        <v>15000</v>
      </c>
      <c r="G202" s="413" t="n">
        <v>2700</v>
      </c>
      <c r="H202" s="413" t="n">
        <v>17700</v>
      </c>
      <c r="I202" s="412" t="inlineStr">
        <is>
          <t>B2B</t>
        </is>
      </c>
    </row>
    <row r="203" ht="12" customHeight="1" s="253">
      <c r="A203" s="414" t="n">
        <v>45748</v>
      </c>
      <c r="B203" s="415" t="n">
        <v>45777</v>
      </c>
      <c r="C203" s="412" t="inlineStr">
        <is>
          <t>INV-25-26-000077</t>
        </is>
      </c>
      <c r="D203" s="412" t="inlineStr">
        <is>
          <t>Overdue</t>
        </is>
      </c>
      <c r="E203" s="412" t="inlineStr">
        <is>
          <t>Dua Associates</t>
        </is>
      </c>
      <c r="F203" s="413" t="n">
        <v>16000</v>
      </c>
      <c r="G203" s="413" t="n">
        <v>2880</v>
      </c>
      <c r="H203" s="413" t="n">
        <v>18880</v>
      </c>
      <c r="I203" s="412" t="inlineStr">
        <is>
          <t>B2B</t>
        </is>
      </c>
    </row>
    <row r="204" ht="12" customHeight="1" s="253">
      <c r="A204" s="414" t="n">
        <v>45748</v>
      </c>
      <c r="B204" s="415" t="n">
        <v>45777</v>
      </c>
      <c r="C204" s="412" t="inlineStr">
        <is>
          <t>INV-25-26-000078</t>
        </is>
      </c>
      <c r="D204" s="412" t="inlineStr">
        <is>
          <t>Closed</t>
        </is>
      </c>
      <c r="E204" s="412" t="inlineStr">
        <is>
          <t>Manish kelker</t>
        </is>
      </c>
      <c r="F204" s="413" t="n">
        <v>3389</v>
      </c>
      <c r="G204" s="413" t="n">
        <v>610</v>
      </c>
      <c r="H204" s="413" t="n">
        <v>3999</v>
      </c>
      <c r="I204" s="412" t="inlineStr">
        <is>
          <t>B2B</t>
        </is>
      </c>
    </row>
    <row r="205" ht="12" customHeight="1" s="253">
      <c r="A205" s="414" t="n">
        <v>45748</v>
      </c>
      <c r="B205" s="415" t="n">
        <v>45777</v>
      </c>
      <c r="C205" s="412" t="inlineStr">
        <is>
          <t>INV-25-26-000079</t>
        </is>
      </c>
      <c r="D205" s="412" t="inlineStr">
        <is>
          <t>Closed</t>
        </is>
      </c>
      <c r="E205" s="412" t="inlineStr">
        <is>
          <t>Diwan Law Associates</t>
        </is>
      </c>
      <c r="F205" s="413" t="n">
        <v>4237</v>
      </c>
      <c r="G205" s="413" t="n">
        <v>762</v>
      </c>
      <c r="H205" s="413" t="n">
        <v>5000</v>
      </c>
      <c r="I205" s="412" t="inlineStr">
        <is>
          <t>B2B</t>
        </is>
      </c>
    </row>
    <row r="206" ht="12" customHeight="1" s="253">
      <c r="A206" s="414" t="n">
        <v>45748</v>
      </c>
      <c r="B206" s="415" t="n">
        <v>45777</v>
      </c>
      <c r="C206" s="412" t="inlineStr">
        <is>
          <t>INV-25-26-000080</t>
        </is>
      </c>
      <c r="D206" s="412" t="inlineStr">
        <is>
          <t>Closed</t>
        </is>
      </c>
      <c r="E206" s="412" t="inlineStr">
        <is>
          <t>SRCO Legal / Salvador Raghav &amp; Co.</t>
        </is>
      </c>
      <c r="F206" s="413" t="n">
        <v>6780</v>
      </c>
      <c r="G206" s="413" t="n">
        <v>1220</v>
      </c>
      <c r="H206" s="413" t="n">
        <v>8000</v>
      </c>
      <c r="I206" s="412" t="inlineStr">
        <is>
          <t>B2B</t>
        </is>
      </c>
    </row>
    <row r="207" ht="12" customHeight="1" s="253">
      <c r="A207" s="414" t="n">
        <v>45748</v>
      </c>
      <c r="B207" s="415" t="n">
        <v>45777</v>
      </c>
      <c r="C207" s="412" t="inlineStr">
        <is>
          <t>INV-25-26-000081</t>
        </is>
      </c>
      <c r="D207" s="412" t="inlineStr">
        <is>
          <t>Closed</t>
        </is>
      </c>
      <c r="E207" s="412" t="inlineStr">
        <is>
          <t>B2C</t>
        </is>
      </c>
      <c r="F207" s="413" t="n">
        <v>5497</v>
      </c>
      <c r="G207" s="413" t="n">
        <v>990</v>
      </c>
      <c r="H207" s="413" t="n">
        <v>6487</v>
      </c>
      <c r="I207" s="412" t="inlineStr">
        <is>
          <t>B2C</t>
        </is>
      </c>
    </row>
    <row r="208" ht="12" customHeight="1" s="253">
      <c r="A208" s="414" t="n">
        <v>45748</v>
      </c>
      <c r="B208" s="415" t="n">
        <v>45777</v>
      </c>
      <c r="C208" s="412" t="inlineStr">
        <is>
          <t>INV-25-26-000082</t>
        </is>
      </c>
      <c r="D208" s="412" t="inlineStr">
        <is>
          <t>Closed</t>
        </is>
      </c>
      <c r="E208" s="412" t="inlineStr">
        <is>
          <t>B2C</t>
        </is>
      </c>
      <c r="F208" s="413" t="n">
        <v>5000</v>
      </c>
      <c r="G208" s="413" t="n">
        <v>900</v>
      </c>
      <c r="H208" s="413" t="n">
        <v>5900</v>
      </c>
      <c r="I208" s="412" t="inlineStr">
        <is>
          <t>B2C</t>
        </is>
      </c>
    </row>
    <row r="209" ht="12" customHeight="1" s="253">
      <c r="A209" s="414" t="n">
        <v>45748</v>
      </c>
      <c r="B209" s="415" t="n">
        <v>45777</v>
      </c>
      <c r="C209" s="412" t="inlineStr">
        <is>
          <t>INV-25-26-000089</t>
        </is>
      </c>
      <c r="D209" s="412" t="inlineStr">
        <is>
          <t>Closed</t>
        </is>
      </c>
      <c r="E209" s="412" t="inlineStr">
        <is>
          <t>B2C</t>
        </is>
      </c>
      <c r="F209" s="413" t="n">
        <v>2118</v>
      </c>
      <c r="G209" s="413" t="n">
        <v>382</v>
      </c>
      <c r="H209" s="413" t="n">
        <v>2499</v>
      </c>
      <c r="I209" s="412" t="inlineStr">
        <is>
          <t>B2C</t>
        </is>
      </c>
    </row>
    <row r="210" ht="12" customHeight="1" s="253">
      <c r="A210" s="414" t="n">
        <v>45748</v>
      </c>
      <c r="B210" s="415" t="n">
        <v>45777</v>
      </c>
      <c r="C210" s="412" t="inlineStr">
        <is>
          <t>INV-25-26-000090</t>
        </is>
      </c>
      <c r="D210" s="412" t="inlineStr">
        <is>
          <t>Closed</t>
        </is>
      </c>
      <c r="E210" s="412" t="inlineStr">
        <is>
          <t>B2C</t>
        </is>
      </c>
      <c r="F210" s="413" t="n">
        <v>2118</v>
      </c>
      <c r="G210" s="413" t="n">
        <v>382</v>
      </c>
      <c r="H210" s="413" t="n">
        <v>2499</v>
      </c>
      <c r="I210" s="412" t="inlineStr">
        <is>
          <t>B2C</t>
        </is>
      </c>
    </row>
    <row r="211" ht="12" customHeight="1" s="253">
      <c r="A211" s="414" t="n">
        <v>45748</v>
      </c>
      <c r="B211" s="415" t="n">
        <v>45777</v>
      </c>
      <c r="C211" s="412" t="inlineStr">
        <is>
          <t>INV-25-26-000091</t>
        </is>
      </c>
      <c r="D211" s="412" t="inlineStr">
        <is>
          <t>Closed</t>
        </is>
      </c>
      <c r="E211" s="412" t="inlineStr">
        <is>
          <t>B2C</t>
        </is>
      </c>
      <c r="F211" s="413" t="n">
        <v>2118</v>
      </c>
      <c r="G211" s="413" t="n">
        <v>382</v>
      </c>
      <c r="H211" s="413" t="n">
        <v>2499</v>
      </c>
      <c r="I211" s="412" t="inlineStr">
        <is>
          <t>B2C</t>
        </is>
      </c>
    </row>
    <row r="212" ht="12" customHeight="1" s="253">
      <c r="A212" s="414" t="n">
        <v>45748</v>
      </c>
      <c r="B212" s="415" t="n">
        <v>45777</v>
      </c>
      <c r="C212" s="412" t="inlineStr">
        <is>
          <t>INV-25-26-000092</t>
        </is>
      </c>
      <c r="D212" s="412" t="inlineStr">
        <is>
          <t>Closed</t>
        </is>
      </c>
      <c r="E212" s="412" t="inlineStr">
        <is>
          <t>B2C</t>
        </is>
      </c>
      <c r="F212" s="413" t="n">
        <v>2118</v>
      </c>
      <c r="G212" s="413" t="n">
        <v>382</v>
      </c>
      <c r="H212" s="413" t="n">
        <v>2499</v>
      </c>
      <c r="I212" s="412" t="inlineStr">
        <is>
          <t>B2C</t>
        </is>
      </c>
    </row>
    <row r="213" ht="12" customHeight="1" s="253">
      <c r="A213" s="414" t="n">
        <v>45748</v>
      </c>
      <c r="B213" s="415" t="n">
        <v>45777</v>
      </c>
      <c r="C213" s="412" t="inlineStr">
        <is>
          <t>INV-25-26-000093</t>
        </is>
      </c>
      <c r="D213" s="412" t="inlineStr">
        <is>
          <t>Closed</t>
        </is>
      </c>
      <c r="E213" s="412" t="inlineStr">
        <is>
          <t>B2C</t>
        </is>
      </c>
      <c r="F213" s="413" t="n">
        <v>2118</v>
      </c>
      <c r="G213" s="413" t="n">
        <v>382</v>
      </c>
      <c r="H213" s="413" t="n">
        <v>2499</v>
      </c>
      <c r="I213" s="412" t="inlineStr">
        <is>
          <t>B2C</t>
        </is>
      </c>
    </row>
    <row r="214" ht="12" customHeight="1" s="253">
      <c r="A214" s="414" t="n">
        <v>45748</v>
      </c>
      <c r="B214" s="415" t="n">
        <v>45777</v>
      </c>
      <c r="C214" s="412" t="inlineStr">
        <is>
          <t>INV-25-26-000094</t>
        </is>
      </c>
      <c r="D214" s="412" t="inlineStr">
        <is>
          <t>Closed</t>
        </is>
      </c>
      <c r="E214" s="412" t="inlineStr">
        <is>
          <t>B2C</t>
        </is>
      </c>
      <c r="F214" s="413" t="n">
        <v>2118</v>
      </c>
      <c r="G214" s="413" t="n">
        <v>382</v>
      </c>
      <c r="H214" s="413" t="n">
        <v>2499</v>
      </c>
      <c r="I214" s="412" t="inlineStr">
        <is>
          <t>B2C</t>
        </is>
      </c>
    </row>
    <row r="215" ht="12" customHeight="1" s="253">
      <c r="A215" s="414" t="n">
        <v>45748</v>
      </c>
      <c r="B215" s="415" t="n">
        <v>45777</v>
      </c>
      <c r="C215" s="412" t="inlineStr">
        <is>
          <t>INV-25-26-000095</t>
        </is>
      </c>
      <c r="D215" s="412" t="inlineStr">
        <is>
          <t>Closed</t>
        </is>
      </c>
      <c r="E215" s="412" t="inlineStr">
        <is>
          <t>B2C</t>
        </is>
      </c>
      <c r="F215" s="413" t="n">
        <v>2118</v>
      </c>
      <c r="G215" s="413" t="n">
        <v>382</v>
      </c>
      <c r="H215" s="413" t="n">
        <v>2499</v>
      </c>
      <c r="I215" s="412" t="inlineStr">
        <is>
          <t>B2C</t>
        </is>
      </c>
    </row>
    <row r="216" ht="12" customHeight="1" s="253">
      <c r="A216" s="414" t="n">
        <v>45778</v>
      </c>
      <c r="B216" s="415" t="n">
        <v>45778</v>
      </c>
      <c r="C216" s="412" t="inlineStr">
        <is>
          <t>INV-25-26-000096</t>
        </is>
      </c>
      <c r="D216" s="412" t="inlineStr">
        <is>
          <t>Overdue</t>
        </is>
      </c>
      <c r="E216" s="412" t="inlineStr">
        <is>
          <t>Sarthak Advocates &amp; Solicitors</t>
        </is>
      </c>
      <c r="F216" s="413" t="n">
        <v>10000</v>
      </c>
      <c r="G216" s="413" t="n">
        <v>1800</v>
      </c>
      <c r="H216" s="413" t="n">
        <v>11800</v>
      </c>
      <c r="I216" s="412" t="inlineStr">
        <is>
          <t>B2B</t>
        </is>
      </c>
    </row>
    <row r="217" ht="12" customHeight="1" s="253">
      <c r="A217" s="414" t="n">
        <v>45778</v>
      </c>
      <c r="B217" s="415" t="n">
        <v>45779</v>
      </c>
      <c r="C217" s="412" t="inlineStr">
        <is>
          <t>INV-25-26-000097</t>
        </is>
      </c>
      <c r="D217" s="412" t="inlineStr">
        <is>
          <t>Closed</t>
        </is>
      </c>
      <c r="E217" s="412" t="inlineStr">
        <is>
          <t>Gupta Law Associates</t>
        </is>
      </c>
      <c r="F217" s="413" t="n">
        <v>15000</v>
      </c>
      <c r="G217" s="413" t="n">
        <v>2700</v>
      </c>
      <c r="H217" s="413" t="n">
        <v>17700</v>
      </c>
      <c r="I217" s="412" t="inlineStr">
        <is>
          <t>B2B</t>
        </is>
      </c>
    </row>
    <row r="218" ht="12" customHeight="1" s="253">
      <c r="A218" s="414" t="n">
        <v>45778</v>
      </c>
      <c r="B218" s="415" t="n">
        <v>45779</v>
      </c>
      <c r="C218" s="412" t="inlineStr">
        <is>
          <t>INV-25-26-000098</t>
        </is>
      </c>
      <c r="D218" s="412" t="inlineStr">
        <is>
          <t>Closed</t>
        </is>
      </c>
      <c r="E218" s="412" t="inlineStr">
        <is>
          <t>B2C</t>
        </is>
      </c>
      <c r="F218" s="413" t="n">
        <v>6347</v>
      </c>
      <c r="G218" s="413" t="n">
        <v>1142</v>
      </c>
      <c r="H218" s="413" t="n">
        <v>7489</v>
      </c>
      <c r="I218" s="412" t="inlineStr">
        <is>
          <t>B2C</t>
        </is>
      </c>
    </row>
    <row r="219" ht="12" customHeight="1" s="253">
      <c r="A219" s="414" t="n">
        <v>45778</v>
      </c>
      <c r="B219" s="415" t="n">
        <v>45779</v>
      </c>
      <c r="C219" s="412" t="inlineStr">
        <is>
          <t>INV-25-26-000099</t>
        </is>
      </c>
      <c r="D219" s="412" t="inlineStr">
        <is>
          <t>Closed</t>
        </is>
      </c>
      <c r="E219" s="412" t="inlineStr">
        <is>
          <t>Megha Chandra</t>
        </is>
      </c>
      <c r="F219" s="413" t="n">
        <v>10000</v>
      </c>
      <c r="G219" s="413" t="n">
        <v>1800</v>
      </c>
      <c r="H219" s="413" t="n">
        <v>11800</v>
      </c>
      <c r="I219" s="412" t="inlineStr">
        <is>
          <t>B2B</t>
        </is>
      </c>
    </row>
    <row r="220" ht="12" customHeight="1" s="253">
      <c r="A220" s="414" t="n">
        <v>45778</v>
      </c>
      <c r="B220" s="415" t="n">
        <v>45779</v>
      </c>
      <c r="C220" s="412" t="inlineStr">
        <is>
          <t>INV-25-26-000100</t>
        </is>
      </c>
      <c r="D220" s="412" t="inlineStr">
        <is>
          <t>Overdue</t>
        </is>
      </c>
      <c r="E220" s="412" t="inlineStr">
        <is>
          <t>Saraf and Partners</t>
        </is>
      </c>
      <c r="F220" s="413" t="n">
        <v>10000</v>
      </c>
      <c r="G220" s="413" t="n">
        <v>1800</v>
      </c>
      <c r="H220" s="413" t="n">
        <v>11800</v>
      </c>
      <c r="I220" s="412" t="inlineStr">
        <is>
          <t>B2B</t>
        </is>
      </c>
    </row>
    <row r="221" ht="12" customHeight="1" s="253">
      <c r="A221" s="414" t="n">
        <v>45778</v>
      </c>
      <c r="B221" s="415" t="n">
        <v>45780</v>
      </c>
      <c r="C221" s="412" t="inlineStr">
        <is>
          <t>INV-25-26-000101</t>
        </is>
      </c>
      <c r="D221" s="412" t="inlineStr">
        <is>
          <t>Closed</t>
        </is>
      </c>
      <c r="E221" s="412" t="inlineStr">
        <is>
          <t>Kunal Kunango</t>
        </is>
      </c>
      <c r="F221" s="413" t="n">
        <v>40668</v>
      </c>
      <c r="G221" s="413" t="n">
        <v>7320</v>
      </c>
      <c r="H221" s="413" t="n">
        <v>47988</v>
      </c>
      <c r="I221" s="412" t="inlineStr">
        <is>
          <t>B2B</t>
        </is>
      </c>
    </row>
    <row r="222" ht="12" customHeight="1" s="253">
      <c r="A222" s="414" t="n">
        <v>45778</v>
      </c>
      <c r="B222" s="415" t="n">
        <v>45780</v>
      </c>
      <c r="C222" s="412" t="inlineStr">
        <is>
          <t>INV-25-26-000102</t>
        </is>
      </c>
      <c r="D222" s="412" t="inlineStr">
        <is>
          <t>Closed</t>
        </is>
      </c>
      <c r="E222" s="412" t="inlineStr">
        <is>
          <t>Divyanshu Rai</t>
        </is>
      </c>
      <c r="F222" s="413" t="n">
        <v>64800</v>
      </c>
      <c r="G222" s="413" t="n">
        <v>11664</v>
      </c>
      <c r="H222" s="413" t="n">
        <v>76464</v>
      </c>
      <c r="I222" s="412" t="inlineStr">
        <is>
          <t>B2B</t>
        </is>
      </c>
    </row>
    <row r="223" ht="12" customHeight="1" s="253">
      <c r="A223" s="414" t="n">
        <v>45778</v>
      </c>
      <c r="B223" s="415" t="n">
        <v>45782</v>
      </c>
      <c r="C223" s="412" t="inlineStr">
        <is>
          <t>INV-25-26-000103</t>
        </is>
      </c>
      <c r="D223" s="412" t="inlineStr">
        <is>
          <t>Closed</t>
        </is>
      </c>
      <c r="E223" s="412" t="inlineStr">
        <is>
          <t>Hamza mir</t>
        </is>
      </c>
      <c r="F223" s="413" t="n">
        <v>5000</v>
      </c>
      <c r="G223" s="413" t="n">
        <v>900</v>
      </c>
      <c r="H223" s="413" t="n">
        <v>5900</v>
      </c>
      <c r="I223" s="412" t="inlineStr">
        <is>
          <t>B2B</t>
        </is>
      </c>
    </row>
    <row r="224" ht="12" customHeight="1" s="253">
      <c r="A224" s="414" t="n">
        <v>45778</v>
      </c>
      <c r="B224" s="415" t="n">
        <v>45782</v>
      </c>
      <c r="C224" s="412" t="inlineStr">
        <is>
          <t>INV-25-26-000104</t>
        </is>
      </c>
      <c r="D224" s="412" t="inlineStr">
        <is>
          <t>Closed</t>
        </is>
      </c>
      <c r="E224" s="412" t="inlineStr">
        <is>
          <t>LEGALOGIC CONSULTING LLP</t>
        </is>
      </c>
      <c r="F224" s="413" t="n">
        <v>30000</v>
      </c>
      <c r="G224" s="413" t="n">
        <v>5400</v>
      </c>
      <c r="H224" s="413" t="n">
        <v>35400</v>
      </c>
      <c r="I224" s="412" t="inlineStr">
        <is>
          <t>B2B</t>
        </is>
      </c>
    </row>
    <row r="225" ht="12" customHeight="1" s="253">
      <c r="A225" s="414" t="n">
        <v>45778</v>
      </c>
      <c r="B225" s="415" t="n">
        <v>45783</v>
      </c>
      <c r="C225" s="412" t="inlineStr">
        <is>
          <t>INV-25-26-000105</t>
        </is>
      </c>
      <c r="D225" s="412" t="inlineStr">
        <is>
          <t>Closed</t>
        </is>
      </c>
      <c r="E225" s="412" t="inlineStr">
        <is>
          <t>Chambers of Ninad Laud</t>
        </is>
      </c>
      <c r="F225" s="413" t="n">
        <v>10000</v>
      </c>
      <c r="G225" s="413" t="n">
        <v>1800</v>
      </c>
      <c r="H225" s="413" t="n">
        <v>11800</v>
      </c>
      <c r="I225" s="412" t="inlineStr">
        <is>
          <t>B2B</t>
        </is>
      </c>
    </row>
    <row r="226" ht="12" customHeight="1" s="253">
      <c r="A226" s="414" t="n">
        <v>45778</v>
      </c>
      <c r="B226" s="415" t="n">
        <v>45783</v>
      </c>
      <c r="C226" s="412" t="inlineStr">
        <is>
          <t>INV-25-26-000106</t>
        </is>
      </c>
      <c r="D226" s="412" t="inlineStr">
        <is>
          <t>Overdue</t>
        </is>
      </c>
      <c r="E226" s="412" t="inlineStr">
        <is>
          <t>Gera Developments Pvt. Ltd.</t>
        </is>
      </c>
      <c r="F226" s="413" t="n">
        <v>14000</v>
      </c>
      <c r="G226" s="413" t="n">
        <v>2520</v>
      </c>
      <c r="H226" s="413" t="n">
        <v>16520</v>
      </c>
      <c r="I226" s="412" t="inlineStr">
        <is>
          <t>B2B</t>
        </is>
      </c>
    </row>
    <row r="227" ht="12" customHeight="1" s="253">
      <c r="A227" s="414" t="n">
        <v>45778</v>
      </c>
      <c r="B227" s="415" t="n">
        <v>45784</v>
      </c>
      <c r="C227" s="412" t="inlineStr">
        <is>
          <t>INV-25-26-000107</t>
        </is>
      </c>
      <c r="D227" s="412" t="inlineStr">
        <is>
          <t>Overdue</t>
        </is>
      </c>
      <c r="E227" s="412" t="inlineStr">
        <is>
          <t>Advocate Rohit Jaiswal</t>
        </is>
      </c>
      <c r="F227" s="413" t="n">
        <v>5000</v>
      </c>
      <c r="G227" s="413" t="n">
        <v>900</v>
      </c>
      <c r="H227" s="413" t="n">
        <v>5900</v>
      </c>
      <c r="I227" s="412" t="inlineStr">
        <is>
          <t>B2B</t>
        </is>
      </c>
    </row>
    <row r="228" ht="12" customHeight="1" s="253">
      <c r="A228" s="414" t="n">
        <v>45778</v>
      </c>
      <c r="B228" s="415" t="n">
        <v>45784</v>
      </c>
      <c r="C228" s="412" t="inlineStr">
        <is>
          <t>INV-25-26-000108</t>
        </is>
      </c>
      <c r="D228" s="412" t="inlineStr">
        <is>
          <t>Closed</t>
        </is>
      </c>
      <c r="E228" s="412" t="inlineStr">
        <is>
          <t>Gaurav Mehta</t>
        </is>
      </c>
      <c r="F228" s="413" t="n">
        <v>32000</v>
      </c>
      <c r="G228" s="413" t="n">
        <v>5760</v>
      </c>
      <c r="H228" s="413" t="n">
        <v>37760</v>
      </c>
      <c r="I228" s="412" t="inlineStr">
        <is>
          <t>B2B</t>
        </is>
      </c>
    </row>
    <row r="229" ht="12" customHeight="1" s="253">
      <c r="A229" s="414" t="n">
        <v>45778</v>
      </c>
      <c r="B229" s="415" t="n">
        <v>45784</v>
      </c>
      <c r="C229" s="412" t="inlineStr">
        <is>
          <t>INV-25-26-000109</t>
        </is>
      </c>
      <c r="D229" s="412" t="inlineStr">
        <is>
          <t>Overdue</t>
        </is>
      </c>
      <c r="E229" s="412" t="inlineStr">
        <is>
          <t>Harshit Malik</t>
        </is>
      </c>
      <c r="F229" s="413" t="n">
        <v>10000</v>
      </c>
      <c r="G229" s="413" t="n">
        <v>1800</v>
      </c>
      <c r="H229" s="413" t="n">
        <v>11800</v>
      </c>
      <c r="I229" s="412" t="inlineStr">
        <is>
          <t>B2B</t>
        </is>
      </c>
    </row>
    <row r="230" ht="12" customHeight="1" s="253">
      <c r="A230" s="414" t="n">
        <v>45778</v>
      </c>
      <c r="B230" s="415" t="n">
        <v>45785</v>
      </c>
      <c r="C230" s="412" t="inlineStr">
        <is>
          <t>INV-25-26-000110</t>
        </is>
      </c>
      <c r="D230" s="412" t="inlineStr">
        <is>
          <t>Closed</t>
        </is>
      </c>
      <c r="E230" s="412" t="inlineStr">
        <is>
          <t>MD&amp;T Partners</t>
        </is>
      </c>
      <c r="F230" s="413" t="n">
        <v>4000</v>
      </c>
      <c r="G230" s="413" t="n">
        <v>720</v>
      </c>
      <c r="H230" s="413" t="n">
        <v>4720</v>
      </c>
      <c r="I230" s="412" t="inlineStr">
        <is>
          <t>B2B</t>
        </is>
      </c>
    </row>
    <row r="231" ht="12" customHeight="1" s="253">
      <c r="A231" s="414" t="n">
        <v>45778</v>
      </c>
      <c r="B231" s="415" t="n">
        <v>45786</v>
      </c>
      <c r="C231" s="412" t="inlineStr">
        <is>
          <t>INV-25-26-000111</t>
        </is>
      </c>
      <c r="D231" s="412" t="inlineStr">
        <is>
          <t>Closed</t>
        </is>
      </c>
      <c r="E231" s="412" t="inlineStr">
        <is>
          <t>Manish kelker</t>
        </is>
      </c>
      <c r="F231" s="413" t="n">
        <v>3389</v>
      </c>
      <c r="G231" s="413" t="n">
        <v>610</v>
      </c>
      <c r="H231" s="413" t="n">
        <v>3999</v>
      </c>
      <c r="I231" s="412" t="inlineStr">
        <is>
          <t>B2B</t>
        </is>
      </c>
    </row>
    <row r="232" ht="12" customHeight="1" s="253">
      <c r="A232" s="414" t="n">
        <v>45778</v>
      </c>
      <c r="B232" s="415" t="n">
        <v>45786</v>
      </c>
      <c r="C232" s="412" t="inlineStr">
        <is>
          <t>INV-25-26-000112</t>
        </is>
      </c>
      <c r="D232" s="412" t="inlineStr">
        <is>
          <t>Closed</t>
        </is>
      </c>
      <c r="E232" s="412" t="inlineStr">
        <is>
          <t>Kachwaha &amp; Partners</t>
        </is>
      </c>
      <c r="F232" s="413" t="n">
        <v>216000</v>
      </c>
      <c r="G232" s="413" t="n">
        <v>38880</v>
      </c>
      <c r="H232" s="413" t="n">
        <v>254880</v>
      </c>
      <c r="I232" s="412" t="inlineStr">
        <is>
          <t>B2B</t>
        </is>
      </c>
    </row>
    <row r="233" ht="12" customHeight="1" s="253">
      <c r="A233" s="414" t="n">
        <v>45778</v>
      </c>
      <c r="B233" s="415" t="n">
        <v>45787</v>
      </c>
      <c r="C233" s="412" t="inlineStr">
        <is>
          <t>INV-25-26-000113</t>
        </is>
      </c>
      <c r="D233" s="412" t="inlineStr">
        <is>
          <t>Closed</t>
        </is>
      </c>
      <c r="E233" s="412" t="inlineStr">
        <is>
          <t>Swapna Sheshadri</t>
        </is>
      </c>
      <c r="F233" s="413" t="n">
        <v>10000</v>
      </c>
      <c r="G233" s="413" t="n">
        <v>1800</v>
      </c>
      <c r="H233" s="413" t="n">
        <v>11800</v>
      </c>
      <c r="I233" s="412" t="inlineStr">
        <is>
          <t>B2B</t>
        </is>
      </c>
    </row>
    <row r="234" ht="12" customHeight="1" s="253">
      <c r="A234" s="414" t="n">
        <v>45778</v>
      </c>
      <c r="B234" s="415" t="n">
        <v>45787</v>
      </c>
      <c r="C234" s="412" t="inlineStr">
        <is>
          <t>INV-25-26-000114</t>
        </is>
      </c>
      <c r="D234" s="412" t="inlineStr">
        <is>
          <t>Overdue</t>
        </is>
      </c>
      <c r="E234" s="412" t="inlineStr">
        <is>
          <t>SKR &amp; associates</t>
        </is>
      </c>
      <c r="F234" s="413" t="n">
        <v>8729</v>
      </c>
      <c r="G234" s="413" t="n">
        <v>1571</v>
      </c>
      <c r="H234" s="413" t="n">
        <v>10300</v>
      </c>
      <c r="I234" s="412" t="inlineStr">
        <is>
          <t>B2B</t>
        </is>
      </c>
    </row>
    <row r="235" ht="12" customHeight="1" s="253">
      <c r="A235" s="414" t="n">
        <v>45778</v>
      </c>
      <c r="B235" s="415" t="n">
        <v>45789</v>
      </c>
      <c r="C235" s="412" t="inlineStr">
        <is>
          <t>INV-25-26-000115</t>
        </is>
      </c>
      <c r="D235" s="412" t="inlineStr">
        <is>
          <t>Closed</t>
        </is>
      </c>
      <c r="E235" s="412" t="inlineStr">
        <is>
          <t>Diwan Law Associates</t>
        </is>
      </c>
      <c r="F235" s="413" t="n">
        <v>4237</v>
      </c>
      <c r="G235" s="413" t="n">
        <v>762</v>
      </c>
      <c r="H235" s="413" t="n">
        <v>5000</v>
      </c>
      <c r="I235" s="412" t="inlineStr">
        <is>
          <t>B2B</t>
        </is>
      </c>
    </row>
    <row r="236" ht="12" customHeight="1" s="253">
      <c r="A236" s="414" t="n">
        <v>45778</v>
      </c>
      <c r="B236" s="415" t="n">
        <v>45789</v>
      </c>
      <c r="C236" s="412" t="inlineStr">
        <is>
          <t>INV-25-26-000116</t>
        </is>
      </c>
      <c r="D236" s="412" t="inlineStr">
        <is>
          <t>Closed</t>
        </is>
      </c>
      <c r="E236" s="412" t="inlineStr">
        <is>
          <t>Zoheb Hossain</t>
        </is>
      </c>
      <c r="F236" s="413" t="n">
        <v>12712</v>
      </c>
      <c r="G236" s="413" t="n">
        <v>2288</v>
      </c>
      <c r="H236" s="413" t="n">
        <v>15000</v>
      </c>
      <c r="I236" s="412" t="inlineStr">
        <is>
          <t>B2B</t>
        </is>
      </c>
    </row>
    <row r="237" ht="12" customHeight="1" s="253">
      <c r="A237" s="414" t="n">
        <v>45778</v>
      </c>
      <c r="B237" s="415" t="n">
        <v>45789</v>
      </c>
      <c r="C237" s="412" t="inlineStr">
        <is>
          <t>INV-25-26-000117</t>
        </is>
      </c>
      <c r="D237" s="412" t="inlineStr">
        <is>
          <t>Closed</t>
        </is>
      </c>
      <c r="E237" s="412" t="inlineStr">
        <is>
          <t>Vishal Kanade</t>
        </is>
      </c>
      <c r="F237" s="413" t="n">
        <v>12712</v>
      </c>
      <c r="G237" s="413" t="n">
        <v>2288</v>
      </c>
      <c r="H237" s="413" t="n">
        <v>15000</v>
      </c>
      <c r="I237" s="412" t="inlineStr">
        <is>
          <t>B2B</t>
        </is>
      </c>
    </row>
    <row r="238" ht="12" customHeight="1" s="253">
      <c r="A238" s="414" t="n">
        <v>45778</v>
      </c>
      <c r="B238" s="415" t="n">
        <v>45789</v>
      </c>
      <c r="C238" s="412" t="inlineStr">
        <is>
          <t>INV-25-26-000118</t>
        </is>
      </c>
      <c r="D238" s="412" t="inlineStr">
        <is>
          <t>Overdue</t>
        </is>
      </c>
      <c r="E238" s="412" t="inlineStr">
        <is>
          <t>Vritti Law Partners</t>
        </is>
      </c>
      <c r="F238" s="413" t="n">
        <v>6000</v>
      </c>
      <c r="G238" s="413" t="n">
        <v>1080</v>
      </c>
      <c r="H238" s="413" t="n">
        <v>7080</v>
      </c>
      <c r="I238" s="412" t="inlineStr">
        <is>
          <t>B2B</t>
        </is>
      </c>
    </row>
    <row r="239" ht="12" customHeight="1" s="253">
      <c r="A239" s="414" t="n">
        <v>45778</v>
      </c>
      <c r="B239" s="415" t="n">
        <v>45790</v>
      </c>
      <c r="C239" s="412" t="inlineStr">
        <is>
          <t>INV-25-26-000119</t>
        </is>
      </c>
      <c r="D239" s="412" t="inlineStr">
        <is>
          <t>Closed</t>
        </is>
      </c>
      <c r="E239" s="412" t="inlineStr">
        <is>
          <t>SINHA &amp; COMPANY</t>
        </is>
      </c>
      <c r="F239" s="413" t="n">
        <v>150000</v>
      </c>
      <c r="G239" s="413" t="n">
        <v>27000</v>
      </c>
      <c r="H239" s="413" t="n">
        <v>177000</v>
      </c>
      <c r="I239" s="412" t="inlineStr">
        <is>
          <t>B2B</t>
        </is>
      </c>
    </row>
    <row r="240" ht="12" customHeight="1" s="253">
      <c r="A240" s="414" t="n">
        <v>45778</v>
      </c>
      <c r="B240" s="415" t="n">
        <v>45790</v>
      </c>
      <c r="C240" s="412" t="inlineStr">
        <is>
          <t>INV-25-26-000120</t>
        </is>
      </c>
      <c r="D240" s="412" t="inlineStr">
        <is>
          <t>Overdue</t>
        </is>
      </c>
      <c r="E240" s="412" t="inlineStr">
        <is>
          <t>C&amp;S Partners</t>
        </is>
      </c>
      <c r="F240" s="413" t="n">
        <v>12000</v>
      </c>
      <c r="G240" s="413" t="n">
        <v>2160</v>
      </c>
      <c r="H240" s="413" t="n">
        <v>14160</v>
      </c>
      <c r="I240" s="412" t="inlineStr">
        <is>
          <t>B2B</t>
        </is>
      </c>
    </row>
    <row r="241" ht="12" customHeight="1" s="253">
      <c r="A241" s="414" t="n">
        <v>45778</v>
      </c>
      <c r="B241" s="415" t="n">
        <v>45790</v>
      </c>
      <c r="C241" s="412" t="inlineStr">
        <is>
          <t>INV-25-26-000121</t>
        </is>
      </c>
      <c r="D241" s="412" t="inlineStr">
        <is>
          <t>Closed</t>
        </is>
      </c>
      <c r="E241" s="412" t="inlineStr">
        <is>
          <t>Asahi Legal LLP</t>
        </is>
      </c>
      <c r="F241" s="413" t="n">
        <v>19068</v>
      </c>
      <c r="G241" s="413" t="n">
        <v>3432</v>
      </c>
      <c r="H241" s="413" t="n">
        <v>22500</v>
      </c>
      <c r="I241" s="412" t="inlineStr">
        <is>
          <t>B2B</t>
        </is>
      </c>
    </row>
    <row r="242" ht="12" customHeight="1" s="253">
      <c r="A242" s="414" t="n">
        <v>45778</v>
      </c>
      <c r="B242" s="415" t="n">
        <v>45790</v>
      </c>
      <c r="C242" s="412" t="inlineStr">
        <is>
          <t>INV-25-26-000122</t>
        </is>
      </c>
      <c r="D242" s="412" t="inlineStr">
        <is>
          <t>Closed</t>
        </is>
      </c>
      <c r="E242" s="412" t="inlineStr">
        <is>
          <t>Chambers of Moazzam Khan</t>
        </is>
      </c>
      <c r="F242" s="413" t="n">
        <v>81000</v>
      </c>
      <c r="G242" s="413" t="n">
        <v>14580</v>
      </c>
      <c r="H242" s="413" t="n">
        <v>95580</v>
      </c>
      <c r="I242" s="412" t="inlineStr">
        <is>
          <t>B2B</t>
        </is>
      </c>
    </row>
    <row r="243" ht="12" customHeight="1" s="253">
      <c r="A243" s="414" t="n">
        <v>45778</v>
      </c>
      <c r="B243" s="415" t="n">
        <v>45791</v>
      </c>
      <c r="C243" s="412" t="inlineStr">
        <is>
          <t>INV-25-26-000123</t>
        </is>
      </c>
      <c r="D243" s="412" t="inlineStr">
        <is>
          <t>Overdue</t>
        </is>
      </c>
      <c r="E243" s="412" t="inlineStr">
        <is>
          <t>Vis Legis Law Practice</t>
        </is>
      </c>
      <c r="F243" s="413" t="n">
        <v>20000</v>
      </c>
      <c r="G243" s="413" t="n">
        <v>3600</v>
      </c>
      <c r="H243" s="413" t="n">
        <v>23600</v>
      </c>
      <c r="I243" s="412" t="inlineStr">
        <is>
          <t>B2B</t>
        </is>
      </c>
    </row>
    <row r="244" ht="12" customHeight="1" s="253">
      <c r="A244" s="414" t="n">
        <v>45778</v>
      </c>
      <c r="B244" s="415" t="n">
        <v>45792</v>
      </c>
      <c r="C244" s="412" t="inlineStr">
        <is>
          <t>INV-25-26-000124</t>
        </is>
      </c>
      <c r="D244" s="412" t="inlineStr">
        <is>
          <t>Closed</t>
        </is>
      </c>
      <c r="E244" s="412" t="inlineStr">
        <is>
          <t>Tatva Legal Hyderabad</t>
        </is>
      </c>
      <c r="F244" s="413" t="n">
        <v>150000</v>
      </c>
      <c r="G244" s="413" t="n">
        <v>27000</v>
      </c>
      <c r="H244" s="413" t="n">
        <v>177000</v>
      </c>
      <c r="I244" s="412" t="inlineStr">
        <is>
          <t>B2B</t>
        </is>
      </c>
    </row>
    <row r="245" ht="12" customHeight="1" s="253">
      <c r="A245" s="414" t="n">
        <v>45778</v>
      </c>
      <c r="B245" s="415" t="n">
        <v>45792</v>
      </c>
      <c r="C245" s="412" t="inlineStr">
        <is>
          <t>INV-25-26-000125</t>
        </is>
      </c>
      <c r="D245" s="412" t="inlineStr">
        <is>
          <t>Overdue</t>
        </is>
      </c>
      <c r="E245" s="412" t="inlineStr">
        <is>
          <t>R. Vishnu Kumar Advocate</t>
        </is>
      </c>
      <c r="F245" s="413" t="n">
        <v>16950</v>
      </c>
      <c r="G245" s="413" t="n">
        <v>3051</v>
      </c>
      <c r="H245" s="413" t="n">
        <v>20001</v>
      </c>
      <c r="I245" s="412" t="inlineStr">
        <is>
          <t>B2B</t>
        </is>
      </c>
    </row>
    <row r="246" ht="12" customHeight="1" s="253">
      <c r="A246" s="414" t="n">
        <v>45778</v>
      </c>
      <c r="B246" s="415" t="n">
        <v>45792</v>
      </c>
      <c r="C246" s="412" t="inlineStr">
        <is>
          <t>INV-25-26-000126</t>
        </is>
      </c>
      <c r="D246" s="412" t="inlineStr">
        <is>
          <t>Closed</t>
        </is>
      </c>
      <c r="E246" s="412" t="inlineStr">
        <is>
          <t>Phoenix Legal</t>
        </is>
      </c>
      <c r="F246" s="413" t="n">
        <v>100000</v>
      </c>
      <c r="G246" s="413" t="n">
        <v>18000</v>
      </c>
      <c r="H246" s="413" t="n">
        <v>118000</v>
      </c>
      <c r="I246" s="412" t="inlineStr">
        <is>
          <t>B2B</t>
        </is>
      </c>
    </row>
    <row r="247" ht="12" customHeight="1" s="253">
      <c r="A247" s="414" t="n">
        <v>45778</v>
      </c>
      <c r="B247" s="415" t="n">
        <v>45793</v>
      </c>
      <c r="C247" s="412" t="inlineStr">
        <is>
          <t>INV-25-26-000127</t>
        </is>
      </c>
      <c r="D247" s="412" t="inlineStr">
        <is>
          <t>Overdue</t>
        </is>
      </c>
      <c r="E247" s="412" t="inlineStr">
        <is>
          <t>Yash Momaya</t>
        </is>
      </c>
      <c r="F247" s="413" t="n">
        <v>10000</v>
      </c>
      <c r="G247" s="413" t="n">
        <v>1800</v>
      </c>
      <c r="H247" s="413" t="n">
        <v>11800</v>
      </c>
      <c r="I247" s="412" t="inlineStr">
        <is>
          <t>B2B</t>
        </is>
      </c>
    </row>
    <row r="248" ht="12" customHeight="1" s="253">
      <c r="A248" s="414" t="n">
        <v>45778</v>
      </c>
      <c r="B248" s="415" t="n">
        <v>45793</v>
      </c>
      <c r="C248" s="412" t="inlineStr">
        <is>
          <t>INV-25-26-000128</t>
        </is>
      </c>
      <c r="D248" s="412" t="inlineStr">
        <is>
          <t>Closed</t>
        </is>
      </c>
      <c r="E248" s="412" t="inlineStr">
        <is>
          <t>Nikhil Pai</t>
        </is>
      </c>
      <c r="F248" s="413" t="n">
        <v>55000</v>
      </c>
      <c r="G248" s="413" t="n">
        <v>9900</v>
      </c>
      <c r="H248" s="413" t="n">
        <v>64900</v>
      </c>
      <c r="I248" s="412" t="inlineStr">
        <is>
          <t>B2B</t>
        </is>
      </c>
    </row>
    <row r="249" ht="12" customHeight="1" s="253">
      <c r="A249" s="414" t="n">
        <v>45778</v>
      </c>
      <c r="B249" s="415" t="n">
        <v>45793</v>
      </c>
      <c r="C249" s="412" t="inlineStr">
        <is>
          <t>INV-25-26-000129</t>
        </is>
      </c>
      <c r="D249" s="412" t="inlineStr">
        <is>
          <t>Closed</t>
        </is>
      </c>
      <c r="E249" s="412" t="inlineStr">
        <is>
          <t>J INFRATECH LIMITED</t>
        </is>
      </c>
      <c r="F249" s="413" t="n">
        <v>4000</v>
      </c>
      <c r="G249" s="413" t="n">
        <v>720</v>
      </c>
      <c r="H249" s="413" t="n">
        <v>4720</v>
      </c>
      <c r="I249" s="412" t="inlineStr">
        <is>
          <t>B2B</t>
        </is>
      </c>
    </row>
    <row r="250" ht="12" customHeight="1" s="253">
      <c r="A250" s="414" t="n">
        <v>45778</v>
      </c>
      <c r="B250" s="415" t="n">
        <v>45796</v>
      </c>
      <c r="C250" s="412" t="inlineStr">
        <is>
          <t>INV-25-26-000130</t>
        </is>
      </c>
      <c r="D250" s="412" t="inlineStr">
        <is>
          <t>Overdue</t>
        </is>
      </c>
      <c r="E250" s="412" t="inlineStr">
        <is>
          <t>Vesta Legal</t>
        </is>
      </c>
      <c r="F250" s="413" t="n">
        <v>92540</v>
      </c>
      <c r="G250" s="413" t="n">
        <v>16657</v>
      </c>
      <c r="H250" s="413" t="n">
        <v>109197</v>
      </c>
      <c r="I250" s="412" t="inlineStr">
        <is>
          <t>B2B</t>
        </is>
      </c>
    </row>
    <row r="251" ht="12" customHeight="1" s="253">
      <c r="A251" s="414" t="n">
        <v>45778</v>
      </c>
      <c r="B251" s="415" t="n">
        <v>45797</v>
      </c>
      <c r="C251" s="412" t="inlineStr">
        <is>
          <t>INV-25-26-000131</t>
        </is>
      </c>
      <c r="D251" s="412" t="inlineStr">
        <is>
          <t>Closed</t>
        </is>
      </c>
      <c r="E251" s="412" t="inlineStr">
        <is>
          <t>Vyom Shah</t>
        </is>
      </c>
      <c r="F251" s="413" t="n">
        <v>36450</v>
      </c>
      <c r="G251" s="413" t="n">
        <v>6561</v>
      </c>
      <c r="H251" s="413" t="n">
        <v>43011</v>
      </c>
      <c r="I251" s="412" t="inlineStr">
        <is>
          <t>B2B</t>
        </is>
      </c>
    </row>
    <row r="252" ht="12" customHeight="1" s="253">
      <c r="A252" s="414" t="n">
        <v>45778</v>
      </c>
      <c r="B252" s="415" t="n">
        <v>45797</v>
      </c>
      <c r="C252" s="412" t="inlineStr">
        <is>
          <t>INV-25-26-000132</t>
        </is>
      </c>
      <c r="D252" s="412" t="inlineStr">
        <is>
          <t>Closed</t>
        </is>
      </c>
      <c r="E252" s="412" t="inlineStr">
        <is>
          <t>Zubin Behramkamdin</t>
        </is>
      </c>
      <c r="F252" s="413" t="n">
        <v>36450</v>
      </c>
      <c r="G252" s="413" t="n">
        <v>6561</v>
      </c>
      <c r="H252" s="413" t="n">
        <v>43011</v>
      </c>
      <c r="I252" s="412" t="inlineStr">
        <is>
          <t>B2B</t>
        </is>
      </c>
    </row>
    <row r="253" ht="12" customHeight="1" s="253">
      <c r="A253" s="414" t="n">
        <v>45778</v>
      </c>
      <c r="B253" s="415" t="n">
        <v>45797</v>
      </c>
      <c r="C253" s="412" t="inlineStr">
        <is>
          <t>INV-25-26-000133</t>
        </is>
      </c>
      <c r="D253" s="412" t="inlineStr">
        <is>
          <t>Closed</t>
        </is>
      </c>
      <c r="E253" s="412" t="inlineStr">
        <is>
          <t>Jennifer Michael</t>
        </is>
      </c>
      <c r="F253" s="413" t="n">
        <v>36450</v>
      </c>
      <c r="G253" s="413" t="n">
        <v>6561</v>
      </c>
      <c r="H253" s="413" t="n">
        <v>43011</v>
      </c>
      <c r="I253" s="412" t="inlineStr">
        <is>
          <t>B2B</t>
        </is>
      </c>
    </row>
    <row r="254" ht="12" customHeight="1" s="253">
      <c r="A254" s="414" t="n">
        <v>45778</v>
      </c>
      <c r="B254" s="415" t="n">
        <v>45797</v>
      </c>
      <c r="C254" s="412" t="inlineStr">
        <is>
          <t>INV-25-26-000134</t>
        </is>
      </c>
      <c r="D254" s="412" t="inlineStr">
        <is>
          <t>Closed</t>
        </is>
      </c>
      <c r="E254" s="412" t="inlineStr">
        <is>
          <t>SomÂ Sinha &amp; Associates</t>
        </is>
      </c>
      <c r="F254" s="413" t="n">
        <v>36450</v>
      </c>
      <c r="G254" s="413" t="n">
        <v>6561</v>
      </c>
      <c r="H254" s="413" t="n">
        <v>43011</v>
      </c>
      <c r="I254" s="412" t="inlineStr">
        <is>
          <t>B2B</t>
        </is>
      </c>
    </row>
    <row r="255" ht="12" customHeight="1" s="253">
      <c r="A255" s="414" t="n">
        <v>45778</v>
      </c>
      <c r="B255" s="415" t="n">
        <v>45797</v>
      </c>
      <c r="C255" s="412" t="inlineStr">
        <is>
          <t>INV-25-26-000135</t>
        </is>
      </c>
      <c r="D255" s="412" t="inlineStr">
        <is>
          <t>Closed</t>
        </is>
      </c>
      <c r="E255" s="412" t="inlineStr">
        <is>
          <t>MZM Legal LLP</t>
        </is>
      </c>
      <c r="F255" s="413" t="n">
        <v>255000</v>
      </c>
      <c r="G255" s="413" t="n">
        <v>45900</v>
      </c>
      <c r="H255" s="413" t="n">
        <v>300900</v>
      </c>
      <c r="I255" s="412" t="inlineStr">
        <is>
          <t>B2B</t>
        </is>
      </c>
    </row>
    <row r="256" ht="12" customHeight="1" s="253">
      <c r="A256" s="414" t="n">
        <v>45778</v>
      </c>
      <c r="B256" s="415" t="n">
        <v>45798</v>
      </c>
      <c r="C256" s="412" t="inlineStr">
        <is>
          <t>INV-25-26-000136</t>
        </is>
      </c>
      <c r="D256" s="412" t="inlineStr">
        <is>
          <t>Closed</t>
        </is>
      </c>
      <c r="E256" s="412" t="inlineStr">
        <is>
          <t>Stride Legal</t>
        </is>
      </c>
      <c r="F256" s="413" t="n">
        <v>10000</v>
      </c>
      <c r="G256" s="413" t="n">
        <v>1800</v>
      </c>
      <c r="H256" s="413" t="n">
        <v>11800</v>
      </c>
      <c r="I256" s="412" t="inlineStr">
        <is>
          <t>B2B</t>
        </is>
      </c>
    </row>
    <row r="257" ht="12" customHeight="1" s="253">
      <c r="A257" s="414" t="n">
        <v>45778</v>
      </c>
      <c r="B257" s="415" t="n">
        <v>45800</v>
      </c>
      <c r="C257" s="412" t="inlineStr">
        <is>
          <t>INV-25-26-000137</t>
        </is>
      </c>
      <c r="D257" s="412" t="inlineStr">
        <is>
          <t>Overdue</t>
        </is>
      </c>
      <c r="E257" s="412" t="inlineStr">
        <is>
          <t>Pranay Chitale</t>
        </is>
      </c>
      <c r="F257" s="413" t="n">
        <v>15000</v>
      </c>
      <c r="G257" s="413" t="n">
        <v>2700</v>
      </c>
      <c r="H257" s="413" t="n">
        <v>17700</v>
      </c>
      <c r="I257" s="412" t="inlineStr">
        <is>
          <t>B2B</t>
        </is>
      </c>
    </row>
    <row r="258" ht="12" customHeight="1" s="253">
      <c r="A258" s="414" t="n">
        <v>45778</v>
      </c>
      <c r="B258" s="415" t="n">
        <v>45800</v>
      </c>
      <c r="C258" s="412" t="inlineStr">
        <is>
          <t>INV-25-26-000138</t>
        </is>
      </c>
      <c r="D258" s="412" t="inlineStr">
        <is>
          <t>Closed</t>
        </is>
      </c>
      <c r="E258" s="412" t="inlineStr">
        <is>
          <t>Rithin Rai</t>
        </is>
      </c>
      <c r="F258" s="413" t="n">
        <v>5000</v>
      </c>
      <c r="G258" s="413" t="n">
        <v>900</v>
      </c>
      <c r="H258" s="413" t="n">
        <v>5900</v>
      </c>
      <c r="I258" s="412" t="inlineStr">
        <is>
          <t>B2B</t>
        </is>
      </c>
    </row>
    <row r="259" ht="12" customHeight="1" s="253">
      <c r="A259" s="414" t="n">
        <v>45778</v>
      </c>
      <c r="B259" s="415" t="n">
        <v>45800</v>
      </c>
      <c r="C259" s="412" t="inlineStr">
        <is>
          <t>INV-25-26-000139</t>
        </is>
      </c>
      <c r="D259" s="412" t="inlineStr">
        <is>
          <t>Closed</t>
        </is>
      </c>
      <c r="E259" s="412" t="inlineStr">
        <is>
          <t>Chetan Dedhia</t>
        </is>
      </c>
      <c r="F259" s="413" t="n">
        <v>144000</v>
      </c>
      <c r="G259" s="413" t="n">
        <v>25920</v>
      </c>
      <c r="H259" s="413" t="n">
        <v>169920</v>
      </c>
      <c r="I259" s="412" t="inlineStr">
        <is>
          <t>B2B</t>
        </is>
      </c>
    </row>
    <row r="260" ht="12" customHeight="1" s="253">
      <c r="A260" s="414" t="n">
        <v>45778</v>
      </c>
      <c r="B260" s="415" t="n">
        <v>45803</v>
      </c>
      <c r="C260" s="412" t="inlineStr">
        <is>
          <t>INV-25-26-000140</t>
        </is>
      </c>
      <c r="D260" s="412" t="inlineStr">
        <is>
          <t>Overdue</t>
        </is>
      </c>
      <c r="E260" s="412" t="inlineStr">
        <is>
          <t>Zoheb Hossain</t>
        </is>
      </c>
      <c r="F260" s="413" t="n">
        <v>137288</v>
      </c>
      <c r="G260" s="413" t="n">
        <v>24712</v>
      </c>
      <c r="H260" s="413" t="n">
        <v>162000</v>
      </c>
      <c r="I260" s="412" t="inlineStr">
        <is>
          <t>B2B</t>
        </is>
      </c>
    </row>
    <row r="261" ht="12" customHeight="1" s="253">
      <c r="A261" s="414" t="n">
        <v>45778</v>
      </c>
      <c r="B261" s="415" t="n">
        <v>45803</v>
      </c>
      <c r="C261" s="412" t="inlineStr">
        <is>
          <t>INV-25-26-000141</t>
        </is>
      </c>
      <c r="D261" s="412" t="inlineStr">
        <is>
          <t>Closed</t>
        </is>
      </c>
      <c r="E261" s="412" t="inlineStr">
        <is>
          <t>Meghav Gupta</t>
        </is>
      </c>
      <c r="F261" s="413" t="n">
        <v>37800</v>
      </c>
      <c r="G261" s="413" t="n">
        <v>6804</v>
      </c>
      <c r="H261" s="413" t="n">
        <v>44604</v>
      </c>
      <c r="I261" s="412" t="inlineStr">
        <is>
          <t>B2B</t>
        </is>
      </c>
    </row>
    <row r="262" ht="12" customHeight="1" s="253">
      <c r="A262" s="414" t="n">
        <v>45778</v>
      </c>
      <c r="B262" s="415" t="n">
        <v>45803</v>
      </c>
      <c r="C262" s="412" t="inlineStr">
        <is>
          <t>INV-25-26-000142</t>
        </is>
      </c>
      <c r="D262" s="412" t="inlineStr">
        <is>
          <t>Overdue</t>
        </is>
      </c>
      <c r="E262" s="412" t="inlineStr">
        <is>
          <t>Shashwat Bajpai</t>
        </is>
      </c>
      <c r="F262" s="413" t="n">
        <v>70000</v>
      </c>
      <c r="G262" s="413" t="n">
        <v>12600</v>
      </c>
      <c r="H262" s="413" t="n">
        <v>82600</v>
      </c>
      <c r="I262" s="412" t="inlineStr">
        <is>
          <t>B2B</t>
        </is>
      </c>
    </row>
    <row r="263" ht="12" customHeight="1" s="253">
      <c r="A263" s="414" t="n">
        <v>45778</v>
      </c>
      <c r="B263" s="415" t="n">
        <v>45803</v>
      </c>
      <c r="C263" s="412" t="inlineStr">
        <is>
          <t>INV-25-26-000143</t>
        </is>
      </c>
      <c r="D263" s="412" t="inlineStr">
        <is>
          <t>Closed</t>
        </is>
      </c>
      <c r="E263" s="412" t="inlineStr">
        <is>
          <t>Manini Brar</t>
        </is>
      </c>
      <c r="F263" s="413" t="n">
        <v>10000</v>
      </c>
      <c r="G263" s="413" t="n">
        <v>1800</v>
      </c>
      <c r="H263" s="413" t="n">
        <v>11800</v>
      </c>
      <c r="I263" s="412" t="inlineStr">
        <is>
          <t>B2B</t>
        </is>
      </c>
    </row>
    <row r="264" ht="12" customHeight="1" s="253">
      <c r="A264" s="414" t="n">
        <v>45778</v>
      </c>
      <c r="B264" s="415" t="n">
        <v>45803</v>
      </c>
      <c r="C264" s="412" t="inlineStr">
        <is>
          <t>INV-25-26-000144</t>
        </is>
      </c>
      <c r="D264" s="412" t="inlineStr">
        <is>
          <t>Closed</t>
        </is>
      </c>
      <c r="E264" s="412" t="inlineStr">
        <is>
          <t>Pratik Patnaik</t>
        </is>
      </c>
      <c r="F264" s="413" t="n">
        <v>12000</v>
      </c>
      <c r="G264" s="413" t="n">
        <v>2160</v>
      </c>
      <c r="H264" s="413" t="n">
        <v>14160</v>
      </c>
      <c r="I264" s="412" t="inlineStr">
        <is>
          <t>B2B</t>
        </is>
      </c>
    </row>
    <row r="265" ht="12" customHeight="1" s="253">
      <c r="A265" s="414" t="n">
        <v>45778</v>
      </c>
      <c r="B265" s="415" t="n">
        <v>45803</v>
      </c>
      <c r="C265" s="412" t="inlineStr">
        <is>
          <t>INV-25-26-000145</t>
        </is>
      </c>
      <c r="D265" s="412" t="inlineStr">
        <is>
          <t>Overdue</t>
        </is>
      </c>
      <c r="E265" s="412" t="inlineStr">
        <is>
          <t>Saswat Mohanty</t>
        </is>
      </c>
      <c r="F265" s="413" t="n">
        <v>44916</v>
      </c>
      <c r="G265" s="413" t="n">
        <v>8085</v>
      </c>
      <c r="H265" s="413" t="n">
        <v>53000</v>
      </c>
      <c r="I265" s="412" t="inlineStr">
        <is>
          <t>B2B</t>
        </is>
      </c>
    </row>
    <row r="266" ht="12" customHeight="1" s="253">
      <c r="A266" s="414" t="n">
        <v>45778</v>
      </c>
      <c r="B266" s="415" t="n">
        <v>45803</v>
      </c>
      <c r="C266" s="412" t="inlineStr">
        <is>
          <t>INV-25-26-000146</t>
        </is>
      </c>
      <c r="D266" s="412" t="inlineStr">
        <is>
          <t>Closed</t>
        </is>
      </c>
      <c r="E266" s="412" t="inlineStr">
        <is>
          <t>Nitish Raj</t>
        </is>
      </c>
      <c r="F266" s="413" t="n">
        <v>59322</v>
      </c>
      <c r="G266" s="413" t="n">
        <v>10678</v>
      </c>
      <c r="H266" s="413" t="n">
        <v>70000</v>
      </c>
      <c r="I266" s="412" t="inlineStr">
        <is>
          <t>B2B</t>
        </is>
      </c>
    </row>
    <row r="267" ht="12" customHeight="1" s="253">
      <c r="A267" s="414" t="n">
        <v>45778</v>
      </c>
      <c r="B267" s="415" t="n">
        <v>45805</v>
      </c>
      <c r="C267" s="412" t="inlineStr">
        <is>
          <t>INV-25-26-000147</t>
        </is>
      </c>
      <c r="D267" s="412" t="inlineStr">
        <is>
          <t>Closed</t>
        </is>
      </c>
      <c r="E267" s="412" t="inlineStr">
        <is>
          <t>Aquilaw</t>
        </is>
      </c>
      <c r="F267" s="413" t="n">
        <v>20000</v>
      </c>
      <c r="G267" s="413" t="n">
        <v>3600</v>
      </c>
      <c r="H267" s="413" t="n">
        <v>23600</v>
      </c>
      <c r="I267" s="412" t="inlineStr">
        <is>
          <t>B2B</t>
        </is>
      </c>
    </row>
    <row r="268" ht="12" customHeight="1" s="253">
      <c r="A268" s="414" t="n">
        <v>45778</v>
      </c>
      <c r="B268" s="415" t="n">
        <v>45805</v>
      </c>
      <c r="C268" s="412" t="inlineStr">
        <is>
          <t>INV-25-26-000148</t>
        </is>
      </c>
      <c r="D268" s="412" t="inlineStr">
        <is>
          <t>Overdue</t>
        </is>
      </c>
      <c r="E268" s="412" t="inlineStr">
        <is>
          <t>Darius J. Khambata</t>
        </is>
      </c>
      <c r="F268" s="413" t="n">
        <v>16949</v>
      </c>
      <c r="G268" s="413" t="n">
        <v>3051</v>
      </c>
      <c r="H268" s="413" t="n">
        <v>20000</v>
      </c>
      <c r="I268" s="412" t="inlineStr">
        <is>
          <t>B2B</t>
        </is>
      </c>
    </row>
    <row r="269" ht="12" customHeight="1" s="253">
      <c r="A269" s="414" t="n">
        <v>45778</v>
      </c>
      <c r="B269" s="415" t="n">
        <v>45806</v>
      </c>
      <c r="C269" s="412" t="inlineStr">
        <is>
          <t>INV-25-26-000149</t>
        </is>
      </c>
      <c r="D269" s="412" t="inlineStr">
        <is>
          <t>Closed</t>
        </is>
      </c>
      <c r="E269" s="412" t="inlineStr">
        <is>
          <t>SRCO Legal / Salvador Raghav &amp; Co.</t>
        </is>
      </c>
      <c r="F269" s="413" t="n">
        <v>6780</v>
      </c>
      <c r="G269" s="413" t="n">
        <v>1220</v>
      </c>
      <c r="H269" s="413" t="n">
        <v>8000</v>
      </c>
      <c r="I269" s="412" t="inlineStr">
        <is>
          <t>B2B</t>
        </is>
      </c>
    </row>
    <row r="270" ht="12" customHeight="1" s="253">
      <c r="A270" s="414" t="n">
        <v>45778</v>
      </c>
      <c r="B270" s="415" t="n">
        <v>45806</v>
      </c>
      <c r="C270" s="412" t="inlineStr">
        <is>
          <t>INV-25-26-000150</t>
        </is>
      </c>
      <c r="D270" s="412" t="inlineStr">
        <is>
          <t>Closed</t>
        </is>
      </c>
      <c r="E270" s="412" t="inlineStr">
        <is>
          <t>Svarniti Law Offices</t>
        </is>
      </c>
      <c r="F270" s="413" t="n">
        <v>5000</v>
      </c>
      <c r="G270" s="413" t="n">
        <v>900</v>
      </c>
      <c r="H270" s="413" t="n">
        <v>5900</v>
      </c>
      <c r="I270" s="412" t="inlineStr">
        <is>
          <t>B2B</t>
        </is>
      </c>
    </row>
    <row r="271" ht="12" customHeight="1" s="253">
      <c r="A271" s="414" t="n">
        <v>45778</v>
      </c>
      <c r="B271" s="415" t="n">
        <v>45806</v>
      </c>
      <c r="C271" s="412" t="inlineStr">
        <is>
          <t>INV-25-26-000151</t>
        </is>
      </c>
      <c r="D271" s="412" t="inlineStr">
        <is>
          <t>Closed</t>
        </is>
      </c>
      <c r="E271" s="412" t="inlineStr">
        <is>
          <t>Daswani &amp; Daswani</t>
        </is>
      </c>
      <c r="F271" s="413" t="n">
        <v>70000</v>
      </c>
      <c r="G271" s="413" t="n">
        <v>12600</v>
      </c>
      <c r="H271" s="413" t="n">
        <v>82600</v>
      </c>
      <c r="I271" s="412" t="inlineStr">
        <is>
          <t>B2B</t>
        </is>
      </c>
    </row>
    <row r="272" ht="12" customHeight="1" s="253">
      <c r="A272" s="414" t="n">
        <v>45778</v>
      </c>
      <c r="B272" s="415" t="n">
        <v>45806</v>
      </c>
      <c r="C272" s="412" t="inlineStr">
        <is>
          <t>INV-25-26-000152</t>
        </is>
      </c>
      <c r="D272" s="412" t="inlineStr">
        <is>
          <t>Closed</t>
        </is>
      </c>
      <c r="E272" s="412" t="inlineStr">
        <is>
          <t>Khaitan Legal Asscoiates</t>
        </is>
      </c>
      <c r="F272" s="413" t="n">
        <v>20000</v>
      </c>
      <c r="G272" s="413" t="n">
        <v>3600</v>
      </c>
      <c r="H272" s="413" t="n">
        <v>23600</v>
      </c>
      <c r="I272" s="412" t="inlineStr">
        <is>
          <t>B2B</t>
        </is>
      </c>
    </row>
    <row r="273" ht="12" customHeight="1" s="253">
      <c r="A273" s="414" t="n">
        <v>45778</v>
      </c>
      <c r="B273" s="415" t="n">
        <v>45806</v>
      </c>
      <c r="C273" s="412" t="inlineStr">
        <is>
          <t>INV-25-26-000153</t>
        </is>
      </c>
      <c r="D273" s="412" t="inlineStr">
        <is>
          <t>Closed</t>
        </is>
      </c>
      <c r="E273" s="412" t="inlineStr">
        <is>
          <t>Samya Law Chambers</t>
        </is>
      </c>
      <c r="F273" s="413" t="n">
        <v>124200</v>
      </c>
      <c r="G273" s="413" t="n">
        <v>22356</v>
      </c>
      <c r="H273" s="413" t="n">
        <v>146556</v>
      </c>
      <c r="I273" s="412" t="inlineStr">
        <is>
          <t>B2B</t>
        </is>
      </c>
    </row>
    <row r="274" ht="12" customHeight="1" s="253">
      <c r="A274" s="414" t="n">
        <v>45778</v>
      </c>
      <c r="B274" s="415" t="n">
        <v>45806</v>
      </c>
      <c r="C274" s="412" t="inlineStr">
        <is>
          <t>INV-25-26-000154</t>
        </is>
      </c>
      <c r="D274" s="412" t="inlineStr">
        <is>
          <t>Overdue</t>
        </is>
      </c>
      <c r="E274" s="412" t="inlineStr">
        <is>
          <t>Shri Venkatesh SKV law offices</t>
        </is>
      </c>
      <c r="F274" s="413" t="n">
        <v>831384</v>
      </c>
      <c r="G274" s="413" t="n">
        <v>149649</v>
      </c>
      <c r="H274" s="413" t="n">
        <v>981033</v>
      </c>
      <c r="I274" s="412" t="inlineStr">
        <is>
          <t>B2B</t>
        </is>
      </c>
    </row>
    <row r="275" ht="12" customHeight="1" s="253">
      <c r="A275" s="414" t="n">
        <v>45778</v>
      </c>
      <c r="B275" s="415" t="n">
        <v>45806</v>
      </c>
      <c r="C275" s="412" t="inlineStr">
        <is>
          <t>INV-25-26-000155</t>
        </is>
      </c>
      <c r="D275" s="412" t="inlineStr">
        <is>
          <t>Closed</t>
        </is>
      </c>
      <c r="E275" s="412" t="inlineStr">
        <is>
          <t>Parakram Legal</t>
        </is>
      </c>
      <c r="F275" s="413" t="n">
        <v>15000</v>
      </c>
      <c r="G275" s="413" t="n">
        <v>2700</v>
      </c>
      <c r="H275" s="413" t="n">
        <v>17700</v>
      </c>
      <c r="I275" s="412" t="inlineStr">
        <is>
          <t>B2B</t>
        </is>
      </c>
    </row>
    <row r="276" ht="12" customHeight="1" s="253">
      <c r="A276" s="414" t="n">
        <v>45778</v>
      </c>
      <c r="B276" s="415" t="n">
        <v>45807</v>
      </c>
      <c r="C276" s="412" t="inlineStr">
        <is>
          <t>INV-25-26-000156</t>
        </is>
      </c>
      <c r="D276" s="412" t="inlineStr">
        <is>
          <t>Overdue</t>
        </is>
      </c>
      <c r="E276" s="412" t="inlineStr">
        <is>
          <t>IndusLaw</t>
        </is>
      </c>
      <c r="F276" s="413" t="n">
        <v>1458000</v>
      </c>
      <c r="G276" s="413" t="n">
        <v>262440</v>
      </c>
      <c r="H276" s="413" t="n">
        <v>1720440</v>
      </c>
      <c r="I276" s="412" t="inlineStr">
        <is>
          <t>B2B</t>
        </is>
      </c>
    </row>
    <row r="277" ht="12" customHeight="1" s="253">
      <c r="A277" s="414" t="n">
        <v>45778</v>
      </c>
      <c r="B277" s="415" t="n">
        <v>45807</v>
      </c>
      <c r="C277" s="412" t="inlineStr">
        <is>
          <t>INV-25-26-000157</t>
        </is>
      </c>
      <c r="D277" s="412" t="inlineStr">
        <is>
          <t>Closed</t>
        </is>
      </c>
      <c r="E277" s="412" t="inlineStr">
        <is>
          <t>Deep Cover Law- Chirag Narasimiah</t>
        </is>
      </c>
      <c r="F277" s="413" t="n">
        <v>9000</v>
      </c>
      <c r="G277" s="413" t="n">
        <v>1620</v>
      </c>
      <c r="H277" s="413" t="n">
        <v>10620</v>
      </c>
      <c r="I277" s="412" t="inlineStr">
        <is>
          <t>B2B</t>
        </is>
      </c>
    </row>
    <row r="278" ht="12" customHeight="1" s="253">
      <c r="A278" s="414" t="n">
        <v>45778</v>
      </c>
      <c r="B278" s="415" t="n">
        <v>45807</v>
      </c>
      <c r="C278" s="412" t="inlineStr">
        <is>
          <t>INV-25-26-000158</t>
        </is>
      </c>
      <c r="D278" s="412" t="inlineStr">
        <is>
          <t>Closed</t>
        </is>
      </c>
      <c r="E278" s="412" t="inlineStr">
        <is>
          <t>Centre for Law and Policy Research Trust</t>
        </is>
      </c>
      <c r="F278" s="413" t="n">
        <v>27000</v>
      </c>
      <c r="G278" s="413" t="n">
        <v>4860</v>
      </c>
      <c r="H278" s="413" t="n">
        <v>31860</v>
      </c>
      <c r="I278" s="412" t="inlineStr">
        <is>
          <t>B2B</t>
        </is>
      </c>
    </row>
    <row r="279" ht="12" customHeight="1" s="253">
      <c r="A279" s="414" t="n">
        <v>45778</v>
      </c>
      <c r="B279" s="415" t="n">
        <v>45808</v>
      </c>
      <c r="C279" s="412" t="inlineStr">
        <is>
          <t>INV-25-26-000159</t>
        </is>
      </c>
      <c r="D279" s="412" t="inlineStr">
        <is>
          <t>Closed</t>
        </is>
      </c>
      <c r="E279" s="412" t="inlineStr">
        <is>
          <t>B2C</t>
        </is>
      </c>
      <c r="F279" s="413" t="n">
        <v>17781</v>
      </c>
      <c r="G279" s="413" t="n">
        <v>3200</v>
      </c>
      <c r="H279" s="413" t="n">
        <v>20982</v>
      </c>
      <c r="I279" s="412" t="inlineStr">
        <is>
          <t>B2C</t>
        </is>
      </c>
    </row>
    <row r="280" ht="12" customHeight="1" s="253">
      <c r="A280" s="414" t="n">
        <v>45778</v>
      </c>
      <c r="B280" s="415" t="n">
        <v>45808</v>
      </c>
      <c r="C280" s="412" t="inlineStr">
        <is>
          <t>CN-00001</t>
        </is>
      </c>
      <c r="D280" s="412" t="inlineStr">
        <is>
          <t>Closed</t>
        </is>
      </c>
      <c r="E280" s="412" t="inlineStr">
        <is>
          <t>Justice (Retd.) AK Sikri</t>
        </is>
      </c>
      <c r="F280" s="413" t="n">
        <v>-22881</v>
      </c>
      <c r="G280" s="413" t="n">
        <v>-4119</v>
      </c>
      <c r="H280" s="413" t="n">
        <v>-27000</v>
      </c>
      <c r="I280" s="412" t="inlineStr">
        <is>
          <t>B2B</t>
        </is>
      </c>
    </row>
    <row r="281" ht="12" customHeight="1" s="253">
      <c r="A281" s="414" t="n">
        <v>45778</v>
      </c>
      <c r="B281" s="415" t="n">
        <v>45808</v>
      </c>
      <c r="C281" s="412" t="inlineStr">
        <is>
          <t>CN-00002</t>
        </is>
      </c>
      <c r="D281" s="412" t="inlineStr">
        <is>
          <t>Closed</t>
        </is>
      </c>
      <c r="E281" s="412" t="inlineStr">
        <is>
          <t>Akshat Vachher</t>
        </is>
      </c>
      <c r="F281" s="413" t="n">
        <v>-129600</v>
      </c>
      <c r="G281" s="413" t="n">
        <v>-23328</v>
      </c>
      <c r="H281" s="413" t="n">
        <v>-152928</v>
      </c>
      <c r="I281" s="412" t="inlineStr">
        <is>
          <t>B2B</t>
        </is>
      </c>
    </row>
    <row r="282" ht="12" customHeight="1" s="253">
      <c r="A282" s="414" t="n">
        <v>45778</v>
      </c>
      <c r="B282" s="415" t="n">
        <v>45808</v>
      </c>
      <c r="C282" s="412" t="inlineStr">
        <is>
          <t>INV-25-26-000160</t>
        </is>
      </c>
      <c r="D282" s="412" t="inlineStr">
        <is>
          <t>Closed</t>
        </is>
      </c>
      <c r="E282" s="412" t="inlineStr">
        <is>
          <t>NKR Law Offices</t>
        </is>
      </c>
      <c r="F282" s="413" t="n">
        <v>25000</v>
      </c>
      <c r="G282" s="413" t="n">
        <v>4500</v>
      </c>
      <c r="H282" s="413" t="n">
        <v>29500</v>
      </c>
      <c r="I282" s="412" t="inlineStr">
        <is>
          <t>B2B</t>
        </is>
      </c>
    </row>
    <row r="283" ht="12" customHeight="1" s="253">
      <c r="A283" s="414" t="n">
        <v>45536</v>
      </c>
      <c r="B283" s="415" t="n">
        <v>45557</v>
      </c>
      <c r="C283" s="412" t="inlineStr">
        <is>
          <t>INV-000001</t>
        </is>
      </c>
      <c r="D283" s="412" t="inlineStr">
        <is>
          <t>Closed</t>
        </is>
      </c>
      <c r="E283" s="412" t="inlineStr">
        <is>
          <t>B2C</t>
        </is>
      </c>
      <c r="F283" s="413" t="n">
        <v>16336</v>
      </c>
      <c r="G283" s="413" t="n">
        <v>0</v>
      </c>
      <c r="H283" s="413" t="n">
        <v>16336</v>
      </c>
      <c r="I283" s="412" t="inlineStr">
        <is>
          <t>B2C</t>
        </is>
      </c>
    </row>
    <row r="284" ht="12" customHeight="1" s="253">
      <c r="A284" s="414" t="n">
        <v>45536</v>
      </c>
      <c r="B284" s="415" t="n">
        <v>45557</v>
      </c>
      <c r="C284" s="412" t="inlineStr">
        <is>
          <t>INV-000002</t>
        </is>
      </c>
      <c r="D284" s="412" t="inlineStr">
        <is>
          <t>Closed</t>
        </is>
      </c>
      <c r="E284" s="412" t="inlineStr">
        <is>
          <t>Kanungo &amp; Co.</t>
        </is>
      </c>
      <c r="F284" s="413" t="n">
        <v>3999</v>
      </c>
      <c r="G284" s="413" t="n">
        <v>0</v>
      </c>
      <c r="H284" s="413" t="n">
        <v>3999</v>
      </c>
      <c r="I284" s="412" t="inlineStr">
        <is>
          <t>B2B</t>
        </is>
      </c>
    </row>
    <row r="285" ht="12" customHeight="1" s="253">
      <c r="A285" s="414" t="n">
        <v>45536</v>
      </c>
      <c r="B285" s="415" t="n">
        <v>45565</v>
      </c>
      <c r="C285" s="412" t="inlineStr">
        <is>
          <t>INV-000003</t>
        </is>
      </c>
      <c r="D285" s="412" t="inlineStr">
        <is>
          <t>Closed</t>
        </is>
      </c>
      <c r="E285" s="412" t="inlineStr">
        <is>
          <t>B2C</t>
        </is>
      </c>
      <c r="F285" s="413" t="n">
        <v>7473</v>
      </c>
      <c r="G285" s="413" t="n">
        <v>0</v>
      </c>
      <c r="H285" s="413" t="n">
        <v>7473</v>
      </c>
      <c r="I285" s="412" t="inlineStr">
        <is>
          <t>B2C</t>
        </is>
      </c>
    </row>
    <row r="286" ht="12" customHeight="1" s="253">
      <c r="A286" s="414" t="n">
        <v>45566</v>
      </c>
      <c r="B286" s="415" t="n">
        <v>45584</v>
      </c>
      <c r="C286" s="412" t="inlineStr">
        <is>
          <t>INV-000004</t>
        </is>
      </c>
      <c r="D286" s="412" t="inlineStr">
        <is>
          <t>Closed</t>
        </is>
      </c>
      <c r="E286" s="412" t="inlineStr">
        <is>
          <t>B2C</t>
        </is>
      </c>
      <c r="F286" s="413" t="n">
        <v>19330</v>
      </c>
      <c r="G286" s="413" t="n">
        <v>0</v>
      </c>
      <c r="H286" s="413" t="n">
        <v>19330</v>
      </c>
      <c r="I286" s="412" t="inlineStr">
        <is>
          <t>B2C</t>
        </is>
      </c>
    </row>
    <row r="287" ht="12" customHeight="1" s="253">
      <c r="A287" s="414" t="n">
        <v>45566</v>
      </c>
      <c r="B287" s="415" t="n">
        <v>45584</v>
      </c>
      <c r="C287" s="412" t="inlineStr">
        <is>
          <t>INV-000005</t>
        </is>
      </c>
      <c r="D287" s="412" t="inlineStr">
        <is>
          <t>Closed</t>
        </is>
      </c>
      <c r="E287" s="412" t="inlineStr">
        <is>
          <t>Solaris Legal</t>
        </is>
      </c>
      <c r="F287" s="413" t="n">
        <v>3999</v>
      </c>
      <c r="G287" s="413" t="n">
        <v>0</v>
      </c>
      <c r="H287" s="413" t="n">
        <v>3999</v>
      </c>
      <c r="I287" s="412" t="inlineStr">
        <is>
          <t>B2B</t>
        </is>
      </c>
    </row>
    <row r="288" ht="12" customHeight="1" s="253">
      <c r="A288" s="414" t="n">
        <v>45566</v>
      </c>
      <c r="B288" s="415" t="n">
        <v>45586</v>
      </c>
      <c r="C288" s="412" t="inlineStr">
        <is>
          <t>INV-000006</t>
        </is>
      </c>
      <c r="D288" s="412" t="inlineStr">
        <is>
          <t>Closed</t>
        </is>
      </c>
      <c r="E288" s="412" t="inlineStr">
        <is>
          <t>B2C</t>
        </is>
      </c>
      <c r="F288" s="413" t="n">
        <v>1489</v>
      </c>
      <c r="G288" s="413" t="n">
        <v>0</v>
      </c>
      <c r="H288" s="413" t="n">
        <v>1489</v>
      </c>
      <c r="I288" s="412" t="inlineStr">
        <is>
          <t>B2C</t>
        </is>
      </c>
    </row>
    <row r="289" ht="12" customHeight="1" s="253">
      <c r="A289" s="414" t="n">
        <v>45566</v>
      </c>
      <c r="B289" s="415" t="n">
        <v>45586</v>
      </c>
      <c r="C289" s="412" t="inlineStr">
        <is>
          <t>INV-000007</t>
        </is>
      </c>
      <c r="D289" s="412" t="inlineStr">
        <is>
          <t>Closed</t>
        </is>
      </c>
      <c r="E289" s="412" t="inlineStr">
        <is>
          <t>Incanus Technologies Private Limited</t>
        </is>
      </c>
      <c r="F289" s="413" t="n">
        <v>15000</v>
      </c>
      <c r="G289" s="413" t="n">
        <v>0</v>
      </c>
      <c r="H289" s="413" t="n">
        <v>15000</v>
      </c>
      <c r="I289" s="412" t="inlineStr">
        <is>
          <t>B2B</t>
        </is>
      </c>
    </row>
    <row r="290" ht="12" customHeight="1" s="253">
      <c r="A290" s="414" t="n">
        <v>45566</v>
      </c>
      <c r="B290" s="415" t="n">
        <v>45587</v>
      </c>
      <c r="C290" s="412" t="inlineStr">
        <is>
          <t>INV-000008</t>
        </is>
      </c>
      <c r="D290" s="412" t="inlineStr">
        <is>
          <t>Closed</t>
        </is>
      </c>
      <c r="E290" s="412" t="inlineStr">
        <is>
          <t>Chambers of Pujari</t>
        </is>
      </c>
      <c r="F290" s="413" t="n">
        <v>15000</v>
      </c>
      <c r="G290" s="413" t="n">
        <v>0</v>
      </c>
      <c r="H290" s="413" t="n">
        <v>15000</v>
      </c>
      <c r="I290" s="412" t="inlineStr">
        <is>
          <t>B2B</t>
        </is>
      </c>
    </row>
    <row r="291" ht="12" customHeight="1" s="253">
      <c r="A291" s="414" t="n">
        <v>45566</v>
      </c>
      <c r="B291" s="415" t="n">
        <v>45587</v>
      </c>
      <c r="C291" s="412" t="inlineStr">
        <is>
          <t>INV-000009</t>
        </is>
      </c>
      <c r="D291" s="412" t="inlineStr">
        <is>
          <t>Closed</t>
        </is>
      </c>
      <c r="E291" s="412" t="inlineStr">
        <is>
          <t>Kanungo &amp; Co.</t>
        </is>
      </c>
      <c r="F291" s="413" t="n">
        <v>3999</v>
      </c>
      <c r="G291" s="413" t="n">
        <v>0</v>
      </c>
      <c r="H291" s="413" t="n">
        <v>3999</v>
      </c>
      <c r="I291" s="412" t="inlineStr">
        <is>
          <t>B2B</t>
        </is>
      </c>
    </row>
    <row r="292" ht="12" customHeight="1" s="253">
      <c r="A292" s="414" t="n">
        <v>45566</v>
      </c>
      <c r="B292" s="415" t="n">
        <v>45594</v>
      </c>
      <c r="C292" s="412" t="inlineStr">
        <is>
          <t>INV-000010</t>
        </is>
      </c>
      <c r="D292" s="412" t="inlineStr">
        <is>
          <t>Closed</t>
        </is>
      </c>
      <c r="E292" s="412" t="inlineStr">
        <is>
          <t>B2C</t>
        </is>
      </c>
      <c r="F292" s="413" t="n">
        <v>8657</v>
      </c>
      <c r="G292" s="413" t="n">
        <v>0</v>
      </c>
      <c r="H292" s="413" t="n">
        <v>8657</v>
      </c>
      <c r="I292" s="412" t="inlineStr">
        <is>
          <t>B2C</t>
        </is>
      </c>
    </row>
    <row r="293" ht="12" customHeight="1" s="253">
      <c r="A293" s="414" t="n">
        <v>45566</v>
      </c>
      <c r="B293" s="415" t="n">
        <v>45594</v>
      </c>
      <c r="C293" s="412" t="inlineStr">
        <is>
          <t>INV-000011</t>
        </is>
      </c>
      <c r="D293" s="412" t="inlineStr">
        <is>
          <t>Closed</t>
        </is>
      </c>
      <c r="E293" s="412" t="inlineStr">
        <is>
          <t>SRCO Legal / Salvador Raghav &amp; Co.</t>
        </is>
      </c>
      <c r="F293" s="413" t="n">
        <v>8000</v>
      </c>
      <c r="G293" s="413" t="n">
        <v>0</v>
      </c>
      <c r="H293" s="413" t="n">
        <v>8000</v>
      </c>
      <c r="I293" s="412" t="inlineStr">
        <is>
          <t>B2B</t>
        </is>
      </c>
    </row>
    <row r="294" ht="12" customHeight="1" s="253">
      <c r="A294" s="414" t="n">
        <v>45566</v>
      </c>
      <c r="B294" s="415" t="n">
        <v>45595</v>
      </c>
      <c r="C294" s="412" t="inlineStr">
        <is>
          <t>INV-000012</t>
        </is>
      </c>
      <c r="D294" s="412" t="inlineStr">
        <is>
          <t>Closed</t>
        </is>
      </c>
      <c r="E294" s="412" t="inlineStr">
        <is>
          <t>B2C</t>
        </is>
      </c>
      <c r="F294" s="413" t="n">
        <v>2392</v>
      </c>
      <c r="G294" s="413" t="n">
        <v>0</v>
      </c>
      <c r="H294" s="413" t="n">
        <v>2392</v>
      </c>
      <c r="I294" s="412" t="inlineStr">
        <is>
          <t>B2C</t>
        </is>
      </c>
    </row>
    <row r="295" ht="12" customHeight="1" s="253">
      <c r="A295" s="414" t="n">
        <v>45566</v>
      </c>
      <c r="B295" s="415" t="n">
        <v>45595</v>
      </c>
      <c r="C295" s="412" t="inlineStr">
        <is>
          <t>INV-000013</t>
        </is>
      </c>
      <c r="D295" s="412" t="inlineStr">
        <is>
          <t>Closed</t>
        </is>
      </c>
      <c r="E295" s="412" t="inlineStr">
        <is>
          <t>B2C</t>
        </is>
      </c>
      <c r="F295" s="413" t="n">
        <v>9267</v>
      </c>
      <c r="G295" s="413" t="n">
        <v>0</v>
      </c>
      <c r="H295" s="413" t="n">
        <v>9267</v>
      </c>
      <c r="I295" s="412" t="inlineStr">
        <is>
          <t>B2C</t>
        </is>
      </c>
    </row>
    <row r="296" ht="12" customHeight="1" s="253">
      <c r="A296" s="414" t="n">
        <v>45566</v>
      </c>
      <c r="B296" s="415" t="n">
        <v>45595</v>
      </c>
      <c r="C296" s="412" t="inlineStr">
        <is>
          <t>INV-000014</t>
        </is>
      </c>
      <c r="D296" s="412" t="inlineStr">
        <is>
          <t>Closed</t>
        </is>
      </c>
      <c r="E296" s="412" t="inlineStr">
        <is>
          <t>Solaris Legal</t>
        </is>
      </c>
      <c r="F296" s="413" t="n">
        <v>3999</v>
      </c>
      <c r="G296" s="413" t="n">
        <v>0</v>
      </c>
      <c r="H296" s="413" t="n">
        <v>3999</v>
      </c>
      <c r="I296" s="412" t="inlineStr">
        <is>
          <t>B2B</t>
        </is>
      </c>
    </row>
    <row r="297" ht="12" customHeight="1" s="253">
      <c r="A297" s="414" t="n">
        <v>45597</v>
      </c>
      <c r="B297" s="415" t="n">
        <v>45603</v>
      </c>
      <c r="C297" s="412" t="inlineStr">
        <is>
          <t>INV-000015</t>
        </is>
      </c>
      <c r="D297" s="412" t="inlineStr">
        <is>
          <t>Closed</t>
        </is>
      </c>
      <c r="E297" s="412" t="inlineStr">
        <is>
          <t>B2C</t>
        </is>
      </c>
      <c r="F297" s="413" t="n">
        <v>796</v>
      </c>
      <c r="G297" s="413" t="n">
        <v>0</v>
      </c>
      <c r="H297" s="413" t="n">
        <v>796</v>
      </c>
      <c r="I297" s="412" t="inlineStr">
        <is>
          <t>B2C</t>
        </is>
      </c>
    </row>
    <row r="298" ht="12" customHeight="1" s="253">
      <c r="A298" s="414" t="n">
        <v>45597</v>
      </c>
      <c r="B298" s="415" t="n">
        <v>45603</v>
      </c>
      <c r="C298" s="412" t="inlineStr">
        <is>
          <t>INV-000016</t>
        </is>
      </c>
      <c r="D298" s="412" t="inlineStr">
        <is>
          <t>Closed</t>
        </is>
      </c>
      <c r="E298" s="412" t="inlineStr">
        <is>
          <t>Kanungo &amp; Co.</t>
        </is>
      </c>
      <c r="F298" s="413" t="n">
        <v>3999</v>
      </c>
      <c r="G298" s="413" t="n">
        <v>0</v>
      </c>
      <c r="H298" s="413" t="n">
        <v>3999</v>
      </c>
      <c r="I298" s="412" t="inlineStr">
        <is>
          <t>B2B</t>
        </is>
      </c>
    </row>
    <row r="299" ht="12" customHeight="1" s="253">
      <c r="A299" s="414" t="n">
        <v>45597</v>
      </c>
      <c r="B299" s="415" t="n">
        <v>45605</v>
      </c>
      <c r="C299" s="412" t="inlineStr">
        <is>
          <t>INV-000017</t>
        </is>
      </c>
      <c r="D299" s="412" t="inlineStr">
        <is>
          <t>Closed</t>
        </is>
      </c>
      <c r="E299" s="412" t="inlineStr">
        <is>
          <t>B2C</t>
        </is>
      </c>
      <c r="F299" s="413" t="n">
        <v>9069</v>
      </c>
      <c r="G299" s="413" t="n">
        <v>0</v>
      </c>
      <c r="H299" s="413" t="n">
        <v>9069</v>
      </c>
      <c r="I299" s="412" t="inlineStr">
        <is>
          <t>B2C</t>
        </is>
      </c>
    </row>
    <row r="300" ht="12" customHeight="1" s="253">
      <c r="A300" s="414" t="n">
        <v>45597</v>
      </c>
      <c r="B300" s="415" t="n">
        <v>45605</v>
      </c>
      <c r="C300" s="412" t="inlineStr">
        <is>
          <t>INV-000018</t>
        </is>
      </c>
      <c r="D300" s="412" t="inlineStr">
        <is>
          <t>Closed</t>
        </is>
      </c>
      <c r="E300" s="412" t="inlineStr">
        <is>
          <t>Ratan Kumar Singh</t>
        </is>
      </c>
      <c r="F300" s="413" t="n">
        <v>120000</v>
      </c>
      <c r="G300" s="413" t="n">
        <v>0</v>
      </c>
      <c r="H300" s="413" t="n">
        <v>120000</v>
      </c>
      <c r="I300" s="412" t="inlineStr">
        <is>
          <t>B2B</t>
        </is>
      </c>
    </row>
    <row r="301" ht="12" customHeight="1" s="253">
      <c r="A301" s="414" t="n">
        <v>45597</v>
      </c>
      <c r="B301" s="415" t="n">
        <v>45615</v>
      </c>
      <c r="C301" s="412" t="inlineStr">
        <is>
          <t>INV-000019</t>
        </is>
      </c>
      <c r="D301" s="412" t="inlineStr">
        <is>
          <t>Closed</t>
        </is>
      </c>
      <c r="E301" s="412" t="inlineStr">
        <is>
          <t>Talha Abdul Rahman</t>
        </is>
      </c>
      <c r="F301" s="413" t="n">
        <v>4999</v>
      </c>
      <c r="G301" s="413" t="n">
        <v>0</v>
      </c>
      <c r="H301" s="413" t="n">
        <v>4999</v>
      </c>
      <c r="I301" s="412" t="inlineStr">
        <is>
          <t>B2B</t>
        </is>
      </c>
    </row>
    <row r="302" ht="12" customHeight="1" s="253">
      <c r="A302" s="414" t="n">
        <v>45597</v>
      </c>
      <c r="B302" s="415" t="n">
        <v>45617</v>
      </c>
      <c r="C302" s="412" t="inlineStr">
        <is>
          <t>INV-000020</t>
        </is>
      </c>
      <c r="D302" s="412" t="inlineStr">
        <is>
          <t>Closed</t>
        </is>
      </c>
      <c r="E302" s="412" t="inlineStr">
        <is>
          <t>B2C</t>
        </is>
      </c>
      <c r="F302" s="413" t="n">
        <v>1394</v>
      </c>
      <c r="G302" s="413" t="n">
        <v>0</v>
      </c>
      <c r="H302" s="413" t="n">
        <v>1394</v>
      </c>
      <c r="I302" s="412" t="inlineStr">
        <is>
          <t>B2C</t>
        </is>
      </c>
    </row>
    <row r="303" ht="12" customHeight="1" s="253">
      <c r="A303" s="414" t="n">
        <v>45597</v>
      </c>
      <c r="B303" s="415" t="n">
        <v>45617</v>
      </c>
      <c r="C303" s="412" t="inlineStr">
        <is>
          <t>INV-000021</t>
        </is>
      </c>
      <c r="D303" s="412" t="inlineStr">
        <is>
          <t>Closed</t>
        </is>
      </c>
      <c r="E303" s="412" t="inlineStr">
        <is>
          <t>Chambers of Pujari</t>
        </is>
      </c>
      <c r="F303" s="413" t="n">
        <v>15000</v>
      </c>
      <c r="G303" s="413" t="n">
        <v>0</v>
      </c>
      <c r="H303" s="413" t="n">
        <v>15000</v>
      </c>
      <c r="I303" s="412" t="inlineStr">
        <is>
          <t>B2B</t>
        </is>
      </c>
    </row>
    <row r="304" ht="12" customHeight="1" s="253">
      <c r="A304" s="414" t="n">
        <v>45597</v>
      </c>
      <c r="B304" s="415" t="n">
        <v>45618</v>
      </c>
      <c r="C304" s="412" t="inlineStr">
        <is>
          <t>INV-000022</t>
        </is>
      </c>
      <c r="D304" s="412" t="inlineStr">
        <is>
          <t>Closed</t>
        </is>
      </c>
      <c r="E304" s="412" t="inlineStr">
        <is>
          <t>Manish kelker</t>
        </is>
      </c>
      <c r="F304" s="413" t="n">
        <v>3999</v>
      </c>
      <c r="G304" s="413" t="n">
        <v>0</v>
      </c>
      <c r="H304" s="413" t="n">
        <v>3999</v>
      </c>
      <c r="I304" s="412" t="inlineStr">
        <is>
          <t>B2B</t>
        </is>
      </c>
    </row>
    <row r="305" ht="12" customHeight="1" s="253">
      <c r="A305" s="414" t="n">
        <v>45597</v>
      </c>
      <c r="B305" s="415" t="n">
        <v>45624</v>
      </c>
      <c r="C305" s="412" t="inlineStr">
        <is>
          <t>INV-000023</t>
        </is>
      </c>
      <c r="D305" s="412" t="inlineStr">
        <is>
          <t>Closed</t>
        </is>
      </c>
      <c r="E305" s="412" t="inlineStr">
        <is>
          <t>B2C</t>
        </is>
      </c>
      <c r="F305" s="413" t="n">
        <v>7374</v>
      </c>
      <c r="G305" s="413" t="n">
        <v>0</v>
      </c>
      <c r="H305" s="413" t="n">
        <v>7374</v>
      </c>
      <c r="I305" s="412" t="inlineStr">
        <is>
          <t>B2C</t>
        </is>
      </c>
    </row>
    <row r="306" ht="12" customHeight="1" s="253">
      <c r="A306" s="414" t="n">
        <v>45597</v>
      </c>
      <c r="B306" s="415" t="n">
        <v>45624</v>
      </c>
      <c r="C306" s="412" t="inlineStr">
        <is>
          <t>INV-000024</t>
        </is>
      </c>
      <c r="D306" s="412" t="inlineStr">
        <is>
          <t>Closed</t>
        </is>
      </c>
      <c r="E306" s="412" t="inlineStr">
        <is>
          <t>ANG Partners</t>
        </is>
      </c>
      <c r="F306" s="413" t="n">
        <v>2499</v>
      </c>
      <c r="G306" s="413" t="n">
        <v>0</v>
      </c>
      <c r="H306" s="413" t="n">
        <v>2499</v>
      </c>
      <c r="I306" s="412" t="inlineStr">
        <is>
          <t>B2B</t>
        </is>
      </c>
    </row>
    <row r="307" ht="12" customHeight="1" s="253">
      <c r="A307" s="414" t="n">
        <v>45597</v>
      </c>
      <c r="B307" s="415" t="n">
        <v>45625</v>
      </c>
      <c r="C307" s="412" t="inlineStr">
        <is>
          <t>INV-000025</t>
        </is>
      </c>
      <c r="D307" s="412" t="inlineStr">
        <is>
          <t>Closed</t>
        </is>
      </c>
      <c r="E307" s="412" t="inlineStr">
        <is>
          <t>SRCO Legal / Salvador Raghav &amp; Co.</t>
        </is>
      </c>
      <c r="F307" s="413" t="n">
        <v>8000</v>
      </c>
      <c r="G307" s="413" t="n">
        <v>0</v>
      </c>
      <c r="H307" s="413" t="n">
        <v>8000</v>
      </c>
      <c r="I307" s="412" t="inlineStr">
        <is>
          <t>B2B</t>
        </is>
      </c>
    </row>
    <row r="308" ht="12" customHeight="1" s="253">
      <c r="A308" s="414" t="n">
        <v>45597</v>
      </c>
      <c r="B308" s="415" t="n">
        <v>45626</v>
      </c>
      <c r="C308" s="412" t="inlineStr">
        <is>
          <t>INV-000026</t>
        </is>
      </c>
      <c r="D308" s="412" t="inlineStr">
        <is>
          <t>Closed</t>
        </is>
      </c>
      <c r="E308" s="412" t="inlineStr">
        <is>
          <t>B2C</t>
        </is>
      </c>
      <c r="F308" s="413" t="n">
        <v>2293</v>
      </c>
      <c r="G308" s="413" t="n">
        <v>0</v>
      </c>
      <c r="H308" s="413" t="n">
        <v>2293</v>
      </c>
      <c r="I308" s="412" t="inlineStr">
        <is>
          <t>B2C</t>
        </is>
      </c>
    </row>
    <row r="309" ht="12" customHeight="1" s="253">
      <c r="A309" s="414" t="n">
        <v>45809</v>
      </c>
      <c r="B309" s="415" t="n">
        <v>45809</v>
      </c>
      <c r="C309" s="415" t="inlineStr">
        <is>
          <t>INV-25-26-000161</t>
        </is>
      </c>
      <c r="D309" s="415" t="inlineStr">
        <is>
          <t>Overdue</t>
        </is>
      </c>
      <c r="E309" s="415" t="inlineStr">
        <is>
          <t>LEGALOGIC CONSULTING LLP</t>
        </is>
      </c>
      <c r="F309" s="413" t="n">
        <v>38000</v>
      </c>
      <c r="G309" s="413" t="n">
        <v>6840</v>
      </c>
      <c r="H309" s="413">
        <f>F309+G309</f>
        <v/>
      </c>
      <c r="I309" s="412" t="inlineStr">
        <is>
          <t>B2B</t>
        </is>
      </c>
      <c r="J309" s="415">
        <f>VLOOKUP(C309,'FY 25-26-Accrual'!$D$192:$D$233,1,0)</f>
        <v/>
      </c>
    </row>
    <row r="310" ht="12" customHeight="1" s="253">
      <c r="A310" s="414" t="n">
        <v>45809</v>
      </c>
      <c r="B310" s="415" t="n">
        <v>45810</v>
      </c>
      <c r="C310" s="415" t="inlineStr">
        <is>
          <t>INV-25-26-000162</t>
        </is>
      </c>
      <c r="D310" s="415" t="inlineStr">
        <is>
          <t>Closed</t>
        </is>
      </c>
      <c r="E310" s="415" t="inlineStr">
        <is>
          <t>B2C</t>
        </is>
      </c>
      <c r="F310" s="413" t="n">
        <v>6772.88</v>
      </c>
      <c r="G310" s="413" t="n">
        <v>1219.1184</v>
      </c>
      <c r="H310" s="413">
        <f>F310+G310</f>
        <v/>
      </c>
      <c r="I310" s="412" t="inlineStr">
        <is>
          <t>B2C</t>
        </is>
      </c>
      <c r="J310" s="415">
        <f>VLOOKUP(C310,'FY 25-26-Accrual'!$D$192:$D$233,1,0)</f>
        <v/>
      </c>
    </row>
    <row r="311" ht="12" customHeight="1" s="253">
      <c r="A311" s="414" t="n">
        <v>45809</v>
      </c>
      <c r="B311" s="415" t="n">
        <v>45810</v>
      </c>
      <c r="C311" s="415" t="inlineStr">
        <is>
          <t>INV-25-26-000163</t>
        </is>
      </c>
      <c r="D311" s="415" t="inlineStr">
        <is>
          <t>Closed</t>
        </is>
      </c>
      <c r="E311" s="415" t="inlineStr">
        <is>
          <t>Poovayya &amp; CO</t>
        </is>
      </c>
      <c r="F311" s="413" t="n">
        <v>20000</v>
      </c>
      <c r="G311" s="413" t="n">
        <v>3600</v>
      </c>
      <c r="H311" s="413">
        <f>F311+G311</f>
        <v/>
      </c>
      <c r="I311" s="412" t="inlineStr">
        <is>
          <t>B2B</t>
        </is>
      </c>
      <c r="J311" s="415">
        <f>VLOOKUP(C311,'FY 25-26-Accrual'!$D$192:$D$233,1,0)</f>
        <v/>
      </c>
    </row>
    <row r="312" ht="12" customHeight="1" s="253">
      <c r="A312" s="414" t="n">
        <v>45809</v>
      </c>
      <c r="B312" s="415" t="n">
        <v>45810</v>
      </c>
      <c r="C312" s="415" t="inlineStr">
        <is>
          <t>INV-25-26-000164</t>
        </is>
      </c>
      <c r="D312" s="415" t="inlineStr">
        <is>
          <t>Closed</t>
        </is>
      </c>
      <c r="E312" s="415" t="inlineStr">
        <is>
          <t>Sajan Poovayya</t>
        </is>
      </c>
      <c r="F312" s="413" t="n">
        <v>20000</v>
      </c>
      <c r="G312" s="413" t="n">
        <v>3600</v>
      </c>
      <c r="H312" s="413">
        <f>F312+G312</f>
        <v/>
      </c>
      <c r="I312" s="412" t="inlineStr">
        <is>
          <t>B2B</t>
        </is>
      </c>
      <c r="J312" s="415">
        <f>VLOOKUP(C312,'FY 25-26-Accrual'!$D$192:$D$233,1,0)</f>
        <v/>
      </c>
    </row>
    <row r="313" ht="12" customHeight="1" s="253">
      <c r="A313" s="414" t="n">
        <v>45809</v>
      </c>
      <c r="B313" s="415" t="n">
        <v>45811</v>
      </c>
      <c r="C313" s="415" t="inlineStr">
        <is>
          <t>INV-25-26-000165</t>
        </is>
      </c>
      <c r="D313" s="415" t="inlineStr">
        <is>
          <t>Overdue</t>
        </is>
      </c>
      <c r="E313" s="415" t="inlineStr">
        <is>
          <t>Shrey Lodha</t>
        </is>
      </c>
      <c r="F313" s="413" t="n">
        <v>10000</v>
      </c>
      <c r="G313" s="413" t="n">
        <v>1800</v>
      </c>
      <c r="H313" s="413">
        <f>F313+G313</f>
        <v/>
      </c>
      <c r="I313" s="412" t="inlineStr">
        <is>
          <t>B2B</t>
        </is>
      </c>
      <c r="J313" s="415">
        <f>'FY 25-26-Accrual'!$D$234</f>
        <v/>
      </c>
    </row>
    <row r="314" ht="12" customHeight="1" s="253">
      <c r="A314" s="414" t="n">
        <v>45809</v>
      </c>
      <c r="B314" s="415" t="n">
        <v>45812</v>
      </c>
      <c r="C314" s="415" t="inlineStr">
        <is>
          <t>INV-25-26-000166</t>
        </is>
      </c>
      <c r="D314" s="415" t="inlineStr">
        <is>
          <t>Closed</t>
        </is>
      </c>
      <c r="E314" s="415" t="inlineStr">
        <is>
          <t>Gupta Law Associates</t>
        </is>
      </c>
      <c r="F314" s="413" t="n">
        <v>15000</v>
      </c>
      <c r="G314" s="413" t="n">
        <v>2700</v>
      </c>
      <c r="H314" s="413">
        <f>F314+G314</f>
        <v/>
      </c>
      <c r="I314" s="412" t="inlineStr">
        <is>
          <t>B2B</t>
        </is>
      </c>
      <c r="J314" s="415">
        <f>VLOOKUP(C314,'FY 25-26-Accrual'!$D$192:$D$233,1,0)</f>
        <v/>
      </c>
    </row>
    <row r="315" ht="12" customHeight="1" s="253">
      <c r="A315" s="414" t="n">
        <v>45809</v>
      </c>
      <c r="B315" s="415" t="n">
        <v>45812</v>
      </c>
      <c r="C315" s="415" t="inlineStr">
        <is>
          <t>INV-25-26-000167</t>
        </is>
      </c>
      <c r="D315" s="415" t="inlineStr">
        <is>
          <t>Overdue</t>
        </is>
      </c>
      <c r="E315" s="415" t="inlineStr">
        <is>
          <t>Vardharma Chambers</t>
        </is>
      </c>
      <c r="F315" s="413" t="n">
        <v>7000</v>
      </c>
      <c r="G315" s="413" t="n">
        <v>1260</v>
      </c>
      <c r="H315" s="413">
        <f>F315+G315</f>
        <v/>
      </c>
      <c r="I315" s="412" t="inlineStr">
        <is>
          <t>B2B</t>
        </is>
      </c>
      <c r="J315" s="415">
        <f>VLOOKUP(C315,'FY 25-26-Accrual'!$D$192:$D$233,1,0)</f>
        <v/>
      </c>
    </row>
    <row r="316" ht="12" customHeight="1" s="253">
      <c r="A316" s="414" t="n">
        <v>45809</v>
      </c>
      <c r="B316" s="415" t="n">
        <v>45812</v>
      </c>
      <c r="C316" s="415" t="inlineStr">
        <is>
          <t>INV-25-26-000168</t>
        </is>
      </c>
      <c r="D316" s="415" t="inlineStr">
        <is>
          <t>Closed</t>
        </is>
      </c>
      <c r="E316" s="415" t="inlineStr">
        <is>
          <t>Birendra Saraf</t>
        </is>
      </c>
      <c r="F316" s="413" t="n">
        <v>216000</v>
      </c>
      <c r="G316" s="413" t="n">
        <v>38880</v>
      </c>
      <c r="H316" s="413">
        <f>F316+G316</f>
        <v/>
      </c>
      <c r="I316" s="412" t="inlineStr">
        <is>
          <t>B2B</t>
        </is>
      </c>
      <c r="J316" s="415">
        <f>VLOOKUP(C316,'FY 25-26-Accrual'!$D$192:$D$233,1,0)</f>
        <v/>
      </c>
    </row>
    <row r="317" ht="12" customHeight="1" s="253">
      <c r="A317" s="414" t="n">
        <v>45809</v>
      </c>
      <c r="B317" s="415" t="n">
        <v>45812</v>
      </c>
      <c r="C317" s="415" t="inlineStr">
        <is>
          <t>INV-25-26-000169</t>
        </is>
      </c>
      <c r="D317" s="415" t="inlineStr">
        <is>
          <t>Closed</t>
        </is>
      </c>
      <c r="E317" s="415" t="inlineStr">
        <is>
          <t>IRIS LEGAL</t>
        </is>
      </c>
      <c r="F317" s="413" t="n">
        <v>8474.58</v>
      </c>
      <c r="G317" s="413" t="n">
        <v>1525.4244</v>
      </c>
      <c r="H317" s="413">
        <f>F317+G317</f>
        <v/>
      </c>
      <c r="I317" s="412" t="inlineStr">
        <is>
          <t>B2B</t>
        </is>
      </c>
      <c r="J317" s="415">
        <f>VLOOKUP(C317,'FY 25-26-Accrual'!$D$192:$D$233,1,0)</f>
        <v/>
      </c>
    </row>
    <row r="318" ht="12" customHeight="1" s="253">
      <c r="A318" s="414" t="n">
        <v>45809</v>
      </c>
      <c r="B318" s="415" t="n">
        <v>45813</v>
      </c>
      <c r="C318" s="415" t="inlineStr">
        <is>
          <t>INV-25-26-000170</t>
        </is>
      </c>
      <c r="D318" s="415" t="inlineStr">
        <is>
          <t>Closed</t>
        </is>
      </c>
      <c r="E318" s="415" t="inlineStr">
        <is>
          <t>B2C</t>
        </is>
      </c>
      <c r="F318" s="413" t="n">
        <v>17781.4</v>
      </c>
      <c r="G318" s="413" t="n">
        <v>3200.652</v>
      </c>
      <c r="H318" s="413">
        <f>F318+G318</f>
        <v/>
      </c>
      <c r="I318" s="412" t="inlineStr">
        <is>
          <t>B2C</t>
        </is>
      </c>
      <c r="J318" s="415">
        <f>VLOOKUP(C318,'FY 25-26-Accrual'!$D$192:$D$233,1,0)</f>
        <v/>
      </c>
    </row>
    <row r="319" ht="12" customHeight="1" s="253">
      <c r="A319" s="414" t="n">
        <v>45809</v>
      </c>
      <c r="B319" s="415" t="n">
        <v>45814</v>
      </c>
      <c r="C319" s="415" t="inlineStr">
        <is>
          <t>INV-25-26-000171</t>
        </is>
      </c>
      <c r="D319" s="415" t="inlineStr">
        <is>
          <t>Closed</t>
        </is>
      </c>
      <c r="E319" s="415" t="inlineStr">
        <is>
          <t>Chambers of Ninad Laud</t>
        </is>
      </c>
      <c r="F319" s="413" t="n">
        <v>10000</v>
      </c>
      <c r="G319" s="413" t="n">
        <v>1800</v>
      </c>
      <c r="H319" s="413">
        <f>F319+G319</f>
        <v/>
      </c>
      <c r="I319" s="412" t="inlineStr">
        <is>
          <t>B2B</t>
        </is>
      </c>
      <c r="J319" s="415">
        <f>'FY 25-26-Accrual'!$D$85</f>
        <v/>
      </c>
    </row>
    <row r="320" ht="12" customHeight="1" s="253">
      <c r="A320" s="414" t="n">
        <v>45809</v>
      </c>
      <c r="B320" s="415" t="n">
        <v>45814</v>
      </c>
      <c r="C320" s="415" t="inlineStr">
        <is>
          <t>INV-25-26-000172</t>
        </is>
      </c>
      <c r="D320" s="415" t="inlineStr">
        <is>
          <t>Closed</t>
        </is>
      </c>
      <c r="E320" s="415" t="inlineStr">
        <is>
          <t>JYOT-A Public Trust</t>
        </is>
      </c>
      <c r="F320" s="413" t="n">
        <v>63000</v>
      </c>
      <c r="G320" s="413" t="n">
        <v>11340</v>
      </c>
      <c r="H320" s="413">
        <f>F320+G320</f>
        <v/>
      </c>
      <c r="I320" s="412" t="inlineStr">
        <is>
          <t>B2B</t>
        </is>
      </c>
      <c r="J320" s="415">
        <f>VLOOKUP(C320,'FY 25-26-Accrual'!$D$192:$D$233,1,0)</f>
        <v/>
      </c>
    </row>
    <row r="321" ht="12" customHeight="1" s="253">
      <c r="A321" s="414" t="n">
        <v>45809</v>
      </c>
      <c r="B321" s="415" t="n">
        <v>45814</v>
      </c>
      <c r="C321" s="415" t="inlineStr">
        <is>
          <t>INV-25-26-000173</t>
        </is>
      </c>
      <c r="D321" s="415" t="inlineStr">
        <is>
          <t>Closed</t>
        </is>
      </c>
      <c r="E321" s="415" t="inlineStr">
        <is>
          <t>Yakshay Chheda</t>
        </is>
      </c>
      <c r="F321" s="413" t="n">
        <v>8474.58</v>
      </c>
      <c r="G321" s="413" t="n">
        <v>1525.4244</v>
      </c>
      <c r="H321" s="413">
        <f>F321+G321</f>
        <v/>
      </c>
      <c r="I321" s="412" t="inlineStr">
        <is>
          <t>B2B</t>
        </is>
      </c>
      <c r="J321" s="415">
        <f>VLOOKUP(C321,'FY 25-26-Accrual'!$D$192:$D$233,1,0)</f>
        <v/>
      </c>
    </row>
    <row r="322" ht="12" customHeight="1" s="253">
      <c r="A322" s="414" t="n">
        <v>45809</v>
      </c>
      <c r="B322" s="415" t="n">
        <v>45814</v>
      </c>
      <c r="C322" s="415" t="inlineStr">
        <is>
          <t>INV-25-26-000174</t>
        </is>
      </c>
      <c r="D322" s="415" t="inlineStr">
        <is>
          <t>Closed</t>
        </is>
      </c>
      <c r="E322" s="415" t="inlineStr">
        <is>
          <t>Tipping Mr Pink Private Limited</t>
        </is>
      </c>
      <c r="F322" s="413" t="n">
        <v>7000</v>
      </c>
      <c r="G322" s="413" t="n">
        <v>1260</v>
      </c>
      <c r="H322" s="413">
        <f>F322+G322</f>
        <v/>
      </c>
      <c r="I322" s="412" t="inlineStr">
        <is>
          <t>B2B</t>
        </is>
      </c>
      <c r="J322" s="415">
        <f>VLOOKUP(C322,'FY 25-26-Accrual'!$D$192:$D$233,1,0)</f>
        <v/>
      </c>
    </row>
    <row r="323" ht="12" customHeight="1" s="253">
      <c r="A323" s="414" t="n">
        <v>45809</v>
      </c>
      <c r="B323" s="415" t="n">
        <v>45814</v>
      </c>
      <c r="C323" s="415" t="inlineStr">
        <is>
          <t>INV-25-26-000175</t>
        </is>
      </c>
      <c r="D323" s="415" t="inlineStr">
        <is>
          <t>Closed</t>
        </is>
      </c>
      <c r="E323" s="415" t="inlineStr">
        <is>
          <t>KUAJ LEGAL</t>
        </is>
      </c>
      <c r="F323" s="413" t="n">
        <v>80000</v>
      </c>
      <c r="G323" s="413" t="n">
        <v>14400</v>
      </c>
      <c r="H323" s="413">
        <f>F323+G323</f>
        <v/>
      </c>
      <c r="I323" s="412" t="inlineStr">
        <is>
          <t>B2B</t>
        </is>
      </c>
      <c r="J323" s="415">
        <f>VLOOKUP(C323,'FY 25-26-Accrual'!$D$192:$D$233,1,0)</f>
        <v/>
      </c>
    </row>
    <row r="324" ht="12" customHeight="1" s="253">
      <c r="A324" s="414" t="n">
        <v>45809</v>
      </c>
      <c r="B324" s="415" t="n">
        <v>45814</v>
      </c>
      <c r="C324" s="415" t="inlineStr">
        <is>
          <t>INV-25-26-000176</t>
        </is>
      </c>
      <c r="D324" s="415" t="inlineStr">
        <is>
          <t>Closed</t>
        </is>
      </c>
      <c r="E324" s="415" t="inlineStr">
        <is>
          <t>AJNM LAW INDIA LLP</t>
        </is>
      </c>
      <c r="F324" s="413" t="n">
        <v>20000</v>
      </c>
      <c r="G324" s="413" t="n">
        <v>3600</v>
      </c>
      <c r="H324" s="413">
        <f>F324+G324</f>
        <v/>
      </c>
      <c r="I324" s="412" t="inlineStr">
        <is>
          <t>B2B</t>
        </is>
      </c>
      <c r="J324" s="415">
        <f>VLOOKUP(C324,'FY 25-26-Accrual'!$D$192:$D$233,1,0)</f>
        <v/>
      </c>
    </row>
    <row r="325" ht="12" customHeight="1" s="253">
      <c r="A325" s="414" t="n">
        <v>45809</v>
      </c>
      <c r="B325" s="415" t="n">
        <v>45815</v>
      </c>
      <c r="C325" s="415" t="inlineStr">
        <is>
          <t>INV-25-26-000177</t>
        </is>
      </c>
      <c r="D325" s="415" t="inlineStr">
        <is>
          <t>Closed</t>
        </is>
      </c>
      <c r="E325" s="415" t="inlineStr">
        <is>
          <t>Advocate Rohit Jaiswal</t>
        </is>
      </c>
      <c r="F325" s="413" t="n">
        <v>5000</v>
      </c>
      <c r="G325" s="413" t="n">
        <v>900</v>
      </c>
      <c r="H325" s="413">
        <f>F325+G325</f>
        <v/>
      </c>
      <c r="I325" s="412" t="inlineStr">
        <is>
          <t>B2B</t>
        </is>
      </c>
      <c r="J325" s="415">
        <f>'FY 25-26-Accrual'!$D$11</f>
        <v/>
      </c>
    </row>
    <row r="326" ht="12" customHeight="1" s="253">
      <c r="A326" s="414" t="n">
        <v>45809</v>
      </c>
      <c r="B326" s="415" t="n">
        <v>45815</v>
      </c>
      <c r="C326" s="415" t="inlineStr">
        <is>
          <t>INV-25-26-000178</t>
        </is>
      </c>
      <c r="D326" s="415" t="inlineStr">
        <is>
          <t>Overdue</t>
        </is>
      </c>
      <c r="E326" s="415" t="inlineStr">
        <is>
          <t>Darius J. Khambata</t>
        </is>
      </c>
      <c r="F326" s="413" t="n">
        <v>16949.15</v>
      </c>
      <c r="G326" s="413" t="n">
        <v>3050.847</v>
      </c>
      <c r="H326" s="413">
        <f>F326+G326</f>
        <v/>
      </c>
      <c r="I326" s="412" t="inlineStr">
        <is>
          <t>B2B</t>
        </is>
      </c>
      <c r="J326" s="415">
        <f>'FY 25-26-Accrual'!$D$22</f>
        <v/>
      </c>
    </row>
    <row r="327" ht="12" customHeight="1" s="253">
      <c r="A327" s="414" t="n">
        <v>45809</v>
      </c>
      <c r="B327" s="415" t="n">
        <v>45815</v>
      </c>
      <c r="C327" s="415" t="inlineStr">
        <is>
          <t>INV-25-26-000179</t>
        </is>
      </c>
      <c r="D327" s="415" t="inlineStr">
        <is>
          <t>Overdue</t>
        </is>
      </c>
      <c r="E327" s="415" t="inlineStr">
        <is>
          <t>Harshit Malik</t>
        </is>
      </c>
      <c r="F327" s="413" t="n">
        <v>10000</v>
      </c>
      <c r="G327" s="413" t="n">
        <v>1800</v>
      </c>
      <c r="H327" s="413">
        <f>F327+G327</f>
        <v/>
      </c>
      <c r="I327" s="412" t="inlineStr">
        <is>
          <t>B2B</t>
        </is>
      </c>
      <c r="J327" s="415">
        <f>'FY 25-26-Accrual'!$D$18</f>
        <v/>
      </c>
    </row>
    <row r="328" ht="12" customHeight="1" s="253">
      <c r="A328" s="414" t="n">
        <v>45809</v>
      </c>
      <c r="B328" s="415" t="n">
        <v>45817</v>
      </c>
      <c r="C328" s="415" t="inlineStr">
        <is>
          <t>INV-25-26-000180</t>
        </is>
      </c>
      <c r="D328" s="415" t="inlineStr">
        <is>
          <t>Closed</t>
        </is>
      </c>
      <c r="E328" s="415" t="inlineStr">
        <is>
          <t>Manish kelker</t>
        </is>
      </c>
      <c r="F328" s="413" t="n">
        <v>3388.98</v>
      </c>
      <c r="G328" s="413" t="n">
        <v>610.0164</v>
      </c>
      <c r="H328" s="413">
        <f>F328+G328</f>
        <v/>
      </c>
      <c r="I328" s="412" t="inlineStr">
        <is>
          <t>B2B</t>
        </is>
      </c>
      <c r="J328" s="415">
        <f>'FY 25-26-Accrual'!$D$76</f>
        <v/>
      </c>
    </row>
    <row r="329" ht="12" customHeight="1" s="253">
      <c r="A329" s="414" t="n">
        <v>45809</v>
      </c>
      <c r="B329" s="415" t="n">
        <v>45817</v>
      </c>
      <c r="C329" s="415" t="inlineStr">
        <is>
          <t>INV-25-26-000181</t>
        </is>
      </c>
      <c r="D329" s="415" t="inlineStr">
        <is>
          <t>Closed</t>
        </is>
      </c>
      <c r="E329" s="415" t="inlineStr">
        <is>
          <t>Agraa Legal</t>
        </is>
      </c>
      <c r="F329" s="413" t="n">
        <v>420000</v>
      </c>
      <c r="G329" s="413" t="n">
        <v>75600</v>
      </c>
      <c r="H329" s="413">
        <f>F329+G329</f>
        <v/>
      </c>
      <c r="I329" s="412" t="inlineStr">
        <is>
          <t>B2B</t>
        </is>
      </c>
      <c r="J329" s="415">
        <f>VLOOKUP(C329,'FY 25-26-Accrual'!$D$192:$D$233,1,0)</f>
        <v/>
      </c>
    </row>
    <row r="330" ht="12" customHeight="1" s="253">
      <c r="A330" s="414" t="n">
        <v>45809</v>
      </c>
      <c r="B330" s="415" t="n">
        <v>45817</v>
      </c>
      <c r="C330" s="415" t="inlineStr">
        <is>
          <t>INV-25-26-000182</t>
        </is>
      </c>
      <c r="D330" s="415" t="inlineStr">
        <is>
          <t>Overdue</t>
        </is>
      </c>
      <c r="E330" s="415" t="inlineStr">
        <is>
          <t>KINJAL CIVILCON LLP</t>
        </is>
      </c>
      <c r="F330" s="413" t="n">
        <v>15000</v>
      </c>
      <c r="G330" s="413" t="n">
        <v>2700</v>
      </c>
      <c r="H330" s="413">
        <f>F330+G330</f>
        <v/>
      </c>
      <c r="I330" s="412" t="inlineStr">
        <is>
          <t>B2B</t>
        </is>
      </c>
      <c r="J330" s="415">
        <f>VLOOKUP(C330,'FY 25-26-Accrual'!$D$192:$D$233,1,0)</f>
        <v/>
      </c>
    </row>
    <row r="331" ht="12" customHeight="1" s="253">
      <c r="A331" s="414" t="n">
        <v>45809</v>
      </c>
      <c r="B331" s="415" t="n">
        <v>45817</v>
      </c>
      <c r="C331" s="415" t="inlineStr">
        <is>
          <t>INV-25-26-000183</t>
        </is>
      </c>
      <c r="D331" s="415" t="inlineStr">
        <is>
          <t>Closed</t>
        </is>
      </c>
      <c r="E331" s="415" t="inlineStr">
        <is>
          <t>Abhimanyu Garg / Methodica Legal</t>
        </is>
      </c>
      <c r="F331" s="413" t="n">
        <v>31271.19</v>
      </c>
      <c r="G331" s="413" t="n">
        <v>5628.8142</v>
      </c>
      <c r="H331" s="413">
        <f>F331+G331</f>
        <v/>
      </c>
      <c r="I331" s="412" t="inlineStr">
        <is>
          <t>B2B</t>
        </is>
      </c>
      <c r="J331" s="415">
        <f>'FY 25-26-Accrual'!$D$161</f>
        <v/>
      </c>
    </row>
    <row r="332" ht="12" customHeight="1" s="253">
      <c r="A332" s="414" t="n">
        <v>45809</v>
      </c>
      <c r="B332" s="415" t="n">
        <v>45818</v>
      </c>
      <c r="C332" s="415" t="inlineStr">
        <is>
          <t>INV-25-26-000184</t>
        </is>
      </c>
      <c r="D332" s="415" t="inlineStr">
        <is>
          <t>Closed</t>
        </is>
      </c>
      <c r="E332" s="415" t="inlineStr">
        <is>
          <t>Swapna Sheshadri</t>
        </is>
      </c>
      <c r="F332" s="413" t="n">
        <v>10000</v>
      </c>
      <c r="G332" s="413" t="n">
        <v>1800</v>
      </c>
      <c r="H332" s="413">
        <f>F332+G332</f>
        <v/>
      </c>
      <c r="I332" s="412" t="inlineStr">
        <is>
          <t>B2B</t>
        </is>
      </c>
      <c r="J332" s="415">
        <f>'FY 25-26-Accrual'!$D$20</f>
        <v/>
      </c>
    </row>
    <row r="333" ht="12" customHeight="1" s="253">
      <c r="A333" s="414" t="n">
        <v>45809</v>
      </c>
      <c r="B333" s="415" t="n">
        <v>45818</v>
      </c>
      <c r="C333" s="415" t="inlineStr">
        <is>
          <t>INV-25-26-000185</t>
        </is>
      </c>
      <c r="D333" s="415" t="inlineStr">
        <is>
          <t>Closed</t>
        </is>
      </c>
      <c r="E333" s="415" t="inlineStr">
        <is>
          <t>SKR &amp; associates</t>
        </is>
      </c>
      <c r="F333" s="413" t="n">
        <v>8729</v>
      </c>
      <c r="G333" s="413" t="n">
        <v>1571.22</v>
      </c>
      <c r="H333" s="413">
        <f>F333+G333</f>
        <v/>
      </c>
      <c r="I333" s="412" t="inlineStr">
        <is>
          <t>B2B</t>
        </is>
      </c>
      <c r="J333" s="415">
        <f>'FY 25-26-Accrual'!$D$63</f>
        <v/>
      </c>
    </row>
    <row r="334" ht="12" customHeight="1" s="253">
      <c r="A334" s="414" t="n">
        <v>45809</v>
      </c>
      <c r="B334" s="415" t="n">
        <v>45818</v>
      </c>
      <c r="C334" s="415" t="inlineStr">
        <is>
          <t>INV-25-26-000186</t>
        </is>
      </c>
      <c r="D334" s="415" t="inlineStr">
        <is>
          <t>Closed</t>
        </is>
      </c>
      <c r="E334" s="415" t="inlineStr">
        <is>
          <t>Shobit Phutela</t>
        </is>
      </c>
      <c r="F334" s="413" t="n">
        <v>108000</v>
      </c>
      <c r="G334" s="413" t="n">
        <v>19440</v>
      </c>
      <c r="H334" s="413">
        <f>F334+G334</f>
        <v/>
      </c>
      <c r="I334" s="412" t="inlineStr">
        <is>
          <t>B2B</t>
        </is>
      </c>
      <c r="J334" s="415">
        <f>VLOOKUP(C334,'FY 25-26-Accrual'!$D$192:$D$233,1,0)</f>
        <v/>
      </c>
    </row>
    <row r="335" ht="12" customHeight="1" s="253">
      <c r="A335" s="414" t="n">
        <v>45809</v>
      </c>
      <c r="B335" s="415" t="n">
        <v>45818</v>
      </c>
      <c r="C335" s="415" t="inlineStr">
        <is>
          <t>INV-25-26-000187</t>
        </is>
      </c>
      <c r="D335" s="415" t="inlineStr">
        <is>
          <t>Overdue</t>
        </is>
      </c>
      <c r="E335" s="415" t="inlineStr">
        <is>
          <t>Narottam  Sharma</t>
        </is>
      </c>
      <c r="F335" s="413" t="n">
        <v>108000</v>
      </c>
      <c r="G335" s="413" t="n">
        <v>19440</v>
      </c>
      <c r="H335" s="413">
        <f>F335+G335</f>
        <v/>
      </c>
      <c r="I335" s="412" t="inlineStr">
        <is>
          <t>B2B</t>
        </is>
      </c>
      <c r="J335" s="415">
        <f>VLOOKUP(C335,'FY 25-26-Accrual'!$D$192:$D$233,1,0)</f>
        <v/>
      </c>
    </row>
    <row r="336" ht="12" customHeight="1" s="253">
      <c r="A336" s="414" t="n">
        <v>45809</v>
      </c>
      <c r="B336" s="415" t="n">
        <v>45818</v>
      </c>
      <c r="C336" s="415" t="inlineStr">
        <is>
          <t>INV-25-26-000188</t>
        </is>
      </c>
      <c r="D336" s="415" t="inlineStr">
        <is>
          <t>Closed</t>
        </is>
      </c>
      <c r="E336" s="415" t="inlineStr">
        <is>
          <t>Monalisa Kosaria</t>
        </is>
      </c>
      <c r="F336" s="413" t="n">
        <v>30000</v>
      </c>
      <c r="G336" s="413" t="n">
        <v>5400</v>
      </c>
      <c r="H336" s="413">
        <f>F336+G336</f>
        <v/>
      </c>
      <c r="I336" s="412" t="inlineStr">
        <is>
          <t>B2B</t>
        </is>
      </c>
      <c r="J336" s="415">
        <f>VLOOKUP(C336,'FY 25-26-Accrual'!$D$192:$D$233,1,0)</f>
        <v/>
      </c>
    </row>
    <row r="337" ht="12" customHeight="1" s="253">
      <c r="A337" s="414" t="n">
        <v>45809</v>
      </c>
      <c r="B337" s="415" t="n">
        <v>45819</v>
      </c>
      <c r="C337" s="415" t="inlineStr">
        <is>
          <t>INV-25-26-000189</t>
        </is>
      </c>
      <c r="D337" s="415" t="inlineStr">
        <is>
          <t>Closed</t>
        </is>
      </c>
      <c r="E337" s="415" t="inlineStr">
        <is>
          <t>Rahul Saboo, Advocate</t>
        </is>
      </c>
      <c r="F337" s="413" t="n">
        <v>8474.58</v>
      </c>
      <c r="G337" s="413" t="n">
        <v>1525.4244</v>
      </c>
      <c r="H337" s="413">
        <f>F337+G337</f>
        <v/>
      </c>
      <c r="I337" s="412" t="inlineStr">
        <is>
          <t>B2B</t>
        </is>
      </c>
      <c r="J337" s="415">
        <f>VLOOKUP(C337,'FY 25-26-Accrual'!$D$192:$D$233,1,0)</f>
        <v/>
      </c>
    </row>
    <row r="338" ht="12" customHeight="1" s="253">
      <c r="A338" s="414" t="n">
        <v>45809</v>
      </c>
      <c r="B338" s="415" t="n">
        <v>45819</v>
      </c>
      <c r="C338" s="415" t="inlineStr">
        <is>
          <t>INV-25-26-000190</t>
        </is>
      </c>
      <c r="D338" s="415" t="inlineStr">
        <is>
          <t>Overdue</t>
        </is>
      </c>
      <c r="E338" s="415" t="inlineStr">
        <is>
          <t>DSK Legal</t>
        </is>
      </c>
      <c r="F338" s="413" t="n">
        <v>50000</v>
      </c>
      <c r="G338" s="413" t="n">
        <v>9000</v>
      </c>
      <c r="H338" s="413">
        <f>F338+G338</f>
        <v/>
      </c>
      <c r="I338" s="412" t="inlineStr">
        <is>
          <t>B2B</t>
        </is>
      </c>
      <c r="J338" s="415">
        <f>VLOOKUP(C338,'FY 25-26-Accrual'!$D$192:$D$233,1,0)</f>
        <v/>
      </c>
    </row>
    <row r="339" ht="12" customHeight="1" s="253">
      <c r="A339" s="414" t="n">
        <v>45809</v>
      </c>
      <c r="B339" s="415" t="n">
        <v>45820</v>
      </c>
      <c r="C339" s="415" t="inlineStr">
        <is>
          <t>INV-25-26-000191</t>
        </is>
      </c>
      <c r="D339" s="415" t="inlineStr">
        <is>
          <t>Closed</t>
        </is>
      </c>
      <c r="E339" s="415" t="inlineStr">
        <is>
          <t>Diwan Law Associates</t>
        </is>
      </c>
      <c r="F339" s="413" t="n">
        <v>4237.29</v>
      </c>
      <c r="G339" s="413" t="n">
        <v>762.7122000000001</v>
      </c>
      <c r="H339" s="413">
        <f>F339+G339</f>
        <v/>
      </c>
      <c r="I339" s="412" t="inlineStr">
        <is>
          <t>B2B</t>
        </is>
      </c>
      <c r="J339" s="415">
        <f>'FY 25-26-Accrual'!$D$77</f>
        <v/>
      </c>
    </row>
    <row r="340" ht="12" customHeight="1" s="253">
      <c r="A340" s="414" t="n">
        <v>45809</v>
      </c>
      <c r="B340" s="415" t="n">
        <v>45820</v>
      </c>
      <c r="C340" s="415" t="inlineStr">
        <is>
          <t>INV-25-26-000192</t>
        </is>
      </c>
      <c r="D340" s="415" t="inlineStr">
        <is>
          <t>Closed</t>
        </is>
      </c>
      <c r="E340" s="415" t="inlineStr">
        <is>
          <t>RAJANI ASSOCIATES</t>
        </is>
      </c>
      <c r="F340" s="413" t="n">
        <v>21000</v>
      </c>
      <c r="G340" s="413" t="n">
        <v>3780</v>
      </c>
      <c r="H340" s="413">
        <f>F340+G340</f>
        <v/>
      </c>
      <c r="I340" s="412" t="inlineStr">
        <is>
          <t>B2B</t>
        </is>
      </c>
      <c r="J340" s="415">
        <f>VLOOKUP(C340,'FY 25-26-Accrual'!$D$192:$D$233,1,0)</f>
        <v/>
      </c>
    </row>
    <row r="341" ht="12" customHeight="1" s="253">
      <c r="A341" s="414" t="n">
        <v>45809</v>
      </c>
      <c r="B341" s="415" t="n">
        <v>45820</v>
      </c>
      <c r="C341" s="415" t="inlineStr">
        <is>
          <t>INV-25-26-000193</t>
        </is>
      </c>
      <c r="D341" s="415" t="inlineStr">
        <is>
          <t>Closed</t>
        </is>
      </c>
      <c r="E341" s="415" t="inlineStr">
        <is>
          <t>RAJANI ASSOCIATES</t>
        </is>
      </c>
      <c r="F341" s="413" t="n">
        <v>14000</v>
      </c>
      <c r="G341" s="413" t="n">
        <v>2520</v>
      </c>
      <c r="H341" s="413">
        <f>F341+G341</f>
        <v/>
      </c>
      <c r="I341" s="412" t="inlineStr">
        <is>
          <t>B2B</t>
        </is>
      </c>
      <c r="J341" s="415">
        <f>VLOOKUP(C341,'FY 25-26-Accrual'!$D$192:$D$233,1,0)</f>
        <v/>
      </c>
    </row>
    <row r="342" ht="12" customHeight="1" s="253">
      <c r="A342" s="414" t="n">
        <v>45809</v>
      </c>
      <c r="B342" s="415" t="n">
        <v>45821</v>
      </c>
      <c r="C342" s="415" t="inlineStr">
        <is>
          <t>INV-25-26-000194</t>
        </is>
      </c>
      <c r="D342" s="415" t="inlineStr">
        <is>
          <t>Closed</t>
        </is>
      </c>
      <c r="E342" s="415" t="inlineStr">
        <is>
          <t>Meghna Talwar</t>
        </is>
      </c>
      <c r="F342" s="413" t="n">
        <v>60000</v>
      </c>
      <c r="G342" s="413" t="n">
        <v>10800</v>
      </c>
      <c r="H342" s="413">
        <f>F342+G342</f>
        <v/>
      </c>
      <c r="I342" s="412" t="inlineStr">
        <is>
          <t>B2B</t>
        </is>
      </c>
      <c r="J342" s="415">
        <f>VLOOKUP(C342,'FY 25-26-Accrual'!$D$192:$D$233,1,0)</f>
        <v/>
      </c>
    </row>
    <row r="343" ht="12" customHeight="1" s="253">
      <c r="A343" s="414" t="n">
        <v>45809</v>
      </c>
      <c r="B343" s="415" t="n">
        <v>45821</v>
      </c>
      <c r="C343" s="415" t="inlineStr">
        <is>
          <t>INV-25-26-000195</t>
        </is>
      </c>
      <c r="D343" s="415" t="inlineStr">
        <is>
          <t>Closed</t>
        </is>
      </c>
      <c r="E343" s="415" t="inlineStr">
        <is>
          <t>Miglani Varma &amp; Co.</t>
        </is>
      </c>
      <c r="F343" s="413" t="n">
        <v>70000</v>
      </c>
      <c r="G343" s="413" t="n">
        <v>12600</v>
      </c>
      <c r="H343" s="413">
        <f>F343+G343</f>
        <v/>
      </c>
      <c r="I343" s="412" t="inlineStr">
        <is>
          <t>B2B</t>
        </is>
      </c>
      <c r="J343" s="415">
        <f>VLOOKUP(C343,'FY 25-26-Accrual'!$D$192:$D$233,1,0)</f>
        <v/>
      </c>
    </row>
    <row r="344" ht="12" customHeight="1" s="253">
      <c r="A344" s="414" t="n">
        <v>45809</v>
      </c>
      <c r="B344" s="415" t="n">
        <v>45821</v>
      </c>
      <c r="C344" s="415" t="inlineStr">
        <is>
          <t>INV-25-26-000196</t>
        </is>
      </c>
      <c r="D344" s="415" t="inlineStr">
        <is>
          <t>Closed</t>
        </is>
      </c>
      <c r="E344" s="415" t="inlineStr">
        <is>
          <t>S Priya</t>
        </is>
      </c>
      <c r="F344" s="413" t="n">
        <v>8000</v>
      </c>
      <c r="G344" s="413" t="n">
        <v>1440</v>
      </c>
      <c r="H344" s="413">
        <f>F344+G344</f>
        <v/>
      </c>
      <c r="I344" s="412" t="inlineStr">
        <is>
          <t>B2B</t>
        </is>
      </c>
      <c r="J344" s="415">
        <f>VLOOKUP(C344,'FY 25-26-Accrual'!$D$192:$D$233,1,0)</f>
        <v/>
      </c>
    </row>
    <row r="345" ht="12" customHeight="1" s="253">
      <c r="A345" s="414" t="n">
        <v>45809</v>
      </c>
      <c r="B345" s="415" t="n">
        <v>45822</v>
      </c>
      <c r="C345" s="415" t="inlineStr">
        <is>
          <t>INV-25-26-000197</t>
        </is>
      </c>
      <c r="D345" s="415" t="inlineStr">
        <is>
          <t>Closed</t>
        </is>
      </c>
      <c r="E345" s="415" t="inlineStr">
        <is>
          <t>Megha Chandra</t>
        </is>
      </c>
      <c r="F345" s="413" t="n">
        <v>10000</v>
      </c>
      <c r="G345" s="413" t="n">
        <v>1800</v>
      </c>
      <c r="H345" s="413">
        <f>F345+G345</f>
        <v/>
      </c>
      <c r="I345" s="412" t="inlineStr">
        <is>
          <t>B2B</t>
        </is>
      </c>
      <c r="J345" s="415">
        <f>'FY 25-26-Accrual'!$D$162</f>
        <v/>
      </c>
    </row>
    <row r="346" ht="12" customHeight="1" s="253">
      <c r="A346" s="414" t="n">
        <v>45809</v>
      </c>
      <c r="B346" s="415" t="n">
        <v>45823</v>
      </c>
      <c r="C346" s="415" t="inlineStr">
        <is>
          <t>INV-25-26-000198</t>
        </is>
      </c>
      <c r="D346" s="415" t="inlineStr">
        <is>
          <t>Overdue</t>
        </is>
      </c>
      <c r="E346" s="415" t="inlineStr">
        <is>
          <t>TLH, Advocates &amp; Solicitors</t>
        </is>
      </c>
      <c r="F346" s="413" t="n">
        <v>150000</v>
      </c>
      <c r="G346" s="413" t="n">
        <v>27000</v>
      </c>
      <c r="H346" s="413">
        <f>F346+G346</f>
        <v/>
      </c>
      <c r="I346" s="412" t="inlineStr">
        <is>
          <t>B2B</t>
        </is>
      </c>
      <c r="J346" s="415">
        <f>'FY 25-26-Accrual'!$D$29</f>
        <v/>
      </c>
    </row>
    <row r="347" ht="12" customHeight="1" s="253">
      <c r="A347" s="414" t="n">
        <v>45809</v>
      </c>
      <c r="B347" s="415" t="n">
        <v>45823</v>
      </c>
      <c r="C347" s="415" t="inlineStr">
        <is>
          <t>INV-25-26-000199</t>
        </is>
      </c>
      <c r="D347" s="415" t="inlineStr">
        <is>
          <t>Closed</t>
        </is>
      </c>
      <c r="E347" s="415" t="inlineStr">
        <is>
          <t>R. Vishnu Kumar, Advocate</t>
        </is>
      </c>
      <c r="F347" s="413" t="n">
        <v>16950</v>
      </c>
      <c r="G347" s="413" t="n">
        <v>3051</v>
      </c>
      <c r="H347" s="413">
        <f>F347+G347</f>
        <v/>
      </c>
      <c r="I347" s="412" t="inlineStr">
        <is>
          <t>B2B</t>
        </is>
      </c>
      <c r="J347" s="415">
        <f>'FY 25-26-Accrual'!$D$32</f>
        <v/>
      </c>
    </row>
    <row r="348" ht="12" customHeight="1" s="253">
      <c r="A348" s="414" t="n">
        <v>45809</v>
      </c>
      <c r="B348" s="415" t="n">
        <v>45824</v>
      </c>
      <c r="C348" s="415" t="inlineStr">
        <is>
          <t>INV-25-26-000200</t>
        </is>
      </c>
      <c r="D348" s="415" t="inlineStr">
        <is>
          <t>Overdue</t>
        </is>
      </c>
      <c r="E348" s="415" t="inlineStr">
        <is>
          <t>Yash Momaya</t>
        </is>
      </c>
      <c r="F348" s="413" t="n">
        <v>10000</v>
      </c>
      <c r="G348" s="413" t="n">
        <v>1800</v>
      </c>
      <c r="H348" s="413">
        <f>F348+G348</f>
        <v/>
      </c>
      <c r="I348" s="412" t="inlineStr">
        <is>
          <t>B2B</t>
        </is>
      </c>
      <c r="J348" s="415">
        <f>'FY 25-26-Accrual'!$D$33</f>
        <v/>
      </c>
    </row>
    <row r="349" ht="12" customHeight="1" s="253">
      <c r="A349" s="414" t="n">
        <v>45809</v>
      </c>
      <c r="B349" s="415" t="n">
        <v>45824</v>
      </c>
      <c r="C349" s="415" t="inlineStr">
        <is>
          <t>INV-25-26-000201</t>
        </is>
      </c>
      <c r="D349" s="415" t="inlineStr">
        <is>
          <t>Closed</t>
        </is>
      </c>
      <c r="E349" s="415" t="inlineStr">
        <is>
          <t>Joy Baxi &amp; Associates</t>
        </is>
      </c>
      <c r="F349" s="413" t="n">
        <v>36000</v>
      </c>
      <c r="G349" s="413" t="n">
        <v>6480</v>
      </c>
      <c r="H349" s="413">
        <f>F349+G349</f>
        <v/>
      </c>
      <c r="I349" s="412" t="inlineStr">
        <is>
          <t>B2B</t>
        </is>
      </c>
      <c r="J349" s="415">
        <f>VLOOKUP(C349,'FY 25-26-Accrual'!$D$192:$D$233,1,0)</f>
        <v/>
      </c>
    </row>
    <row r="350" ht="12" customHeight="1" s="253">
      <c r="A350" s="414" t="n">
        <v>45809</v>
      </c>
      <c r="B350" s="415" t="n">
        <v>45825</v>
      </c>
      <c r="C350" s="415" t="inlineStr">
        <is>
          <t>INV-25-26-000202</t>
        </is>
      </c>
      <c r="D350" s="415" t="inlineStr">
        <is>
          <t>Closed</t>
        </is>
      </c>
      <c r="E350" s="415" t="inlineStr">
        <is>
          <t>Dewani Associates</t>
        </is>
      </c>
      <c r="F350" s="413" t="n">
        <v>108000</v>
      </c>
      <c r="G350" s="413" t="n">
        <v>19440</v>
      </c>
      <c r="H350" s="413">
        <f>F350+G350</f>
        <v/>
      </c>
      <c r="I350" s="412" t="inlineStr">
        <is>
          <t>B2B</t>
        </is>
      </c>
      <c r="J350" s="415">
        <f>VLOOKUP(C350,'FY 25-26-Accrual'!$D$192:$D$233,1,0)</f>
        <v/>
      </c>
    </row>
    <row r="351" ht="12" customHeight="1" s="253">
      <c r="A351" s="414" t="n">
        <v>45809</v>
      </c>
      <c r="B351" s="415" t="n">
        <v>45825</v>
      </c>
      <c r="C351" s="415" t="inlineStr">
        <is>
          <t>INV-25-26-000203</t>
        </is>
      </c>
      <c r="D351" s="415" t="inlineStr">
        <is>
          <t>Overdue</t>
        </is>
      </c>
      <c r="E351" s="415" t="inlineStr">
        <is>
          <t>Ganesh &amp; Co.</t>
        </is>
      </c>
      <c r="F351" s="413" t="n">
        <v>205000</v>
      </c>
      <c r="G351" s="413" t="n">
        <v>36900</v>
      </c>
      <c r="H351" s="413">
        <f>F351+G351</f>
        <v/>
      </c>
      <c r="I351" s="412" t="inlineStr">
        <is>
          <t>B2B</t>
        </is>
      </c>
      <c r="J351" s="415">
        <f>VLOOKUP(C351,'FY 25-26-Accrual'!$D$192:$D$233,1,0)</f>
        <v/>
      </c>
    </row>
    <row r="352" ht="12" customHeight="1" s="253">
      <c r="A352" s="414" t="n">
        <v>45809</v>
      </c>
      <c r="B352" s="415" t="n">
        <v>45826</v>
      </c>
      <c r="C352" s="415" t="inlineStr">
        <is>
          <t>INV-25-26-000204</t>
        </is>
      </c>
      <c r="D352" s="415" t="inlineStr">
        <is>
          <t>Closed</t>
        </is>
      </c>
      <c r="E352" s="415" t="inlineStr">
        <is>
          <t>AMS Legal</t>
        </is>
      </c>
      <c r="F352" s="413" t="n">
        <v>7000</v>
      </c>
      <c r="G352" s="413" t="n">
        <v>1260</v>
      </c>
      <c r="H352" s="413">
        <f>F352+G352</f>
        <v/>
      </c>
      <c r="I352" s="412" t="inlineStr">
        <is>
          <t>B2B</t>
        </is>
      </c>
      <c r="J352" s="415">
        <f>VLOOKUP(C352,'FY 25-26-Accrual'!$D$192:$D$233,1,0)</f>
        <v/>
      </c>
    </row>
    <row r="353" ht="12" customHeight="1" s="253">
      <c r="A353" s="414" t="n">
        <v>45809</v>
      </c>
      <c r="B353" s="415" t="n">
        <v>45827</v>
      </c>
      <c r="C353" s="415" t="inlineStr">
        <is>
          <t>INV-25-26-000205</t>
        </is>
      </c>
      <c r="D353" s="415" t="inlineStr">
        <is>
          <t>Closed</t>
        </is>
      </c>
      <c r="E353" s="415" t="inlineStr">
        <is>
          <t>Vis Legis Law Practice</t>
        </is>
      </c>
      <c r="F353" s="413" t="n">
        <v>126000</v>
      </c>
      <c r="G353" s="413" t="n">
        <v>22680</v>
      </c>
      <c r="H353" s="413">
        <f>F353+G353</f>
        <v/>
      </c>
      <c r="I353" s="412" t="inlineStr">
        <is>
          <t>B2B</t>
        </is>
      </c>
      <c r="J353" s="415">
        <f>VLOOKUP(C353,'FY 25-26-Accrual'!$D$192:$D$233,1,0)</f>
        <v/>
      </c>
    </row>
    <row r="354" ht="12" customHeight="1" s="253">
      <c r="A354" s="414" t="n">
        <v>45809</v>
      </c>
      <c r="B354" s="415" t="n">
        <v>45827</v>
      </c>
      <c r="C354" s="415" t="inlineStr">
        <is>
          <t>INV-25-26-000206</t>
        </is>
      </c>
      <c r="D354" s="415" t="inlineStr">
        <is>
          <t>Overdue</t>
        </is>
      </c>
      <c r="E354" s="415" t="inlineStr">
        <is>
          <t>U. S. GANDHI &amp; CO.</t>
        </is>
      </c>
      <c r="F354" s="413" t="n">
        <v>18000</v>
      </c>
      <c r="G354" s="413" t="n">
        <v>3240</v>
      </c>
      <c r="H354" s="413">
        <f>F354+G354</f>
        <v/>
      </c>
      <c r="I354" s="412" t="inlineStr">
        <is>
          <t>B2B</t>
        </is>
      </c>
      <c r="J354" s="415">
        <f>VLOOKUP(C354,'FY 25-26-Accrual'!$D$192:$D$233,1,0)</f>
        <v/>
      </c>
    </row>
    <row r="355" ht="12" customHeight="1" s="253">
      <c r="A355" s="414" t="n">
        <v>45809</v>
      </c>
      <c r="B355" s="415" t="n">
        <v>45827</v>
      </c>
      <c r="C355" s="415" t="inlineStr">
        <is>
          <t>INV-25-26-000207</t>
        </is>
      </c>
      <c r="D355" s="415" t="inlineStr">
        <is>
          <t>Closed</t>
        </is>
      </c>
      <c r="E355" s="415" t="inlineStr">
        <is>
          <t>Gauri Puri</t>
        </is>
      </c>
      <c r="F355" s="413" t="n">
        <v>5000</v>
      </c>
      <c r="G355" s="413" t="n">
        <v>900</v>
      </c>
      <c r="H355" s="413">
        <f>F355+G355</f>
        <v/>
      </c>
      <c r="I355" s="412" t="inlineStr">
        <is>
          <t>B2B</t>
        </is>
      </c>
      <c r="J355" s="415">
        <f>VLOOKUP(C355,'FY 25-26-Accrual'!$D$192:$D$233,1,0)</f>
        <v/>
      </c>
    </row>
    <row r="356" ht="12" customHeight="1" s="253">
      <c r="A356" s="414" t="n">
        <v>45809</v>
      </c>
      <c r="B356" s="415" t="n">
        <v>45827</v>
      </c>
      <c r="C356" s="415" t="inlineStr">
        <is>
          <t>INV-25-26-000208</t>
        </is>
      </c>
      <c r="D356" s="415" t="inlineStr">
        <is>
          <t>Closed</t>
        </is>
      </c>
      <c r="E356" s="415" t="inlineStr">
        <is>
          <t>Amit Bhagat</t>
        </is>
      </c>
      <c r="F356" s="413" t="n">
        <v>5000</v>
      </c>
      <c r="G356" s="413" t="n">
        <v>900</v>
      </c>
      <c r="H356" s="413">
        <f>F356+G356</f>
        <v/>
      </c>
      <c r="I356" s="412" t="inlineStr">
        <is>
          <t>B2B</t>
        </is>
      </c>
      <c r="J356" s="415">
        <f>VLOOKUP(C356,'FY 25-26-Accrual'!$D$192:$D$233,1,0)</f>
        <v/>
      </c>
    </row>
    <row r="357" ht="12" customHeight="1" s="253">
      <c r="A357" s="414" t="n">
        <v>45809</v>
      </c>
      <c r="B357" s="415" t="n">
        <v>45828</v>
      </c>
      <c r="C357" s="415" t="inlineStr">
        <is>
          <t>INV-25-26-000209</t>
        </is>
      </c>
      <c r="D357" s="415" t="inlineStr">
        <is>
          <t>Closed</t>
        </is>
      </c>
      <c r="E357" s="415" t="inlineStr">
        <is>
          <t>Vishal Kanade</t>
        </is>
      </c>
      <c r="F357" s="413" t="n">
        <v>162000</v>
      </c>
      <c r="G357" s="413" t="n">
        <v>29160</v>
      </c>
      <c r="H357" s="413">
        <f>F357+G357</f>
        <v/>
      </c>
      <c r="I357" s="412" t="inlineStr">
        <is>
          <t>B2B</t>
        </is>
      </c>
      <c r="J357" s="415">
        <f>VLOOKUP(C357,'FY 25-26-Accrual'!$D$192:$D$233,1,0)</f>
        <v/>
      </c>
    </row>
    <row r="358" ht="12" customHeight="1" s="253">
      <c r="A358" s="414" t="n">
        <v>45809</v>
      </c>
      <c r="B358" s="415" t="n">
        <v>45829</v>
      </c>
      <c r="C358" s="415" t="inlineStr">
        <is>
          <t>INV-25-26-000210</t>
        </is>
      </c>
      <c r="D358" s="415" t="inlineStr">
        <is>
          <t>Overdue</t>
        </is>
      </c>
      <c r="E358" s="415" t="inlineStr">
        <is>
          <t>Stride Legal</t>
        </is>
      </c>
      <c r="F358" s="413" t="n">
        <v>10000</v>
      </c>
      <c r="G358" s="413" t="n">
        <v>1800</v>
      </c>
      <c r="H358" s="413">
        <f>F358+G358</f>
        <v/>
      </c>
      <c r="I358" s="412" t="inlineStr">
        <is>
          <t>B2B</t>
        </is>
      </c>
      <c r="J358" s="415">
        <f>'FY 25-26-Accrual'!$D$107</f>
        <v/>
      </c>
    </row>
    <row r="359" ht="12" customHeight="1" s="253">
      <c r="A359" s="414" t="n">
        <v>45809</v>
      </c>
      <c r="B359" s="415" t="n">
        <v>45829</v>
      </c>
      <c r="C359" s="415" t="inlineStr">
        <is>
          <t>INV-25-26-000211</t>
        </is>
      </c>
      <c r="D359" s="415" t="inlineStr">
        <is>
          <t>Closed</t>
        </is>
      </c>
      <c r="E359" s="415" t="inlineStr">
        <is>
          <t>Sundeep Karnik</t>
        </is>
      </c>
      <c r="F359" s="413" t="n">
        <v>56000</v>
      </c>
      <c r="G359" s="413" t="n">
        <v>10080</v>
      </c>
      <c r="H359" s="413">
        <f>F359+G359</f>
        <v/>
      </c>
      <c r="I359" s="412" t="inlineStr">
        <is>
          <t>B2B</t>
        </is>
      </c>
      <c r="J359" s="415">
        <f>VLOOKUP(C359,'FY 25-26-Accrual'!$D$192:$D$233,1,0)</f>
        <v/>
      </c>
    </row>
    <row r="360" ht="12" customHeight="1" s="253">
      <c r="A360" s="414" t="n">
        <v>45809</v>
      </c>
      <c r="B360" s="415" t="n">
        <v>45829</v>
      </c>
      <c r="C360" s="415" t="inlineStr">
        <is>
          <t>INV-25-26-000212</t>
        </is>
      </c>
      <c r="D360" s="415" t="inlineStr">
        <is>
          <t>Closed</t>
        </is>
      </c>
      <c r="E360" s="415" t="inlineStr">
        <is>
          <t>Hamza mir</t>
        </is>
      </c>
      <c r="F360" s="413" t="n">
        <v>5000</v>
      </c>
      <c r="G360" s="413" t="n">
        <v>900</v>
      </c>
      <c r="H360" s="413">
        <f>F360+G360</f>
        <v/>
      </c>
      <c r="I360" s="412" t="inlineStr">
        <is>
          <t>B2B</t>
        </is>
      </c>
      <c r="J360" s="415">
        <f>'FY 25-26-Accrual'!$D$84</f>
        <v/>
      </c>
    </row>
    <row r="361" ht="12" customHeight="1" s="253">
      <c r="A361" s="414" t="n">
        <v>45809</v>
      </c>
      <c r="B361" s="415" t="n">
        <v>45831</v>
      </c>
      <c r="C361" s="415" t="inlineStr">
        <is>
          <t>INV-25-26-000213</t>
        </is>
      </c>
      <c r="D361" s="415" t="inlineStr">
        <is>
          <t>Overdue</t>
        </is>
      </c>
      <c r="E361" s="415" t="inlineStr">
        <is>
          <t>Pranay Chitale</t>
        </is>
      </c>
      <c r="F361" s="413" t="n">
        <v>15000</v>
      </c>
      <c r="G361" s="413" t="n">
        <v>2700</v>
      </c>
      <c r="H361" s="413">
        <f>F361+G361</f>
        <v/>
      </c>
      <c r="I361" s="412" t="inlineStr">
        <is>
          <t>B2B</t>
        </is>
      </c>
      <c r="J361" s="415">
        <f>'FY 25-26-Accrual'!$D$40</f>
        <v/>
      </c>
    </row>
    <row r="362" ht="12" customHeight="1" s="253">
      <c r="A362" s="414" t="n">
        <v>45809</v>
      </c>
      <c r="B362" s="415" t="n">
        <v>45831</v>
      </c>
      <c r="C362" s="415" t="inlineStr">
        <is>
          <t>INV-25-26-000214</t>
        </is>
      </c>
      <c r="D362" s="415" t="inlineStr">
        <is>
          <t>Closed</t>
        </is>
      </c>
      <c r="E362" s="415" t="inlineStr">
        <is>
          <t>Rohan Talwar</t>
        </is>
      </c>
      <c r="F362" s="413" t="n">
        <v>35000</v>
      </c>
      <c r="G362" s="413" t="n">
        <v>6300</v>
      </c>
      <c r="H362" s="413">
        <f>F362+G362</f>
        <v/>
      </c>
      <c r="I362" s="412" t="inlineStr">
        <is>
          <t>B2B</t>
        </is>
      </c>
      <c r="J362" s="415">
        <f>VLOOKUP(C362,'FY 25-26-Accrual'!$D$192:$D$233,1,0)</f>
        <v/>
      </c>
    </row>
    <row r="363" ht="12" customHeight="1" s="253">
      <c r="A363" s="414" t="n">
        <v>45809</v>
      </c>
      <c r="B363" s="415" t="n">
        <v>45831</v>
      </c>
      <c r="C363" s="415" t="inlineStr">
        <is>
          <t>INV-25-26-000215</t>
        </is>
      </c>
      <c r="D363" s="415" t="inlineStr">
        <is>
          <t>Overdue</t>
        </is>
      </c>
      <c r="E363" s="415" t="inlineStr">
        <is>
          <t>ZEUS Law Associates</t>
        </is>
      </c>
      <c r="F363" s="413" t="n">
        <v>40000</v>
      </c>
      <c r="G363" s="413" t="n">
        <v>7200</v>
      </c>
      <c r="H363" s="413">
        <f>F363+G363</f>
        <v/>
      </c>
      <c r="I363" s="412" t="inlineStr">
        <is>
          <t>B2B</t>
        </is>
      </c>
      <c r="J363" s="415">
        <f>VLOOKUP(C363,'FY 25-26-Accrual'!$D$192:$D$233,1,0)</f>
        <v/>
      </c>
    </row>
    <row r="364" ht="12" customHeight="1" s="253">
      <c r="A364" s="414" t="n">
        <v>45809</v>
      </c>
      <c r="B364" s="415" t="n">
        <v>45832</v>
      </c>
      <c r="C364" s="415" t="inlineStr">
        <is>
          <t>INV-25-26-000216</t>
        </is>
      </c>
      <c r="D364" s="415" t="inlineStr">
        <is>
          <t>Overdue</t>
        </is>
      </c>
      <c r="E364" s="415" t="inlineStr">
        <is>
          <t>Aurtus Consulting LLP</t>
        </is>
      </c>
      <c r="F364" s="413" t="n">
        <v>54000</v>
      </c>
      <c r="G364" s="413" t="n">
        <v>9720</v>
      </c>
      <c r="H364" s="413">
        <f>F364+G364</f>
        <v/>
      </c>
      <c r="I364" s="412" t="inlineStr">
        <is>
          <t>B2B</t>
        </is>
      </c>
      <c r="J364" s="415">
        <f>VLOOKUP(C364,'FY 25-26-Accrual'!$D$192:$D$233,1,0)</f>
        <v/>
      </c>
    </row>
    <row r="365" ht="12" customHeight="1" s="253">
      <c r="A365" s="414" t="n">
        <v>45809</v>
      </c>
      <c r="B365" s="415" t="n">
        <v>45832</v>
      </c>
      <c r="C365" s="415" t="inlineStr">
        <is>
          <t>INV-25-26-000217</t>
        </is>
      </c>
      <c r="D365" s="415" t="inlineStr">
        <is>
          <t>Overdue</t>
        </is>
      </c>
      <c r="E365" s="415" t="inlineStr">
        <is>
          <t>Tvashta Law</t>
        </is>
      </c>
      <c r="F365" s="413" t="n">
        <v>180000</v>
      </c>
      <c r="G365" s="413" t="n">
        <v>32400</v>
      </c>
      <c r="H365" s="413">
        <f>F365+G365</f>
        <v/>
      </c>
      <c r="I365" s="412" t="inlineStr">
        <is>
          <t>B2B</t>
        </is>
      </c>
      <c r="J365" s="415">
        <f>VLOOKUP(C365,'FY 25-26-Accrual'!$D$192:$D$233,1,0)</f>
        <v/>
      </c>
    </row>
    <row r="366" ht="12" customHeight="1" s="253">
      <c r="A366" s="414" t="n">
        <v>45809</v>
      </c>
      <c r="B366" s="415" t="n">
        <v>45833</v>
      </c>
      <c r="C366" s="415" t="inlineStr">
        <is>
          <t>INV-25-26-000218</t>
        </is>
      </c>
      <c r="D366" s="415" t="inlineStr">
        <is>
          <t>Closed</t>
        </is>
      </c>
      <c r="E366" s="415" t="inlineStr">
        <is>
          <t>Abhimanyu Garg / Methodica Legal</t>
        </is>
      </c>
      <c r="F366" s="413" t="n">
        <v>31271.19</v>
      </c>
      <c r="G366" s="413" t="n">
        <v>5628.8142</v>
      </c>
      <c r="H366" s="413">
        <f>F366+G366</f>
        <v/>
      </c>
      <c r="I366" s="412" t="inlineStr">
        <is>
          <t>B2B</t>
        </is>
      </c>
      <c r="J366" s="415">
        <f>'FY 25-26-Accrual'!$D$161</f>
        <v/>
      </c>
    </row>
    <row r="367" ht="12" customHeight="1" s="253">
      <c r="A367" s="414" t="n">
        <v>45809</v>
      </c>
      <c r="B367" s="415" t="n">
        <v>45834</v>
      </c>
      <c r="C367" s="415" t="inlineStr">
        <is>
          <t>INV-25-26-000219</t>
        </is>
      </c>
      <c r="D367" s="415" t="inlineStr">
        <is>
          <t>Closed</t>
        </is>
      </c>
      <c r="E367" s="415" t="inlineStr">
        <is>
          <t>The Guild | Advocates &amp; Associate Counsel</t>
        </is>
      </c>
      <c r="F367" s="413" t="n">
        <v>50847.46</v>
      </c>
      <c r="G367" s="413" t="n">
        <v>9152.542799999999</v>
      </c>
      <c r="H367" s="413">
        <f>F367+G367</f>
        <v/>
      </c>
      <c r="I367" s="412" t="inlineStr">
        <is>
          <t>B2B</t>
        </is>
      </c>
      <c r="J367" s="415">
        <f>'FY 25-26-Accrual'!$D$160</f>
        <v/>
      </c>
    </row>
    <row r="368" ht="12" customHeight="1" s="253">
      <c r="A368" s="414" t="n">
        <v>45809</v>
      </c>
      <c r="B368" s="415" t="n">
        <v>45834</v>
      </c>
      <c r="C368" s="415" t="inlineStr">
        <is>
          <t>CN-00003</t>
        </is>
      </c>
      <c r="D368" s="415" t="inlineStr">
        <is>
          <t>Closed</t>
        </is>
      </c>
      <c r="E368" s="415" t="inlineStr">
        <is>
          <t>Advocate Rohit Jaiswal</t>
        </is>
      </c>
      <c r="F368" s="413" t="n">
        <v>-5000</v>
      </c>
      <c r="G368" s="413" t="n">
        <v>-900</v>
      </c>
      <c r="H368" s="413">
        <f>F368+G368</f>
        <v/>
      </c>
      <c r="I368" s="412" t="inlineStr">
        <is>
          <t>B2B</t>
        </is>
      </c>
      <c r="J368" s="415">
        <f>'FY 25-26-Accrual'!$D$11</f>
        <v/>
      </c>
    </row>
    <row r="369" ht="12" customHeight="1" s="253">
      <c r="A369" s="414" t="n">
        <v>45809</v>
      </c>
      <c r="B369" s="415" t="n">
        <v>45834</v>
      </c>
      <c r="C369" s="415" t="inlineStr">
        <is>
          <t>CN-00004</t>
        </is>
      </c>
      <c r="D369" s="415" t="inlineStr">
        <is>
          <t>Closed</t>
        </is>
      </c>
      <c r="E369" s="415" t="inlineStr">
        <is>
          <t>Advocate Rohit Jaiswal</t>
        </is>
      </c>
      <c r="F369" s="413" t="n">
        <v>-5000</v>
      </c>
      <c r="G369" s="413" t="n">
        <v>-900</v>
      </c>
      <c r="H369" s="413">
        <f>F369+G369</f>
        <v/>
      </c>
      <c r="I369" s="412" t="inlineStr">
        <is>
          <t>B2B</t>
        </is>
      </c>
      <c r="J369" s="415">
        <f>'FY 25-26-Accrual'!$D$11</f>
        <v/>
      </c>
    </row>
    <row r="370" ht="12" customHeight="1" s="253">
      <c r="A370" s="414" t="n">
        <v>45809</v>
      </c>
      <c r="B370" s="415" t="n">
        <v>45835</v>
      </c>
      <c r="C370" s="415" t="inlineStr">
        <is>
          <t>INV-25-26-000220</t>
        </is>
      </c>
      <c r="D370" s="415" t="inlineStr">
        <is>
          <t>Closed</t>
        </is>
      </c>
      <c r="E370" s="415" t="inlineStr">
        <is>
          <t>Tejeshwar Singh</t>
        </is>
      </c>
      <c r="F370" s="413" t="n">
        <v>30000</v>
      </c>
      <c r="G370" s="413" t="n">
        <v>5400</v>
      </c>
      <c r="H370" s="413">
        <f>F370+G370</f>
        <v/>
      </c>
      <c r="I370" s="412" t="inlineStr">
        <is>
          <t>B2B</t>
        </is>
      </c>
      <c r="J370" s="415">
        <f>VLOOKUP(C370,'FY 25-26-Accrual'!$D$192:$D$233,1,0)</f>
        <v/>
      </c>
    </row>
    <row r="371" ht="12" customHeight="1" s="253">
      <c r="A371" s="414" t="n">
        <v>45809</v>
      </c>
      <c r="B371" s="415" t="n">
        <v>45835</v>
      </c>
      <c r="C371" s="415" t="inlineStr">
        <is>
          <t>INV-25-26-000221</t>
        </is>
      </c>
      <c r="D371" s="415" t="inlineStr">
        <is>
          <t>Closed</t>
        </is>
      </c>
      <c r="E371" s="415" t="inlineStr">
        <is>
          <t>Apoorv Kurup</t>
        </is>
      </c>
      <c r="F371" s="413" t="n">
        <v>35000</v>
      </c>
      <c r="G371" s="413" t="n">
        <v>6300</v>
      </c>
      <c r="H371" s="413">
        <f>F371+G371</f>
        <v/>
      </c>
      <c r="I371" s="412" t="inlineStr">
        <is>
          <t>B2B</t>
        </is>
      </c>
      <c r="J371" s="415">
        <f>VLOOKUP(C371,'FY 25-26-Accrual'!$D$192:$D$233,1,0)</f>
        <v/>
      </c>
    </row>
    <row r="372" ht="12" customHeight="1" s="253">
      <c r="A372" s="414" t="n">
        <v>45809</v>
      </c>
      <c r="B372" s="415" t="n">
        <v>45836</v>
      </c>
      <c r="C372" s="415" t="inlineStr">
        <is>
          <t>INV-25-26-000222</t>
        </is>
      </c>
      <c r="D372" s="415" t="inlineStr">
        <is>
          <t>Closed</t>
        </is>
      </c>
      <c r="E372" s="415" t="inlineStr">
        <is>
          <t>Elixir Legal Services</t>
        </is>
      </c>
      <c r="F372" s="413" t="n">
        <v>63000</v>
      </c>
      <c r="G372" s="413" t="n">
        <v>11340</v>
      </c>
      <c r="H372" s="413">
        <f>F372+G372</f>
        <v/>
      </c>
      <c r="I372" s="412" t="inlineStr">
        <is>
          <t>B2B</t>
        </is>
      </c>
      <c r="J372" s="415">
        <f>VLOOKUP(C372,'FY 25-26-Accrual'!$D$192:$D$233,1,0)</f>
        <v/>
      </c>
    </row>
    <row r="373" ht="12" customHeight="1" s="253">
      <c r="A373" s="414" t="n">
        <v>45809</v>
      </c>
      <c r="B373" s="415" t="n">
        <v>45837</v>
      </c>
      <c r="C373" s="415" t="inlineStr">
        <is>
          <t>INV-25-26-000223</t>
        </is>
      </c>
      <c r="D373" s="415" t="inlineStr">
        <is>
          <t>Closed</t>
        </is>
      </c>
      <c r="E373" s="415" t="inlineStr">
        <is>
          <t>SRCO Legal / Salvador Raghav &amp; Co.</t>
        </is>
      </c>
      <c r="F373" s="413" t="n">
        <v>6779.66</v>
      </c>
      <c r="G373" s="413" t="n">
        <v>1220.3388</v>
      </c>
      <c r="H373" s="413">
        <f>F373+G373</f>
        <v/>
      </c>
      <c r="I373" s="412" t="inlineStr">
        <is>
          <t>B2B</t>
        </is>
      </c>
      <c r="J373" s="415">
        <f>'FY 25-26-Accrual'!$D$78</f>
        <v/>
      </c>
    </row>
    <row r="374" ht="12" customHeight="1" s="253">
      <c r="A374" s="414" t="n">
        <v>45809</v>
      </c>
      <c r="B374" s="415" t="n">
        <v>45838</v>
      </c>
      <c r="C374" s="415" t="inlineStr">
        <is>
          <t>INV-25-26-000224</t>
        </is>
      </c>
      <c r="D374" s="415" t="inlineStr">
        <is>
          <t>Closed</t>
        </is>
      </c>
      <c r="E374" s="415" t="inlineStr">
        <is>
          <t>Deep Cover Law- Chirag Narasimiah</t>
        </is>
      </c>
      <c r="F374" s="413" t="n">
        <v>9000</v>
      </c>
      <c r="G374" s="413" t="n">
        <v>1620</v>
      </c>
      <c r="H374" s="413">
        <f>F374+G374</f>
        <v/>
      </c>
      <c r="I374" s="412" t="inlineStr">
        <is>
          <t>B2B</t>
        </is>
      </c>
      <c r="J374" s="415">
        <f>'FY 25-26-Accrual'!$D$124</f>
        <v/>
      </c>
    </row>
    <row r="375" ht="12" customHeight="1" s="253">
      <c r="A375" s="414" t="n">
        <v>45809</v>
      </c>
      <c r="B375" s="415" t="n">
        <v>45838</v>
      </c>
      <c r="C375" s="415" t="inlineStr">
        <is>
          <t>INV-25-26-000225</t>
        </is>
      </c>
      <c r="D375" s="415" t="inlineStr">
        <is>
          <t>Closed</t>
        </is>
      </c>
      <c r="E375" s="415" t="inlineStr">
        <is>
          <t>Harshit Malik</t>
        </is>
      </c>
      <c r="F375" s="413" t="n">
        <v>60000</v>
      </c>
      <c r="G375" s="413" t="n">
        <v>10800</v>
      </c>
      <c r="H375" s="413">
        <f>F375+G375</f>
        <v/>
      </c>
      <c r="I375" s="412" t="inlineStr">
        <is>
          <t>B2B</t>
        </is>
      </c>
      <c r="J375" s="415">
        <f>VLOOKUP(C375,'FY 25-26-Accrual'!$D$192:$D$233,1,0)</f>
        <v/>
      </c>
    </row>
    <row r="376" ht="12" customHeight="1" s="253">
      <c r="A376" s="414" t="n">
        <v>45839</v>
      </c>
      <c r="B376" s="415" t="n">
        <v>45839</v>
      </c>
      <c r="C376" s="412" t="inlineStr">
        <is>
          <t>INV-25-26-000226</t>
        </is>
      </c>
      <c r="D376" s="412" t="inlineStr">
        <is>
          <t>Closed</t>
        </is>
      </c>
      <c r="E376" s="412" t="inlineStr">
        <is>
          <t>Solaris Legal</t>
        </is>
      </c>
      <c r="F376" s="413" t="n">
        <v>120000</v>
      </c>
      <c r="G376" s="413" t="n">
        <v>21600</v>
      </c>
      <c r="H376" s="413" t="n">
        <v>141600</v>
      </c>
      <c r="I376" s="412" t="inlineStr">
        <is>
          <t>B2B</t>
        </is>
      </c>
    </row>
    <row r="377" ht="12" customHeight="1" s="253">
      <c r="A377" s="414" t="n">
        <v>45839</v>
      </c>
      <c r="B377" s="415" t="n">
        <v>45839</v>
      </c>
      <c r="C377" s="412" t="inlineStr">
        <is>
          <t>INV-25-26-000227</t>
        </is>
      </c>
      <c r="D377" s="412" t="inlineStr">
        <is>
          <t>Closed</t>
        </is>
      </c>
      <c r="E377" s="412" t="inlineStr">
        <is>
          <t>Surel Shah</t>
        </is>
      </c>
      <c r="F377" s="413" t="n">
        <v>70000</v>
      </c>
      <c r="G377" s="413" t="n">
        <v>12600</v>
      </c>
      <c r="H377" s="413" t="n">
        <v>82600</v>
      </c>
      <c r="I377" s="412" t="inlineStr">
        <is>
          <t>B2B</t>
        </is>
      </c>
    </row>
    <row r="378" ht="12" customHeight="1" s="253">
      <c r="A378" s="414" t="n">
        <v>45839</v>
      </c>
      <c r="B378" s="415" t="n">
        <v>45839</v>
      </c>
      <c r="C378" s="412" t="inlineStr">
        <is>
          <t>INV-25-26-000228</t>
        </is>
      </c>
      <c r="D378" s="412" t="inlineStr">
        <is>
          <t>Closed</t>
        </is>
      </c>
      <c r="E378" s="412" t="inlineStr">
        <is>
          <t>MG Ramachandran</t>
        </is>
      </c>
      <c r="F378" s="413" t="n">
        <v>30000</v>
      </c>
      <c r="G378" s="413" t="n">
        <v>5400</v>
      </c>
      <c r="H378" s="413" t="n">
        <v>35400</v>
      </c>
      <c r="I378" s="412" t="inlineStr">
        <is>
          <t>B2B</t>
        </is>
      </c>
    </row>
    <row r="379" ht="12" customHeight="1" s="253">
      <c r="A379" s="414" t="n">
        <v>45839</v>
      </c>
      <c r="B379" s="415" t="n">
        <v>45840</v>
      </c>
      <c r="C379" s="412" t="inlineStr">
        <is>
          <t>INV-25-26-000229</t>
        </is>
      </c>
      <c r="D379" s="412" t="inlineStr">
        <is>
          <t>Closed</t>
        </is>
      </c>
      <c r="E379" s="412" t="inlineStr">
        <is>
          <t>B2C</t>
        </is>
      </c>
      <c r="F379" s="413" t="n">
        <v>846</v>
      </c>
      <c r="G379" s="413" t="n">
        <v>152</v>
      </c>
      <c r="H379" s="413" t="n">
        <v>998</v>
      </c>
      <c r="I379" s="412" t="inlineStr">
        <is>
          <t>B2C</t>
        </is>
      </c>
    </row>
    <row r="380" ht="12" customHeight="1" s="253">
      <c r="A380" s="414" t="n">
        <v>45839</v>
      </c>
      <c r="B380" s="415" t="n">
        <v>45840</v>
      </c>
      <c r="C380" s="412" t="inlineStr">
        <is>
          <t>INV-25-26-000230</t>
        </is>
      </c>
      <c r="D380" s="412" t="inlineStr">
        <is>
          <t>Closed</t>
        </is>
      </c>
      <c r="E380" s="412" t="inlineStr">
        <is>
          <t>Pratik Patnaik</t>
        </is>
      </c>
      <c r="F380" s="413" t="n">
        <v>12000</v>
      </c>
      <c r="G380" s="413" t="n">
        <v>2160</v>
      </c>
      <c r="H380" s="413" t="n">
        <v>14160</v>
      </c>
      <c r="I380" s="412" t="inlineStr">
        <is>
          <t>B2B</t>
        </is>
      </c>
    </row>
    <row r="381" ht="12" customHeight="1" s="253">
      <c r="A381" s="414" t="n">
        <v>45839</v>
      </c>
      <c r="B381" s="415" t="n">
        <v>45841</v>
      </c>
      <c r="C381" s="412" t="inlineStr">
        <is>
          <t>INV-25-26-000231</t>
        </is>
      </c>
      <c r="D381" s="412" t="inlineStr">
        <is>
          <t>Overdue</t>
        </is>
      </c>
      <c r="E381" s="412" t="inlineStr">
        <is>
          <t>Shrey Lodha</t>
        </is>
      </c>
      <c r="F381" s="413" t="n">
        <v>10000</v>
      </c>
      <c r="G381" s="413" t="n">
        <v>1800</v>
      </c>
      <c r="H381" s="413" t="n">
        <v>11800</v>
      </c>
      <c r="I381" s="412" t="inlineStr">
        <is>
          <t>B2B</t>
        </is>
      </c>
    </row>
    <row r="382" ht="12" customHeight="1" s="253">
      <c r="A382" s="414" t="n">
        <v>45839</v>
      </c>
      <c r="B382" s="415" t="n">
        <v>45841</v>
      </c>
      <c r="C382" s="412" t="inlineStr">
        <is>
          <t>INV-25-26-000232</t>
        </is>
      </c>
      <c r="D382" s="412" t="inlineStr">
        <is>
          <t>Closed</t>
        </is>
      </c>
      <c r="E382" s="412" t="inlineStr">
        <is>
          <t>B2C</t>
        </is>
      </c>
      <c r="F382" s="413" t="n">
        <v>423</v>
      </c>
      <c r="G382" s="413" t="n">
        <v>76</v>
      </c>
      <c r="H382" s="413" t="n">
        <v>499</v>
      </c>
      <c r="I382" s="412" t="inlineStr">
        <is>
          <t>B2C</t>
        </is>
      </c>
    </row>
    <row r="383" ht="12" customHeight="1" s="253">
      <c r="A383" s="414" t="n">
        <v>45839</v>
      </c>
      <c r="B383" s="415" t="n">
        <v>45841</v>
      </c>
      <c r="C383" s="412" t="inlineStr">
        <is>
          <t>INV-25-26-000233</t>
        </is>
      </c>
      <c r="D383" s="412" t="inlineStr">
        <is>
          <t>Closed</t>
        </is>
      </c>
      <c r="E383" s="412" t="inlineStr">
        <is>
          <t>Jade Lex Partners</t>
        </is>
      </c>
      <c r="F383" s="413" t="n">
        <v>35003</v>
      </c>
      <c r="G383" s="413" t="n">
        <v>6301</v>
      </c>
      <c r="H383" s="413" t="n">
        <v>41303</v>
      </c>
      <c r="I383" s="412" t="inlineStr">
        <is>
          <t>B2B</t>
        </is>
      </c>
    </row>
    <row r="384" ht="12" customHeight="1" s="253">
      <c r="A384" s="414" t="n">
        <v>45839</v>
      </c>
      <c r="B384" s="415" t="n">
        <v>45841</v>
      </c>
      <c r="C384" s="412" t="inlineStr">
        <is>
          <t>INV-25-26-000234</t>
        </is>
      </c>
      <c r="D384" s="412" t="inlineStr">
        <is>
          <t>Closed</t>
        </is>
      </c>
      <c r="E384" s="412" t="inlineStr">
        <is>
          <t>Aanchal Basur</t>
        </is>
      </c>
      <c r="F384" s="413" t="n">
        <v>11400</v>
      </c>
      <c r="G384" s="413" t="n">
        <v>2052</v>
      </c>
      <c r="H384" s="413" t="n">
        <v>13452</v>
      </c>
      <c r="I384" s="412" t="inlineStr">
        <is>
          <t>B2B</t>
        </is>
      </c>
    </row>
    <row r="385" ht="12" customHeight="1" s="253">
      <c r="A385" s="414" t="n">
        <v>45839</v>
      </c>
      <c r="B385" s="415" t="n">
        <v>45841</v>
      </c>
      <c r="C385" s="412" t="inlineStr">
        <is>
          <t>INV-25-26-000235</t>
        </is>
      </c>
      <c r="D385" s="412" t="inlineStr">
        <is>
          <t>Closed</t>
        </is>
      </c>
      <c r="E385" s="412" t="inlineStr">
        <is>
          <t>RUNWAL ENTERPRISES LIMITED</t>
        </is>
      </c>
      <c r="F385" s="413" t="n">
        <v>20000</v>
      </c>
      <c r="G385" s="413" t="n">
        <v>3600</v>
      </c>
      <c r="H385" s="413" t="n">
        <v>23600</v>
      </c>
      <c r="I385" s="412" t="inlineStr">
        <is>
          <t>B2B</t>
        </is>
      </c>
    </row>
    <row r="386" ht="12" customHeight="1" s="253">
      <c r="A386" s="414" t="n">
        <v>45839</v>
      </c>
      <c r="B386" s="415" t="n">
        <v>45841</v>
      </c>
      <c r="C386" s="412" t="inlineStr">
        <is>
          <t>INV-25-26-000236</t>
        </is>
      </c>
      <c r="D386" s="412" t="inlineStr">
        <is>
          <t>Overdue</t>
        </is>
      </c>
      <c r="E386" s="412" t="inlineStr">
        <is>
          <t>ANM Global Inc</t>
        </is>
      </c>
      <c r="F386" s="413" t="n">
        <v>12000</v>
      </c>
      <c r="G386" s="413" t="n">
        <v>2160</v>
      </c>
      <c r="H386" s="413" t="n">
        <v>14160</v>
      </c>
      <c r="I386" s="412" t="inlineStr">
        <is>
          <t>B2B</t>
        </is>
      </c>
    </row>
    <row r="387" ht="12" customHeight="1" s="253">
      <c r="A387" s="414" t="n">
        <v>45839</v>
      </c>
      <c r="B387" s="415" t="n">
        <v>45841</v>
      </c>
      <c r="C387" s="412" t="inlineStr">
        <is>
          <t>INV-25-26-000237</t>
        </is>
      </c>
      <c r="D387" s="412" t="inlineStr">
        <is>
          <t>Closed</t>
        </is>
      </c>
      <c r="E387" s="412" t="inlineStr">
        <is>
          <t>NKR Law Offices</t>
        </is>
      </c>
      <c r="F387" s="413" t="n">
        <v>405000</v>
      </c>
      <c r="G387" s="413" t="n">
        <v>72900</v>
      </c>
      <c r="H387" s="413" t="n">
        <v>477900</v>
      </c>
      <c r="I387" s="412" t="inlineStr">
        <is>
          <t>B2B</t>
        </is>
      </c>
    </row>
    <row r="388" ht="12" customHeight="1" s="253">
      <c r="A388" s="414" t="n">
        <v>45839</v>
      </c>
      <c r="B388" s="415" t="n">
        <v>45842</v>
      </c>
      <c r="C388" s="412" t="inlineStr">
        <is>
          <t>INV-25-26-000238</t>
        </is>
      </c>
      <c r="D388" s="412" t="inlineStr">
        <is>
          <t>Closed</t>
        </is>
      </c>
      <c r="E388" s="412" t="inlineStr">
        <is>
          <t>MZM Legal LLP</t>
        </is>
      </c>
      <c r="F388" s="413" t="n">
        <v>118750</v>
      </c>
      <c r="G388" s="413" t="n">
        <v>21375</v>
      </c>
      <c r="H388" s="413" t="n">
        <v>140125</v>
      </c>
      <c r="I388" s="412" t="inlineStr">
        <is>
          <t>B2B</t>
        </is>
      </c>
    </row>
    <row r="389" ht="12" customHeight="1" s="253">
      <c r="A389" s="414" t="n">
        <v>45839</v>
      </c>
      <c r="B389" s="415" t="n">
        <v>45842</v>
      </c>
      <c r="C389" s="412" t="inlineStr">
        <is>
          <t>INV-25-26-000239</t>
        </is>
      </c>
      <c r="D389" s="412" t="inlineStr">
        <is>
          <t>Overdue</t>
        </is>
      </c>
      <c r="E389" s="412" t="inlineStr">
        <is>
          <t>C&amp;S Partners</t>
        </is>
      </c>
      <c r="F389" s="413" t="n">
        <v>13000</v>
      </c>
      <c r="G389" s="413" t="n">
        <v>2340</v>
      </c>
      <c r="H389" s="413" t="n">
        <v>15340</v>
      </c>
      <c r="I389" s="412" t="inlineStr">
        <is>
          <t>B2B</t>
        </is>
      </c>
    </row>
    <row r="390" ht="12" customHeight="1" s="253">
      <c r="A390" s="414" t="n">
        <v>45839</v>
      </c>
      <c r="B390" s="415" t="n">
        <v>45842</v>
      </c>
      <c r="C390" s="412" t="inlineStr">
        <is>
          <t>INV-25-26-000240</t>
        </is>
      </c>
      <c r="D390" s="412" t="inlineStr">
        <is>
          <t>Closed</t>
        </is>
      </c>
      <c r="E390" s="412" t="inlineStr">
        <is>
          <t>Vikas Mehta</t>
        </is>
      </c>
      <c r="F390" s="413" t="n">
        <v>8000</v>
      </c>
      <c r="G390" s="413" t="n">
        <v>1440</v>
      </c>
      <c r="H390" s="413" t="n">
        <v>9440</v>
      </c>
      <c r="I390" s="412" t="inlineStr">
        <is>
          <t>B2B</t>
        </is>
      </c>
    </row>
    <row r="391" ht="12" customHeight="1" s="253">
      <c r="A391" s="414" t="n">
        <v>45839</v>
      </c>
      <c r="B391" s="415" t="n">
        <v>45842</v>
      </c>
      <c r="C391" s="412" t="inlineStr">
        <is>
          <t>INV-25-26-000241</t>
        </is>
      </c>
      <c r="D391" s="412" t="inlineStr">
        <is>
          <t>Closed</t>
        </is>
      </c>
      <c r="E391" s="412" t="inlineStr">
        <is>
          <t>B2C</t>
        </is>
      </c>
      <c r="F391" s="413" t="n">
        <v>2118</v>
      </c>
      <c r="G391" s="413" t="n">
        <v>381</v>
      </c>
      <c r="H391" s="413" t="n">
        <v>2499</v>
      </c>
      <c r="I391" s="412" t="inlineStr">
        <is>
          <t>B2C</t>
        </is>
      </c>
    </row>
    <row r="392" ht="12" customHeight="1" s="253">
      <c r="A392" s="414" t="n">
        <v>45839</v>
      </c>
      <c r="B392" s="415" t="n">
        <v>45842</v>
      </c>
      <c r="C392" s="412" t="inlineStr">
        <is>
          <t>INV-25-26-000242</t>
        </is>
      </c>
      <c r="D392" s="412" t="inlineStr">
        <is>
          <t>Closed</t>
        </is>
      </c>
      <c r="E392" s="412" t="inlineStr">
        <is>
          <t>Tipping Mr Pink Private Limited</t>
        </is>
      </c>
      <c r="F392" s="413" t="n">
        <v>7000</v>
      </c>
      <c r="G392" s="413" t="n">
        <v>1260</v>
      </c>
      <c r="H392" s="413" t="n">
        <v>8260</v>
      </c>
      <c r="I392" s="412" t="inlineStr">
        <is>
          <t>B2B</t>
        </is>
      </c>
    </row>
    <row r="393" ht="12" customHeight="1" s="253">
      <c r="A393" s="414" t="n">
        <v>45839</v>
      </c>
      <c r="B393" s="415" t="n">
        <v>45843</v>
      </c>
      <c r="C393" s="412" t="inlineStr">
        <is>
          <t>INV-25-26-000243</t>
        </is>
      </c>
      <c r="D393" s="412" t="inlineStr">
        <is>
          <t>Closed</t>
        </is>
      </c>
      <c r="E393" s="412" t="inlineStr">
        <is>
          <t>Swapnil Wagh</t>
        </is>
      </c>
      <c r="F393" s="413" t="n">
        <v>63559</v>
      </c>
      <c r="G393" s="413" t="n">
        <v>11441</v>
      </c>
      <c r="H393" s="413" t="n">
        <v>75000</v>
      </c>
      <c r="I393" s="412" t="inlineStr">
        <is>
          <t>B2B</t>
        </is>
      </c>
    </row>
    <row r="394" ht="12" customHeight="1" s="253">
      <c r="A394" s="414" t="n">
        <v>45839</v>
      </c>
      <c r="B394" s="415" t="n">
        <v>45843</v>
      </c>
      <c r="C394" s="412" t="inlineStr">
        <is>
          <t>INV-25-26-000244</t>
        </is>
      </c>
      <c r="D394" s="412" t="inlineStr">
        <is>
          <t>Closed</t>
        </is>
      </c>
      <c r="E394" s="412" t="inlineStr">
        <is>
          <t>Arpit Gupta</t>
        </is>
      </c>
      <c r="F394" s="413" t="n">
        <v>31500</v>
      </c>
      <c r="G394" s="413" t="n">
        <v>5670</v>
      </c>
      <c r="H394" s="413" t="n">
        <v>37170</v>
      </c>
      <c r="I394" s="412" t="inlineStr">
        <is>
          <t>B2B</t>
        </is>
      </c>
    </row>
    <row r="395" ht="12" customHeight="1" s="253">
      <c r="A395" s="414" t="n">
        <v>45839</v>
      </c>
      <c r="B395" s="415" t="n">
        <v>45843</v>
      </c>
      <c r="C395" s="412" t="inlineStr">
        <is>
          <t>INV-25-26-000245</t>
        </is>
      </c>
      <c r="D395" s="412" t="inlineStr">
        <is>
          <t>Overdue</t>
        </is>
      </c>
      <c r="E395" s="412" t="inlineStr">
        <is>
          <t>Jayakar and Partners</t>
        </is>
      </c>
      <c r="F395" s="413" t="n">
        <v>20000</v>
      </c>
      <c r="G395" s="413" t="n">
        <v>3600</v>
      </c>
      <c r="H395" s="413" t="n">
        <v>23600</v>
      </c>
      <c r="I395" s="412" t="inlineStr">
        <is>
          <t>B2B</t>
        </is>
      </c>
    </row>
    <row r="396" ht="12" customHeight="1" s="253">
      <c r="A396" s="414" t="n">
        <v>45839</v>
      </c>
      <c r="B396" s="415" t="n">
        <v>45844</v>
      </c>
      <c r="C396" s="412" t="inlineStr">
        <is>
          <t>INV-25-26-000246</t>
        </is>
      </c>
      <c r="D396" s="412" t="inlineStr">
        <is>
          <t>Overdue</t>
        </is>
      </c>
      <c r="E396" s="412" t="inlineStr">
        <is>
          <t>Chambers of Ninad Laud</t>
        </is>
      </c>
      <c r="F396" s="413" t="n">
        <v>10000</v>
      </c>
      <c r="G396" s="413" t="n">
        <v>1800</v>
      </c>
      <c r="H396" s="413" t="n">
        <v>11800</v>
      </c>
      <c r="I396" s="412" t="inlineStr">
        <is>
          <t>B2B</t>
        </is>
      </c>
    </row>
    <row r="397" ht="12" customHeight="1" s="253">
      <c r="A397" s="414" t="n">
        <v>45839</v>
      </c>
      <c r="B397" s="415" t="n">
        <v>45845</v>
      </c>
      <c r="C397" s="412" t="inlineStr">
        <is>
          <t>INV-25-26-000248</t>
        </is>
      </c>
      <c r="D397" s="412" t="inlineStr">
        <is>
          <t>Closed</t>
        </is>
      </c>
      <c r="E397" s="412" t="inlineStr">
        <is>
          <t>Darius J. Khambata</t>
        </is>
      </c>
      <c r="F397" s="413" t="n">
        <v>16949</v>
      </c>
      <c r="G397" s="413" t="n">
        <v>3051</v>
      </c>
      <c r="H397" s="413" t="n">
        <v>20000</v>
      </c>
      <c r="I397" s="412" t="inlineStr">
        <is>
          <t>B2B</t>
        </is>
      </c>
    </row>
    <row r="398" ht="12" customHeight="1" s="253">
      <c r="A398" s="414" t="n">
        <v>45839</v>
      </c>
      <c r="B398" s="415" t="n">
        <v>45845</v>
      </c>
      <c r="C398" s="412" t="inlineStr">
        <is>
          <t>INV-25-26-000249</t>
        </is>
      </c>
      <c r="D398" s="412" t="inlineStr">
        <is>
          <t>Closed</t>
        </is>
      </c>
      <c r="E398" s="412" t="inlineStr">
        <is>
          <t>B2C</t>
        </is>
      </c>
      <c r="F398" s="413" t="n">
        <v>423</v>
      </c>
      <c r="G398" s="413" t="n">
        <v>76</v>
      </c>
      <c r="H398" s="413" t="n">
        <v>499</v>
      </c>
      <c r="I398" s="412" t="inlineStr">
        <is>
          <t>B2C</t>
        </is>
      </c>
    </row>
    <row r="399" ht="12" customHeight="1" s="253">
      <c r="A399" s="414" t="n">
        <v>45839</v>
      </c>
      <c r="B399" s="415" t="n">
        <v>45845</v>
      </c>
      <c r="C399" s="412" t="inlineStr">
        <is>
          <t>INV-25-26-000250</t>
        </is>
      </c>
      <c r="D399" s="412" t="inlineStr">
        <is>
          <t>Closed</t>
        </is>
      </c>
      <c r="E399" s="412" t="inlineStr">
        <is>
          <t>Poovayya &amp; CO</t>
        </is>
      </c>
      <c r="F399" s="413" t="n">
        <v>720000</v>
      </c>
      <c r="G399" s="413" t="n">
        <v>129600</v>
      </c>
      <c r="H399" s="413" t="n">
        <v>849600</v>
      </c>
      <c r="I399" s="412" t="inlineStr">
        <is>
          <t>B2B</t>
        </is>
      </c>
    </row>
    <row r="400" ht="12" customHeight="1" s="253">
      <c r="A400" s="414" t="n">
        <v>45839</v>
      </c>
      <c r="B400" s="415" t="n">
        <v>45845</v>
      </c>
      <c r="C400" s="412" t="inlineStr">
        <is>
          <t>INV-25-26-000251</t>
        </is>
      </c>
      <c r="D400" s="412" t="inlineStr">
        <is>
          <t>Overdue</t>
        </is>
      </c>
      <c r="E400" s="412" t="inlineStr">
        <is>
          <t>J INFRATECH LIMITED</t>
        </is>
      </c>
      <c r="F400" s="413" t="n">
        <v>85500</v>
      </c>
      <c r="G400" s="413" t="n">
        <v>15390</v>
      </c>
      <c r="H400" s="413" t="n">
        <v>100890</v>
      </c>
      <c r="I400" s="412" t="inlineStr">
        <is>
          <t>B2B</t>
        </is>
      </c>
    </row>
    <row r="401" ht="12" customHeight="1" s="253">
      <c r="A401" s="414" t="n">
        <v>45839</v>
      </c>
      <c r="B401" s="415" t="n">
        <v>45845</v>
      </c>
      <c r="C401" s="412" t="inlineStr">
        <is>
          <t>INV-25-26-000252</t>
        </is>
      </c>
      <c r="D401" s="412" t="inlineStr">
        <is>
          <t>Closed</t>
        </is>
      </c>
      <c r="E401" s="412" t="inlineStr">
        <is>
          <t>Rohan Shah</t>
        </is>
      </c>
      <c r="F401" s="413" t="n">
        <v>70000</v>
      </c>
      <c r="G401" s="413" t="n">
        <v>12600</v>
      </c>
      <c r="H401" s="413" t="n">
        <v>82600</v>
      </c>
      <c r="I401" s="412" t="inlineStr">
        <is>
          <t>B2B</t>
        </is>
      </c>
    </row>
    <row r="402" ht="12" customHeight="1" s="253">
      <c r="A402" s="414" t="n">
        <v>45839</v>
      </c>
      <c r="B402" s="415" t="n">
        <v>45846</v>
      </c>
      <c r="C402" s="412" t="inlineStr">
        <is>
          <t>INV-25-26-000253</t>
        </is>
      </c>
      <c r="D402" s="412" t="inlineStr">
        <is>
          <t>Closed</t>
        </is>
      </c>
      <c r="E402" s="412" t="inlineStr">
        <is>
          <t>GM Legal</t>
        </is>
      </c>
      <c r="F402" s="413" t="n">
        <v>35000</v>
      </c>
      <c r="G402" s="413" t="n">
        <v>6300</v>
      </c>
      <c r="H402" s="413" t="n">
        <v>41300</v>
      </c>
      <c r="I402" s="412" t="inlineStr">
        <is>
          <t>B2B</t>
        </is>
      </c>
    </row>
    <row r="403" ht="12" customHeight="1" s="253">
      <c r="A403" s="414" t="n">
        <v>45839</v>
      </c>
      <c r="B403" s="415" t="n">
        <v>45846</v>
      </c>
      <c r="C403" s="412" t="inlineStr">
        <is>
          <t>INV-25-26-000254</t>
        </is>
      </c>
      <c r="D403" s="412" t="inlineStr">
        <is>
          <t>Closed</t>
        </is>
      </c>
      <c r="E403" s="412" t="inlineStr">
        <is>
          <t>S Priya</t>
        </is>
      </c>
      <c r="F403" s="413" t="n">
        <v>70000</v>
      </c>
      <c r="G403" s="413" t="n">
        <v>12600</v>
      </c>
      <c r="H403" s="413" t="n">
        <v>82600</v>
      </c>
      <c r="I403" s="412" t="inlineStr">
        <is>
          <t>B2B</t>
        </is>
      </c>
    </row>
    <row r="404" ht="12" customHeight="1" s="253">
      <c r="A404" s="414" t="n">
        <v>45839</v>
      </c>
      <c r="B404" s="415" t="n">
        <v>45846</v>
      </c>
      <c r="C404" s="412" t="inlineStr">
        <is>
          <t>INV-25-26-000255</t>
        </is>
      </c>
      <c r="D404" s="412" t="inlineStr">
        <is>
          <t>Closed</t>
        </is>
      </c>
      <c r="E404" s="412" t="inlineStr">
        <is>
          <t>Rajeev K. Virmani</t>
        </is>
      </c>
      <c r="F404" s="413" t="n">
        <v>7500</v>
      </c>
      <c r="G404" s="413" t="n">
        <v>1350</v>
      </c>
      <c r="H404" s="413" t="n">
        <v>8850</v>
      </c>
      <c r="I404" s="412" t="inlineStr">
        <is>
          <t>B2B</t>
        </is>
      </c>
    </row>
    <row r="405" ht="12" customHeight="1" s="253">
      <c r="A405" s="414" t="n">
        <v>45839</v>
      </c>
      <c r="B405" s="415" t="n">
        <v>45847</v>
      </c>
      <c r="C405" s="412" t="inlineStr">
        <is>
          <t>INV-25-26-000256</t>
        </is>
      </c>
      <c r="D405" s="412" t="inlineStr">
        <is>
          <t>Closed</t>
        </is>
      </c>
      <c r="E405" s="412" t="inlineStr">
        <is>
          <t>Manish kelker</t>
        </is>
      </c>
      <c r="F405" s="413" t="n">
        <v>3389</v>
      </c>
      <c r="G405" s="413" t="n">
        <v>610</v>
      </c>
      <c r="H405" s="413" t="n">
        <v>3999</v>
      </c>
      <c r="I405" s="412" t="inlineStr">
        <is>
          <t>B2B</t>
        </is>
      </c>
    </row>
    <row r="406" ht="12" customHeight="1" s="253">
      <c r="A406" s="414" t="n">
        <v>45839</v>
      </c>
      <c r="B406" s="415" t="n">
        <v>45847</v>
      </c>
      <c r="C406" s="412" t="inlineStr">
        <is>
          <t>INV-25-26-000257</t>
        </is>
      </c>
      <c r="D406" s="412" t="inlineStr">
        <is>
          <t>Closed</t>
        </is>
      </c>
      <c r="E406" s="412" t="inlineStr">
        <is>
          <t>Vaish Associates</t>
        </is>
      </c>
      <c r="F406" s="413" t="n">
        <v>20000</v>
      </c>
      <c r="G406" s="413" t="n">
        <v>3600</v>
      </c>
      <c r="H406" s="413" t="n">
        <v>23600</v>
      </c>
      <c r="I406" s="412" t="inlineStr">
        <is>
          <t>B2B</t>
        </is>
      </c>
    </row>
    <row r="407" ht="12" customHeight="1" s="253">
      <c r="A407" s="414" t="n">
        <v>45839</v>
      </c>
      <c r="B407" s="415" t="n">
        <v>45847</v>
      </c>
      <c r="C407" s="412" t="inlineStr">
        <is>
          <t>INV-25-26-000258</t>
        </is>
      </c>
      <c r="D407" s="412" t="inlineStr">
        <is>
          <t>Closed</t>
        </is>
      </c>
      <c r="E407" s="412" t="inlineStr">
        <is>
          <t>Acuity Law LLP</t>
        </is>
      </c>
      <c r="F407" s="413" t="n">
        <v>50000</v>
      </c>
      <c r="G407" s="413" t="n">
        <v>9000</v>
      </c>
      <c r="H407" s="413" t="n">
        <v>59000</v>
      </c>
      <c r="I407" s="412" t="inlineStr">
        <is>
          <t>B2B</t>
        </is>
      </c>
    </row>
    <row r="408" ht="12" customHeight="1" s="253">
      <c r="A408" s="414" t="n">
        <v>45839</v>
      </c>
      <c r="B408" s="415" t="n">
        <v>45848</v>
      </c>
      <c r="C408" s="412" t="inlineStr">
        <is>
          <t>INV-25-26-000259</t>
        </is>
      </c>
      <c r="D408" s="412" t="inlineStr">
        <is>
          <t>Closed</t>
        </is>
      </c>
      <c r="E408" s="412" t="inlineStr">
        <is>
          <t>Swapna Sheshadri</t>
        </is>
      </c>
      <c r="F408" s="413" t="n">
        <v>10000</v>
      </c>
      <c r="G408" s="413" t="n">
        <v>1800</v>
      </c>
      <c r="H408" s="413" t="n">
        <v>11800</v>
      </c>
      <c r="I408" s="412" t="inlineStr">
        <is>
          <t>B2B</t>
        </is>
      </c>
    </row>
    <row r="409" ht="12" customHeight="1" s="253">
      <c r="A409" s="414" t="n">
        <v>45839</v>
      </c>
      <c r="B409" s="415" t="n">
        <v>45848</v>
      </c>
      <c r="C409" s="412" t="inlineStr">
        <is>
          <t>INV-25-26-000260</t>
        </is>
      </c>
      <c r="D409" s="412" t="inlineStr">
        <is>
          <t>Overdue</t>
        </is>
      </c>
      <c r="E409" s="412" t="inlineStr">
        <is>
          <t>SKR &amp; associates</t>
        </is>
      </c>
      <c r="F409" s="413" t="n">
        <v>8729</v>
      </c>
      <c r="G409" s="413" t="n">
        <v>1571</v>
      </c>
      <c r="H409" s="413" t="n">
        <v>10300</v>
      </c>
      <c r="I409" s="412" t="inlineStr">
        <is>
          <t>B2B</t>
        </is>
      </c>
    </row>
    <row r="410" ht="12" customHeight="1" s="253">
      <c r="A410" s="414" t="n">
        <v>45839</v>
      </c>
      <c r="B410" s="415" t="n">
        <v>45848</v>
      </c>
      <c r="C410" s="412" t="inlineStr">
        <is>
          <t>INV-25-26-000261</t>
        </is>
      </c>
      <c r="D410" s="412" t="inlineStr">
        <is>
          <t>Closed</t>
        </is>
      </c>
      <c r="E410" s="412" t="inlineStr">
        <is>
          <t>Ujjwal Sharma</t>
        </is>
      </c>
      <c r="F410" s="413" t="n">
        <v>63000</v>
      </c>
      <c r="G410" s="413" t="n">
        <v>11340</v>
      </c>
      <c r="H410" s="413" t="n">
        <v>74340</v>
      </c>
      <c r="I410" s="412" t="inlineStr">
        <is>
          <t>B2B</t>
        </is>
      </c>
    </row>
    <row r="411" ht="12" customHeight="1" s="253">
      <c r="A411" s="414" t="n">
        <v>45839</v>
      </c>
      <c r="B411" s="415" t="n">
        <v>45849</v>
      </c>
      <c r="C411" s="412" t="inlineStr">
        <is>
          <t>INV-25-26-000262</t>
        </is>
      </c>
      <c r="D411" s="412" t="inlineStr">
        <is>
          <t>Closed</t>
        </is>
      </c>
      <c r="E411" s="412" t="inlineStr">
        <is>
          <t>Rahul Saboo, Advocate</t>
        </is>
      </c>
      <c r="F411" s="413" t="n">
        <v>8475</v>
      </c>
      <c r="G411" s="413" t="n">
        <v>1525</v>
      </c>
      <c r="H411" s="413" t="n">
        <v>10000</v>
      </c>
      <c r="I411" s="412" t="inlineStr">
        <is>
          <t>B2B</t>
        </is>
      </c>
    </row>
    <row r="412" ht="12" customHeight="1" s="253">
      <c r="A412" s="414" t="n">
        <v>45839</v>
      </c>
      <c r="B412" s="415" t="n">
        <v>45850</v>
      </c>
      <c r="C412" s="412" t="inlineStr">
        <is>
          <t>INV-25-26-000263</t>
        </is>
      </c>
      <c r="D412" s="412" t="inlineStr">
        <is>
          <t>Closed</t>
        </is>
      </c>
      <c r="E412" s="412" t="inlineStr">
        <is>
          <t>Diwan Law Associates</t>
        </is>
      </c>
      <c r="F412" s="413" t="n">
        <v>4237</v>
      </c>
      <c r="G412" s="413" t="n">
        <v>763</v>
      </c>
      <c r="H412" s="413" t="n">
        <v>5000</v>
      </c>
      <c r="I412" s="412" t="inlineStr">
        <is>
          <t>B2B</t>
        </is>
      </c>
    </row>
    <row r="413" ht="12" customHeight="1" s="253">
      <c r="A413" s="414" t="n">
        <v>45839</v>
      </c>
      <c r="B413" s="415" t="n">
        <v>45850</v>
      </c>
      <c r="C413" s="412" t="inlineStr">
        <is>
          <t>INV-25-26-000264</t>
        </is>
      </c>
      <c r="D413" s="412" t="inlineStr">
        <is>
          <t>Closed</t>
        </is>
      </c>
      <c r="E413" s="412" t="inlineStr">
        <is>
          <t>Megha Chandra</t>
        </is>
      </c>
      <c r="F413" s="413" t="n">
        <v>10000</v>
      </c>
      <c r="G413" s="413" t="n">
        <v>1800</v>
      </c>
      <c r="H413" s="413" t="n">
        <v>11800</v>
      </c>
      <c r="I413" s="412" t="inlineStr">
        <is>
          <t>B2B</t>
        </is>
      </c>
    </row>
    <row r="414" ht="12" customHeight="1" s="253">
      <c r="A414" s="414" t="n">
        <v>45839</v>
      </c>
      <c r="B414" s="415" t="n">
        <v>45850</v>
      </c>
      <c r="C414" s="412" t="inlineStr">
        <is>
          <t>INV-25-26-000265</t>
        </is>
      </c>
      <c r="D414" s="412" t="inlineStr">
        <is>
          <t>Closed</t>
        </is>
      </c>
      <c r="E414" s="412" t="inlineStr">
        <is>
          <t>Hamza mir</t>
        </is>
      </c>
      <c r="F414" s="413" t="n">
        <v>5000</v>
      </c>
      <c r="G414" s="413" t="n">
        <v>900</v>
      </c>
      <c r="H414" s="413" t="n">
        <v>5900</v>
      </c>
      <c r="I414" s="412" t="inlineStr">
        <is>
          <t>B2B</t>
        </is>
      </c>
    </row>
    <row r="415" ht="12" customHeight="1" s="253">
      <c r="A415" s="414" t="n">
        <v>45839</v>
      </c>
      <c r="B415" s="415" t="n">
        <v>45852</v>
      </c>
      <c r="C415" s="412" t="inlineStr">
        <is>
          <t>INV-25-26-000266</t>
        </is>
      </c>
      <c r="D415" s="412" t="inlineStr">
        <is>
          <t>Overdue</t>
        </is>
      </c>
      <c r="E415" s="412" t="inlineStr">
        <is>
          <t>Trust Law Advocate &amp; Solicitors</t>
        </is>
      </c>
      <c r="F415" s="413" t="n">
        <v>151200</v>
      </c>
      <c r="G415" s="413" t="n">
        <v>27216</v>
      </c>
      <c r="H415" s="413" t="n">
        <v>178416</v>
      </c>
      <c r="I415" s="412" t="inlineStr">
        <is>
          <t>B2B</t>
        </is>
      </c>
    </row>
    <row r="416" ht="12" customHeight="1" s="253">
      <c r="A416" s="414" t="n">
        <v>45839</v>
      </c>
      <c r="B416" s="415" t="n">
        <v>45852</v>
      </c>
      <c r="C416" s="412" t="inlineStr">
        <is>
          <t>INV-25-26-000267</t>
        </is>
      </c>
      <c r="D416" s="412" t="inlineStr">
        <is>
          <t>Overdue</t>
        </is>
      </c>
      <c r="E416" s="412" t="inlineStr">
        <is>
          <t>Priyanshi Kholia</t>
        </is>
      </c>
      <c r="F416" s="413" t="n">
        <v>30000</v>
      </c>
      <c r="G416" s="413" t="n">
        <v>5400</v>
      </c>
      <c r="H416" s="413" t="n">
        <v>35400</v>
      </c>
      <c r="I416" s="412" t="inlineStr">
        <is>
          <t>B2B</t>
        </is>
      </c>
    </row>
    <row r="417" ht="12" customHeight="1" s="253">
      <c r="A417" s="414" t="n">
        <v>45839</v>
      </c>
      <c r="B417" s="415" t="n">
        <v>45852</v>
      </c>
      <c r="C417" s="412" t="inlineStr">
        <is>
          <t>INV-25-26-000268</t>
        </is>
      </c>
      <c r="D417" s="412" t="inlineStr">
        <is>
          <t>Overdue</t>
        </is>
      </c>
      <c r="E417" s="412" t="inlineStr">
        <is>
          <t>Khaitan Legal Associates</t>
        </is>
      </c>
      <c r="F417" s="413" t="n">
        <v>16949</v>
      </c>
      <c r="G417" s="413" t="n">
        <v>3051</v>
      </c>
      <c r="H417" s="413" t="n">
        <v>20000</v>
      </c>
      <c r="I417" s="412" t="inlineStr">
        <is>
          <t>B2B</t>
        </is>
      </c>
    </row>
    <row r="418" ht="12" customHeight="1" s="253">
      <c r="A418" s="414" t="n">
        <v>45839</v>
      </c>
      <c r="B418" s="415" t="n">
        <v>45852</v>
      </c>
      <c r="C418" s="412" t="inlineStr">
        <is>
          <t>INV-25-26-000269</t>
        </is>
      </c>
      <c r="D418" s="412" t="inlineStr">
        <is>
          <t>Closed</t>
        </is>
      </c>
      <c r="E418" s="412" t="inlineStr">
        <is>
          <t>Rithin Rai</t>
        </is>
      </c>
      <c r="F418" s="413" t="n">
        <v>6250</v>
      </c>
      <c r="G418" s="413" t="n">
        <v>1125</v>
      </c>
      <c r="H418" s="413" t="n">
        <v>7375</v>
      </c>
      <c r="I418" s="412" t="inlineStr">
        <is>
          <t>B2B</t>
        </is>
      </c>
    </row>
    <row r="419" ht="12" customHeight="1" s="253">
      <c r="A419" s="414" t="n">
        <v>45839</v>
      </c>
      <c r="B419" s="415" t="n">
        <v>45852</v>
      </c>
      <c r="C419" s="412" t="inlineStr">
        <is>
          <t>INV-25-26-000270</t>
        </is>
      </c>
      <c r="D419" s="412" t="inlineStr">
        <is>
          <t>Closed</t>
        </is>
      </c>
      <c r="E419" s="412" t="inlineStr">
        <is>
          <t>Rithin Rai</t>
        </is>
      </c>
      <c r="F419" s="413" t="n">
        <v>20000</v>
      </c>
      <c r="G419" s="413" t="n">
        <v>3600</v>
      </c>
      <c r="H419" s="413" t="n">
        <v>23600</v>
      </c>
      <c r="I419" s="412" t="inlineStr">
        <is>
          <t>B2B</t>
        </is>
      </c>
    </row>
    <row r="420" ht="12" customHeight="1" s="253">
      <c r="A420" s="414" t="n">
        <v>45839</v>
      </c>
      <c r="B420" s="415" t="n">
        <v>45853</v>
      </c>
      <c r="C420" s="412" t="inlineStr">
        <is>
          <t>INV-25-26-000271</t>
        </is>
      </c>
      <c r="D420" s="412" t="inlineStr">
        <is>
          <t>Overdue</t>
        </is>
      </c>
      <c r="E420" s="412" t="inlineStr">
        <is>
          <t>TLH, Advocates &amp; Solicitors</t>
        </is>
      </c>
      <c r="F420" s="413" t="n">
        <v>184593</v>
      </c>
      <c r="G420" s="413" t="n">
        <v>33227</v>
      </c>
      <c r="H420" s="413" t="n">
        <v>217819</v>
      </c>
      <c r="I420" s="412" t="inlineStr">
        <is>
          <t>B2B</t>
        </is>
      </c>
    </row>
    <row r="421" ht="12" customHeight="1" s="253">
      <c r="A421" s="414" t="n">
        <v>45839</v>
      </c>
      <c r="B421" s="415" t="n">
        <v>45853</v>
      </c>
      <c r="C421" s="412" t="inlineStr">
        <is>
          <t>INV-25-26-000272</t>
        </is>
      </c>
      <c r="D421" s="412" t="inlineStr">
        <is>
          <t>Overdue</t>
        </is>
      </c>
      <c r="E421" s="412" t="inlineStr">
        <is>
          <t>R. Vishnu Kumar, Advocate</t>
        </is>
      </c>
      <c r="F421" s="413" t="n">
        <v>16950</v>
      </c>
      <c r="G421" s="413" t="n">
        <v>3051</v>
      </c>
      <c r="H421" s="413" t="n">
        <v>20001</v>
      </c>
      <c r="I421" s="412" t="inlineStr">
        <is>
          <t>B2B</t>
        </is>
      </c>
    </row>
    <row r="422" ht="12" customHeight="1" s="253">
      <c r="A422" s="414" t="n">
        <v>45839</v>
      </c>
      <c r="B422" s="415" t="n">
        <v>45853</v>
      </c>
      <c r="C422" s="412" t="inlineStr">
        <is>
          <t>INV-25-26-000273</t>
        </is>
      </c>
      <c r="D422" s="412" t="inlineStr">
        <is>
          <t>Closed</t>
        </is>
      </c>
      <c r="E422" s="412" t="inlineStr">
        <is>
          <t>Bishwajit Dubey</t>
        </is>
      </c>
      <c r="F422" s="413" t="n">
        <v>40500</v>
      </c>
      <c r="G422" s="413" t="n">
        <v>7290</v>
      </c>
      <c r="H422" s="413" t="n">
        <v>47790</v>
      </c>
      <c r="I422" s="412" t="inlineStr">
        <is>
          <t>B2B</t>
        </is>
      </c>
    </row>
    <row r="423" ht="12" customHeight="1" s="253">
      <c r="A423" s="414" t="n">
        <v>45839</v>
      </c>
      <c r="B423" s="415" t="n">
        <v>45853</v>
      </c>
      <c r="C423" s="412" t="inlineStr">
        <is>
          <t>INV-25-26-000274</t>
        </is>
      </c>
      <c r="D423" s="412" t="inlineStr">
        <is>
          <t>Closed</t>
        </is>
      </c>
      <c r="E423" s="412" t="inlineStr">
        <is>
          <t>Krati Gupta</t>
        </is>
      </c>
      <c r="F423" s="413" t="n">
        <v>30000</v>
      </c>
      <c r="G423" s="413" t="n">
        <v>5400</v>
      </c>
      <c r="H423" s="413" t="n">
        <v>35400</v>
      </c>
      <c r="I423" s="412" t="inlineStr">
        <is>
          <t>B2B</t>
        </is>
      </c>
    </row>
    <row r="424" ht="12" customHeight="1" s="253">
      <c r="A424" s="414" t="n">
        <v>45839</v>
      </c>
      <c r="B424" s="415" t="n">
        <v>45854</v>
      </c>
      <c r="C424" s="412" t="inlineStr">
        <is>
          <t>INV-25-26-000275</t>
        </is>
      </c>
      <c r="D424" s="412" t="inlineStr">
        <is>
          <t>Closed</t>
        </is>
      </c>
      <c r="E424" s="412" t="inlineStr">
        <is>
          <t>B2C</t>
        </is>
      </c>
      <c r="F424" s="413" t="n">
        <v>2964</v>
      </c>
      <c r="G424" s="413" t="n">
        <v>533</v>
      </c>
      <c r="H424" s="413" t="n">
        <v>3497</v>
      </c>
      <c r="I424" s="412" t="inlineStr">
        <is>
          <t>B2C</t>
        </is>
      </c>
    </row>
    <row r="425" ht="12" customHeight="1" s="253">
      <c r="A425" s="414" t="n">
        <v>45839</v>
      </c>
      <c r="B425" s="415" t="n">
        <v>45854</v>
      </c>
      <c r="C425" s="412" t="inlineStr">
        <is>
          <t>INV-25-26-000276</t>
        </is>
      </c>
      <c r="D425" s="412" t="inlineStr">
        <is>
          <t>Closed</t>
        </is>
      </c>
      <c r="E425" s="412" t="inlineStr">
        <is>
          <t>S C Sharada &amp; Associates| Company Secretaries</t>
        </is>
      </c>
      <c r="F425" s="413" t="n">
        <v>8000</v>
      </c>
      <c r="G425" s="413" t="n">
        <v>1440</v>
      </c>
      <c r="H425" s="413" t="n">
        <v>9440</v>
      </c>
      <c r="I425" s="412" t="inlineStr">
        <is>
          <t>B2B</t>
        </is>
      </c>
    </row>
    <row r="426" ht="12" customHeight="1" s="253">
      <c r="A426" s="414" t="n">
        <v>45839</v>
      </c>
      <c r="B426" s="415" t="n">
        <v>45854</v>
      </c>
      <c r="C426" s="412" t="inlineStr">
        <is>
          <t>INV-25-26-000277</t>
        </is>
      </c>
      <c r="D426" s="412" t="inlineStr">
        <is>
          <t>Overdue</t>
        </is>
      </c>
      <c r="E426" s="412" t="inlineStr">
        <is>
          <t>Agama Law Associates</t>
        </is>
      </c>
      <c r="F426" s="413" t="n">
        <v>67797</v>
      </c>
      <c r="G426" s="413" t="n">
        <v>12203</v>
      </c>
      <c r="H426" s="413" t="n">
        <v>80000</v>
      </c>
      <c r="I426" s="412" t="inlineStr">
        <is>
          <t>B2B</t>
        </is>
      </c>
    </row>
    <row r="427" ht="12" customHeight="1" s="253">
      <c r="A427" s="414" t="n">
        <v>45839</v>
      </c>
      <c r="B427" s="415" t="n">
        <v>45854</v>
      </c>
      <c r="C427" s="412" t="inlineStr">
        <is>
          <t>INV-25-26-000278</t>
        </is>
      </c>
      <c r="D427" s="412" t="inlineStr">
        <is>
          <t>Closed</t>
        </is>
      </c>
      <c r="E427" s="412" t="inlineStr">
        <is>
          <t>Hamsaanandini Nanduri</t>
        </is>
      </c>
      <c r="F427" s="413" t="n">
        <v>21600</v>
      </c>
      <c r="G427" s="413" t="n">
        <v>3888</v>
      </c>
      <c r="H427" s="413" t="n">
        <v>25488</v>
      </c>
      <c r="I427" s="412" t="inlineStr">
        <is>
          <t>B2B</t>
        </is>
      </c>
    </row>
    <row r="428" ht="12" customHeight="1" s="253">
      <c r="A428" s="414" t="n">
        <v>45839</v>
      </c>
      <c r="B428" s="415" t="n">
        <v>45854</v>
      </c>
      <c r="C428" s="412" t="inlineStr">
        <is>
          <t>INV-25-26-000279</t>
        </is>
      </c>
      <c r="D428" s="412" t="inlineStr">
        <is>
          <t>Closed</t>
        </is>
      </c>
      <c r="E428" s="412" t="inlineStr">
        <is>
          <t>Monalisa Kosaria</t>
        </is>
      </c>
      <c r="F428" s="413" t="n">
        <v>70000</v>
      </c>
      <c r="G428" s="413" t="n">
        <v>12600</v>
      </c>
      <c r="H428" s="413" t="n">
        <v>82600</v>
      </c>
      <c r="I428" s="412" t="inlineStr">
        <is>
          <t>B2B</t>
        </is>
      </c>
    </row>
    <row r="429" ht="12" customHeight="1" s="253">
      <c r="A429" s="414" t="n">
        <v>45839</v>
      </c>
      <c r="B429" s="415" t="n">
        <v>45854</v>
      </c>
      <c r="C429" s="412" t="inlineStr">
        <is>
          <t>INV-25-26-000280</t>
        </is>
      </c>
      <c r="D429" s="412" t="inlineStr">
        <is>
          <t>Overdue</t>
        </is>
      </c>
      <c r="E429" s="412" t="inlineStr">
        <is>
          <t>Gupta Law Associates</t>
        </is>
      </c>
      <c r="F429" s="413" t="n">
        <v>142373</v>
      </c>
      <c r="G429" s="413" t="n">
        <v>25627</v>
      </c>
      <c r="H429" s="413" t="n">
        <v>168000</v>
      </c>
      <c r="I429" s="412" t="inlineStr">
        <is>
          <t>B2B</t>
        </is>
      </c>
    </row>
    <row r="430" ht="12" customHeight="1" s="253">
      <c r="A430" s="414" t="n">
        <v>45839</v>
      </c>
      <c r="B430" s="415" t="n">
        <v>45854</v>
      </c>
      <c r="C430" s="412" t="inlineStr">
        <is>
          <t>INV-25-26-000281</t>
        </is>
      </c>
      <c r="D430" s="412" t="inlineStr">
        <is>
          <t>Closed</t>
        </is>
      </c>
      <c r="E430" s="412" t="inlineStr">
        <is>
          <t>Yakshay Chheda</t>
        </is>
      </c>
      <c r="F430" s="413" t="n">
        <v>35000</v>
      </c>
      <c r="G430" s="413" t="n">
        <v>6300</v>
      </c>
      <c r="H430" s="413" t="n">
        <v>41300</v>
      </c>
      <c r="I430" s="412" t="inlineStr">
        <is>
          <t>B2B</t>
        </is>
      </c>
    </row>
    <row r="431" ht="12" customHeight="1" s="253">
      <c r="A431" s="414" t="n">
        <v>45839</v>
      </c>
      <c r="B431" s="415" t="n">
        <v>45855</v>
      </c>
      <c r="C431" s="412" t="inlineStr">
        <is>
          <t>INV-25-26-000282</t>
        </is>
      </c>
      <c r="D431" s="412" t="inlineStr">
        <is>
          <t>Closed</t>
        </is>
      </c>
      <c r="E431" s="412" t="inlineStr">
        <is>
          <t>Krishnan Venugopal</t>
        </is>
      </c>
      <c r="F431" s="413" t="n">
        <v>70000</v>
      </c>
      <c r="G431" s="413" t="n">
        <v>12600</v>
      </c>
      <c r="H431" s="413" t="n">
        <v>82600</v>
      </c>
      <c r="I431" s="412" t="inlineStr">
        <is>
          <t>B2B</t>
        </is>
      </c>
    </row>
    <row r="432" ht="12" customHeight="1" s="253">
      <c r="A432" s="414" t="n">
        <v>45839</v>
      </c>
      <c r="B432" s="415" t="n">
        <v>45855</v>
      </c>
      <c r="C432" s="412" t="inlineStr">
        <is>
          <t>INV-25-26-000283</t>
        </is>
      </c>
      <c r="D432" s="412" t="inlineStr">
        <is>
          <t>Closed</t>
        </is>
      </c>
      <c r="E432" s="412" t="inlineStr">
        <is>
          <t>Vardharma Chambers</t>
        </is>
      </c>
      <c r="F432" s="413" t="n">
        <v>30000</v>
      </c>
      <c r="G432" s="413" t="n">
        <v>5400</v>
      </c>
      <c r="H432" s="413" t="n">
        <v>35400</v>
      </c>
      <c r="I432" s="412" t="inlineStr">
        <is>
          <t>B2B</t>
        </is>
      </c>
    </row>
    <row r="433" ht="12" customHeight="1" s="253">
      <c r="A433" s="414" t="n">
        <v>45839</v>
      </c>
      <c r="B433" s="415" t="n">
        <v>45855</v>
      </c>
      <c r="C433" s="412" t="inlineStr">
        <is>
          <t>INV-25-26-000284</t>
        </is>
      </c>
      <c r="D433" s="412" t="inlineStr">
        <is>
          <t>Closed</t>
        </is>
      </c>
      <c r="E433" s="412" t="inlineStr">
        <is>
          <t>GC Legal</t>
        </is>
      </c>
      <c r="F433" s="413" t="n">
        <v>7000</v>
      </c>
      <c r="G433" s="413" t="n">
        <v>1260</v>
      </c>
      <c r="H433" s="413" t="n">
        <v>8260</v>
      </c>
      <c r="I433" s="412" t="inlineStr">
        <is>
          <t>B2B</t>
        </is>
      </c>
    </row>
    <row r="434" ht="12" customHeight="1" s="253">
      <c r="A434" s="414" t="n">
        <v>45839</v>
      </c>
      <c r="B434" s="415" t="n">
        <v>45856</v>
      </c>
      <c r="C434" s="412" t="inlineStr">
        <is>
          <t>INV-25-26-000285</t>
        </is>
      </c>
      <c r="D434" s="412" t="inlineStr">
        <is>
          <t>Closed</t>
        </is>
      </c>
      <c r="E434" s="412" t="inlineStr">
        <is>
          <t>Anush Raajan</t>
        </is>
      </c>
      <c r="F434" s="413" t="n">
        <v>70000</v>
      </c>
      <c r="G434" s="413" t="n">
        <v>12600</v>
      </c>
      <c r="H434" s="413" t="n">
        <v>82600</v>
      </c>
      <c r="I434" s="412" t="inlineStr">
        <is>
          <t>B2B</t>
        </is>
      </c>
    </row>
    <row r="435" ht="12" customHeight="1" s="253">
      <c r="A435" s="414" t="n">
        <v>45839</v>
      </c>
      <c r="B435" s="415" t="n">
        <v>45856</v>
      </c>
      <c r="C435" s="412" t="inlineStr">
        <is>
          <t>INV-25-26-000286</t>
        </is>
      </c>
      <c r="D435" s="412" t="inlineStr">
        <is>
          <t>Overdue</t>
        </is>
      </c>
      <c r="E435" s="412" t="inlineStr">
        <is>
          <t>Philips India Limited</t>
        </is>
      </c>
      <c r="F435" s="413" t="n">
        <v>259207</v>
      </c>
      <c r="G435" s="413" t="n">
        <v>46657</v>
      </c>
      <c r="H435" s="413" t="n">
        <v>305864</v>
      </c>
      <c r="I435" s="412" t="inlineStr">
        <is>
          <t>B2B</t>
        </is>
      </c>
    </row>
    <row r="436" ht="12" customHeight="1" s="253">
      <c r="A436" s="414" t="n">
        <v>45839</v>
      </c>
      <c r="B436" s="415" t="n">
        <v>45857</v>
      </c>
      <c r="C436" s="412" t="inlineStr">
        <is>
          <t>INV-25-26-000287</t>
        </is>
      </c>
      <c r="D436" s="412" t="inlineStr">
        <is>
          <t>Closed</t>
        </is>
      </c>
      <c r="E436" s="412" t="inlineStr">
        <is>
          <t>Gauri Puri</t>
        </is>
      </c>
      <c r="F436" s="413" t="n">
        <v>6000</v>
      </c>
      <c r="G436" s="413" t="n">
        <v>1080</v>
      </c>
      <c r="H436" s="413" t="n">
        <v>7080</v>
      </c>
      <c r="I436" s="412" t="inlineStr">
        <is>
          <t>B2B</t>
        </is>
      </c>
    </row>
    <row r="437" ht="12" customHeight="1" s="253">
      <c r="A437" s="414" t="n">
        <v>45839</v>
      </c>
      <c r="B437" s="415" t="n">
        <v>45857</v>
      </c>
      <c r="C437" s="412" t="inlineStr">
        <is>
          <t>INV-25-26-000288</t>
        </is>
      </c>
      <c r="D437" s="412" t="inlineStr">
        <is>
          <t>Closed</t>
        </is>
      </c>
      <c r="E437" s="412" t="inlineStr">
        <is>
          <t>Amit Bhagat</t>
        </is>
      </c>
      <c r="F437" s="413" t="n">
        <v>5000</v>
      </c>
      <c r="G437" s="413" t="n">
        <v>900</v>
      </c>
      <c r="H437" s="413" t="n">
        <v>5900</v>
      </c>
      <c r="I437" s="412" t="inlineStr">
        <is>
          <t>B2B</t>
        </is>
      </c>
    </row>
    <row r="438" ht="12" customHeight="1" s="253">
      <c r="A438" s="414" t="n">
        <v>45839</v>
      </c>
      <c r="B438" s="415" t="n">
        <v>45857</v>
      </c>
      <c r="C438" s="412" t="inlineStr">
        <is>
          <t>INV-25-26-000289</t>
        </is>
      </c>
      <c r="D438" s="412" t="inlineStr">
        <is>
          <t>Closed</t>
        </is>
      </c>
      <c r="E438" s="412" t="inlineStr">
        <is>
          <t>Nayana Tara BG</t>
        </is>
      </c>
      <c r="F438" s="413" t="n">
        <v>35000</v>
      </c>
      <c r="G438" s="413" t="n">
        <v>6300</v>
      </c>
      <c r="H438" s="413" t="n">
        <v>41300</v>
      </c>
      <c r="I438" s="412" t="inlineStr">
        <is>
          <t>B2B</t>
        </is>
      </c>
    </row>
    <row r="439" ht="12" customHeight="1" s="253">
      <c r="A439" s="414" t="n">
        <v>45839</v>
      </c>
      <c r="B439" s="415" t="n">
        <v>45857</v>
      </c>
      <c r="C439" s="412" t="inlineStr">
        <is>
          <t>INV-25-26-000290</t>
        </is>
      </c>
      <c r="D439" s="412" t="inlineStr">
        <is>
          <t>Overdue</t>
        </is>
      </c>
      <c r="E439" s="412" t="inlineStr">
        <is>
          <t>PSP Legal</t>
        </is>
      </c>
      <c r="F439" s="413" t="n">
        <v>138000</v>
      </c>
      <c r="G439" s="413" t="n">
        <v>24840</v>
      </c>
      <c r="H439" s="413" t="n">
        <v>162840</v>
      </c>
      <c r="I439" s="412" t="inlineStr">
        <is>
          <t>B2B</t>
        </is>
      </c>
    </row>
    <row r="440" ht="12" customHeight="1" s="253">
      <c r="A440" s="414" t="n">
        <v>45839</v>
      </c>
      <c r="B440" s="415" t="n">
        <v>45857</v>
      </c>
      <c r="C440" s="412" t="inlineStr">
        <is>
          <t>INV-25-26-000291</t>
        </is>
      </c>
      <c r="D440" s="412" t="inlineStr">
        <is>
          <t>Closed</t>
        </is>
      </c>
      <c r="E440" s="412" t="inlineStr">
        <is>
          <t>ICL CORPORATE ADVISORY PRIVATE LIMITED</t>
        </is>
      </c>
      <c r="F440" s="413" t="n">
        <v>1263600</v>
      </c>
      <c r="G440" s="413" t="n">
        <v>227448</v>
      </c>
      <c r="H440" s="413" t="n">
        <v>1491048</v>
      </c>
      <c r="I440" s="412" t="inlineStr">
        <is>
          <t>B2B</t>
        </is>
      </c>
    </row>
    <row r="441" ht="12" customHeight="1" s="253">
      <c r="A441" s="414" t="n">
        <v>45839</v>
      </c>
      <c r="B441" s="415" t="n">
        <v>45859</v>
      </c>
      <c r="C441" s="412" t="inlineStr">
        <is>
          <t>INV-25-26-000292</t>
        </is>
      </c>
      <c r="D441" s="412" t="inlineStr">
        <is>
          <t>Overdue</t>
        </is>
      </c>
      <c r="E441" s="412" t="inlineStr">
        <is>
          <t>Stride Legal</t>
        </is>
      </c>
      <c r="F441" s="413" t="n">
        <v>10000</v>
      </c>
      <c r="G441" s="413" t="n">
        <v>1800</v>
      </c>
      <c r="H441" s="413" t="n">
        <v>11800</v>
      </c>
      <c r="I441" s="412" t="inlineStr">
        <is>
          <t>B2B</t>
        </is>
      </c>
    </row>
    <row r="442" ht="12" customHeight="1" s="253">
      <c r="A442" s="414" t="n">
        <v>45839</v>
      </c>
      <c r="B442" s="415" t="n">
        <v>45859</v>
      </c>
      <c r="C442" s="412" t="inlineStr">
        <is>
          <t>INV-25-26-000293</t>
        </is>
      </c>
      <c r="D442" s="412" t="inlineStr">
        <is>
          <t>Closed</t>
        </is>
      </c>
      <c r="E442" s="412" t="inlineStr">
        <is>
          <t>Vivek Anand Anthony Britto</t>
        </is>
      </c>
      <c r="F442" s="413" t="n">
        <v>96522</v>
      </c>
      <c r="G442" s="413" t="n">
        <v>17374</v>
      </c>
      <c r="H442" s="413" t="n">
        <v>113896</v>
      </c>
      <c r="I442" s="412" t="inlineStr">
        <is>
          <t>B2B</t>
        </is>
      </c>
    </row>
    <row r="443" ht="12" customHeight="1" s="253">
      <c r="A443" s="414" t="n">
        <v>45839</v>
      </c>
      <c r="B443" s="415" t="n">
        <v>45859</v>
      </c>
      <c r="C443" s="412" t="inlineStr">
        <is>
          <t>INV-25-26-000294</t>
        </is>
      </c>
      <c r="D443" s="412" t="inlineStr">
        <is>
          <t>Overdue</t>
        </is>
      </c>
      <c r="E443" s="412" t="inlineStr">
        <is>
          <t>Parinam Law Associates</t>
        </is>
      </c>
      <c r="F443" s="413" t="n">
        <v>20000</v>
      </c>
      <c r="G443" s="413" t="n">
        <v>3600</v>
      </c>
      <c r="H443" s="413" t="n">
        <v>23600</v>
      </c>
      <c r="I443" s="412" t="inlineStr">
        <is>
          <t>B2B</t>
        </is>
      </c>
    </row>
    <row r="444" ht="12" customHeight="1" s="253">
      <c r="A444" s="414" t="n">
        <v>45839</v>
      </c>
      <c r="B444" s="415" t="n">
        <v>45859</v>
      </c>
      <c r="C444" s="412" t="inlineStr">
        <is>
          <t>INV-25-26-000295</t>
        </is>
      </c>
      <c r="D444" s="412" t="inlineStr">
        <is>
          <t>Closed</t>
        </is>
      </c>
      <c r="E444" s="412" t="inlineStr">
        <is>
          <t>Roshan Santhalia</t>
        </is>
      </c>
      <c r="F444" s="413" t="n">
        <v>6000</v>
      </c>
      <c r="G444" s="413" t="n">
        <v>1080</v>
      </c>
      <c r="H444" s="413" t="n">
        <v>7080</v>
      </c>
      <c r="I444" s="412" t="inlineStr">
        <is>
          <t>B2B</t>
        </is>
      </c>
    </row>
    <row r="445" ht="12" customHeight="1" s="253">
      <c r="A445" s="414" t="n">
        <v>45839</v>
      </c>
      <c r="B445" s="415" t="n">
        <v>45859</v>
      </c>
      <c r="C445" s="412" t="inlineStr">
        <is>
          <t>INV-25-26-000296</t>
        </is>
      </c>
      <c r="D445" s="412" t="inlineStr">
        <is>
          <t>Closed</t>
        </is>
      </c>
      <c r="E445" s="412" t="inlineStr">
        <is>
          <t>RHP Partners</t>
        </is>
      </c>
      <c r="F445" s="413" t="n">
        <v>180000</v>
      </c>
      <c r="G445" s="413" t="n">
        <v>32400</v>
      </c>
      <c r="H445" s="413" t="n">
        <v>212400</v>
      </c>
      <c r="I445" s="412" t="inlineStr">
        <is>
          <t>B2B</t>
        </is>
      </c>
    </row>
    <row r="446" ht="12" customHeight="1" s="253">
      <c r="A446" s="414" t="n">
        <v>45839</v>
      </c>
      <c r="B446" s="415" t="n">
        <v>45859</v>
      </c>
      <c r="C446" s="412" t="inlineStr">
        <is>
          <t>INV-25-26-000297</t>
        </is>
      </c>
      <c r="D446" s="412" t="inlineStr">
        <is>
          <t>Overdue</t>
        </is>
      </c>
      <c r="E446" s="412" t="inlineStr">
        <is>
          <t>Sarthak Advocates &amp; Solicitors</t>
        </is>
      </c>
      <c r="F446" s="413" t="n">
        <v>35000</v>
      </c>
      <c r="G446" s="413" t="n">
        <v>6300</v>
      </c>
      <c r="H446" s="413" t="n">
        <v>41300</v>
      </c>
      <c r="I446" s="412" t="inlineStr">
        <is>
          <t>B2B</t>
        </is>
      </c>
    </row>
    <row r="447" ht="12" customHeight="1" s="253">
      <c r="A447" s="414" t="n">
        <v>45839</v>
      </c>
      <c r="B447" s="415" t="n">
        <v>45859</v>
      </c>
      <c r="C447" s="412" t="inlineStr">
        <is>
          <t>INV-25-26-000298</t>
        </is>
      </c>
      <c r="D447" s="412" t="inlineStr">
        <is>
          <t>Closed</t>
        </is>
      </c>
      <c r="E447" s="412" t="inlineStr">
        <is>
          <t>LEGALOGIC CONSULTING LLP</t>
        </is>
      </c>
      <c r="F447" s="413" t="n">
        <v>600000</v>
      </c>
      <c r="G447" s="413" t="n">
        <v>108000</v>
      </c>
      <c r="H447" s="413" t="n">
        <v>708000</v>
      </c>
      <c r="I447" s="412" t="inlineStr">
        <is>
          <t>B2B</t>
        </is>
      </c>
    </row>
    <row r="448" ht="12" customHeight="1" s="253">
      <c r="A448" s="414" t="n">
        <v>45839</v>
      </c>
      <c r="B448" s="415" t="n">
        <v>45859</v>
      </c>
      <c r="C448" s="412" t="inlineStr">
        <is>
          <t>INV-25-26-000299</t>
        </is>
      </c>
      <c r="D448" s="412" t="inlineStr">
        <is>
          <t>Closed</t>
        </is>
      </c>
      <c r="E448" s="412" t="inlineStr">
        <is>
          <t>LegaLogic Consulting</t>
        </is>
      </c>
      <c r="F448" s="413" t="n">
        <v>600000</v>
      </c>
      <c r="G448" s="413" t="n">
        <v>108000</v>
      </c>
      <c r="H448" s="413" t="n">
        <v>708000</v>
      </c>
      <c r="I448" s="412" t="inlineStr">
        <is>
          <t>B2B</t>
        </is>
      </c>
    </row>
    <row r="449" ht="12" customHeight="1" s="253">
      <c r="A449" s="414" t="n">
        <v>45839</v>
      </c>
      <c r="B449" s="415" t="n">
        <v>45859</v>
      </c>
      <c r="C449" s="412" t="inlineStr">
        <is>
          <t>INV-25-26-000300</t>
        </is>
      </c>
      <c r="D449" s="412" t="inlineStr">
        <is>
          <t>Overdue</t>
        </is>
      </c>
      <c r="E449" s="412" t="inlineStr">
        <is>
          <t>Ankit Talsania</t>
        </is>
      </c>
      <c r="F449" s="413" t="n">
        <v>5085</v>
      </c>
      <c r="G449" s="413" t="n">
        <v>915</v>
      </c>
      <c r="H449" s="413" t="n">
        <v>6000</v>
      </c>
      <c r="I449" s="412" t="inlineStr">
        <is>
          <t>B2B</t>
        </is>
      </c>
    </row>
    <row r="450" ht="12" customHeight="1" s="253">
      <c r="A450" s="414" t="n">
        <v>45839</v>
      </c>
      <c r="B450" s="415" t="n">
        <v>45859</v>
      </c>
      <c r="C450" s="412" t="inlineStr">
        <is>
          <t>INV-25-26-000301</t>
        </is>
      </c>
      <c r="D450" s="412" t="inlineStr">
        <is>
          <t>Closed</t>
        </is>
      </c>
      <c r="E450" s="412" t="inlineStr">
        <is>
          <t>ASV Legal LLP</t>
        </is>
      </c>
      <c r="F450" s="413" t="n">
        <v>110169</v>
      </c>
      <c r="G450" s="413" t="n">
        <v>19831</v>
      </c>
      <c r="H450" s="413" t="n">
        <v>130000</v>
      </c>
      <c r="I450" s="412" t="inlineStr">
        <is>
          <t>B2B</t>
        </is>
      </c>
    </row>
    <row r="451" ht="12" customHeight="1" s="253">
      <c r="A451" s="414" t="n">
        <v>45839</v>
      </c>
      <c r="B451" s="415" t="n">
        <v>45859</v>
      </c>
      <c r="C451" s="412" t="inlineStr">
        <is>
          <t>INV-25-26-000302</t>
        </is>
      </c>
      <c r="D451" s="412" t="inlineStr">
        <is>
          <t>Overdue</t>
        </is>
      </c>
      <c r="E451" s="412" t="inlineStr">
        <is>
          <t>Tarun G Reddy</t>
        </is>
      </c>
      <c r="F451" s="413" t="n">
        <v>60000</v>
      </c>
      <c r="G451" s="413" t="n">
        <v>10800</v>
      </c>
      <c r="H451" s="413" t="n">
        <v>70800</v>
      </c>
      <c r="I451" s="412" t="inlineStr">
        <is>
          <t>B2B</t>
        </is>
      </c>
    </row>
    <row r="452" ht="12" customHeight="1" s="253">
      <c r="A452" s="414" t="n">
        <v>45839</v>
      </c>
      <c r="B452" s="415" t="n">
        <v>45860</v>
      </c>
      <c r="C452" s="412" t="inlineStr">
        <is>
          <t>INV-25-26-000303</t>
        </is>
      </c>
      <c r="D452" s="412" t="inlineStr">
        <is>
          <t>Overdue</t>
        </is>
      </c>
      <c r="E452" s="412" t="inlineStr">
        <is>
          <t>Karanjawala &amp; Company Advocates</t>
        </is>
      </c>
      <c r="F452" s="413" t="n">
        <v>20000</v>
      </c>
      <c r="G452" s="413" t="n">
        <v>3600</v>
      </c>
      <c r="H452" s="413" t="n">
        <v>23600</v>
      </c>
      <c r="I452" s="412" t="inlineStr">
        <is>
          <t>B2B</t>
        </is>
      </c>
    </row>
    <row r="453" ht="12" customHeight="1" s="253">
      <c r="A453" s="414" t="n">
        <v>45839</v>
      </c>
      <c r="B453" s="415" t="n">
        <v>45860</v>
      </c>
      <c r="C453" s="412" t="inlineStr">
        <is>
          <t>INV-25-26-000304</t>
        </is>
      </c>
      <c r="D453" s="412" t="inlineStr">
        <is>
          <t>Overdue</t>
        </is>
      </c>
      <c r="E453" s="412" t="inlineStr">
        <is>
          <t>Swapna Sheshadri</t>
        </is>
      </c>
      <c r="F453" s="413" t="n">
        <v>15000</v>
      </c>
      <c r="G453" s="413" t="n">
        <v>2700</v>
      </c>
      <c r="H453" s="413" t="n">
        <v>17700</v>
      </c>
      <c r="I453" s="412" t="inlineStr">
        <is>
          <t>B2B</t>
        </is>
      </c>
    </row>
    <row r="454" ht="12" customHeight="1" s="253">
      <c r="A454" s="414" t="n">
        <v>45839</v>
      </c>
      <c r="B454" s="415" t="n">
        <v>45860</v>
      </c>
      <c r="C454" s="412" t="inlineStr">
        <is>
          <t>INV-25-26-000305</t>
        </is>
      </c>
      <c r="D454" s="412" t="inlineStr">
        <is>
          <t>Closed</t>
        </is>
      </c>
      <c r="E454" s="412" t="inlineStr">
        <is>
          <t>Clavius Legal</t>
        </is>
      </c>
      <c r="F454" s="413" t="n">
        <v>20000</v>
      </c>
      <c r="G454" s="413" t="n">
        <v>3600</v>
      </c>
      <c r="H454" s="413" t="n">
        <v>23600</v>
      </c>
      <c r="I454" s="412" t="inlineStr">
        <is>
          <t>B2B</t>
        </is>
      </c>
    </row>
    <row r="455" ht="12" customHeight="1" s="253">
      <c r="A455" s="414" t="n">
        <v>45839</v>
      </c>
      <c r="B455" s="415" t="n">
        <v>45861</v>
      </c>
      <c r="C455" s="412" t="inlineStr">
        <is>
          <t>INV-25-26-000306</t>
        </is>
      </c>
      <c r="D455" s="412" t="inlineStr">
        <is>
          <t>Closed</t>
        </is>
      </c>
      <c r="E455" s="412" t="inlineStr">
        <is>
          <t>Krishna Dev Jagarlamudi</t>
        </is>
      </c>
      <c r="F455" s="413" t="n">
        <v>70000</v>
      </c>
      <c r="G455" s="413" t="n">
        <v>12600</v>
      </c>
      <c r="H455" s="413" t="n">
        <v>82600</v>
      </c>
      <c r="I455" s="412" t="inlineStr">
        <is>
          <t>B2B</t>
        </is>
      </c>
    </row>
    <row r="456" ht="12" customHeight="1" s="253">
      <c r="A456" s="414" t="n">
        <v>45839</v>
      </c>
      <c r="B456" s="415" t="n">
        <v>45861</v>
      </c>
      <c r="C456" s="412" t="inlineStr">
        <is>
          <t>INV-25-26-000307</t>
        </is>
      </c>
      <c r="D456" s="412" t="inlineStr">
        <is>
          <t>Overdue</t>
        </is>
      </c>
      <c r="E456" s="412" t="inlineStr">
        <is>
          <t>Gaurav Ray, Advocate on Record</t>
        </is>
      </c>
      <c r="F456" s="413" t="n">
        <v>35000</v>
      </c>
      <c r="G456" s="413" t="n">
        <v>6300</v>
      </c>
      <c r="H456" s="413" t="n">
        <v>41300</v>
      </c>
      <c r="I456" s="412" t="inlineStr">
        <is>
          <t>B2B</t>
        </is>
      </c>
    </row>
    <row r="457" ht="12" customHeight="1" s="253">
      <c r="A457" s="414" t="n">
        <v>45839</v>
      </c>
      <c r="B457" s="415" t="n">
        <v>45862</v>
      </c>
      <c r="C457" s="412" t="inlineStr">
        <is>
          <t>INV-25-26-000308</t>
        </is>
      </c>
      <c r="D457" s="412" t="inlineStr">
        <is>
          <t>Closed</t>
        </is>
      </c>
      <c r="E457" s="412" t="inlineStr">
        <is>
          <t>Dhruve Liladhar &amp; Co</t>
        </is>
      </c>
      <c r="F457" s="413" t="n">
        <v>171000</v>
      </c>
      <c r="G457" s="413" t="n">
        <v>30780</v>
      </c>
      <c r="H457" s="413" t="n">
        <v>201780</v>
      </c>
      <c r="I457" s="412" t="inlineStr">
        <is>
          <t>B2B</t>
        </is>
      </c>
    </row>
    <row r="458" ht="12" customHeight="1" s="253">
      <c r="A458" s="414" t="n">
        <v>45839</v>
      </c>
      <c r="B458" s="415" t="n">
        <v>45864</v>
      </c>
      <c r="C458" s="412" t="inlineStr">
        <is>
          <t>INV-25-26-000309</t>
        </is>
      </c>
      <c r="D458" s="412" t="inlineStr">
        <is>
          <t>Closed</t>
        </is>
      </c>
      <c r="E458" s="412" t="inlineStr">
        <is>
          <t>B2C</t>
        </is>
      </c>
      <c r="F458" s="413" t="n">
        <v>5501</v>
      </c>
      <c r="G458" s="413" t="n">
        <v>990</v>
      </c>
      <c r="H458" s="413" t="n">
        <v>6491</v>
      </c>
      <c r="I458" s="412" t="inlineStr">
        <is>
          <t>B2C</t>
        </is>
      </c>
    </row>
    <row r="459" ht="12" customHeight="1" s="253">
      <c r="A459" s="414" t="n">
        <v>45839</v>
      </c>
      <c r="B459" s="415" t="n">
        <v>45864</v>
      </c>
      <c r="C459" s="412" t="inlineStr">
        <is>
          <t>INV-25-26-000310</t>
        </is>
      </c>
      <c r="D459" s="412" t="inlineStr">
        <is>
          <t>Closed</t>
        </is>
      </c>
      <c r="E459" s="412" t="inlineStr">
        <is>
          <t>B2C</t>
        </is>
      </c>
      <c r="F459" s="413" t="n">
        <v>7199</v>
      </c>
      <c r="G459" s="413" t="n">
        <v>1296</v>
      </c>
      <c r="H459" s="413" t="n">
        <v>8495</v>
      </c>
      <c r="I459" s="412" t="inlineStr">
        <is>
          <t>B2C</t>
        </is>
      </c>
    </row>
    <row r="460" ht="12" customHeight="1" s="253">
      <c r="A460" s="414" t="n">
        <v>45839</v>
      </c>
      <c r="B460" s="415" t="n">
        <v>45866</v>
      </c>
      <c r="C460" s="412" t="inlineStr">
        <is>
          <t>INV-25-26-000311</t>
        </is>
      </c>
      <c r="D460" s="412" t="inlineStr">
        <is>
          <t>Overdue</t>
        </is>
      </c>
      <c r="E460" s="412" t="inlineStr">
        <is>
          <t>R. Ginodia &amp; Co. LLP</t>
        </is>
      </c>
      <c r="F460" s="413" t="n">
        <v>122034</v>
      </c>
      <c r="G460" s="413" t="n">
        <v>21966</v>
      </c>
      <c r="H460" s="413" t="n">
        <v>144000</v>
      </c>
      <c r="I460" s="412" t="inlineStr">
        <is>
          <t>B2B</t>
        </is>
      </c>
    </row>
    <row r="461" ht="12" customHeight="1" s="253">
      <c r="A461" s="414" t="n">
        <v>45839</v>
      </c>
      <c r="B461" s="415" t="n">
        <v>45867</v>
      </c>
      <c r="C461" s="412" t="inlineStr">
        <is>
          <t>INV-25-26-000312</t>
        </is>
      </c>
      <c r="D461" s="412" t="inlineStr">
        <is>
          <t>Closed</t>
        </is>
      </c>
      <c r="E461" s="412" t="inlineStr">
        <is>
          <t>SRCO Legal / Salvador Raghav &amp; Co.</t>
        </is>
      </c>
      <c r="F461" s="413" t="n">
        <v>6780</v>
      </c>
      <c r="G461" s="413" t="n">
        <v>1220</v>
      </c>
      <c r="H461" s="413" t="n">
        <v>8000</v>
      </c>
      <c r="I461" s="412" t="inlineStr">
        <is>
          <t>B2B</t>
        </is>
      </c>
    </row>
    <row r="462" ht="12" customHeight="1" s="253">
      <c r="A462" s="414" t="n">
        <v>45839</v>
      </c>
      <c r="B462" s="415" t="n">
        <v>45868</v>
      </c>
      <c r="C462" s="412" t="inlineStr">
        <is>
          <t>INV-25-26-000313</t>
        </is>
      </c>
      <c r="D462" s="412" t="inlineStr">
        <is>
          <t>Closed</t>
        </is>
      </c>
      <c r="E462" s="412" t="inlineStr">
        <is>
          <t>Deep Cover Law- Chirag Narasimiah</t>
        </is>
      </c>
      <c r="F462" s="413" t="n">
        <v>9000</v>
      </c>
      <c r="G462" s="413" t="n">
        <v>1620</v>
      </c>
      <c r="H462" s="413" t="n">
        <v>10620</v>
      </c>
      <c r="I462" s="412" t="inlineStr">
        <is>
          <t>B2B</t>
        </is>
      </c>
    </row>
    <row r="463" ht="12" customHeight="1" s="253">
      <c r="A463" s="414" t="n">
        <v>45839</v>
      </c>
      <c r="B463" s="415" t="n">
        <v>45868</v>
      </c>
      <c r="C463" s="412" t="inlineStr">
        <is>
          <t>INV-25-26-000314</t>
        </is>
      </c>
      <c r="D463" s="412" t="inlineStr">
        <is>
          <t>Closed</t>
        </is>
      </c>
      <c r="E463" s="412" t="inlineStr">
        <is>
          <t>Saurabh Prakash</t>
        </is>
      </c>
      <c r="F463" s="413" t="n">
        <v>36000</v>
      </c>
      <c r="G463" s="413" t="n">
        <v>6480</v>
      </c>
      <c r="H463" s="413" t="n">
        <v>42480</v>
      </c>
      <c r="I463" s="412" t="inlineStr">
        <is>
          <t>B2B</t>
        </is>
      </c>
    </row>
    <row r="464" ht="12" customHeight="1" s="253">
      <c r="A464" s="414" t="n">
        <v>45839</v>
      </c>
      <c r="B464" s="415" t="n">
        <v>45868</v>
      </c>
      <c r="C464" s="412" t="inlineStr">
        <is>
          <t>INV-25-26-000315</t>
        </is>
      </c>
      <c r="D464" s="412" t="inlineStr">
        <is>
          <t>Closed</t>
        </is>
      </c>
      <c r="E464" s="412" t="inlineStr">
        <is>
          <t>Ecclesia Advocates and Solicitors</t>
        </is>
      </c>
      <c r="F464" s="413" t="n">
        <v>70000</v>
      </c>
      <c r="G464" s="413" t="n">
        <v>12600</v>
      </c>
      <c r="H464" s="413" t="n">
        <v>82600</v>
      </c>
      <c r="I464" s="412" t="inlineStr">
        <is>
          <t>B2B</t>
        </is>
      </c>
    </row>
    <row r="465" ht="12" customHeight="1" s="253">
      <c r="A465" s="414" t="n">
        <v>45839</v>
      </c>
      <c r="B465" s="415" t="n">
        <v>45869</v>
      </c>
      <c r="C465" s="412" t="inlineStr">
        <is>
          <t>INV-25-26-000316</t>
        </is>
      </c>
      <c r="D465" s="412" t="inlineStr">
        <is>
          <t>Closed</t>
        </is>
      </c>
      <c r="E465" s="412" t="inlineStr">
        <is>
          <t>Touchstone Partners</t>
        </is>
      </c>
      <c r="F465" s="413" t="n">
        <v>1008000</v>
      </c>
      <c r="G465" s="413" t="n">
        <v>181440</v>
      </c>
      <c r="H465" s="413" t="n">
        <v>1189440</v>
      </c>
      <c r="I465" s="412" t="inlineStr">
        <is>
          <t>B2B</t>
        </is>
      </c>
    </row>
    <row r="466" ht="12" customHeight="1" s="253">
      <c r="A466" s="414" t="n">
        <v>45839</v>
      </c>
      <c r="B466" s="415" t="n">
        <v>45856</v>
      </c>
      <c r="C466" s="412" t="inlineStr">
        <is>
          <t>CN-00007</t>
        </is>
      </c>
      <c r="D466" s="412" t="inlineStr">
        <is>
          <t>Closed</t>
        </is>
      </c>
      <c r="E466" s="412" t="inlineStr">
        <is>
          <t>Pranay Chitale</t>
        </is>
      </c>
      <c r="F466" s="413" t="n">
        <v>-15000</v>
      </c>
      <c r="G466" s="413" t="n">
        <v>-2700</v>
      </c>
      <c r="H466" s="413" t="n">
        <v>-17700</v>
      </c>
      <c r="I466" s="412" t="inlineStr">
        <is>
          <t>B2B</t>
        </is>
      </c>
    </row>
    <row r="467" ht="12" customHeight="1" s="253">
      <c r="A467" s="414" t="n">
        <v>45839</v>
      </c>
      <c r="B467" s="415" t="n">
        <v>45856</v>
      </c>
      <c r="C467" s="412" t="inlineStr">
        <is>
          <t>CN-00008</t>
        </is>
      </c>
      <c r="D467" s="412" t="inlineStr">
        <is>
          <t>Closed</t>
        </is>
      </c>
      <c r="E467" s="412" t="inlineStr">
        <is>
          <t>Pranay Chitale</t>
        </is>
      </c>
      <c r="F467" s="413" t="n">
        <v>-15000</v>
      </c>
      <c r="G467" s="413" t="n">
        <v>-2700</v>
      </c>
      <c r="H467" s="413" t="n">
        <v>-17700</v>
      </c>
      <c r="I467" s="412" t="inlineStr">
        <is>
          <t>B2B</t>
        </is>
      </c>
    </row>
    <row r="468" ht="12" customHeight="1" s="253">
      <c r="A468" s="414" t="n">
        <v>45839</v>
      </c>
      <c r="B468" s="415" t="n">
        <v>45869</v>
      </c>
      <c r="C468" s="412" t="inlineStr">
        <is>
          <t>CN-00009</t>
        </is>
      </c>
      <c r="D468" s="412" t="inlineStr">
        <is>
          <t>Closed</t>
        </is>
      </c>
      <c r="E468" s="412" t="inlineStr">
        <is>
          <t>Yash Momaya</t>
        </is>
      </c>
      <c r="F468" s="413" t="n">
        <v>-10000</v>
      </c>
      <c r="G468" s="413" t="n">
        <v>-1800</v>
      </c>
      <c r="H468" s="413" t="n">
        <v>-11800</v>
      </c>
      <c r="I468" s="412" t="inlineStr">
        <is>
          <t>B2B</t>
        </is>
      </c>
    </row>
    <row r="469" ht="12" customHeight="1" s="253">
      <c r="A469" s="414" t="n">
        <v>45839</v>
      </c>
      <c r="B469" s="415" t="n">
        <v>45869</v>
      </c>
      <c r="C469" s="412" t="inlineStr">
        <is>
          <t>CN-00010</t>
        </is>
      </c>
      <c r="D469" s="412" t="inlineStr">
        <is>
          <t>Closed</t>
        </is>
      </c>
      <c r="E469" s="412" t="inlineStr">
        <is>
          <t>Yash Momaya</t>
        </is>
      </c>
      <c r="F469" s="413" t="n">
        <v>-10000</v>
      </c>
      <c r="G469" s="413" t="n">
        <v>-1800</v>
      </c>
      <c r="H469" s="413" t="n">
        <v>-11800</v>
      </c>
      <c r="I469" s="412" t="inlineStr">
        <is>
          <t>B2B</t>
        </is>
      </c>
    </row>
    <row r="470" ht="12" customHeight="1" s="253">
      <c r="A470" s="414" t="n">
        <v>45839</v>
      </c>
      <c r="B470" s="415" t="n">
        <v>45869</v>
      </c>
      <c r="C470" s="412" t="inlineStr">
        <is>
          <t>INV-25-26-000317</t>
        </is>
      </c>
      <c r="D470" s="412" t="inlineStr">
        <is>
          <t>Closed</t>
        </is>
      </c>
      <c r="E470" s="412" t="inlineStr">
        <is>
          <t>Jaiveer Shergil</t>
        </is>
      </c>
      <c r="F470" s="413" t="n">
        <v>29661</v>
      </c>
      <c r="G470" s="413" t="n">
        <v>5339</v>
      </c>
      <c r="H470" s="413" t="n">
        <v>35000</v>
      </c>
      <c r="I470" s="412" t="inlineStr">
        <is>
          <t>B2B</t>
        </is>
      </c>
    </row>
    <row r="471" ht="12" customHeight="1" s="253">
      <c r="A471" s="414" t="n">
        <v>45870</v>
      </c>
      <c r="B471" s="415" t="n">
        <v>45870</v>
      </c>
      <c r="C471" s="412" t="inlineStr">
        <is>
          <t>INV-25-26-000318</t>
        </is>
      </c>
      <c r="D471" s="412" t="inlineStr">
        <is>
          <t>Closed</t>
        </is>
      </c>
      <c r="E471" s="412" t="inlineStr">
        <is>
          <t>Devina Sehgal</t>
        </is>
      </c>
      <c r="F471" s="413" t="n">
        <v>8000</v>
      </c>
      <c r="G471" s="413" t="n">
        <v>1440</v>
      </c>
      <c r="H471" s="413" t="n">
        <v>9440</v>
      </c>
      <c r="I471" s="412" t="inlineStr">
        <is>
          <t>B2B</t>
        </is>
      </c>
      <c r="J471" s="412">
        <f>VLOOKUP(C471,'FY 25-26-Accrual'!D:I,6,0)</f>
        <v/>
      </c>
      <c r="K471" s="433">
        <f>H471-J471</f>
        <v/>
      </c>
    </row>
    <row r="472" ht="12" customHeight="1" s="253">
      <c r="A472" s="414" t="n">
        <v>45870</v>
      </c>
      <c r="B472" s="415" t="n">
        <v>45870</v>
      </c>
      <c r="C472" s="412" t="inlineStr">
        <is>
          <t>INV-25-26-000319</t>
        </is>
      </c>
      <c r="D472" s="412" t="inlineStr">
        <is>
          <t>Overdue</t>
        </is>
      </c>
      <c r="E472" s="412" t="inlineStr">
        <is>
          <t>TREELIFE VENTURES SERVICES PRIVATE LIMITED</t>
        </is>
      </c>
      <c r="F472" s="413" t="n">
        <v>5000</v>
      </c>
      <c r="G472" s="413" t="n">
        <v>900</v>
      </c>
      <c r="H472" s="413" t="n">
        <v>5900</v>
      </c>
      <c r="I472" s="412" t="inlineStr">
        <is>
          <t>B2B</t>
        </is>
      </c>
      <c r="J472" s="412">
        <f>VLOOKUP(C472,'FY 25-26-Accrual'!D:I,6,0)</f>
        <v/>
      </c>
      <c r="K472" s="433">
        <f>H472-J472</f>
        <v/>
      </c>
    </row>
    <row r="473" ht="12" customHeight="1" s="253">
      <c r="A473" s="414" t="n">
        <v>45870</v>
      </c>
      <c r="B473" s="415" t="n">
        <v>45870</v>
      </c>
      <c r="C473" s="412" t="inlineStr">
        <is>
          <t>INV-25-26-000320</t>
        </is>
      </c>
      <c r="D473" s="412" t="inlineStr">
        <is>
          <t>Overdue</t>
        </is>
      </c>
      <c r="E473" s="412" t="inlineStr">
        <is>
          <t>Mukul Sharma and Company</t>
        </is>
      </c>
      <c r="F473" s="413" t="n">
        <v>36000</v>
      </c>
      <c r="G473" s="413" t="n">
        <v>6480</v>
      </c>
      <c r="H473" s="413" t="n">
        <v>42480</v>
      </c>
      <c r="I473" s="412" t="inlineStr">
        <is>
          <t>B2B</t>
        </is>
      </c>
      <c r="J473" s="412">
        <f>VLOOKUP(C473,'FY 25-26-Accrual'!D:I,6,0)</f>
        <v/>
      </c>
      <c r="K473" s="433">
        <f>H473-J473</f>
        <v/>
      </c>
    </row>
    <row r="474" ht="12" customHeight="1" s="253">
      <c r="A474" s="414" t="n">
        <v>45870</v>
      </c>
      <c r="B474" s="415" t="n">
        <v>45870</v>
      </c>
      <c r="C474" s="412" t="inlineStr">
        <is>
          <t>INV-25-26-000321</t>
        </is>
      </c>
      <c r="D474" s="412" t="inlineStr">
        <is>
          <t>Overdue</t>
        </is>
      </c>
      <c r="E474" s="412" t="inlineStr">
        <is>
          <t>AHUJA VALECHA &amp; ASSOCIATES LLP</t>
        </is>
      </c>
      <c r="F474" s="413" t="n">
        <v>299988</v>
      </c>
      <c r="G474" s="413" t="n">
        <v>53998</v>
      </c>
      <c r="H474" s="413" t="n">
        <v>353986</v>
      </c>
      <c r="I474" s="412" t="inlineStr">
        <is>
          <t>B2B</t>
        </is>
      </c>
      <c r="J474" s="412">
        <f>VLOOKUP(C474,'FY 25-26-Accrual'!D:I,6,0)</f>
        <v/>
      </c>
      <c r="K474" s="433">
        <f>H474-J474</f>
        <v/>
      </c>
    </row>
    <row r="475" ht="12" customHeight="1" s="253">
      <c r="A475" s="414" t="n">
        <v>45870</v>
      </c>
      <c r="B475" s="415" t="n">
        <v>45870</v>
      </c>
      <c r="C475" s="412" t="inlineStr">
        <is>
          <t>INV-25-26-000322</t>
        </is>
      </c>
      <c r="D475" s="412" t="inlineStr">
        <is>
          <t>Closed</t>
        </is>
      </c>
      <c r="E475" s="412" t="inlineStr">
        <is>
          <t>Brijesh Oberoi</t>
        </is>
      </c>
      <c r="F475" s="413" t="n">
        <v>54000</v>
      </c>
      <c r="G475" s="413" t="n">
        <v>9720</v>
      </c>
      <c r="H475" s="413" t="n">
        <v>63720</v>
      </c>
      <c r="I475" s="412" t="inlineStr">
        <is>
          <t>B2B</t>
        </is>
      </c>
      <c r="J475" s="412">
        <f>VLOOKUP(C475,'FY 25-26-Accrual'!D:I,6,0)</f>
        <v/>
      </c>
      <c r="K475" s="433">
        <f>H475-J475</f>
        <v/>
      </c>
    </row>
    <row r="476" ht="12" customHeight="1" s="253">
      <c r="A476" s="414" t="n">
        <v>45870</v>
      </c>
      <c r="B476" s="415" t="n">
        <v>45872</v>
      </c>
      <c r="C476" s="412" t="inlineStr">
        <is>
          <t>INV-25-26-000323</t>
        </is>
      </c>
      <c r="D476" s="412" t="inlineStr">
        <is>
          <t>Closed</t>
        </is>
      </c>
      <c r="E476" s="412" t="inlineStr">
        <is>
          <t>B2C</t>
        </is>
      </c>
      <c r="F476" s="413" t="n">
        <v>423</v>
      </c>
      <c r="G476" s="413" t="n">
        <v>76</v>
      </c>
      <c r="H476" s="413" t="n">
        <v>499</v>
      </c>
      <c r="I476" s="412" t="inlineStr">
        <is>
          <t>B2C</t>
        </is>
      </c>
      <c r="J476" s="412">
        <f>VLOOKUP(C476,'FY 25-26-Accrual'!D:I,6,0)</f>
        <v/>
      </c>
    </row>
    <row r="477" ht="12" customHeight="1" s="253">
      <c r="A477" s="414" t="n">
        <v>45870</v>
      </c>
      <c r="B477" s="415" t="n">
        <v>45872</v>
      </c>
      <c r="C477" s="412" t="inlineStr">
        <is>
          <t>INV-25-26-000324</t>
        </is>
      </c>
      <c r="D477" s="412" t="inlineStr">
        <is>
          <t>Closed</t>
        </is>
      </c>
      <c r="E477" s="412" t="inlineStr">
        <is>
          <t>B2C</t>
        </is>
      </c>
      <c r="F477" s="413" t="n">
        <v>846</v>
      </c>
      <c r="G477" s="413" t="n">
        <v>152</v>
      </c>
      <c r="H477" s="413" t="n">
        <v>998</v>
      </c>
      <c r="I477" s="412" t="inlineStr">
        <is>
          <t>B2C</t>
        </is>
      </c>
      <c r="J477" s="412">
        <f>VLOOKUP(C477,'FY 25-26-Accrual'!D:I,6,0)</f>
        <v/>
      </c>
    </row>
    <row r="478" ht="12" customHeight="1" s="253">
      <c r="A478" s="414" t="n">
        <v>45870</v>
      </c>
      <c r="B478" s="415" t="n">
        <v>45873</v>
      </c>
      <c r="C478" s="412" t="inlineStr">
        <is>
          <t>INV-25-26-000325</t>
        </is>
      </c>
      <c r="D478" s="412" t="inlineStr">
        <is>
          <t>Overdue</t>
        </is>
      </c>
      <c r="E478" s="412" t="inlineStr">
        <is>
          <t>Tipping Mr Pink Private Limited</t>
        </is>
      </c>
      <c r="F478" s="413" t="n">
        <v>80400</v>
      </c>
      <c r="G478" s="413" t="n">
        <v>14472</v>
      </c>
      <c r="H478" s="413" t="n">
        <v>94872</v>
      </c>
      <c r="I478" s="412" t="inlineStr">
        <is>
          <t>B2B</t>
        </is>
      </c>
      <c r="J478" s="412">
        <f>VLOOKUP(C478,'FY 25-26-Accrual'!D:I,6,0)</f>
        <v/>
      </c>
      <c r="K478" s="433">
        <f>H478-J478</f>
        <v/>
      </c>
    </row>
    <row r="479" ht="12" customHeight="1" s="253">
      <c r="A479" s="414" t="n">
        <v>45870</v>
      </c>
      <c r="B479" s="415" t="n">
        <v>45873</v>
      </c>
      <c r="C479" s="412" t="inlineStr">
        <is>
          <t>INV-25-26-000326</t>
        </is>
      </c>
      <c r="D479" s="412" t="inlineStr">
        <is>
          <t>Closed</t>
        </is>
      </c>
      <c r="E479" s="412" t="inlineStr">
        <is>
          <t>Pranav Badheka</t>
        </is>
      </c>
      <c r="F479" s="413" t="n">
        <v>70000</v>
      </c>
      <c r="G479" s="413" t="n">
        <v>12600</v>
      </c>
      <c r="H479" s="413" t="n">
        <v>82600</v>
      </c>
      <c r="I479" s="412" t="inlineStr">
        <is>
          <t>B2B</t>
        </is>
      </c>
      <c r="J479" s="412">
        <f>VLOOKUP(C479,'FY 25-26-Accrual'!D:I,6,0)</f>
        <v/>
      </c>
      <c r="K479" s="433">
        <f>H479-J479</f>
        <v/>
      </c>
    </row>
    <row r="480" ht="12" customHeight="1" s="253">
      <c r="A480" s="414" t="n">
        <v>45870</v>
      </c>
      <c r="B480" s="415" t="n">
        <v>45873</v>
      </c>
      <c r="C480" s="412" t="inlineStr">
        <is>
          <t>INV-25-26-000327</t>
        </is>
      </c>
      <c r="D480" s="412" t="inlineStr">
        <is>
          <t>Closed</t>
        </is>
      </c>
      <c r="E480" s="412" t="inlineStr">
        <is>
          <t>TRILOK POWER AND CABLES PRIVATE LIMITED</t>
        </is>
      </c>
      <c r="F480" s="413" t="n">
        <v>54000</v>
      </c>
      <c r="G480" s="413" t="n">
        <v>9720</v>
      </c>
      <c r="H480" s="413" t="n">
        <v>63720</v>
      </c>
      <c r="I480" s="412" t="inlineStr">
        <is>
          <t>B2B</t>
        </is>
      </c>
      <c r="J480" s="412">
        <f>VLOOKUP(C480,'FY 25-26-Accrual'!D:I,6,0)</f>
        <v/>
      </c>
      <c r="K480" s="433">
        <f>H480-J480</f>
        <v/>
      </c>
    </row>
    <row r="481" ht="12" customHeight="1" s="253">
      <c r="A481" s="414" t="n">
        <v>45870</v>
      </c>
      <c r="B481" s="415" t="n">
        <v>45873</v>
      </c>
      <c r="C481" s="412" t="inlineStr">
        <is>
          <t>INV-25-26-000328</t>
        </is>
      </c>
      <c r="D481" s="412" t="inlineStr">
        <is>
          <t>Closed</t>
        </is>
      </c>
      <c r="E481" s="412" t="inlineStr">
        <is>
          <t>Saraf and Partners</t>
        </is>
      </c>
      <c r="F481" s="413" t="n">
        <v>486000</v>
      </c>
      <c r="G481" s="413" t="n">
        <v>87480</v>
      </c>
      <c r="H481" s="413" t="n">
        <v>573480</v>
      </c>
      <c r="I481" s="412" t="inlineStr">
        <is>
          <t>B2B</t>
        </is>
      </c>
      <c r="J481" s="433">
        <f>H481</f>
        <v/>
      </c>
      <c r="K481" s="433">
        <f>H481-J481</f>
        <v/>
      </c>
    </row>
    <row r="482" ht="12" customHeight="1" s="253">
      <c r="A482" s="414" t="n">
        <v>45870</v>
      </c>
      <c r="B482" s="415" t="n">
        <v>45873</v>
      </c>
      <c r="C482" s="412" t="inlineStr">
        <is>
          <t>INV-25-26-000329</t>
        </is>
      </c>
      <c r="D482" s="412" t="inlineStr">
        <is>
          <t>Closed</t>
        </is>
      </c>
      <c r="E482" s="412" t="inlineStr">
        <is>
          <t>Chirag shah, Advocate</t>
        </is>
      </c>
      <c r="F482" s="413" t="n">
        <v>160000</v>
      </c>
      <c r="G482" s="413" t="n">
        <v>28800</v>
      </c>
      <c r="H482" s="413" t="n">
        <v>188800</v>
      </c>
      <c r="I482" s="412" t="inlineStr">
        <is>
          <t>B2B</t>
        </is>
      </c>
      <c r="J482" s="412">
        <f>VLOOKUP(C482,'FY 25-26-Accrual'!D:I,6,0)</f>
        <v/>
      </c>
      <c r="K482" s="433">
        <f>H482-J482</f>
        <v/>
      </c>
    </row>
    <row r="483" ht="12" customHeight="1" s="253">
      <c r="A483" s="414" t="n">
        <v>45870</v>
      </c>
      <c r="B483" s="415" t="n">
        <v>45874</v>
      </c>
      <c r="C483" s="412" t="inlineStr">
        <is>
          <t>INV-25-26-000330</t>
        </is>
      </c>
      <c r="D483" s="412" t="inlineStr">
        <is>
          <t>Closed</t>
        </is>
      </c>
      <c r="E483" s="412" t="inlineStr">
        <is>
          <t>Vidhii Partners</t>
        </is>
      </c>
      <c r="F483" s="413" t="n">
        <v>20000</v>
      </c>
      <c r="G483" s="413" t="n">
        <v>3600</v>
      </c>
      <c r="H483" s="413" t="n">
        <v>23600</v>
      </c>
      <c r="I483" s="412" t="inlineStr">
        <is>
          <t>B2B</t>
        </is>
      </c>
      <c r="J483" s="412">
        <f>VLOOKUP(C483,'FY 25-26-Accrual'!D:I,6,0)</f>
        <v/>
      </c>
      <c r="K483" s="433">
        <f>H483-J483</f>
        <v/>
      </c>
    </row>
    <row r="484" ht="12" customHeight="1" s="253">
      <c r="A484" s="414" t="n">
        <v>45870</v>
      </c>
      <c r="B484" s="415" t="n">
        <v>45874</v>
      </c>
      <c r="C484" s="412" t="inlineStr">
        <is>
          <t>INV-25-26-000331</t>
        </is>
      </c>
      <c r="D484" s="412" t="inlineStr">
        <is>
          <t>Closed</t>
        </is>
      </c>
      <c r="E484" s="412" t="inlineStr">
        <is>
          <t>Dharma Law Partners</t>
        </is>
      </c>
      <c r="F484" s="413" t="n">
        <v>20000</v>
      </c>
      <c r="G484" s="413" t="n">
        <v>3600</v>
      </c>
      <c r="H484" s="413" t="n">
        <v>23600</v>
      </c>
      <c r="I484" s="412" t="inlineStr">
        <is>
          <t>B2B</t>
        </is>
      </c>
      <c r="J484" s="433">
        <f>H484</f>
        <v/>
      </c>
      <c r="K484" s="433">
        <f>H484-J484</f>
        <v/>
      </c>
    </row>
    <row r="485" ht="12" customHeight="1" s="253">
      <c r="A485" s="414" t="n">
        <v>45870</v>
      </c>
      <c r="B485" s="415" t="n">
        <v>45875</v>
      </c>
      <c r="C485" s="412" t="inlineStr">
        <is>
          <t>INV-25-26-000332</t>
        </is>
      </c>
      <c r="D485" s="412" t="inlineStr">
        <is>
          <t>Overdue</t>
        </is>
      </c>
      <c r="E485" s="412" t="inlineStr">
        <is>
          <t>Chambers of Ninad Laud</t>
        </is>
      </c>
      <c r="F485" s="413" t="n">
        <v>10000</v>
      </c>
      <c r="G485" s="413" t="n">
        <v>1800</v>
      </c>
      <c r="H485" s="413" t="n">
        <v>11800</v>
      </c>
      <c r="I485" s="412" t="inlineStr">
        <is>
          <t>B2B</t>
        </is>
      </c>
      <c r="J485" s="412">
        <f>VLOOKUP(C485,'FY 25-26-Accrual'!D:I,6,0)</f>
        <v/>
      </c>
      <c r="K485" s="433">
        <f>H485-J485</f>
        <v/>
      </c>
    </row>
    <row r="486" ht="12" customHeight="1" s="253">
      <c r="A486" s="414" t="n">
        <v>45870</v>
      </c>
      <c r="B486" s="415" t="n">
        <v>45875</v>
      </c>
      <c r="C486" s="412" t="inlineStr">
        <is>
          <t>INV-25-26-000333</t>
        </is>
      </c>
      <c r="D486" s="412" t="inlineStr">
        <is>
          <t>Closed</t>
        </is>
      </c>
      <c r="E486" s="412" t="inlineStr">
        <is>
          <t>Pratik Patnaik</t>
        </is>
      </c>
      <c r="F486" s="413" t="n">
        <v>12000</v>
      </c>
      <c r="G486" s="413" t="n">
        <v>2160</v>
      </c>
      <c r="H486" s="413" t="n">
        <v>14160</v>
      </c>
      <c r="I486" s="412" t="inlineStr">
        <is>
          <t>B2B</t>
        </is>
      </c>
      <c r="J486" s="412">
        <f>VLOOKUP(C486,'FY 25-26-Accrual'!D:I,6,0)</f>
        <v/>
      </c>
      <c r="K486" s="433">
        <f>H486-J486</f>
        <v/>
      </c>
    </row>
    <row r="487" ht="12" customHeight="1" s="253">
      <c r="A487" s="414" t="n">
        <v>45870</v>
      </c>
      <c r="B487" s="415" t="n">
        <v>45875</v>
      </c>
      <c r="C487" s="412" t="inlineStr">
        <is>
          <t>INV-25-26-000334</t>
        </is>
      </c>
      <c r="D487" s="412" t="inlineStr">
        <is>
          <t>Closed</t>
        </is>
      </c>
      <c r="E487" s="412" t="inlineStr">
        <is>
          <t>Kevic Setalvad</t>
        </is>
      </c>
      <c r="F487" s="413" t="n">
        <v>70000</v>
      </c>
      <c r="G487" s="413" t="n">
        <v>12600</v>
      </c>
      <c r="H487" s="413" t="n">
        <v>82600</v>
      </c>
      <c r="I487" s="412" t="inlineStr">
        <is>
          <t>B2B</t>
        </is>
      </c>
      <c r="J487" s="412">
        <f>VLOOKUP(C487,'FY 25-26-Accrual'!D:I,6,0)</f>
        <v/>
      </c>
      <c r="K487" s="433">
        <f>H487-J487</f>
        <v/>
      </c>
    </row>
    <row r="488" ht="12" customHeight="1" s="253">
      <c r="A488" s="414" t="n">
        <v>45870</v>
      </c>
      <c r="B488" s="415" t="n">
        <v>45875</v>
      </c>
      <c r="C488" s="412" t="inlineStr">
        <is>
          <t>INV-25-26-000335</t>
        </is>
      </c>
      <c r="D488" s="412" t="inlineStr">
        <is>
          <t>Closed</t>
        </is>
      </c>
      <c r="E488" s="412" t="inlineStr">
        <is>
          <t>Giriraj Subramanium</t>
        </is>
      </c>
      <c r="F488" s="413" t="n">
        <v>70000</v>
      </c>
      <c r="G488" s="413" t="n">
        <v>12600</v>
      </c>
      <c r="H488" s="413" t="n">
        <v>82600</v>
      </c>
      <c r="I488" s="412" t="inlineStr">
        <is>
          <t>B2B</t>
        </is>
      </c>
      <c r="J488" s="412">
        <f>VLOOKUP(C488,'FY 25-26-Accrual'!D:I,6,0)</f>
        <v/>
      </c>
      <c r="K488" s="433">
        <f>H488-J488</f>
        <v/>
      </c>
    </row>
    <row r="489" ht="12" customHeight="1" s="253">
      <c r="A489" s="414" t="n">
        <v>45870</v>
      </c>
      <c r="B489" s="415" t="n">
        <v>45876</v>
      </c>
      <c r="C489" s="412" t="inlineStr">
        <is>
          <t>INV-25-26-000336</t>
        </is>
      </c>
      <c r="D489" s="412" t="inlineStr">
        <is>
          <t>Closed</t>
        </is>
      </c>
      <c r="E489" s="412" t="inlineStr">
        <is>
          <t>B2C</t>
        </is>
      </c>
      <c r="F489" s="413" t="n">
        <v>2118</v>
      </c>
      <c r="G489" s="413" t="n">
        <v>381</v>
      </c>
      <c r="H489" s="413" t="n">
        <v>2499</v>
      </c>
      <c r="I489" s="412" t="inlineStr">
        <is>
          <t>B2C</t>
        </is>
      </c>
      <c r="J489" s="412">
        <f>VLOOKUP(C489,'FY 25-26-Accrual'!D:I,6,0)</f>
        <v/>
      </c>
    </row>
    <row r="490" ht="12" customHeight="1" s="253">
      <c r="A490" s="414" t="n">
        <v>45870</v>
      </c>
      <c r="B490" s="415" t="n">
        <v>45876</v>
      </c>
      <c r="C490" s="412" t="inlineStr">
        <is>
          <t>INV-25-26-000337</t>
        </is>
      </c>
      <c r="D490" s="412" t="inlineStr">
        <is>
          <t>Overdue</t>
        </is>
      </c>
      <c r="E490" s="412" t="inlineStr">
        <is>
          <t>Darius J. Khambata</t>
        </is>
      </c>
      <c r="F490" s="413" t="n">
        <v>16949</v>
      </c>
      <c r="G490" s="413" t="n">
        <v>3051</v>
      </c>
      <c r="H490" s="413" t="n">
        <v>20000</v>
      </c>
      <c r="I490" s="412" t="inlineStr">
        <is>
          <t>B2B</t>
        </is>
      </c>
      <c r="J490" s="412">
        <f>VLOOKUP(C490,'FY 25-26-Accrual'!D:I,6,0)</f>
        <v/>
      </c>
      <c r="K490" s="433">
        <f>H490-J490</f>
        <v/>
      </c>
    </row>
    <row r="491" ht="12" customHeight="1" s="253">
      <c r="A491" s="414" t="n">
        <v>45870</v>
      </c>
      <c r="B491" s="415" t="n">
        <v>45876</v>
      </c>
      <c r="C491" s="412" t="inlineStr">
        <is>
          <t>INV-25-26-000338</t>
        </is>
      </c>
      <c r="D491" s="412" t="inlineStr">
        <is>
          <t>Closed</t>
        </is>
      </c>
      <c r="E491" s="412" t="inlineStr">
        <is>
          <t>B2C</t>
        </is>
      </c>
      <c r="F491" s="413" t="n">
        <v>423</v>
      </c>
      <c r="G491" s="413" t="n">
        <v>76</v>
      </c>
      <c r="H491" s="413" t="n">
        <v>499</v>
      </c>
      <c r="I491" s="412" t="inlineStr">
        <is>
          <t>B2C</t>
        </is>
      </c>
      <c r="J491" s="412">
        <f>VLOOKUP(C491,'FY 25-26-Accrual'!D:I,6,0)</f>
        <v/>
      </c>
    </row>
    <row r="492" ht="12" customHeight="1" s="253">
      <c r="A492" s="414" t="n">
        <v>45870</v>
      </c>
      <c r="B492" s="415" t="n">
        <v>45876</v>
      </c>
      <c r="C492" s="412" t="inlineStr">
        <is>
          <t>INV-25-26-000339</t>
        </is>
      </c>
      <c r="D492" s="412" t="inlineStr">
        <is>
          <t>Overdue</t>
        </is>
      </c>
      <c r="E492" s="412" t="inlineStr">
        <is>
          <t>Phoenix Legal</t>
        </is>
      </c>
      <c r="F492" s="413" t="n">
        <v>826200</v>
      </c>
      <c r="G492" s="413" t="n">
        <v>148716</v>
      </c>
      <c r="H492" s="413" t="n">
        <v>974916</v>
      </c>
      <c r="I492" s="412" t="inlineStr">
        <is>
          <t>B2B</t>
        </is>
      </c>
      <c r="J492" s="433">
        <f>H492</f>
        <v/>
      </c>
      <c r="K492" s="433">
        <f>H492-J492</f>
        <v/>
      </c>
    </row>
    <row r="493" ht="12" customHeight="1" s="253">
      <c r="A493" s="414" t="n">
        <v>45870</v>
      </c>
      <c r="B493" s="415" t="n">
        <v>45877</v>
      </c>
      <c r="C493" s="412" t="inlineStr">
        <is>
          <t>INV-25-26-000340</t>
        </is>
      </c>
      <c r="D493" s="412" t="inlineStr">
        <is>
          <t>Closed</t>
        </is>
      </c>
      <c r="E493" s="412" t="inlineStr">
        <is>
          <t>Malak Bhatt</t>
        </is>
      </c>
      <c r="F493" s="413" t="n">
        <v>63000</v>
      </c>
      <c r="G493" s="413" t="n">
        <v>11340</v>
      </c>
      <c r="H493" s="413" t="n">
        <v>74340</v>
      </c>
      <c r="I493" s="412" t="inlineStr">
        <is>
          <t>B2B</t>
        </is>
      </c>
      <c r="J493" s="412">
        <f>VLOOKUP(C493,'FY 25-26-Accrual'!D:I,6,0)</f>
        <v/>
      </c>
      <c r="K493" s="433">
        <f>H493-J493</f>
        <v/>
      </c>
    </row>
    <row r="494" ht="12" customHeight="1" s="253">
      <c r="A494" s="414" t="n">
        <v>45870</v>
      </c>
      <c r="B494" s="415" t="n">
        <v>45877</v>
      </c>
      <c r="C494" s="412" t="inlineStr">
        <is>
          <t>INV-25-26-000341</t>
        </is>
      </c>
      <c r="D494" s="412" t="inlineStr">
        <is>
          <t>Closed</t>
        </is>
      </c>
      <c r="E494" s="412" t="inlineStr">
        <is>
          <t>Vikas Mehta</t>
        </is>
      </c>
      <c r="F494" s="413" t="n">
        <v>55085</v>
      </c>
      <c r="G494" s="413" t="n">
        <v>9915</v>
      </c>
      <c r="H494" s="413" t="n">
        <v>65000</v>
      </c>
      <c r="I494" s="412" t="inlineStr">
        <is>
          <t>B2B</t>
        </is>
      </c>
      <c r="J494" s="412">
        <f>VLOOKUP(C494,'FY 25-26-Accrual'!D:I,6,0)</f>
        <v/>
      </c>
      <c r="K494" s="433">
        <f>H494-J494</f>
        <v/>
      </c>
    </row>
    <row r="495" ht="12" customHeight="1" s="253">
      <c r="A495" s="414" t="n">
        <v>45870</v>
      </c>
      <c r="B495" s="415" t="n">
        <v>45877</v>
      </c>
      <c r="C495" s="412" t="inlineStr">
        <is>
          <t>INV-25-26-000342</t>
        </is>
      </c>
      <c r="D495" s="412" t="inlineStr">
        <is>
          <t>Closed</t>
        </is>
      </c>
      <c r="E495" s="412" t="inlineStr">
        <is>
          <t>IRIS LEGAL</t>
        </is>
      </c>
      <c r="F495" s="413" t="n">
        <v>69492</v>
      </c>
      <c r="G495" s="413" t="n">
        <v>12508</v>
      </c>
      <c r="H495" s="413" t="n">
        <v>82000</v>
      </c>
      <c r="I495" s="412" t="inlineStr">
        <is>
          <t>B2B</t>
        </is>
      </c>
      <c r="J495" s="412">
        <f>VLOOKUP(C495,'FY 25-26-Accrual'!D:I,6,0)</f>
        <v/>
      </c>
      <c r="K495" s="433">
        <f>H495-J495</f>
        <v/>
      </c>
    </row>
    <row r="496" ht="12" customHeight="1" s="253">
      <c r="A496" s="414" t="n">
        <v>45870</v>
      </c>
      <c r="B496" s="415" t="n">
        <v>45878</v>
      </c>
      <c r="C496" s="412" t="inlineStr">
        <is>
          <t>INV-25-26-000343</t>
        </is>
      </c>
      <c r="D496" s="412" t="inlineStr">
        <is>
          <t>Closed</t>
        </is>
      </c>
      <c r="E496" s="412" t="inlineStr">
        <is>
          <t>Manish kelker</t>
        </is>
      </c>
      <c r="F496" s="413" t="n">
        <v>3389</v>
      </c>
      <c r="G496" s="413" t="n">
        <v>610</v>
      </c>
      <c r="H496" s="413" t="n">
        <v>3999</v>
      </c>
      <c r="I496" s="412" t="inlineStr">
        <is>
          <t>B2B</t>
        </is>
      </c>
      <c r="J496" s="412">
        <f>VLOOKUP(C496,'FY 25-26-Accrual'!D:I,6,0)</f>
        <v/>
      </c>
      <c r="K496" s="433">
        <f>H496-J496</f>
        <v/>
      </c>
    </row>
    <row r="497" ht="12" customHeight="1" s="253">
      <c r="A497" s="414" t="n">
        <v>45870</v>
      </c>
      <c r="B497" s="415" t="n">
        <v>45879</v>
      </c>
      <c r="C497" s="412" t="inlineStr">
        <is>
          <t>INV-25-26-000344</t>
        </is>
      </c>
      <c r="D497" s="412" t="inlineStr">
        <is>
          <t>Overdue</t>
        </is>
      </c>
      <c r="E497" s="412" t="inlineStr">
        <is>
          <t>SKR &amp; associates</t>
        </is>
      </c>
      <c r="F497" s="413" t="n">
        <v>8729</v>
      </c>
      <c r="G497" s="413" t="n">
        <v>1571</v>
      </c>
      <c r="H497" s="413" t="n">
        <v>10300</v>
      </c>
      <c r="I497" s="412" t="inlineStr">
        <is>
          <t>B2B</t>
        </is>
      </c>
      <c r="J497" s="412">
        <f>VLOOKUP(C497,'FY 25-26-Accrual'!D:I,6,0)</f>
        <v/>
      </c>
      <c r="K497" s="433">
        <f>H497-J497</f>
        <v/>
      </c>
    </row>
    <row r="498" ht="12" customHeight="1" s="253">
      <c r="A498" s="414" t="n">
        <v>45870</v>
      </c>
      <c r="B498" s="415" t="n">
        <v>45880</v>
      </c>
      <c r="C498" s="412" t="inlineStr">
        <is>
          <t>INV-25-26-000345</t>
        </is>
      </c>
      <c r="D498" s="412" t="inlineStr">
        <is>
          <t>Overdue</t>
        </is>
      </c>
      <c r="E498" s="412" t="inlineStr">
        <is>
          <t>Rahul Saboo, Advocate</t>
        </is>
      </c>
      <c r="F498" s="413" t="n">
        <v>8475</v>
      </c>
      <c r="G498" s="413" t="n">
        <v>1525</v>
      </c>
      <c r="H498" s="413" t="n">
        <v>10000</v>
      </c>
      <c r="I498" s="412" t="inlineStr">
        <is>
          <t>B2B</t>
        </is>
      </c>
      <c r="J498" s="412">
        <f>VLOOKUP(C498,'FY 25-26-Accrual'!D:I,6,0)</f>
        <v/>
      </c>
      <c r="K498" s="433">
        <f>H498-J498</f>
        <v/>
      </c>
    </row>
    <row r="499" ht="12" customHeight="1" s="253">
      <c r="A499" s="414" t="n">
        <v>45870</v>
      </c>
      <c r="B499" s="415" t="n">
        <v>45881</v>
      </c>
      <c r="C499" s="412" t="inlineStr">
        <is>
          <t>INV-25-26-000346</t>
        </is>
      </c>
      <c r="D499" s="412" t="inlineStr">
        <is>
          <t>Closed</t>
        </is>
      </c>
      <c r="E499" s="412" t="inlineStr">
        <is>
          <t>Diwan Law Associates</t>
        </is>
      </c>
      <c r="F499" s="413" t="n">
        <v>4237</v>
      </c>
      <c r="G499" s="413" t="n">
        <v>763</v>
      </c>
      <c r="H499" s="413" t="n">
        <v>5000</v>
      </c>
      <c r="I499" s="412" t="inlineStr">
        <is>
          <t>B2B</t>
        </is>
      </c>
      <c r="J499" s="412">
        <f>VLOOKUP(C499,'FY 25-26-Accrual'!D:I,6,0)</f>
        <v/>
      </c>
      <c r="K499" s="433">
        <f>H499-J499</f>
        <v/>
      </c>
    </row>
    <row r="500" ht="12" customHeight="1" s="253">
      <c r="A500" s="414" t="n">
        <v>45870</v>
      </c>
      <c r="B500" s="415" t="n">
        <v>45881</v>
      </c>
      <c r="C500" s="412" t="inlineStr">
        <is>
          <t>INV-25-26-000347</t>
        </is>
      </c>
      <c r="D500" s="412" t="inlineStr">
        <is>
          <t>Closed</t>
        </is>
      </c>
      <c r="E500" s="412" t="inlineStr">
        <is>
          <t>Megha Chandra</t>
        </is>
      </c>
      <c r="F500" s="413" t="n">
        <v>10000</v>
      </c>
      <c r="G500" s="413" t="n">
        <v>1800</v>
      </c>
      <c r="H500" s="413" t="n">
        <v>11800</v>
      </c>
      <c r="I500" s="412" t="inlineStr">
        <is>
          <t>B2B</t>
        </is>
      </c>
      <c r="J500" s="412">
        <f>VLOOKUP(C500,'FY 25-26-Accrual'!D:I,6,0)</f>
        <v/>
      </c>
      <c r="K500" s="433">
        <f>H500-J500</f>
        <v/>
      </c>
    </row>
    <row r="501" ht="12" customHeight="1" s="253">
      <c r="A501" s="414" t="n">
        <v>45870</v>
      </c>
      <c r="B501" s="415" t="n">
        <v>45881</v>
      </c>
      <c r="C501" s="412" t="inlineStr">
        <is>
          <t>INV-25-26-000348</t>
        </is>
      </c>
      <c r="D501" s="412" t="inlineStr">
        <is>
          <t>Closed</t>
        </is>
      </c>
      <c r="E501" s="412" t="inlineStr">
        <is>
          <t>Parul Sharma</t>
        </is>
      </c>
      <c r="F501" s="413" t="n">
        <v>59322</v>
      </c>
      <c r="G501" s="413" t="n">
        <v>10678</v>
      </c>
      <c r="H501" s="413" t="n">
        <v>70000</v>
      </c>
      <c r="I501" s="412" t="inlineStr">
        <is>
          <t>B2B</t>
        </is>
      </c>
      <c r="J501" s="412">
        <f>VLOOKUP(C501,'FY 25-26-Accrual'!D:I,6,0)</f>
        <v/>
      </c>
      <c r="K501" s="433">
        <f>H501-J501</f>
        <v/>
      </c>
    </row>
    <row r="502" ht="12" customHeight="1" s="253">
      <c r="A502" s="414" t="n">
        <v>45870</v>
      </c>
      <c r="B502" s="415" t="n">
        <v>45881</v>
      </c>
      <c r="C502" s="412" t="inlineStr">
        <is>
          <t>INV-25-26-000349</t>
        </is>
      </c>
      <c r="D502" s="412" t="inlineStr">
        <is>
          <t>Overdue</t>
        </is>
      </c>
      <c r="E502" s="412" t="inlineStr">
        <is>
          <t>Tushar Jarwal</t>
        </is>
      </c>
      <c r="F502" s="413" t="n">
        <v>35000</v>
      </c>
      <c r="G502" s="413" t="n">
        <v>6300</v>
      </c>
      <c r="H502" s="413" t="n">
        <v>41300</v>
      </c>
      <c r="I502" s="412" t="inlineStr">
        <is>
          <t>B2B</t>
        </is>
      </c>
      <c r="J502" s="412">
        <f>VLOOKUP(C502,'FY 25-26-Accrual'!D:I,6,0)</f>
        <v/>
      </c>
      <c r="K502" s="433">
        <f>H502-J502</f>
        <v/>
      </c>
    </row>
    <row r="503" ht="12" customHeight="1" s="253">
      <c r="A503" s="414" t="n">
        <v>45870</v>
      </c>
      <c r="B503" s="415" t="n">
        <v>45882</v>
      </c>
      <c r="C503" s="412" t="inlineStr">
        <is>
          <t>INV-25-26-000350</t>
        </is>
      </c>
      <c r="D503" s="412" t="inlineStr">
        <is>
          <t>Overdue</t>
        </is>
      </c>
      <c r="E503" s="412" t="inlineStr">
        <is>
          <t>Virmani &amp; Virmani</t>
        </is>
      </c>
      <c r="F503" s="413" t="n">
        <v>63000</v>
      </c>
      <c r="G503" s="413" t="n">
        <v>11340</v>
      </c>
      <c r="H503" s="413" t="n">
        <v>74340</v>
      </c>
      <c r="I503" s="412" t="inlineStr">
        <is>
          <t>B2B</t>
        </is>
      </c>
      <c r="J503" s="412">
        <f>VLOOKUP(C503,'FY 25-26-Accrual'!D:I,6,0)</f>
        <v/>
      </c>
      <c r="K503" s="433">
        <f>H503-J503</f>
        <v/>
      </c>
    </row>
    <row r="504" ht="12" customHeight="1" s="253">
      <c r="A504" s="414" t="n">
        <v>45870</v>
      </c>
      <c r="B504" s="415" t="n">
        <v>45882</v>
      </c>
      <c r="C504" s="412" t="inlineStr">
        <is>
          <t>INV-25-26-000351</t>
        </is>
      </c>
      <c r="D504" s="412" t="inlineStr">
        <is>
          <t>Overdue</t>
        </is>
      </c>
      <c r="E504" s="412" t="inlineStr">
        <is>
          <t>KATARIYA CONSULTANCY INDIA LLP</t>
        </is>
      </c>
      <c r="F504" s="413" t="n">
        <v>30000</v>
      </c>
      <c r="G504" s="413" t="n">
        <v>5400</v>
      </c>
      <c r="H504" s="413" t="n">
        <v>35400</v>
      </c>
      <c r="I504" s="412" t="inlineStr">
        <is>
          <t>B2B</t>
        </is>
      </c>
      <c r="J504" s="412">
        <f>VLOOKUP(C504,'FY 25-26-Accrual'!D:I,6,0)</f>
        <v/>
      </c>
      <c r="K504" s="433">
        <f>H504-J504</f>
        <v/>
      </c>
    </row>
    <row r="505" ht="12" customHeight="1" s="253">
      <c r="A505" s="414" t="n">
        <v>45870</v>
      </c>
      <c r="B505" s="415" t="n">
        <v>45883</v>
      </c>
      <c r="C505" s="412" t="inlineStr">
        <is>
          <t>INV-25-26-000352</t>
        </is>
      </c>
      <c r="D505" s="412" t="inlineStr">
        <is>
          <t>Closed</t>
        </is>
      </c>
      <c r="E505" s="412" t="inlineStr">
        <is>
          <t>Foresight Law Offices</t>
        </is>
      </c>
      <c r="F505" s="413" t="n">
        <v>8475</v>
      </c>
      <c r="G505" s="413" t="n">
        <v>1525</v>
      </c>
      <c r="H505" s="413" t="n">
        <v>10000</v>
      </c>
      <c r="I505" s="412" t="inlineStr">
        <is>
          <t>B2B</t>
        </is>
      </c>
      <c r="J505" s="412">
        <f>VLOOKUP(C505,'FY 25-26-Accrual'!D:I,6,0)</f>
        <v/>
      </c>
      <c r="K505" s="433">
        <f>H505-J505</f>
        <v/>
      </c>
    </row>
    <row r="506" ht="12" customHeight="1" s="253">
      <c r="A506" s="414" t="n">
        <v>45870</v>
      </c>
      <c r="B506" s="415" t="n">
        <v>45883</v>
      </c>
      <c r="C506" s="412" t="inlineStr">
        <is>
          <t>INV-25-26-000353</t>
        </is>
      </c>
      <c r="D506" s="412" t="inlineStr">
        <is>
          <t>Closed</t>
        </is>
      </c>
      <c r="E506" s="412" t="inlineStr">
        <is>
          <t>Kushagra Shah</t>
        </is>
      </c>
      <c r="F506" s="413" t="n">
        <v>84000</v>
      </c>
      <c r="G506" s="413" t="n">
        <v>15120</v>
      </c>
      <c r="H506" s="413" t="n">
        <v>99120</v>
      </c>
      <c r="I506" s="412" t="inlineStr">
        <is>
          <t>B2B</t>
        </is>
      </c>
      <c r="J506" s="412">
        <f>VLOOKUP(C506,'FY 25-26-Accrual'!D:I,6,0)</f>
        <v/>
      </c>
      <c r="K506" s="433">
        <f>H506-J506</f>
        <v/>
      </c>
    </row>
    <row r="507" ht="12" customHeight="1" s="253">
      <c r="A507" s="414" t="n">
        <v>45870</v>
      </c>
      <c r="B507" s="415" t="n">
        <v>45883</v>
      </c>
      <c r="C507" s="412" t="inlineStr">
        <is>
          <t>INV-25-26-000354</t>
        </is>
      </c>
      <c r="D507" s="412" t="inlineStr">
        <is>
          <t>Overdue</t>
        </is>
      </c>
      <c r="E507" s="412" t="inlineStr">
        <is>
          <t>Argus Partners</t>
        </is>
      </c>
      <c r="F507" s="413" t="n">
        <v>729000</v>
      </c>
      <c r="G507" s="413" t="n">
        <v>131220</v>
      </c>
      <c r="H507" s="413" t="n">
        <v>860220</v>
      </c>
      <c r="I507" s="412" t="inlineStr">
        <is>
          <t>B2B</t>
        </is>
      </c>
      <c r="J507" s="433">
        <f>H507</f>
        <v/>
      </c>
      <c r="K507" s="433">
        <f>H507-J507</f>
        <v/>
      </c>
    </row>
    <row r="508" ht="12" customHeight="1" s="253">
      <c r="A508" s="414" t="n">
        <v>45870</v>
      </c>
      <c r="B508" s="415" t="n">
        <v>45883</v>
      </c>
      <c r="C508" s="412" t="inlineStr">
        <is>
          <t>INV-25-26-000355</t>
        </is>
      </c>
      <c r="D508" s="412" t="inlineStr">
        <is>
          <t>Closed</t>
        </is>
      </c>
      <c r="E508" s="412" t="inlineStr">
        <is>
          <t>SAGA LEGAL</t>
        </is>
      </c>
      <c r="F508" s="413" t="n">
        <v>493220</v>
      </c>
      <c r="G508" s="413" t="n">
        <v>88780</v>
      </c>
      <c r="H508" s="413" t="n">
        <v>582000</v>
      </c>
      <c r="I508" s="412" t="inlineStr">
        <is>
          <t>B2B</t>
        </is>
      </c>
      <c r="J508" s="412">
        <f>VLOOKUP(C508,'FY 25-26-Accrual'!D:I,6,0)</f>
        <v/>
      </c>
      <c r="K508" s="433">
        <f>H508-J508</f>
        <v/>
      </c>
    </row>
    <row r="509" ht="12" customHeight="1" s="253">
      <c r="A509" s="414" t="n">
        <v>45870</v>
      </c>
      <c r="B509" s="415" t="n">
        <v>45883</v>
      </c>
      <c r="C509" s="412" t="inlineStr">
        <is>
          <t>INV-25-26-000356</t>
        </is>
      </c>
      <c r="D509" s="412" t="inlineStr">
        <is>
          <t>Closed</t>
        </is>
      </c>
      <c r="E509" s="412" t="inlineStr">
        <is>
          <t>Jain and Talukdar</t>
        </is>
      </c>
      <c r="F509" s="413" t="n">
        <v>70000</v>
      </c>
      <c r="G509" s="413" t="n">
        <v>12600</v>
      </c>
      <c r="H509" s="413" t="n">
        <v>82600</v>
      </c>
      <c r="I509" s="412" t="inlineStr">
        <is>
          <t>B2B</t>
        </is>
      </c>
      <c r="J509" s="412">
        <f>VLOOKUP(C509,'FY 25-26-Accrual'!D:I,6,0)</f>
        <v/>
      </c>
      <c r="K509" s="433">
        <f>H509-J509</f>
        <v/>
      </c>
    </row>
    <row r="510" ht="12" customHeight="1" s="253">
      <c r="A510" s="414" t="n">
        <v>45870</v>
      </c>
      <c r="B510" s="415" t="n">
        <v>45884</v>
      </c>
      <c r="C510" s="412" t="inlineStr">
        <is>
          <t>INV-25-26-000357</t>
        </is>
      </c>
      <c r="D510" s="412" t="inlineStr">
        <is>
          <t>Overdue</t>
        </is>
      </c>
      <c r="E510" s="412" t="inlineStr">
        <is>
          <t>TLH, Advocates &amp; Solicitors</t>
        </is>
      </c>
      <c r="F510" s="413" t="n">
        <v>209576</v>
      </c>
      <c r="G510" s="413">
        <f>F510*18%</f>
        <v/>
      </c>
      <c r="H510" s="413">
        <f>F510+G510</f>
        <v/>
      </c>
      <c r="I510" s="412" t="inlineStr">
        <is>
          <t>B2B</t>
        </is>
      </c>
      <c r="J510" s="433">
        <f>H510</f>
        <v/>
      </c>
      <c r="K510" s="433">
        <f>H510-J510</f>
        <v/>
      </c>
    </row>
    <row r="511" ht="12" customHeight="1" s="253">
      <c r="A511" s="414" t="n">
        <v>45870</v>
      </c>
      <c r="B511" s="415" t="n">
        <v>45884</v>
      </c>
      <c r="C511" s="412" t="inlineStr">
        <is>
          <t>INV-25-26-000358</t>
        </is>
      </c>
      <c r="D511" s="412" t="inlineStr">
        <is>
          <t>Overdue</t>
        </is>
      </c>
      <c r="E511" s="412" t="inlineStr">
        <is>
          <t>R. Vishnu Kumar, Advocate</t>
        </is>
      </c>
      <c r="F511" s="413" t="n">
        <v>16950</v>
      </c>
      <c r="G511" s="413" t="n">
        <v>3051</v>
      </c>
      <c r="H511" s="413" t="n">
        <v>20001</v>
      </c>
      <c r="I511" s="412" t="inlineStr">
        <is>
          <t>B2B</t>
        </is>
      </c>
      <c r="J511" s="412">
        <f>VLOOKUP(C511,'FY 25-26-Accrual'!D:I,6,0)</f>
        <v/>
      </c>
      <c r="K511" s="433">
        <f>H511-J511</f>
        <v/>
      </c>
    </row>
    <row r="512" ht="12" customHeight="1" s="253">
      <c r="A512" s="414" t="n">
        <v>45870</v>
      </c>
      <c r="B512" s="415" t="n">
        <v>45885</v>
      </c>
      <c r="C512" s="412" t="inlineStr">
        <is>
          <t>INV-25-26-000359</t>
        </is>
      </c>
      <c r="D512" s="412" t="inlineStr">
        <is>
          <t>Closed</t>
        </is>
      </c>
      <c r="E512" s="412" t="inlineStr">
        <is>
          <t>B2C</t>
        </is>
      </c>
      <c r="F512" s="413" t="n">
        <v>3386</v>
      </c>
      <c r="G512" s="413" t="n">
        <v>610</v>
      </c>
      <c r="H512" s="413" t="n">
        <v>3996</v>
      </c>
      <c r="I512" s="412" t="inlineStr">
        <is>
          <t>B2C</t>
        </is>
      </c>
      <c r="J512" s="412">
        <f>VLOOKUP(C512,'FY 25-26-Accrual'!D:I,6,0)</f>
        <v/>
      </c>
    </row>
    <row r="513" ht="12" customHeight="1" s="253">
      <c r="A513" s="414" t="n">
        <v>45870</v>
      </c>
      <c r="B513" s="415" t="n">
        <v>45886</v>
      </c>
      <c r="C513" s="412" t="inlineStr">
        <is>
          <t>INV-25-26-000360</t>
        </is>
      </c>
      <c r="D513" s="412" t="inlineStr">
        <is>
          <t>Closed</t>
        </is>
      </c>
      <c r="E513" s="412" t="inlineStr">
        <is>
          <t>Vardharma Chambers</t>
        </is>
      </c>
      <c r="F513" s="413" t="n">
        <v>30000</v>
      </c>
      <c r="G513" s="413" t="n">
        <v>5400</v>
      </c>
      <c r="H513" s="413" t="n">
        <v>35400</v>
      </c>
      <c r="I513" s="412" t="inlineStr">
        <is>
          <t>B2B</t>
        </is>
      </c>
      <c r="J513" s="412">
        <f>VLOOKUP(C513,'FY 25-26-Accrual'!D:I,6,0)</f>
        <v/>
      </c>
      <c r="K513" s="433">
        <f>H513-J513</f>
        <v/>
      </c>
    </row>
    <row r="514" ht="12" customHeight="1" s="253">
      <c r="A514" s="414" t="n">
        <v>45870</v>
      </c>
      <c r="B514" s="415" t="n">
        <v>45886</v>
      </c>
      <c r="C514" s="412" t="inlineStr">
        <is>
          <t>INV-25-26-000361</t>
        </is>
      </c>
      <c r="D514" s="412" t="inlineStr">
        <is>
          <t>Overdue</t>
        </is>
      </c>
      <c r="E514" s="412" t="inlineStr">
        <is>
          <t>GC Legal</t>
        </is>
      </c>
      <c r="F514" s="413" t="n">
        <v>7000</v>
      </c>
      <c r="G514" s="413" t="n">
        <v>1260</v>
      </c>
      <c r="H514" s="413" t="n">
        <v>8260</v>
      </c>
      <c r="I514" s="412" t="inlineStr">
        <is>
          <t>B2B</t>
        </is>
      </c>
      <c r="J514" s="412">
        <f>VLOOKUP(C514,'FY 25-26-Accrual'!D:I,6,0)</f>
        <v/>
      </c>
      <c r="K514" s="433">
        <f>H514-J514</f>
        <v/>
      </c>
    </row>
    <row r="515" ht="12" customHeight="1" s="253">
      <c r="A515" s="414" t="n">
        <v>45870</v>
      </c>
      <c r="B515" s="415" t="n">
        <v>45887</v>
      </c>
      <c r="C515" s="412" t="inlineStr">
        <is>
          <t>INV-25-26-000362</t>
        </is>
      </c>
      <c r="D515" s="412" t="inlineStr">
        <is>
          <t>Overdue</t>
        </is>
      </c>
      <c r="E515" s="412" t="inlineStr">
        <is>
          <t>Bharat Chugh</t>
        </is>
      </c>
      <c r="F515" s="413" t="n">
        <v>120000</v>
      </c>
      <c r="G515" s="413" t="n">
        <v>21600</v>
      </c>
      <c r="H515" s="413" t="n">
        <v>141600</v>
      </c>
      <c r="I515" s="412" t="inlineStr">
        <is>
          <t>B2B</t>
        </is>
      </c>
      <c r="J515" s="412">
        <f>VLOOKUP(C515,'FY 25-26-Accrual'!D:I,6,0)</f>
        <v/>
      </c>
      <c r="K515" s="433">
        <f>H515-J515</f>
        <v/>
      </c>
    </row>
    <row r="516" ht="12" customHeight="1" s="253">
      <c r="A516" s="414" t="n">
        <v>45870</v>
      </c>
      <c r="B516" s="415" t="n">
        <v>45887</v>
      </c>
      <c r="C516" s="412" t="inlineStr">
        <is>
          <t>INV-25-26-000363</t>
        </is>
      </c>
      <c r="D516" s="412" t="inlineStr">
        <is>
          <t>Closed</t>
        </is>
      </c>
      <c r="E516" s="412" t="inlineStr">
        <is>
          <t>Tuli &amp; Co.</t>
        </is>
      </c>
      <c r="F516" s="413" t="n">
        <v>1050000</v>
      </c>
      <c r="G516" s="413" t="n">
        <v>189000</v>
      </c>
      <c r="H516" s="413" t="n">
        <v>1239000</v>
      </c>
      <c r="I516" s="412" t="inlineStr">
        <is>
          <t>B2B</t>
        </is>
      </c>
      <c r="J516" s="412">
        <f>VLOOKUP(C516,'FY 25-26-Accrual'!D:I,6,0)</f>
        <v/>
      </c>
      <c r="K516" s="433">
        <f>H516-J516</f>
        <v/>
      </c>
    </row>
    <row r="517" ht="12" customHeight="1" s="253">
      <c r="A517" s="414" t="n">
        <v>45870</v>
      </c>
      <c r="B517" s="415" t="n">
        <v>45887</v>
      </c>
      <c r="C517" s="412" t="inlineStr">
        <is>
          <t>INV-25-26-000364</t>
        </is>
      </c>
      <c r="D517" s="412" t="inlineStr">
        <is>
          <t>Closed</t>
        </is>
      </c>
      <c r="E517" s="412" t="inlineStr">
        <is>
          <t>Karthik Sundar</t>
        </is>
      </c>
      <c r="F517" s="413" t="n">
        <v>70000</v>
      </c>
      <c r="G517" s="413" t="n">
        <v>12600</v>
      </c>
      <c r="H517" s="413" t="n">
        <v>82600</v>
      </c>
      <c r="I517" s="412" t="inlineStr">
        <is>
          <t>B2B</t>
        </is>
      </c>
      <c r="J517" s="412">
        <f>VLOOKUP(C517,'FY 25-26-Accrual'!D:I,6,0)</f>
        <v/>
      </c>
      <c r="K517" s="433">
        <f>H517-J517</f>
        <v/>
      </c>
    </row>
    <row r="518" ht="12" customHeight="1" s="253">
      <c r="A518" s="414" t="n">
        <v>45870</v>
      </c>
      <c r="B518" s="415" t="n">
        <v>45887</v>
      </c>
      <c r="C518" s="412" t="inlineStr">
        <is>
          <t>INV-25-26-000365</t>
        </is>
      </c>
      <c r="D518" s="412" t="inlineStr">
        <is>
          <t>Closed</t>
        </is>
      </c>
      <c r="E518" s="412" t="inlineStr">
        <is>
          <t>Hamza mir</t>
        </is>
      </c>
      <c r="F518" s="413" t="n">
        <v>5000</v>
      </c>
      <c r="G518" s="413" t="n">
        <v>900</v>
      </c>
      <c r="H518" s="413" t="n">
        <v>5900</v>
      </c>
      <c r="I518" s="412" t="inlineStr">
        <is>
          <t>B2B</t>
        </is>
      </c>
      <c r="J518" s="412">
        <f>VLOOKUP(C518,'FY 25-26-Accrual'!D:I,6,0)</f>
        <v/>
      </c>
      <c r="K518" s="433">
        <f>H518-J518</f>
        <v/>
      </c>
    </row>
    <row r="519" ht="12" customHeight="1" s="253">
      <c r="A519" s="414" t="n">
        <v>45870</v>
      </c>
      <c r="B519" s="415" t="n">
        <v>45888</v>
      </c>
      <c r="C519" s="412" t="inlineStr">
        <is>
          <t>INV-25-26-000366</t>
        </is>
      </c>
      <c r="D519" s="412" t="inlineStr">
        <is>
          <t>Overdue</t>
        </is>
      </c>
      <c r="E519" s="412" t="inlineStr">
        <is>
          <t>Vesta Legal</t>
        </is>
      </c>
      <c r="F519" s="413" t="n">
        <v>92540</v>
      </c>
      <c r="G519" s="413" t="n">
        <v>16657</v>
      </c>
      <c r="H519" s="413" t="n">
        <v>109197</v>
      </c>
      <c r="I519" s="412" t="inlineStr">
        <is>
          <t>B2B</t>
        </is>
      </c>
      <c r="J519" s="412">
        <f>VLOOKUP(C519,'FY 25-26-Accrual'!D:I,6,0)</f>
        <v/>
      </c>
      <c r="K519" s="433">
        <f>H519-J519</f>
        <v/>
      </c>
    </row>
    <row r="520" ht="12" customHeight="1" s="253">
      <c r="A520" s="414" t="n">
        <v>45870</v>
      </c>
      <c r="B520" s="415" t="n">
        <v>45888</v>
      </c>
      <c r="C520" s="412" t="inlineStr">
        <is>
          <t>INV-25-26-000367</t>
        </is>
      </c>
      <c r="D520" s="412" t="inlineStr">
        <is>
          <t>Overdue</t>
        </is>
      </c>
      <c r="E520" s="412" t="inlineStr">
        <is>
          <t>Gauri Puri</t>
        </is>
      </c>
      <c r="F520" s="413" t="n">
        <v>6000</v>
      </c>
      <c r="G520" s="413" t="n">
        <v>1080</v>
      </c>
      <c r="H520" s="413" t="n">
        <v>7080</v>
      </c>
      <c r="I520" s="412" t="inlineStr">
        <is>
          <t>B2B</t>
        </is>
      </c>
      <c r="J520" s="412">
        <f>VLOOKUP(C520,'FY 25-26-Accrual'!D:I,6,0)</f>
        <v/>
      </c>
      <c r="K520" s="433">
        <f>H520-J520</f>
        <v/>
      </c>
    </row>
    <row r="521" ht="12" customHeight="1" s="253">
      <c r="A521" s="414" t="n">
        <v>45870</v>
      </c>
      <c r="B521" s="415" t="n">
        <v>45888</v>
      </c>
      <c r="C521" s="412" t="inlineStr">
        <is>
          <t>INV-25-26-000368</t>
        </is>
      </c>
      <c r="D521" s="412" t="inlineStr">
        <is>
          <t>Closed</t>
        </is>
      </c>
      <c r="E521" s="412" t="inlineStr">
        <is>
          <t>Amit Bhagat</t>
        </is>
      </c>
      <c r="F521" s="413" t="n">
        <v>5000</v>
      </c>
      <c r="G521" s="413" t="n">
        <v>900</v>
      </c>
      <c r="H521" s="413" t="n">
        <v>5900</v>
      </c>
      <c r="I521" s="412" t="inlineStr">
        <is>
          <t>B2B</t>
        </is>
      </c>
      <c r="J521" s="412">
        <f>VLOOKUP(C521,'FY 25-26-Accrual'!D:I,6,0)</f>
        <v/>
      </c>
      <c r="K521" s="433">
        <f>H521-J521</f>
        <v/>
      </c>
    </row>
    <row r="522" ht="12" customHeight="1" s="253">
      <c r="A522" s="414" t="n">
        <v>45870</v>
      </c>
      <c r="B522" s="415" t="n">
        <v>45888</v>
      </c>
      <c r="C522" s="412" t="inlineStr">
        <is>
          <t>INV-25-26-000369</t>
        </is>
      </c>
      <c r="D522" s="412" t="inlineStr">
        <is>
          <t>Closed</t>
        </is>
      </c>
      <c r="E522" s="412" t="inlineStr">
        <is>
          <t>Akkash Bhadana</t>
        </is>
      </c>
      <c r="F522" s="413" t="n">
        <v>70000</v>
      </c>
      <c r="G522" s="413" t="n">
        <v>12600</v>
      </c>
      <c r="H522" s="413" t="n">
        <v>82600</v>
      </c>
      <c r="I522" s="412" t="inlineStr">
        <is>
          <t>B2B</t>
        </is>
      </c>
      <c r="J522" s="412">
        <f>VLOOKUP(C522,'FY 25-26-Accrual'!D:I,6,0)</f>
        <v/>
      </c>
      <c r="K522" s="433">
        <f>H522-J522</f>
        <v/>
      </c>
    </row>
    <row r="523" ht="12" customHeight="1" s="253">
      <c r="A523" s="414" t="n">
        <v>45870</v>
      </c>
      <c r="B523" s="415" t="n">
        <v>45888</v>
      </c>
      <c r="C523" s="412" t="inlineStr">
        <is>
          <t>INV-25-26-000370</t>
        </is>
      </c>
      <c r="D523" s="412" t="inlineStr">
        <is>
          <t>Closed</t>
        </is>
      </c>
      <c r="E523" s="412" t="inlineStr">
        <is>
          <t>Gaurav Gupta</t>
        </is>
      </c>
      <c r="F523" s="413" t="n">
        <v>35000</v>
      </c>
      <c r="G523" s="413" t="n">
        <v>6300</v>
      </c>
      <c r="H523" s="413" t="n">
        <v>41300</v>
      </c>
      <c r="I523" s="412" t="inlineStr">
        <is>
          <t>B2B</t>
        </is>
      </c>
      <c r="J523" s="412">
        <f>VLOOKUP(C523,'FY 25-26-Accrual'!D:I,6,0)</f>
        <v/>
      </c>
      <c r="K523" s="433">
        <f>H523-J523</f>
        <v/>
      </c>
    </row>
    <row r="524" ht="12" customHeight="1" s="253">
      <c r="A524" s="414" t="n">
        <v>45870</v>
      </c>
      <c r="B524" s="415" t="n">
        <v>45888</v>
      </c>
      <c r="C524" s="412" t="inlineStr">
        <is>
          <t>INV-25-26-000371</t>
        </is>
      </c>
      <c r="D524" s="412" t="inlineStr">
        <is>
          <t>Closed</t>
        </is>
      </c>
      <c r="E524" s="412" t="inlineStr">
        <is>
          <t>Asahi Legal LLP</t>
        </is>
      </c>
      <c r="F524" s="413" t="n">
        <v>19068</v>
      </c>
      <c r="G524" s="413" t="n">
        <v>3432</v>
      </c>
      <c r="H524" s="413" t="n">
        <v>22500</v>
      </c>
      <c r="I524" s="412" t="inlineStr">
        <is>
          <t>B2B</t>
        </is>
      </c>
      <c r="J524" s="433">
        <f>H524</f>
        <v/>
      </c>
      <c r="K524" s="433">
        <f>H524-J524</f>
        <v/>
      </c>
    </row>
    <row r="525" ht="12" customHeight="1" s="253">
      <c r="A525" s="414" t="n">
        <v>45870</v>
      </c>
      <c r="B525" s="415" t="n">
        <v>45890</v>
      </c>
      <c r="C525" s="412" t="inlineStr">
        <is>
          <t>INV-25-26-000372</t>
        </is>
      </c>
      <c r="D525" s="412" t="inlineStr">
        <is>
          <t>Overdue</t>
        </is>
      </c>
      <c r="E525" s="412" t="inlineStr">
        <is>
          <t>Stride Legal</t>
        </is>
      </c>
      <c r="F525" s="413" t="n">
        <v>10000</v>
      </c>
      <c r="G525" s="413" t="n">
        <v>1800</v>
      </c>
      <c r="H525" s="413" t="n">
        <v>11800</v>
      </c>
      <c r="I525" s="412" t="inlineStr">
        <is>
          <t>B2B</t>
        </is>
      </c>
      <c r="J525" s="412">
        <f>VLOOKUP(C525,'FY 25-26-Accrual'!D:I,6,0)</f>
        <v/>
      </c>
      <c r="K525" s="433">
        <f>H525-J525</f>
        <v/>
      </c>
    </row>
    <row r="526" ht="12" customHeight="1" s="253">
      <c r="A526" s="414" t="n">
        <v>45870</v>
      </c>
      <c r="B526" s="415" t="n">
        <v>45890</v>
      </c>
      <c r="C526" s="412" t="inlineStr">
        <is>
          <t>INV-25-26-000373</t>
        </is>
      </c>
      <c r="D526" s="412" t="inlineStr">
        <is>
          <t>Overdue</t>
        </is>
      </c>
      <c r="E526" s="412" t="inlineStr">
        <is>
          <t>Sarthak Advocates &amp; Solicitors</t>
        </is>
      </c>
      <c r="F526" s="413" t="n">
        <v>35000</v>
      </c>
      <c r="G526" s="413" t="n">
        <v>6300</v>
      </c>
      <c r="H526" s="413" t="n">
        <v>41300</v>
      </c>
      <c r="I526" s="412" t="inlineStr">
        <is>
          <t>B2B</t>
        </is>
      </c>
      <c r="J526" s="412">
        <f>VLOOKUP(C526,'FY 25-26-Accrual'!D:I,6,0)</f>
        <v/>
      </c>
      <c r="K526" s="433">
        <f>H526-J526</f>
        <v/>
      </c>
    </row>
    <row r="527" ht="12" customHeight="1" s="253">
      <c r="A527" s="414" t="n">
        <v>45870</v>
      </c>
      <c r="B527" s="415" t="n">
        <v>45890</v>
      </c>
      <c r="C527" s="412" t="inlineStr">
        <is>
          <t>INV-25-26-000374</t>
        </is>
      </c>
      <c r="D527" s="412" t="inlineStr">
        <is>
          <t>Overdue</t>
        </is>
      </c>
      <c r="E527" s="412" t="inlineStr">
        <is>
          <t>Roshan Santhalia</t>
        </is>
      </c>
      <c r="F527" s="413" t="n">
        <v>6000</v>
      </c>
      <c r="G527" s="413" t="n">
        <v>1080</v>
      </c>
      <c r="H527" s="413" t="n">
        <v>7080</v>
      </c>
      <c r="I527" s="412" t="inlineStr">
        <is>
          <t>B2B</t>
        </is>
      </c>
      <c r="J527" s="412">
        <f>VLOOKUP(C527,'FY 25-26-Accrual'!D:I,6,0)</f>
        <v/>
      </c>
      <c r="K527" s="433">
        <f>H527-J527</f>
        <v/>
      </c>
    </row>
    <row r="528" ht="12" customHeight="1" s="253">
      <c r="A528" s="414" t="n">
        <v>45870</v>
      </c>
      <c r="B528" s="415" t="n">
        <v>45889</v>
      </c>
      <c r="C528" s="412" t="inlineStr">
        <is>
          <t>INV-25-26-000375</t>
        </is>
      </c>
      <c r="D528" s="412" t="inlineStr">
        <is>
          <t>Overdue</t>
        </is>
      </c>
      <c r="E528" s="412" t="inlineStr">
        <is>
          <t>Reliance Corporate Advisors (R)</t>
        </is>
      </c>
      <c r="F528" s="413" t="n">
        <v>86987</v>
      </c>
      <c r="G528" s="413" t="n">
        <v>0</v>
      </c>
      <c r="H528" s="413" t="n">
        <v>86987</v>
      </c>
      <c r="I528" s="412" t="inlineStr">
        <is>
          <t>B2B</t>
        </is>
      </c>
      <c r="J528" s="412">
        <f>VLOOKUP(C528,'FY 25-26-Accrual'!D:I,6,0)</f>
        <v/>
      </c>
      <c r="K528" s="433">
        <f>H528-J528</f>
        <v/>
      </c>
    </row>
    <row r="529" ht="12" customHeight="1" s="253">
      <c r="A529" s="414" t="n">
        <v>45870</v>
      </c>
      <c r="B529" s="415" t="n">
        <v>45891</v>
      </c>
      <c r="C529" s="412" t="inlineStr">
        <is>
          <t>INV-25-26-000376</t>
        </is>
      </c>
      <c r="D529" s="412" t="inlineStr">
        <is>
          <t>Overdue</t>
        </is>
      </c>
      <c r="E529" s="412" t="inlineStr">
        <is>
          <t>Swapna Sheshadri</t>
        </is>
      </c>
      <c r="F529" s="413" t="n">
        <v>15000</v>
      </c>
      <c r="G529" s="413" t="n">
        <v>2700</v>
      </c>
      <c r="H529" s="413" t="n">
        <v>17700</v>
      </c>
      <c r="I529" s="412" t="inlineStr">
        <is>
          <t>B2B</t>
        </is>
      </c>
      <c r="J529" s="412">
        <f>VLOOKUP(C529,'FY 25-26-Accrual'!D:I,6,0)</f>
        <v/>
      </c>
      <c r="K529" s="433">
        <f>H529-J529</f>
        <v/>
      </c>
    </row>
    <row r="530" ht="12" customHeight="1" s="253">
      <c r="A530" s="414" t="n">
        <v>45870</v>
      </c>
      <c r="B530" s="415" t="n">
        <v>45891</v>
      </c>
      <c r="C530" s="412" t="inlineStr">
        <is>
          <t>INV-25-26-000377</t>
        </is>
      </c>
      <c r="D530" s="412" t="inlineStr">
        <is>
          <t>Closed</t>
        </is>
      </c>
      <c r="E530" s="412" t="inlineStr">
        <is>
          <t>Amrit Grewal</t>
        </is>
      </c>
      <c r="F530" s="413" t="n">
        <v>36000</v>
      </c>
      <c r="G530" s="413" t="n">
        <v>6480</v>
      </c>
      <c r="H530" s="413" t="n">
        <v>42480</v>
      </c>
      <c r="I530" s="412" t="inlineStr">
        <is>
          <t>B2B</t>
        </is>
      </c>
      <c r="J530" s="412">
        <f>VLOOKUP(C530,'FY 25-26-Accrual'!D:I,6,0)</f>
        <v/>
      </c>
      <c r="K530" s="433">
        <f>H530-J530</f>
        <v/>
      </c>
    </row>
    <row r="531" ht="12" customHeight="1" s="253">
      <c r="A531" s="414" t="n">
        <v>45870</v>
      </c>
      <c r="B531" s="415" t="n">
        <v>45892</v>
      </c>
      <c r="C531" s="412" t="inlineStr">
        <is>
          <t>INV-25-26-000378</t>
        </is>
      </c>
      <c r="D531" s="412" t="inlineStr">
        <is>
          <t>Overdue</t>
        </is>
      </c>
      <c r="E531" s="412" t="inlineStr">
        <is>
          <t>Khaitan Legal Associates</t>
        </is>
      </c>
      <c r="F531" s="413" t="n">
        <v>1266000</v>
      </c>
      <c r="G531" s="413">
        <f>F531*18%</f>
        <v/>
      </c>
      <c r="H531" s="413">
        <f>F531+G531</f>
        <v/>
      </c>
      <c r="I531" s="412" t="inlineStr">
        <is>
          <t>B2B</t>
        </is>
      </c>
      <c r="J531" s="433">
        <f>H531</f>
        <v/>
      </c>
      <c r="K531" s="433">
        <f>H531-J531</f>
        <v/>
      </c>
    </row>
    <row r="532" ht="12" customHeight="1" s="253">
      <c r="A532" s="414" t="n">
        <v>45870</v>
      </c>
      <c r="B532" s="415" t="n">
        <v>45894</v>
      </c>
      <c r="C532" s="412" t="inlineStr">
        <is>
          <t>INV-25-26-000379</t>
        </is>
      </c>
      <c r="D532" s="412" t="inlineStr">
        <is>
          <t>Overdue</t>
        </is>
      </c>
      <c r="E532" s="412" t="inlineStr">
        <is>
          <t>J.R. LADDHA FINANCIAL SERVICES PRIVATE LIMITED</t>
        </is>
      </c>
      <c r="F532" s="413" t="n">
        <v>6000</v>
      </c>
      <c r="G532" s="413" t="n">
        <v>1080</v>
      </c>
      <c r="H532" s="413" t="n">
        <v>7080</v>
      </c>
      <c r="I532" s="412" t="inlineStr">
        <is>
          <t>B2B</t>
        </is>
      </c>
      <c r="J532" s="412">
        <f>VLOOKUP(C532,'FY 25-26-Accrual'!D:I,6,0)</f>
        <v/>
      </c>
      <c r="K532" s="433">
        <f>H532-J532</f>
        <v/>
      </c>
    </row>
    <row r="533" ht="12" customHeight="1" s="253">
      <c r="A533" s="414" t="n">
        <v>45870</v>
      </c>
      <c r="B533" s="415" t="n">
        <v>45894</v>
      </c>
      <c r="C533" s="412" t="inlineStr">
        <is>
          <t>INV-25-26-000380</t>
        </is>
      </c>
      <c r="D533" s="412" t="inlineStr">
        <is>
          <t>Overdue</t>
        </is>
      </c>
      <c r="E533" s="412" t="inlineStr">
        <is>
          <t>Talha Abdul Rahman</t>
        </is>
      </c>
      <c r="F533" s="413" t="n">
        <v>25424</v>
      </c>
      <c r="G533" s="413" t="n">
        <v>4576</v>
      </c>
      <c r="H533" s="413" t="n">
        <v>30000</v>
      </c>
      <c r="I533" s="412" t="inlineStr">
        <is>
          <t>B2B</t>
        </is>
      </c>
      <c r="J533" s="412">
        <f>VLOOKUP(C533,'FY 25-26-Accrual'!D:I,6,0)</f>
        <v/>
      </c>
      <c r="K533" s="433">
        <f>H533-J533</f>
        <v/>
      </c>
    </row>
    <row r="534" ht="12" customHeight="1" s="253">
      <c r="A534" s="414" t="n">
        <v>45870</v>
      </c>
      <c r="B534" s="415" t="n">
        <v>45894</v>
      </c>
      <c r="C534" s="412" t="inlineStr">
        <is>
          <t>INV-25-26-000381</t>
        </is>
      </c>
      <c r="D534" s="412" t="inlineStr">
        <is>
          <t>Closed</t>
        </is>
      </c>
      <c r="E534" s="412" t="inlineStr">
        <is>
          <t>Talha Abdul Rahman</t>
        </is>
      </c>
      <c r="F534" s="413" t="n">
        <v>70000</v>
      </c>
      <c r="G534" s="413" t="n">
        <v>12600</v>
      </c>
      <c r="H534" s="413" t="n">
        <v>82600</v>
      </c>
      <c r="I534" s="412" t="inlineStr">
        <is>
          <t>B2B</t>
        </is>
      </c>
      <c r="J534" s="412">
        <f>VLOOKUP(C534,'FY 25-26-Accrual'!D:I,6,0)</f>
        <v/>
      </c>
      <c r="K534" s="433">
        <f>H534-J534</f>
        <v/>
      </c>
    </row>
    <row r="535" ht="12" customHeight="1" s="253">
      <c r="A535" s="414" t="n">
        <v>45870</v>
      </c>
      <c r="B535" s="415" t="n">
        <v>45895</v>
      </c>
      <c r="C535" s="412" t="inlineStr">
        <is>
          <t>INV-25-26-000382</t>
        </is>
      </c>
      <c r="D535" s="412" t="inlineStr">
        <is>
          <t>Overdue</t>
        </is>
      </c>
      <c r="E535" s="412" t="inlineStr">
        <is>
          <t>Pratik Patnaik</t>
        </is>
      </c>
      <c r="F535" s="413" t="n">
        <v>12000</v>
      </c>
      <c r="G535" s="413" t="n">
        <v>2160</v>
      </c>
      <c r="H535" s="413" t="n">
        <v>14160</v>
      </c>
      <c r="I535" s="412" t="inlineStr">
        <is>
          <t>B2B</t>
        </is>
      </c>
      <c r="J535" s="412">
        <f>VLOOKUP(C535,'FY 25-26-Accrual'!D:I,6,0)</f>
        <v/>
      </c>
      <c r="K535" s="433">
        <f>H535-J535</f>
        <v/>
      </c>
    </row>
    <row r="536" ht="12" customHeight="1" s="253">
      <c r="A536" s="414" t="n">
        <v>45870</v>
      </c>
      <c r="B536" s="415" t="n">
        <v>45895</v>
      </c>
      <c r="C536" s="412" t="inlineStr">
        <is>
          <t>INV-25-26-000383</t>
        </is>
      </c>
      <c r="D536" s="412" t="inlineStr">
        <is>
          <t>Closed</t>
        </is>
      </c>
      <c r="E536" s="412" t="inlineStr">
        <is>
          <t>Shreya Desai</t>
        </is>
      </c>
      <c r="F536" s="413" t="n">
        <v>10000</v>
      </c>
      <c r="G536" s="413" t="n">
        <v>1800</v>
      </c>
      <c r="H536" s="413" t="n">
        <v>11800</v>
      </c>
      <c r="I536" s="412" t="inlineStr">
        <is>
          <t>B2B</t>
        </is>
      </c>
      <c r="J536" s="412">
        <f>VLOOKUP(C536,'FY 25-26-Accrual'!D:I,6,0)</f>
        <v/>
      </c>
      <c r="K536" s="433">
        <f>H536-J536</f>
        <v/>
      </c>
    </row>
    <row r="537" ht="12" customHeight="1" s="253">
      <c r="A537" s="414" t="n">
        <v>45870</v>
      </c>
      <c r="B537" s="415" t="n">
        <v>45895</v>
      </c>
      <c r="C537" s="412" t="inlineStr">
        <is>
          <t>INV-25-26-000384</t>
        </is>
      </c>
      <c r="D537" s="412" t="inlineStr">
        <is>
          <t>Overdue</t>
        </is>
      </c>
      <c r="E537" s="412" t="inlineStr">
        <is>
          <t>Touchstone Partners</t>
        </is>
      </c>
      <c r="F537" s="413" t="n">
        <v>17500</v>
      </c>
      <c r="G537" s="413" t="n">
        <v>3150</v>
      </c>
      <c r="H537" s="413" t="n">
        <v>20650</v>
      </c>
      <c r="I537" s="412" t="inlineStr">
        <is>
          <t>B2B</t>
        </is>
      </c>
      <c r="J537" s="412">
        <f>VLOOKUP(C537,'FY 25-26-Accrual'!D:I,6,0)</f>
        <v/>
      </c>
      <c r="K537" s="433">
        <f>H537-J537</f>
        <v/>
      </c>
    </row>
    <row r="538" ht="12" customHeight="1" s="253">
      <c r="A538" s="414" t="n">
        <v>45870</v>
      </c>
      <c r="B538" s="415" t="n">
        <v>45895</v>
      </c>
      <c r="C538" s="412" t="inlineStr">
        <is>
          <t>INV-25-26-000385</t>
        </is>
      </c>
      <c r="D538" s="412" t="inlineStr">
        <is>
          <t>Overdue</t>
        </is>
      </c>
      <c r="E538" s="412" t="inlineStr">
        <is>
          <t>RAJANI ASSOCIATES</t>
        </is>
      </c>
      <c r="F538" s="413" t="n">
        <v>84000</v>
      </c>
      <c r="G538" s="413" t="n">
        <v>15120</v>
      </c>
      <c r="H538" s="413" t="n">
        <v>99120</v>
      </c>
      <c r="I538" s="412" t="inlineStr">
        <is>
          <t>B2B</t>
        </is>
      </c>
      <c r="J538" s="412">
        <f>VLOOKUP(C538,'FY 25-26-Accrual'!D:I,6,0)</f>
        <v/>
      </c>
      <c r="K538" s="433">
        <f>H538-J538</f>
        <v/>
      </c>
    </row>
    <row r="539" ht="12" customHeight="1" s="253">
      <c r="A539" s="414" t="n">
        <v>45870</v>
      </c>
      <c r="B539" s="415" t="n">
        <v>45896</v>
      </c>
      <c r="C539" s="412" t="inlineStr">
        <is>
          <t>INV-25-26-000386</t>
        </is>
      </c>
      <c r="D539" s="412" t="inlineStr">
        <is>
          <t>Overdue</t>
        </is>
      </c>
      <c r="E539" s="412" t="inlineStr">
        <is>
          <t>ZEUS Law Associates</t>
        </is>
      </c>
      <c r="F539" s="413" t="n">
        <v>202500</v>
      </c>
      <c r="G539" s="413" t="n">
        <v>36450</v>
      </c>
      <c r="H539" s="413" t="n">
        <v>238950</v>
      </c>
      <c r="I539" s="412" t="inlineStr">
        <is>
          <t>B2B</t>
        </is>
      </c>
      <c r="J539" s="433">
        <f>H539</f>
        <v/>
      </c>
      <c r="K539" s="433">
        <f>H539-J539</f>
        <v/>
      </c>
    </row>
    <row r="540" ht="12" customHeight="1" s="253">
      <c r="A540" s="414" t="n">
        <v>45870</v>
      </c>
      <c r="B540" s="415" t="n">
        <v>45896</v>
      </c>
      <c r="C540" s="412" t="inlineStr">
        <is>
          <t>INV-25-26-000387</t>
        </is>
      </c>
      <c r="D540" s="412" t="inlineStr">
        <is>
          <t>Closed</t>
        </is>
      </c>
      <c r="E540" s="412" t="inlineStr">
        <is>
          <t>KRISH HOMES</t>
        </is>
      </c>
      <c r="F540" s="413" t="n">
        <v>59500</v>
      </c>
      <c r="G540" s="413" t="n">
        <v>10710</v>
      </c>
      <c r="H540" s="413" t="n">
        <v>70210</v>
      </c>
      <c r="I540" s="412" t="inlineStr">
        <is>
          <t>B2B</t>
        </is>
      </c>
      <c r="J540" s="412">
        <f>VLOOKUP(C540,'FY 25-26-Accrual'!D:I,6,0)</f>
        <v/>
      </c>
      <c r="K540" s="433">
        <f>H540-J540</f>
        <v/>
      </c>
    </row>
    <row r="541" ht="12" customHeight="1" s="253">
      <c r="A541" s="414" t="n">
        <v>45870</v>
      </c>
      <c r="B541" s="415" t="n">
        <v>45897</v>
      </c>
      <c r="C541" s="412" t="inlineStr">
        <is>
          <t>INV-25-26-000388</t>
        </is>
      </c>
      <c r="D541" s="412" t="inlineStr">
        <is>
          <t>Closed</t>
        </is>
      </c>
      <c r="E541" s="412" t="inlineStr">
        <is>
          <t>LEGALOGIC CONSULTING LLP</t>
        </is>
      </c>
      <c r="F541" s="413" t="n">
        <v>100000</v>
      </c>
      <c r="G541" s="413" t="n">
        <v>18000</v>
      </c>
      <c r="H541" s="413" t="n">
        <v>118000</v>
      </c>
      <c r="I541" s="412" t="inlineStr">
        <is>
          <t>B2B</t>
        </is>
      </c>
      <c r="J541" s="412">
        <f>VLOOKUP(C541,'FY 25-26-Accrual'!D:I,6,0)</f>
        <v/>
      </c>
      <c r="K541" s="433">
        <f>H541-J541</f>
        <v/>
      </c>
    </row>
    <row r="542" ht="12" customHeight="1" s="253">
      <c r="A542" s="414" t="n">
        <v>45870</v>
      </c>
      <c r="B542" s="415" t="n">
        <v>45897</v>
      </c>
      <c r="C542" s="412" t="inlineStr">
        <is>
          <t>INV-25-26-000389</t>
        </is>
      </c>
      <c r="D542" s="412" t="inlineStr">
        <is>
          <t>Overdue</t>
        </is>
      </c>
      <c r="E542" s="412" t="inlineStr">
        <is>
          <t>Saqeb Mahbub</t>
        </is>
      </c>
      <c r="F542" s="413" t="n">
        <v>360819</v>
      </c>
      <c r="G542" s="413" t="n">
        <v>0</v>
      </c>
      <c r="H542" s="413" t="n">
        <v>360819</v>
      </c>
      <c r="I542" s="412" t="inlineStr">
        <is>
          <t>B2B</t>
        </is>
      </c>
      <c r="J542" s="412">
        <f>VLOOKUP(C542,'FY 25-26-Accrual'!D:I,6,0)</f>
        <v/>
      </c>
      <c r="K542" s="433">
        <f>H542-J542</f>
        <v/>
      </c>
    </row>
    <row r="543" ht="12" customHeight="1" s="253">
      <c r="A543" s="414" t="n">
        <v>45870</v>
      </c>
      <c r="B543" s="415" t="n">
        <v>45898</v>
      </c>
      <c r="C543" s="412" t="inlineStr">
        <is>
          <t>INV-25-26-000390</t>
        </is>
      </c>
      <c r="D543" s="412" t="inlineStr">
        <is>
          <t>Closed</t>
        </is>
      </c>
      <c r="E543" s="412" t="inlineStr">
        <is>
          <t>SRCO Legal / Salvador Raghav &amp; Co.</t>
        </is>
      </c>
      <c r="F543" s="413" t="n">
        <v>6780</v>
      </c>
      <c r="G543" s="413" t="n">
        <v>1220</v>
      </c>
      <c r="H543" s="413" t="n">
        <v>8000</v>
      </c>
      <c r="I543" s="412" t="inlineStr">
        <is>
          <t>B2B</t>
        </is>
      </c>
      <c r="J543" s="412">
        <f>VLOOKUP(C543,'FY 25-26-Accrual'!D:I,6,0)</f>
        <v/>
      </c>
      <c r="K543" s="433">
        <f>H543-J543</f>
        <v/>
      </c>
    </row>
    <row r="544" ht="12" customHeight="1" s="253">
      <c r="A544" s="414" t="n">
        <v>45870</v>
      </c>
      <c r="B544" s="415" t="n">
        <v>45898</v>
      </c>
      <c r="C544" s="412" t="inlineStr">
        <is>
          <t>INV-25-26-000391</t>
        </is>
      </c>
      <c r="D544" s="412" t="inlineStr">
        <is>
          <t>Overdue</t>
        </is>
      </c>
      <c r="E544" s="412" t="inlineStr">
        <is>
          <t>JSM Law Partners</t>
        </is>
      </c>
      <c r="F544" s="413" t="n">
        <v>90000</v>
      </c>
      <c r="G544" s="413" t="n">
        <v>16200</v>
      </c>
      <c r="H544" s="413" t="n">
        <v>106200</v>
      </c>
      <c r="I544" s="412" t="inlineStr">
        <is>
          <t>B2B</t>
        </is>
      </c>
      <c r="J544" s="433">
        <f>H544</f>
        <v/>
      </c>
      <c r="K544" s="433">
        <f>H544-J544</f>
        <v/>
      </c>
    </row>
    <row r="545" ht="12" customHeight="1" s="253">
      <c r="A545" s="414" t="n">
        <v>45870</v>
      </c>
      <c r="B545" s="415" t="n">
        <v>45898</v>
      </c>
      <c r="C545" s="412" t="inlineStr">
        <is>
          <t>INV-25-26-000392</t>
        </is>
      </c>
      <c r="D545" s="412" t="inlineStr">
        <is>
          <t>Overdue</t>
        </is>
      </c>
      <c r="E545" s="412" t="inlineStr">
        <is>
          <t>RUNWAL ENTERPRISES LIMITED</t>
        </is>
      </c>
      <c r="F545" s="413" t="n">
        <v>600000</v>
      </c>
      <c r="G545" s="413" t="n">
        <v>108000</v>
      </c>
      <c r="H545" s="413" t="n">
        <v>708000</v>
      </c>
      <c r="I545" s="412" t="inlineStr">
        <is>
          <t>B2B</t>
        </is>
      </c>
      <c r="J545" s="412">
        <f>VLOOKUP(C545,'FY 25-26-Accrual'!D:I,6,0)</f>
        <v/>
      </c>
      <c r="K545" s="433">
        <f>H545-J545</f>
        <v/>
      </c>
    </row>
    <row r="546" ht="12" customHeight="1" s="253">
      <c r="A546" s="414" t="n">
        <v>45870</v>
      </c>
      <c r="B546" s="415" t="n">
        <v>45898</v>
      </c>
      <c r="C546" s="412" t="inlineStr">
        <is>
          <t>INV-25-26-000393</t>
        </is>
      </c>
      <c r="D546" s="412" t="inlineStr">
        <is>
          <t>Closed</t>
        </is>
      </c>
      <c r="E546" s="412" t="inlineStr">
        <is>
          <t>Svarniti Law Offices</t>
        </is>
      </c>
      <c r="F546" s="413" t="n">
        <v>70000</v>
      </c>
      <c r="G546" s="413" t="n">
        <v>12600</v>
      </c>
      <c r="H546" s="413" t="n">
        <v>82600</v>
      </c>
      <c r="I546" s="412" t="inlineStr">
        <is>
          <t>B2B</t>
        </is>
      </c>
      <c r="J546" s="433">
        <f>H546</f>
        <v/>
      </c>
      <c r="K546" s="433">
        <f>H546-J546</f>
        <v/>
      </c>
    </row>
    <row r="547" ht="12" customHeight="1" s="253">
      <c r="A547" s="414" t="n">
        <v>45870</v>
      </c>
      <c r="B547" s="415" t="n">
        <v>45898</v>
      </c>
      <c r="C547" s="412" t="inlineStr">
        <is>
          <t>INV-25-26-000394</t>
        </is>
      </c>
      <c r="D547" s="412" t="inlineStr">
        <is>
          <t>Overdue</t>
        </is>
      </c>
      <c r="E547" s="412" t="inlineStr">
        <is>
          <t>Justice Ravindra Bhat</t>
        </is>
      </c>
      <c r="F547" s="413" t="n">
        <v>70000</v>
      </c>
      <c r="G547" s="413" t="n">
        <v>12600</v>
      </c>
      <c r="H547" s="413" t="n">
        <v>82600</v>
      </c>
      <c r="I547" s="412" t="inlineStr">
        <is>
          <t>B2B</t>
        </is>
      </c>
      <c r="J547" s="412">
        <f>VLOOKUP(C547,'FY 25-26-Accrual'!D:I,6,0)</f>
        <v/>
      </c>
      <c r="K547" s="433">
        <f>H547-J547</f>
        <v/>
      </c>
    </row>
    <row r="548" ht="12" customHeight="1" s="253">
      <c r="A548" s="414" t="n">
        <v>45870</v>
      </c>
      <c r="B548" s="415" t="n">
        <v>45898</v>
      </c>
      <c r="C548" s="412" t="inlineStr">
        <is>
          <t>INV-25-26-000395</t>
        </is>
      </c>
      <c r="D548" s="412" t="inlineStr">
        <is>
          <t>Overdue</t>
        </is>
      </c>
      <c r="E548" s="412" t="inlineStr">
        <is>
          <t>Gera Developments Pvt. Ltd.</t>
        </is>
      </c>
      <c r="F548" s="413" t="n">
        <v>270000</v>
      </c>
      <c r="G548" s="413" t="n">
        <v>48600</v>
      </c>
      <c r="H548" s="413" t="n">
        <v>318600</v>
      </c>
      <c r="I548" s="412" t="inlineStr">
        <is>
          <t>B2B</t>
        </is>
      </c>
      <c r="J548" s="412">
        <f>VLOOKUP(C548,'FY 25-26-Accrual'!D:I,6,0)</f>
        <v/>
      </c>
      <c r="K548" s="433">
        <f>H548-J548</f>
        <v/>
      </c>
    </row>
    <row r="549" ht="12" customHeight="1" s="253">
      <c r="A549" s="414" t="n">
        <v>45870</v>
      </c>
      <c r="B549" s="415" t="n">
        <v>45898</v>
      </c>
      <c r="C549" s="412" t="inlineStr">
        <is>
          <t>INV-25-26-000396</t>
        </is>
      </c>
      <c r="D549" s="412" t="inlineStr">
        <is>
          <t>Overdue</t>
        </is>
      </c>
      <c r="E549" s="412" t="inlineStr">
        <is>
          <t>MEESHO LIMITED</t>
        </is>
      </c>
      <c r="F549" s="413" t="n">
        <v>32500</v>
      </c>
      <c r="G549" s="413" t="n">
        <v>5850</v>
      </c>
      <c r="H549" s="413" t="n">
        <v>38350</v>
      </c>
      <c r="I549" s="412" t="inlineStr">
        <is>
          <t>B2B</t>
        </is>
      </c>
      <c r="J549" s="412">
        <f>VLOOKUP(C549,'FY 25-26-Accrual'!D:I,6,0)</f>
        <v/>
      </c>
      <c r="K549" s="433">
        <f>H549-J549</f>
        <v/>
      </c>
    </row>
    <row r="550" ht="12" customHeight="1" s="253">
      <c r="A550" s="414" t="n">
        <v>45870</v>
      </c>
      <c r="B550" s="415" t="n">
        <v>45899</v>
      </c>
      <c r="C550" s="412" t="inlineStr">
        <is>
          <t>INV-25-26-000397</t>
        </is>
      </c>
      <c r="D550" s="412" t="inlineStr">
        <is>
          <t>Closed</t>
        </is>
      </c>
      <c r="E550" s="412" t="inlineStr">
        <is>
          <t>B2C</t>
        </is>
      </c>
      <c r="F550" s="413" t="n">
        <v>11431</v>
      </c>
      <c r="G550" s="413" t="n">
        <v>2058</v>
      </c>
      <c r="H550" s="413" t="n">
        <v>13489</v>
      </c>
      <c r="I550" s="412" t="inlineStr">
        <is>
          <t>B2C</t>
        </is>
      </c>
      <c r="J550" s="412">
        <f>VLOOKUP(C550,'FY 25-26-Accrual'!D:I,6,0)</f>
        <v/>
      </c>
    </row>
    <row r="551" ht="12" customHeight="1" s="253">
      <c r="A551" s="414" t="n">
        <v>45870</v>
      </c>
      <c r="B551" s="415" t="n">
        <v>45899</v>
      </c>
      <c r="C551" s="412" t="inlineStr">
        <is>
          <t>INV-25-26-000398</t>
        </is>
      </c>
      <c r="D551" s="412" t="inlineStr">
        <is>
          <t>Overdue</t>
        </is>
      </c>
      <c r="E551" s="412" t="inlineStr">
        <is>
          <t>S C Sharada &amp; Associates| Company Secretaries</t>
        </is>
      </c>
      <c r="F551" s="413" t="n">
        <v>11032</v>
      </c>
      <c r="G551" s="413" t="n">
        <v>1986</v>
      </c>
      <c r="H551" s="413" t="n">
        <v>13018</v>
      </c>
      <c r="I551" s="412" t="inlineStr">
        <is>
          <t>B2B</t>
        </is>
      </c>
      <c r="J551" s="412">
        <f>VLOOKUP(C551,'FY 25-26-Accrual'!D:I,6,0)</f>
        <v/>
      </c>
      <c r="K551" s="433">
        <f>H551-J551</f>
        <v/>
      </c>
    </row>
    <row r="552" ht="12" customHeight="1" s="253">
      <c r="A552" s="414" t="n">
        <v>45870</v>
      </c>
      <c r="B552" s="415" t="n">
        <v>45898</v>
      </c>
      <c r="C552" s="412" t="inlineStr">
        <is>
          <t>CN-00012</t>
        </is>
      </c>
      <c r="D552" s="412" t="inlineStr">
        <is>
          <t>Overdue</t>
        </is>
      </c>
      <c r="E552" s="412" t="inlineStr">
        <is>
          <t>Tejeshwar Singh</t>
        </is>
      </c>
      <c r="F552" s="413" t="n">
        <v>-25000</v>
      </c>
      <c r="G552" s="413" t="n">
        <v>-4500</v>
      </c>
      <c r="H552" s="413" t="n">
        <v>-29500</v>
      </c>
      <c r="I552" s="412" t="inlineStr">
        <is>
          <t>B2B</t>
        </is>
      </c>
      <c r="J552" s="433">
        <f>H552</f>
        <v/>
      </c>
      <c r="K552" s="433">
        <f>H552-J552</f>
        <v/>
      </c>
    </row>
    <row r="553" ht="12" customHeight="1" s="253">
      <c r="A553" s="414" t="n">
        <v>45870</v>
      </c>
      <c r="B553" s="415" t="n">
        <v>45899</v>
      </c>
      <c r="C553" s="412" t="inlineStr">
        <is>
          <t>CN-00013</t>
        </is>
      </c>
      <c r="D553" s="412" t="inlineStr">
        <is>
          <t>Overdue</t>
        </is>
      </c>
      <c r="E553" s="412" t="inlineStr">
        <is>
          <t>Deep Cover Law- Chirag Narasimiah</t>
        </is>
      </c>
      <c r="F553" s="413" t="n">
        <v>-5516</v>
      </c>
      <c r="G553" s="413" t="n">
        <v>-993</v>
      </c>
      <c r="H553" s="413" t="n">
        <v>-6509</v>
      </c>
      <c r="I553" s="412" t="inlineStr">
        <is>
          <t>B2B</t>
        </is>
      </c>
      <c r="J553" s="433">
        <f>H553</f>
        <v/>
      </c>
      <c r="K553" s="433">
        <f>H553-J553</f>
        <v/>
      </c>
    </row>
    <row r="554" ht="12" customHeight="1" s="253">
      <c r="A554" s="414" t="n">
        <v>45901</v>
      </c>
      <c r="B554" s="415" t="n">
        <v>45901</v>
      </c>
      <c r="C554" s="412" t="inlineStr">
        <is>
          <t>INV-25-26-000400</t>
        </is>
      </c>
      <c r="E554" s="412" t="inlineStr">
        <is>
          <t>Consera Legal LLP</t>
        </is>
      </c>
      <c r="F554" s="413" t="n">
        <v>4000</v>
      </c>
      <c r="G554" s="413">
        <f>F554*18%</f>
        <v/>
      </c>
      <c r="H554" s="413">
        <f>F554+G554</f>
        <v/>
      </c>
      <c r="I554" s="412" t="inlineStr">
        <is>
          <t>B2B</t>
        </is>
      </c>
    </row>
    <row r="555" ht="12" customHeight="1" s="253">
      <c r="A555" s="414" t="n">
        <v>45901</v>
      </c>
      <c r="B555" s="415" t="n">
        <v>45901</v>
      </c>
      <c r="C555" s="412" t="inlineStr">
        <is>
          <t>INV-25-26-000402</t>
        </is>
      </c>
      <c r="E555" s="412" t="inlineStr">
        <is>
          <t>Yash Momaya</t>
        </is>
      </c>
      <c r="F555" s="413" t="n">
        <v>70000</v>
      </c>
      <c r="G555" s="413">
        <f>F555*18%</f>
        <v/>
      </c>
      <c r="H555" s="413">
        <f>F555+G555</f>
        <v/>
      </c>
      <c r="I555" s="412" t="inlineStr">
        <is>
          <t>B2B</t>
        </is>
      </c>
    </row>
    <row r="556" ht="12" customHeight="1" s="253">
      <c r="A556" s="414" t="n">
        <v>45901</v>
      </c>
      <c r="B556" s="415" t="n">
        <v>45901</v>
      </c>
      <c r="C556" s="412" t="inlineStr">
        <is>
          <t>INV-25-26-000403</t>
        </is>
      </c>
      <c r="E556" s="412" t="inlineStr">
        <is>
          <t>Clavius Legal</t>
        </is>
      </c>
      <c r="F556" s="413" t="n">
        <v>152000</v>
      </c>
      <c r="G556" s="413">
        <f>F556*18%</f>
        <v/>
      </c>
      <c r="H556" s="413">
        <f>F556+G556</f>
        <v/>
      </c>
      <c r="I556" s="412" t="inlineStr">
        <is>
          <t>B2B</t>
        </is>
      </c>
    </row>
    <row r="557" ht="12" customHeight="1" s="253">
      <c r="A557" s="414" t="n">
        <v>45901</v>
      </c>
      <c r="B557" s="415" t="n">
        <v>45901</v>
      </c>
      <c r="C557" s="412" t="inlineStr">
        <is>
          <t>INV-25-26-000401</t>
        </is>
      </c>
      <c r="E557" s="341" t="inlineStr">
        <is>
          <t>Udai V. S. Rathore</t>
        </is>
      </c>
      <c r="F557" s="413" t="n">
        <v>63000</v>
      </c>
      <c r="G557" s="413">
        <f>F557*18%</f>
        <v/>
      </c>
      <c r="H557" s="413">
        <f>F557+G557</f>
        <v/>
      </c>
      <c r="I557" s="412" t="inlineStr">
        <is>
          <t>B2B</t>
        </is>
      </c>
    </row>
    <row r="558" ht="12" customHeight="1" s="253">
      <c r="A558" s="414" t="n">
        <v>45901</v>
      </c>
      <c r="B558" s="415" t="n">
        <v>45901</v>
      </c>
      <c r="C558" s="412" t="inlineStr">
        <is>
          <t>INV-25-26-000399</t>
        </is>
      </c>
      <c r="E558" s="341" t="inlineStr">
        <is>
          <t>S C Sharada &amp; Associates| Company Secretaries</t>
        </is>
      </c>
      <c r="F558" s="413" t="n">
        <v>216000</v>
      </c>
      <c r="G558" s="413">
        <f>F558*18%</f>
        <v/>
      </c>
      <c r="H558" s="413">
        <f>F558+G558</f>
        <v/>
      </c>
      <c r="I558" s="412" t="inlineStr">
        <is>
          <t>B2B</t>
        </is>
      </c>
    </row>
    <row r="559" ht="12" customHeight="1" s="253">
      <c r="A559" s="414" t="n">
        <v>45901</v>
      </c>
      <c r="B559" s="415" t="n">
        <v>45901</v>
      </c>
      <c r="C559" s="412" t="inlineStr">
        <is>
          <t>INV-25-26-000404</t>
        </is>
      </c>
      <c r="E559" s="341" t="inlineStr">
        <is>
          <t>MV Law Partners</t>
        </is>
      </c>
      <c r="F559" s="413" t="n">
        <v>30000</v>
      </c>
      <c r="G559" s="413">
        <f>F559*18%</f>
        <v/>
      </c>
      <c r="H559" s="413">
        <f>F559+G559</f>
        <v/>
      </c>
      <c r="I559" s="412" t="inlineStr">
        <is>
          <t>B2B</t>
        </is>
      </c>
    </row>
    <row r="560" ht="12" customHeight="1" s="253">
      <c r="A560" s="414" t="n">
        <v>45901</v>
      </c>
      <c r="B560" s="415" t="n">
        <v>45902</v>
      </c>
      <c r="C560" s="412" t="inlineStr">
        <is>
          <t>INV-25-26-000405</t>
        </is>
      </c>
      <c r="E560" s="412" t="inlineStr">
        <is>
          <t>MDP Legal</t>
        </is>
      </c>
      <c r="F560" s="413" t="n">
        <v>70000</v>
      </c>
      <c r="G560" s="413">
        <f>F560*18%</f>
        <v/>
      </c>
      <c r="H560" s="413">
        <f>F560+G560</f>
        <v/>
      </c>
      <c r="I560" s="412" t="inlineStr">
        <is>
          <t>B2B</t>
        </is>
      </c>
    </row>
    <row r="561" ht="12" customHeight="1" s="253">
      <c r="A561" s="414" t="n">
        <v>45901</v>
      </c>
      <c r="B561" s="415" t="n">
        <v>45902</v>
      </c>
      <c r="C561" s="412" t="inlineStr">
        <is>
          <t>CN-00023</t>
        </is>
      </c>
      <c r="E561" s="412" t="inlineStr">
        <is>
          <t>MDP Legal</t>
        </is>
      </c>
      <c r="F561" s="413" t="n">
        <v>-1400</v>
      </c>
      <c r="G561" s="413">
        <f>F561*18%</f>
        <v/>
      </c>
      <c r="H561" s="413">
        <f>F561+G561</f>
        <v/>
      </c>
      <c r="I561" s="412" t="inlineStr">
        <is>
          <t>B2B</t>
        </is>
      </c>
    </row>
    <row r="562" ht="12" customHeight="1" s="253">
      <c r="A562" s="414" t="n">
        <v>45901</v>
      </c>
      <c r="B562" s="415" t="n">
        <v>45902</v>
      </c>
      <c r="C562" s="412" t="inlineStr">
        <is>
          <t>INV-25-26-000406</t>
        </is>
      </c>
      <c r="E562" s="412" t="inlineStr">
        <is>
          <t>RRG &amp; Associates</t>
        </is>
      </c>
      <c r="F562" s="413" t="n">
        <v>211864.41</v>
      </c>
      <c r="G562" s="413">
        <f>F562*18%</f>
        <v/>
      </c>
      <c r="H562" s="413">
        <f>F562+G562</f>
        <v/>
      </c>
      <c r="I562" s="412" t="inlineStr">
        <is>
          <t>B2B</t>
        </is>
      </c>
    </row>
    <row r="563" ht="12" customHeight="1" s="253">
      <c r="A563" s="414" t="n">
        <v>45901</v>
      </c>
      <c r="B563" s="415" t="n">
        <v>45903</v>
      </c>
      <c r="C563" s="412" t="inlineStr">
        <is>
          <t>INV-25-26-000409</t>
        </is>
      </c>
      <c r="E563" s="412" t="inlineStr">
        <is>
          <t>LEGALOGIC CONSULTING LLP</t>
        </is>
      </c>
      <c r="F563" s="413" t="n">
        <v>100000</v>
      </c>
      <c r="G563" s="413">
        <f>F563*18%</f>
        <v/>
      </c>
      <c r="H563" s="413">
        <f>F563+G563</f>
        <v/>
      </c>
      <c r="I563" s="412" t="inlineStr">
        <is>
          <t>B2B</t>
        </is>
      </c>
    </row>
    <row r="564" ht="12" customHeight="1" s="253">
      <c r="A564" s="414" t="n">
        <v>45901</v>
      </c>
      <c r="B564" s="415" t="n">
        <v>45903</v>
      </c>
      <c r="C564" s="412" t="inlineStr">
        <is>
          <t>INV-25-26-000407</t>
        </is>
      </c>
      <c r="E564" s="412" t="inlineStr">
        <is>
          <t>S C Sharada &amp; Associates| Company Secretaries</t>
        </is>
      </c>
      <c r="F564" s="413" t="n">
        <v>11032.26</v>
      </c>
      <c r="G564" s="413">
        <f>F564*18%</f>
        <v/>
      </c>
      <c r="H564" s="413">
        <f>F564+G564</f>
        <v/>
      </c>
      <c r="I564" s="412" t="inlineStr">
        <is>
          <t>B2B</t>
        </is>
      </c>
    </row>
    <row r="565" ht="12" customHeight="1" s="253">
      <c r="A565" s="414" t="n">
        <v>45901</v>
      </c>
      <c r="B565" s="415" t="n">
        <v>45903</v>
      </c>
      <c r="C565" s="412" t="inlineStr">
        <is>
          <t>INV-25-26-000408</t>
        </is>
      </c>
      <c r="E565" s="412" t="inlineStr">
        <is>
          <t>B2C</t>
        </is>
      </c>
      <c r="F565" s="413" t="n">
        <v>422.88</v>
      </c>
      <c r="G565" s="413">
        <f>F565*18%</f>
        <v/>
      </c>
      <c r="H565" s="413">
        <f>F565+G565</f>
        <v/>
      </c>
      <c r="I565" s="412" t="inlineStr">
        <is>
          <t>B2C</t>
        </is>
      </c>
    </row>
    <row r="566" ht="12" customHeight="1" s="253">
      <c r="A566" s="414" t="n">
        <v>45901</v>
      </c>
      <c r="B566" s="415" t="n">
        <v>45904</v>
      </c>
      <c r="C566" s="412" t="inlineStr">
        <is>
          <t>INV-25-26-000411</t>
        </is>
      </c>
      <c r="E566" s="412" t="inlineStr">
        <is>
          <t>Dhru &amp; Co</t>
        </is>
      </c>
      <c r="F566" s="413" t="n">
        <v>10000</v>
      </c>
      <c r="G566" s="413">
        <f>F566*18%</f>
        <v/>
      </c>
      <c r="H566" s="413">
        <f>F566+G566</f>
        <v/>
      </c>
      <c r="I566" s="412" t="inlineStr">
        <is>
          <t>B2B</t>
        </is>
      </c>
    </row>
    <row r="567" ht="12" customHeight="1" s="253">
      <c r="A567" s="414" t="n">
        <v>45901</v>
      </c>
      <c r="B567" s="415" t="n">
        <v>45904</v>
      </c>
      <c r="C567" s="412" t="inlineStr">
        <is>
          <t>INV-25-26-000410</t>
        </is>
      </c>
      <c r="E567" s="412" t="inlineStr">
        <is>
          <t>B2C</t>
        </is>
      </c>
      <c r="F567" s="413" t="n">
        <v>2117.8</v>
      </c>
      <c r="G567" s="413">
        <f>F567*18%</f>
        <v/>
      </c>
      <c r="H567" s="413">
        <f>F567+G567</f>
        <v/>
      </c>
      <c r="I567" s="412" t="inlineStr">
        <is>
          <t>B2C</t>
        </is>
      </c>
    </row>
    <row r="568" ht="12" customHeight="1" s="253">
      <c r="A568" s="414" t="n">
        <v>45901</v>
      </c>
      <c r="B568" s="415" t="n">
        <v>45905</v>
      </c>
      <c r="C568" s="412" t="inlineStr">
        <is>
          <t>INV-25-26-000412</t>
        </is>
      </c>
      <c r="E568" s="412" t="inlineStr">
        <is>
          <t>RHP Partners</t>
        </is>
      </c>
      <c r="F568" s="413" t="n">
        <v>3000</v>
      </c>
      <c r="G568" s="413">
        <f>F568*18%</f>
        <v/>
      </c>
      <c r="H568" s="413">
        <f>F568+G568</f>
        <v/>
      </c>
      <c r="I568" s="412" t="inlineStr">
        <is>
          <t>B2B</t>
        </is>
      </c>
    </row>
    <row r="569" ht="12" customHeight="1" s="253">
      <c r="A569" s="414" t="n">
        <v>45901</v>
      </c>
      <c r="B569" s="415" t="n">
        <v>45905</v>
      </c>
      <c r="C569" s="412" t="inlineStr">
        <is>
          <t>INV-25-26-000413</t>
        </is>
      </c>
      <c r="E569" s="412" t="inlineStr">
        <is>
          <t>Hiren Kamod</t>
        </is>
      </c>
      <c r="F569" s="413" t="n">
        <v>9000</v>
      </c>
      <c r="G569" s="413">
        <f>F569*18%</f>
        <v/>
      </c>
      <c r="H569" s="413">
        <f>F569+G569</f>
        <v/>
      </c>
      <c r="I569" s="412" t="inlineStr">
        <is>
          <t>B2B</t>
        </is>
      </c>
    </row>
    <row r="570" ht="12" customHeight="1" s="253">
      <c r="A570" s="414" t="n">
        <v>45901</v>
      </c>
      <c r="B570" s="415" t="n">
        <v>45905</v>
      </c>
      <c r="C570" s="412" t="inlineStr">
        <is>
          <t>INV-25-26-000414</t>
        </is>
      </c>
      <c r="E570" s="412" t="inlineStr">
        <is>
          <t>Pravah Law</t>
        </is>
      </c>
      <c r="F570" s="413" t="n">
        <v>9000</v>
      </c>
      <c r="G570" s="413">
        <f>F570*18%</f>
        <v/>
      </c>
      <c r="H570" s="413">
        <f>F570+G570</f>
        <v/>
      </c>
      <c r="I570" s="412" t="inlineStr">
        <is>
          <t>B2B</t>
        </is>
      </c>
    </row>
    <row r="571" ht="12" customHeight="1" s="253">
      <c r="A571" s="414" t="n">
        <v>45901</v>
      </c>
      <c r="B571" s="415" t="n">
        <v>45906</v>
      </c>
      <c r="C571" s="412" t="inlineStr">
        <is>
          <t>INV-25-26-000415</t>
        </is>
      </c>
      <c r="E571" s="412" t="inlineStr">
        <is>
          <t>Chambers of Ninad Laud</t>
        </is>
      </c>
      <c r="F571" s="413" t="n">
        <v>10000</v>
      </c>
      <c r="G571" s="413">
        <f>F571*18%</f>
        <v/>
      </c>
      <c r="H571" s="413">
        <f>F571+G571</f>
        <v/>
      </c>
      <c r="I571" s="412" t="inlineStr">
        <is>
          <t>B2B</t>
        </is>
      </c>
    </row>
    <row r="572" ht="12" customHeight="1" s="253">
      <c r="A572" s="414" t="n">
        <v>45901</v>
      </c>
      <c r="B572" s="415" t="n">
        <v>45907</v>
      </c>
      <c r="C572" s="412" t="inlineStr">
        <is>
          <t>INV-25-26-000416</t>
        </is>
      </c>
      <c r="E572" s="412" t="inlineStr">
        <is>
          <t>Darius J. Khambata</t>
        </is>
      </c>
      <c r="F572" s="413" t="n">
        <v>16949.15</v>
      </c>
      <c r="G572" s="413">
        <f>F572*18%</f>
        <v/>
      </c>
      <c r="H572" s="413">
        <f>F572+G572</f>
        <v/>
      </c>
      <c r="I572" s="412" t="inlineStr">
        <is>
          <t>B2B</t>
        </is>
      </c>
    </row>
    <row r="573" ht="12" customHeight="1" s="253">
      <c r="A573" s="414" t="n">
        <v>45901</v>
      </c>
      <c r="B573" s="415" t="n">
        <v>45908</v>
      </c>
      <c r="C573" s="412" t="inlineStr">
        <is>
          <t>INV-25-26-000419</t>
        </is>
      </c>
      <c r="E573" s="412" t="inlineStr">
        <is>
          <t>Ajinkya Kurdukar</t>
        </is>
      </c>
      <c r="F573" s="413" t="n">
        <v>67000</v>
      </c>
      <c r="G573" s="413">
        <f>F573*18%</f>
        <v/>
      </c>
      <c r="H573" s="413">
        <f>F573+G573</f>
        <v/>
      </c>
      <c r="I573" s="412" t="inlineStr">
        <is>
          <t>B2B</t>
        </is>
      </c>
    </row>
    <row r="574" ht="12" customHeight="1" s="253">
      <c r="A574" s="414" t="n">
        <v>45901</v>
      </c>
      <c r="B574" s="415" t="n">
        <v>45908</v>
      </c>
      <c r="C574" s="412" t="inlineStr">
        <is>
          <t>INV-25-26-000417</t>
        </is>
      </c>
      <c r="E574" s="412" t="inlineStr">
        <is>
          <t>IndusLaw-ISD</t>
        </is>
      </c>
      <c r="F574" s="413" t="n">
        <v>407440.8</v>
      </c>
      <c r="G574" s="413">
        <f>F574*18%</f>
        <v/>
      </c>
      <c r="H574" s="413">
        <f>F574+G574</f>
        <v/>
      </c>
      <c r="I574" s="412" t="inlineStr">
        <is>
          <t>B2B</t>
        </is>
      </c>
    </row>
    <row r="575" ht="12" customHeight="1" s="253">
      <c r="A575" s="414" t="n">
        <v>45901</v>
      </c>
      <c r="B575" s="415" t="n">
        <v>45908</v>
      </c>
      <c r="C575" s="412" t="inlineStr">
        <is>
          <t>INV-25-26-000418</t>
        </is>
      </c>
      <c r="E575" s="412" t="inlineStr">
        <is>
          <t>AP &amp; Partners, Advocates</t>
        </is>
      </c>
      <c r="F575" s="413" t="n">
        <v>72033.89999999999</v>
      </c>
      <c r="G575" s="413">
        <f>F575*18%</f>
        <v/>
      </c>
      <c r="H575" s="413">
        <f>F575+G575</f>
        <v/>
      </c>
      <c r="I575" s="412" t="inlineStr">
        <is>
          <t>B2B</t>
        </is>
      </c>
    </row>
    <row r="576" ht="12" customHeight="1" s="253">
      <c r="A576" s="414" t="n">
        <v>45901</v>
      </c>
      <c r="B576" s="415" t="n">
        <v>45909</v>
      </c>
      <c r="C576" s="412" t="inlineStr">
        <is>
          <t>INV-25-26-000421</t>
        </is>
      </c>
      <c r="E576" s="412" t="inlineStr">
        <is>
          <t>Abhimanyu Garg / Methodica Legal</t>
        </is>
      </c>
      <c r="F576" s="413" t="n">
        <v>31271.19</v>
      </c>
      <c r="G576" s="413">
        <f>F576*18%</f>
        <v/>
      </c>
      <c r="H576" s="413">
        <f>F576+G576</f>
        <v/>
      </c>
      <c r="I576" s="412" t="inlineStr">
        <is>
          <t>B2B</t>
        </is>
      </c>
    </row>
    <row r="577" ht="12" customHeight="1" s="253">
      <c r="A577" s="414" t="n">
        <v>45901</v>
      </c>
      <c r="B577" s="415" t="n">
        <v>45909</v>
      </c>
      <c r="C577" s="412" t="inlineStr">
        <is>
          <t>INV-25-26-000420</t>
        </is>
      </c>
      <c r="E577" s="412" t="inlineStr">
        <is>
          <t>Manish kelker</t>
        </is>
      </c>
      <c r="F577" s="413" t="n">
        <v>3388.98</v>
      </c>
      <c r="G577" s="413">
        <f>F577*18%</f>
        <v/>
      </c>
      <c r="H577" s="413">
        <f>F577+G577</f>
        <v/>
      </c>
      <c r="I577" s="412" t="inlineStr">
        <is>
          <t>B2B</t>
        </is>
      </c>
    </row>
    <row r="578" ht="12" customHeight="1" s="253">
      <c r="A578" s="414" t="n">
        <v>45901</v>
      </c>
      <c r="B578" s="415" t="n">
        <v>45909</v>
      </c>
      <c r="C578" s="412" t="inlineStr">
        <is>
          <t>INV-25-26-000422</t>
        </is>
      </c>
      <c r="E578" s="412" t="inlineStr">
        <is>
          <t>TREELIFE VENTURES SERVICES PRIVATE LIMITED</t>
        </is>
      </c>
      <c r="F578" s="413" t="n">
        <v>415254.24</v>
      </c>
      <c r="G578" s="413">
        <f>F578*18%</f>
        <v/>
      </c>
      <c r="H578" s="413">
        <f>F578+G578</f>
        <v/>
      </c>
      <c r="I578" s="412" t="inlineStr">
        <is>
          <t>B2B</t>
        </is>
      </c>
    </row>
    <row r="579" ht="12" customHeight="1" s="253">
      <c r="A579" s="414" t="n">
        <v>45901</v>
      </c>
      <c r="B579" s="415" t="n">
        <v>45909</v>
      </c>
      <c r="C579" s="412" t="inlineStr">
        <is>
          <t>INV-25-26-000423</t>
        </is>
      </c>
      <c r="E579" s="412" t="inlineStr">
        <is>
          <t>Vijay Manjreka</t>
        </is>
      </c>
      <c r="F579" s="413" t="n">
        <v>25423.73</v>
      </c>
      <c r="G579" s="413">
        <f>F579*18%</f>
        <v/>
      </c>
      <c r="H579" s="413">
        <f>F579+G579</f>
        <v/>
      </c>
      <c r="I579" s="412" t="inlineStr">
        <is>
          <t>B2B</t>
        </is>
      </c>
    </row>
    <row r="580" ht="12" customHeight="1" s="253">
      <c r="A580" s="414" t="n">
        <v>45901</v>
      </c>
      <c r="B580" s="415" t="n">
        <v>45909</v>
      </c>
      <c r="C580" s="412" t="inlineStr">
        <is>
          <t>INV-25-26-000424</t>
        </is>
      </c>
      <c r="E580" s="412" t="inlineStr">
        <is>
          <t>Roshan Santhalia</t>
        </is>
      </c>
      <c r="F580" s="413" t="n">
        <v>3389.83</v>
      </c>
      <c r="G580" s="413">
        <f>F580*18%</f>
        <v/>
      </c>
      <c r="H580" s="413">
        <f>F580+G580</f>
        <v/>
      </c>
      <c r="I580" s="412" t="inlineStr">
        <is>
          <t>B2B</t>
        </is>
      </c>
    </row>
    <row r="581" ht="12" customHeight="1" s="253">
      <c r="A581" s="414" t="n">
        <v>45901</v>
      </c>
      <c r="B581" s="415" t="n">
        <v>45910</v>
      </c>
      <c r="C581" s="412" t="inlineStr">
        <is>
          <t>INV-25-26-000425</t>
        </is>
      </c>
      <c r="E581" s="412" t="inlineStr">
        <is>
          <t>SKR &amp; associates</t>
        </is>
      </c>
      <c r="F581" s="413" t="n">
        <v>8729</v>
      </c>
      <c r="G581" s="413">
        <f>F581*18%</f>
        <v/>
      </c>
      <c r="H581" s="413">
        <f>F581+G581</f>
        <v/>
      </c>
      <c r="I581" s="412" t="inlineStr">
        <is>
          <t>B2B</t>
        </is>
      </c>
    </row>
    <row r="582" ht="12" customHeight="1" s="253">
      <c r="A582" s="414" t="n">
        <v>45901</v>
      </c>
      <c r="B582" s="415" t="n">
        <v>45910</v>
      </c>
      <c r="C582" s="412" t="inlineStr">
        <is>
          <t>INV-25-26-000426</t>
        </is>
      </c>
      <c r="E582" s="412" t="inlineStr">
        <is>
          <t>Ankur Mahindro</t>
        </is>
      </c>
      <c r="F582" s="413" t="n">
        <v>31500</v>
      </c>
      <c r="G582" s="413">
        <f>F582*18%</f>
        <v/>
      </c>
      <c r="H582" s="413">
        <f>F582+G582</f>
        <v/>
      </c>
      <c r="I582" s="412" t="inlineStr">
        <is>
          <t>B2B</t>
        </is>
      </c>
    </row>
    <row r="583" ht="12" customHeight="1" s="253">
      <c r="A583" s="414" t="n">
        <v>45901</v>
      </c>
      <c r="B583" s="415" t="n">
        <v>45911</v>
      </c>
      <c r="C583" s="412" t="inlineStr">
        <is>
          <t>INV-25-26-000427</t>
        </is>
      </c>
      <c r="E583" s="412" t="inlineStr">
        <is>
          <t>Rahul Saboo, Advocate</t>
        </is>
      </c>
      <c r="F583" s="413" t="n">
        <v>8474.58</v>
      </c>
      <c r="G583" s="413">
        <f>F583*18%</f>
        <v/>
      </c>
      <c r="H583" s="413">
        <f>F583+G583</f>
        <v/>
      </c>
      <c r="I583" s="412" t="inlineStr">
        <is>
          <t>B2B</t>
        </is>
      </c>
    </row>
    <row r="584" ht="12" customHeight="1" s="253">
      <c r="A584" s="414" t="n">
        <v>45901</v>
      </c>
      <c r="B584" s="415" t="n">
        <v>45911</v>
      </c>
      <c r="C584" s="412" t="inlineStr">
        <is>
          <t>INV-25-26-000428</t>
        </is>
      </c>
      <c r="E584" s="412" t="inlineStr">
        <is>
          <t>Pragati Law Chambers</t>
        </is>
      </c>
      <c r="F584" s="413" t="n">
        <v>315000</v>
      </c>
      <c r="G584" s="413">
        <f>F584*18%</f>
        <v/>
      </c>
      <c r="H584" s="413">
        <f>F584+G584</f>
        <v/>
      </c>
      <c r="I584" s="412" t="inlineStr">
        <is>
          <t>B2B</t>
        </is>
      </c>
    </row>
    <row r="585" ht="12" customHeight="1" s="253">
      <c r="A585" s="414" t="n">
        <v>45901</v>
      </c>
      <c r="B585" s="415" t="n">
        <v>45912</v>
      </c>
      <c r="C585" s="412" t="inlineStr">
        <is>
          <t>INV-25-26-000430</t>
        </is>
      </c>
      <c r="E585" s="412" t="inlineStr">
        <is>
          <t>Megha Chandra</t>
        </is>
      </c>
      <c r="F585" s="413" t="n">
        <v>10000</v>
      </c>
      <c r="G585" s="413">
        <f>F585*18%</f>
        <v/>
      </c>
      <c r="H585" s="413">
        <f>F585+G585</f>
        <v/>
      </c>
      <c r="I585" s="412" t="inlineStr">
        <is>
          <t>B2B</t>
        </is>
      </c>
    </row>
    <row r="586" ht="12" customHeight="1" s="253">
      <c r="A586" s="414" t="n">
        <v>45901</v>
      </c>
      <c r="B586" s="415" t="n">
        <v>45912</v>
      </c>
      <c r="C586" s="412" t="inlineStr">
        <is>
          <t>INV-25-26-000429</t>
        </is>
      </c>
      <c r="E586" s="412" t="inlineStr">
        <is>
          <t>Diwan Law Associates</t>
        </is>
      </c>
      <c r="F586" s="413" t="n">
        <v>4237.29</v>
      </c>
      <c r="G586" s="413">
        <f>F586*18%</f>
        <v/>
      </c>
      <c r="H586" s="413">
        <f>F586+G586</f>
        <v/>
      </c>
      <c r="I586" s="412" t="inlineStr">
        <is>
          <t>B2B</t>
        </is>
      </c>
    </row>
    <row r="587" ht="12" customHeight="1" s="253">
      <c r="A587" s="414" t="n">
        <v>45901</v>
      </c>
      <c r="B587" s="415" t="n">
        <v>45915</v>
      </c>
      <c r="C587" s="412" t="inlineStr">
        <is>
          <t>INV-25-26-000433</t>
        </is>
      </c>
      <c r="E587" s="412" t="inlineStr">
        <is>
          <t>Vidhii Partners</t>
        </is>
      </c>
      <c r="F587" s="413" t="n">
        <v>20000</v>
      </c>
      <c r="G587" s="413">
        <f>F587*18%</f>
        <v/>
      </c>
      <c r="H587" s="413">
        <f>F587+G587</f>
        <v/>
      </c>
      <c r="I587" s="412" t="inlineStr">
        <is>
          <t>B2B</t>
        </is>
      </c>
    </row>
    <row r="588" ht="12" customHeight="1" s="253">
      <c r="A588" s="414" t="n">
        <v>45901</v>
      </c>
      <c r="B588" s="415" t="n">
        <v>45915</v>
      </c>
      <c r="C588" s="412" t="inlineStr">
        <is>
          <t>INV-25-26-000432</t>
        </is>
      </c>
      <c r="E588" s="412" t="inlineStr">
        <is>
          <t>R. Vishnu Kumar, Advocate</t>
        </is>
      </c>
      <c r="F588" s="413" t="n">
        <v>16950</v>
      </c>
      <c r="G588" s="413">
        <f>F588*18%</f>
        <v/>
      </c>
      <c r="H588" s="413">
        <f>F588+G588</f>
        <v/>
      </c>
      <c r="I588" s="412" t="inlineStr">
        <is>
          <t>B2B</t>
        </is>
      </c>
    </row>
    <row r="589" ht="12" customHeight="1" s="253">
      <c r="A589" s="414" t="n">
        <v>45901</v>
      </c>
      <c r="B589" s="415" t="n">
        <v>45915</v>
      </c>
      <c r="C589" s="412" t="inlineStr">
        <is>
          <t>INV-25-26-000431</t>
        </is>
      </c>
      <c r="E589" s="412" t="inlineStr">
        <is>
          <t>TLH, Advocates &amp; Solicitors</t>
        </is>
      </c>
      <c r="F589" s="413" t="n">
        <v>343328</v>
      </c>
      <c r="G589" s="413">
        <f>F589*18%</f>
        <v/>
      </c>
      <c r="H589" s="413">
        <f>F589+G589</f>
        <v/>
      </c>
      <c r="I589" s="412" t="inlineStr">
        <is>
          <t>B2B</t>
        </is>
      </c>
    </row>
    <row r="590" ht="12" customHeight="1" s="253">
      <c r="A590" s="414" t="n">
        <v>45901</v>
      </c>
      <c r="B590" s="415" t="n">
        <v>45916</v>
      </c>
      <c r="C590" s="412" t="inlineStr">
        <is>
          <t>INV-25-26-000434</t>
        </is>
      </c>
      <c r="E590" s="412" t="inlineStr">
        <is>
          <t>Devina Sehgal</t>
        </is>
      </c>
      <c r="F590" s="413" t="n">
        <v>35000</v>
      </c>
      <c r="G590" s="413">
        <f>F590*18%</f>
        <v/>
      </c>
      <c r="H590" s="413">
        <f>F590+G590</f>
        <v/>
      </c>
      <c r="I590" s="412" t="inlineStr">
        <is>
          <t>B2B</t>
        </is>
      </c>
    </row>
    <row r="591" ht="12" customHeight="1" s="253">
      <c r="A591" s="414" t="n">
        <v>45901</v>
      </c>
      <c r="B591" s="415" t="n">
        <v>45917</v>
      </c>
      <c r="C591" s="412" t="inlineStr">
        <is>
          <t>INV-25-26-000441</t>
        </is>
      </c>
      <c r="E591" s="412" t="inlineStr">
        <is>
          <t>Prateek Rath</t>
        </is>
      </c>
      <c r="F591" s="413" t="n">
        <v>5084.75</v>
      </c>
      <c r="G591" s="413">
        <f>F591*18%</f>
        <v/>
      </c>
      <c r="H591" s="413">
        <f>F591+G591</f>
        <v/>
      </c>
      <c r="I591" s="412" t="inlineStr">
        <is>
          <t>B2B</t>
        </is>
      </c>
    </row>
    <row r="592" ht="12" customHeight="1" s="253">
      <c r="A592" s="414" t="n">
        <v>45901</v>
      </c>
      <c r="B592" s="415" t="n">
        <v>45917</v>
      </c>
      <c r="C592" s="412" t="inlineStr">
        <is>
          <t>INV-25-26-000438</t>
        </is>
      </c>
      <c r="E592" s="412" t="inlineStr">
        <is>
          <t>Malak Bhatt</t>
        </is>
      </c>
      <c r="F592" s="413" t="n">
        <v>20000</v>
      </c>
      <c r="G592" s="413">
        <f>F592*18%</f>
        <v/>
      </c>
      <c r="H592" s="413">
        <f>F592+G592</f>
        <v/>
      </c>
      <c r="I592" s="412" t="inlineStr">
        <is>
          <t>B2B</t>
        </is>
      </c>
    </row>
    <row r="593" ht="12" customHeight="1" s="253">
      <c r="A593" s="414" t="n">
        <v>45901</v>
      </c>
      <c r="B593" s="415" t="n">
        <v>45917</v>
      </c>
      <c r="C593" s="412" t="inlineStr">
        <is>
          <t>INV-25-26-000437</t>
        </is>
      </c>
      <c r="E593" s="412" t="inlineStr">
        <is>
          <t>KK &amp; Co</t>
        </is>
      </c>
      <c r="F593" s="413" t="n">
        <v>140000</v>
      </c>
      <c r="G593" s="413">
        <f>F593*18%</f>
        <v/>
      </c>
      <c r="H593" s="413">
        <f>F593+G593</f>
        <v/>
      </c>
      <c r="I593" s="412" t="inlineStr">
        <is>
          <t>B2B</t>
        </is>
      </c>
    </row>
    <row r="594" ht="12" customHeight="1" s="253">
      <c r="A594" s="414" t="n">
        <v>45901</v>
      </c>
      <c r="B594" s="415" t="n">
        <v>45917</v>
      </c>
      <c r="C594" s="412" t="inlineStr">
        <is>
          <t>INV-25-26-000436</t>
        </is>
      </c>
      <c r="E594" s="412" t="inlineStr">
        <is>
          <t>GC Legal</t>
        </is>
      </c>
      <c r="F594" s="413" t="n">
        <v>7000</v>
      </c>
      <c r="G594" s="413">
        <f>F594*18%</f>
        <v/>
      </c>
      <c r="H594" s="413">
        <f>F594+G594</f>
        <v/>
      </c>
      <c r="I594" s="412" t="inlineStr">
        <is>
          <t>B2B</t>
        </is>
      </c>
    </row>
    <row r="595" ht="12" customHeight="1" s="253">
      <c r="A595" s="414" t="n">
        <v>45901</v>
      </c>
      <c r="B595" s="415" t="n">
        <v>45917</v>
      </c>
      <c r="C595" s="412" t="inlineStr">
        <is>
          <t>INV-25-26-000435</t>
        </is>
      </c>
      <c r="E595" s="412" t="inlineStr">
        <is>
          <t>Vardharma Chambers</t>
        </is>
      </c>
      <c r="F595" s="413" t="n">
        <v>30000</v>
      </c>
      <c r="G595" s="413">
        <f>F595*18%</f>
        <v/>
      </c>
      <c r="H595" s="413">
        <f>F595+G595</f>
        <v/>
      </c>
      <c r="I595" s="412" t="inlineStr">
        <is>
          <t>B2B</t>
        </is>
      </c>
    </row>
    <row r="596" ht="12" customHeight="1" s="253">
      <c r="A596" s="414" t="n">
        <v>45901</v>
      </c>
      <c r="B596" s="415" t="n">
        <v>45917</v>
      </c>
      <c r="C596" s="412" t="inlineStr">
        <is>
          <t>INV-25-26-000442</t>
        </is>
      </c>
      <c r="E596" s="412" t="inlineStr">
        <is>
          <t>C&amp;S Partners</t>
        </is>
      </c>
      <c r="F596" s="413" t="n">
        <v>13000</v>
      </c>
      <c r="G596" s="413">
        <f>F596*18%</f>
        <v/>
      </c>
      <c r="H596" s="413">
        <f>F596+G596</f>
        <v/>
      </c>
      <c r="I596" s="412" t="inlineStr">
        <is>
          <t>B2B</t>
        </is>
      </c>
    </row>
    <row r="597" ht="12" customHeight="1" s="253">
      <c r="A597" s="414" t="n">
        <v>45901</v>
      </c>
      <c r="B597" s="415" t="n">
        <v>45917</v>
      </c>
      <c r="C597" s="412" t="inlineStr">
        <is>
          <t>INV-25-26-000443</t>
        </is>
      </c>
      <c r="E597" s="412" t="inlineStr">
        <is>
          <t>OASIS REALTY</t>
        </is>
      </c>
      <c r="F597" s="413" t="n">
        <v>108000</v>
      </c>
      <c r="G597" s="413">
        <f>F597*18%</f>
        <v/>
      </c>
      <c r="H597" s="413">
        <f>F597+G597</f>
        <v/>
      </c>
      <c r="I597" s="412" t="inlineStr">
        <is>
          <t>B2B</t>
        </is>
      </c>
    </row>
    <row r="598" ht="12" customHeight="1" s="253">
      <c r="A598" s="414" t="n">
        <v>45901</v>
      </c>
      <c r="B598" s="415" t="n">
        <v>45917</v>
      </c>
      <c r="C598" s="412" t="inlineStr">
        <is>
          <t>INV-25-26-000440</t>
        </is>
      </c>
      <c r="E598" s="412" t="inlineStr">
        <is>
          <t>Aditya Narayan Mahajan</t>
        </is>
      </c>
      <c r="F598" s="413" t="n">
        <v>45762.71</v>
      </c>
      <c r="G598" s="413">
        <f>F598*18%</f>
        <v/>
      </c>
      <c r="H598" s="413">
        <f>F598+G598</f>
        <v/>
      </c>
      <c r="I598" s="412" t="inlineStr">
        <is>
          <t>B2B</t>
        </is>
      </c>
    </row>
    <row r="599" ht="12" customHeight="1" s="253">
      <c r="A599" s="414" t="n">
        <v>45901</v>
      </c>
      <c r="B599" s="415" t="n">
        <v>45917</v>
      </c>
      <c r="C599" s="412" t="inlineStr">
        <is>
          <t>INV-25-26-000439</t>
        </is>
      </c>
      <c r="E599" s="412" t="inlineStr">
        <is>
          <t>LEGALOGIC CONSULTING LLP</t>
        </is>
      </c>
      <c r="F599" s="413" t="n">
        <v>25000</v>
      </c>
      <c r="G599" s="413">
        <f>F599*18%</f>
        <v/>
      </c>
      <c r="H599" s="413">
        <f>F599+G599</f>
        <v/>
      </c>
      <c r="I599" s="412" t="inlineStr">
        <is>
          <t>B2B</t>
        </is>
      </c>
    </row>
    <row r="600" ht="12" customHeight="1" s="253">
      <c r="A600" s="414" t="n">
        <v>45901</v>
      </c>
      <c r="B600" s="415" t="n">
        <v>45918</v>
      </c>
      <c r="C600" s="412" t="inlineStr">
        <is>
          <t>CN-00025</t>
        </is>
      </c>
      <c r="E600" s="412" t="inlineStr">
        <is>
          <t>Pradeep Sancheti</t>
        </is>
      </c>
      <c r="F600" s="413" t="n">
        <v>-21600</v>
      </c>
      <c r="G600" s="413">
        <f>F600*18%</f>
        <v/>
      </c>
      <c r="H600" s="413">
        <f>F600+G600</f>
        <v/>
      </c>
      <c r="I600" s="412" t="inlineStr">
        <is>
          <t>B2B</t>
        </is>
      </c>
    </row>
    <row r="601" ht="12" customHeight="1" s="253">
      <c r="A601" s="414" t="n">
        <v>45901</v>
      </c>
      <c r="B601" s="415" t="n">
        <v>45918</v>
      </c>
      <c r="C601" s="412" t="inlineStr">
        <is>
          <t>INV-25-26-000444</t>
        </is>
      </c>
      <c r="E601" s="412" t="inlineStr">
        <is>
          <t>Jehangir Jeejeebhoy</t>
        </is>
      </c>
      <c r="F601" s="413" t="n">
        <v>32000</v>
      </c>
      <c r="G601" s="413">
        <f>F601*18%</f>
        <v/>
      </c>
      <c r="H601" s="413">
        <f>F601+G601</f>
        <v/>
      </c>
      <c r="I601" s="412" t="inlineStr">
        <is>
          <t>B2B</t>
        </is>
      </c>
    </row>
    <row r="602" ht="12" customHeight="1" s="253">
      <c r="A602" s="414" t="n">
        <v>45901</v>
      </c>
      <c r="B602" s="415" t="n">
        <v>45918</v>
      </c>
      <c r="C602" s="412" t="inlineStr">
        <is>
          <t>INV-25-26-000445</t>
        </is>
      </c>
      <c r="E602" s="412" t="inlineStr">
        <is>
          <t>Samar Bansal</t>
        </is>
      </c>
      <c r="F602" s="413" t="n">
        <v>40000</v>
      </c>
      <c r="G602" s="413">
        <f>F602*18%</f>
        <v/>
      </c>
      <c r="H602" s="413">
        <f>F602+G602</f>
        <v/>
      </c>
      <c r="I602" s="412" t="inlineStr">
        <is>
          <t>B2B</t>
        </is>
      </c>
    </row>
    <row r="603" ht="12" customHeight="1" s="253">
      <c r="A603" s="414" t="n">
        <v>45901</v>
      </c>
      <c r="B603" s="415" t="n">
        <v>45918</v>
      </c>
      <c r="C603" s="412" t="inlineStr">
        <is>
          <t>INV-25-26-000446</t>
        </is>
      </c>
      <c r="E603" s="412" t="inlineStr">
        <is>
          <t>Foresight Law Offices</t>
        </is>
      </c>
      <c r="F603" s="413" t="n">
        <v>28000</v>
      </c>
      <c r="G603" s="413">
        <f>F603*18%</f>
        <v/>
      </c>
      <c r="H603" s="413">
        <f>F603+G603</f>
        <v/>
      </c>
      <c r="I603" s="412" t="inlineStr">
        <is>
          <t>B2B</t>
        </is>
      </c>
    </row>
    <row r="604" ht="12" customHeight="1" s="253">
      <c r="A604" s="414" t="n">
        <v>45901</v>
      </c>
      <c r="B604" s="415" t="n">
        <v>45918</v>
      </c>
      <c r="C604" s="412" t="inlineStr">
        <is>
          <t>INV-25-26-000447</t>
        </is>
      </c>
      <c r="E604" s="412" t="inlineStr">
        <is>
          <t>Law office of Amrita Sarkar</t>
        </is>
      </c>
      <c r="F604" s="413" t="n">
        <v>5084.75</v>
      </c>
      <c r="G604" s="413">
        <f>F604*18%</f>
        <v/>
      </c>
      <c r="H604" s="413">
        <f>F604+G604</f>
        <v/>
      </c>
      <c r="I604" s="412" t="inlineStr">
        <is>
          <t>B2B</t>
        </is>
      </c>
    </row>
    <row r="605" ht="12" customHeight="1" s="253">
      <c r="A605" s="414" t="n">
        <v>45901</v>
      </c>
      <c r="B605" s="415" t="n">
        <v>45918</v>
      </c>
      <c r="C605" s="412" t="inlineStr">
        <is>
          <t>INV-25-26-000449</t>
        </is>
      </c>
      <c r="E605" s="412" t="inlineStr">
        <is>
          <t>Hamza mir</t>
        </is>
      </c>
      <c r="F605" s="413" t="n">
        <v>2500</v>
      </c>
      <c r="G605" s="413">
        <f>F605*18%</f>
        <v/>
      </c>
      <c r="H605" s="413">
        <f>F605+G605</f>
        <v/>
      </c>
      <c r="I605" s="412" t="inlineStr">
        <is>
          <t>B2B</t>
        </is>
      </c>
    </row>
    <row r="606" ht="12" customHeight="1" s="253">
      <c r="A606" s="414" t="n">
        <v>45901</v>
      </c>
      <c r="B606" s="415" t="n">
        <v>45918</v>
      </c>
      <c r="C606" s="412" t="inlineStr">
        <is>
          <t>INV-25-26-000450</t>
        </is>
      </c>
      <c r="E606" s="412" t="inlineStr">
        <is>
          <t>Ankita Sharma</t>
        </is>
      </c>
      <c r="F606" s="413" t="n">
        <v>35000</v>
      </c>
      <c r="G606" s="413">
        <f>F606*18%</f>
        <v/>
      </c>
      <c r="H606" s="413">
        <f>F606+G606</f>
        <v/>
      </c>
      <c r="I606" s="412" t="inlineStr">
        <is>
          <t>B2B</t>
        </is>
      </c>
    </row>
    <row r="607" ht="12" customHeight="1" s="253">
      <c r="A607" s="414" t="n">
        <v>45901</v>
      </c>
      <c r="B607" s="415" t="n">
        <v>45918</v>
      </c>
      <c r="C607" s="412" t="inlineStr">
        <is>
          <t>INV-25-26-000451</t>
        </is>
      </c>
      <c r="E607" s="412" t="inlineStr">
        <is>
          <t>Mihir Desai</t>
        </is>
      </c>
      <c r="F607" s="413" t="n">
        <v>70000</v>
      </c>
      <c r="G607" s="413">
        <f>F607*18%</f>
        <v/>
      </c>
      <c r="H607" s="413">
        <f>F607+G607</f>
        <v/>
      </c>
      <c r="I607" s="412" t="inlineStr">
        <is>
          <t>B2B</t>
        </is>
      </c>
    </row>
    <row r="608" ht="12" customHeight="1" s="253">
      <c r="A608" s="414" t="n">
        <v>45901</v>
      </c>
      <c r="B608" s="415" t="n">
        <v>45918</v>
      </c>
      <c r="C608" s="412" t="inlineStr">
        <is>
          <t>INV-25-26-000448</t>
        </is>
      </c>
      <c r="E608" s="412" t="inlineStr">
        <is>
          <t>B2C</t>
        </is>
      </c>
      <c r="F608" s="413" t="n">
        <v>2114.4</v>
      </c>
      <c r="G608" s="413">
        <f>F608*18%</f>
        <v/>
      </c>
      <c r="H608" s="413">
        <f>F608+G608</f>
        <v/>
      </c>
      <c r="I608" s="412" t="inlineStr">
        <is>
          <t>B2C</t>
        </is>
      </c>
    </row>
    <row r="609" ht="12" customHeight="1" s="253">
      <c r="A609" s="414" t="n">
        <v>45901</v>
      </c>
      <c r="B609" s="415" t="n">
        <v>45919</v>
      </c>
      <c r="C609" s="412" t="inlineStr">
        <is>
          <t>INV-25-26-000452</t>
        </is>
      </c>
      <c r="E609" s="412" t="inlineStr">
        <is>
          <t>Vis Legis Law Practice</t>
        </is>
      </c>
      <c r="F609" s="413" t="n">
        <v>126000</v>
      </c>
      <c r="G609" s="413">
        <f>F609*18%</f>
        <v/>
      </c>
      <c r="H609" s="413">
        <f>F609+G609</f>
        <v/>
      </c>
      <c r="I609" s="412" t="inlineStr">
        <is>
          <t>B2B</t>
        </is>
      </c>
    </row>
    <row r="610" ht="12" customHeight="1" s="253">
      <c r="A610" s="414" t="n">
        <v>45901</v>
      </c>
      <c r="B610" s="415" t="n">
        <v>45919</v>
      </c>
      <c r="C610" s="412" t="inlineStr">
        <is>
          <t>INV-25-26-000453</t>
        </is>
      </c>
      <c r="E610" s="412" t="inlineStr">
        <is>
          <t>U. S. GANDHI &amp; CO.</t>
        </is>
      </c>
      <c r="F610" s="413" t="n">
        <v>18000</v>
      </c>
      <c r="G610" s="413">
        <f>F610*18%</f>
        <v/>
      </c>
      <c r="H610" s="413">
        <f>F610+G610</f>
        <v/>
      </c>
      <c r="I610" s="412" t="inlineStr">
        <is>
          <t>B2B</t>
        </is>
      </c>
    </row>
    <row r="611" ht="12" customHeight="1" s="253">
      <c r="A611" s="414" t="n">
        <v>45901</v>
      </c>
      <c r="B611" s="415" t="n">
        <v>45919</v>
      </c>
      <c r="C611" s="412" t="inlineStr">
        <is>
          <t>INV-25-26-000455</t>
        </is>
      </c>
      <c r="E611" s="412" t="inlineStr">
        <is>
          <t>Amit Bhagat</t>
        </is>
      </c>
      <c r="F611" s="413" t="n">
        <v>5000</v>
      </c>
      <c r="G611" s="413">
        <f>F611*18%</f>
        <v/>
      </c>
      <c r="H611" s="413">
        <f>F611+G611</f>
        <v/>
      </c>
      <c r="I611" s="412" t="inlineStr">
        <is>
          <t>B2B</t>
        </is>
      </c>
    </row>
    <row r="612" ht="12" customHeight="1" s="253">
      <c r="A612" s="414" t="n">
        <v>45901</v>
      </c>
      <c r="B612" s="415" t="n">
        <v>45919</v>
      </c>
      <c r="C612" s="412" t="inlineStr">
        <is>
          <t>INV-25-26-000454</t>
        </is>
      </c>
      <c r="E612" s="412" t="inlineStr">
        <is>
          <t>B2C</t>
        </is>
      </c>
      <c r="F612" s="413" t="n">
        <v>9739.84</v>
      </c>
      <c r="G612" s="413">
        <f>F612*18%</f>
        <v/>
      </c>
      <c r="H612" s="413">
        <f>F612+G612</f>
        <v/>
      </c>
      <c r="I612" s="412" t="inlineStr">
        <is>
          <t>B2C</t>
        </is>
      </c>
    </row>
    <row r="613" ht="12" customHeight="1" s="253">
      <c r="A613" s="414" t="n">
        <v>45901</v>
      </c>
      <c r="B613" s="415" t="n">
        <v>45920</v>
      </c>
      <c r="C613" s="412" t="inlineStr">
        <is>
          <t>INV-25-26-000456</t>
        </is>
      </c>
      <c r="E613" s="412" t="inlineStr">
        <is>
          <t>Kunal Vaishnav</t>
        </is>
      </c>
      <c r="F613" s="413" t="n">
        <v>5084.75</v>
      </c>
      <c r="G613" s="413">
        <f>F613*18%</f>
        <v/>
      </c>
      <c r="H613" s="413">
        <f>F613+G613</f>
        <v/>
      </c>
      <c r="I613" s="412" t="inlineStr">
        <is>
          <t>B2B</t>
        </is>
      </c>
    </row>
    <row r="614" ht="12" customHeight="1" s="253">
      <c r="A614" s="414" t="n">
        <v>45901</v>
      </c>
      <c r="B614" s="415" t="n">
        <v>45921</v>
      </c>
      <c r="C614" s="412" t="inlineStr">
        <is>
          <t>INV-25-26-000457</t>
        </is>
      </c>
      <c r="E614" s="412" t="inlineStr">
        <is>
          <t>Stride Legal</t>
        </is>
      </c>
      <c r="F614" s="413" t="n">
        <v>10000</v>
      </c>
      <c r="G614" s="413">
        <f>F614*18%</f>
        <v/>
      </c>
      <c r="H614" s="413">
        <f>F614+G614</f>
        <v/>
      </c>
      <c r="I614" s="412" t="inlineStr">
        <is>
          <t>B2B</t>
        </is>
      </c>
    </row>
    <row r="615" ht="12" customHeight="1" s="253">
      <c r="A615" s="414" t="n">
        <v>45901</v>
      </c>
      <c r="B615" s="415" t="n">
        <v>45921</v>
      </c>
      <c r="C615" s="412" t="inlineStr">
        <is>
          <t>INV-25-26-000458</t>
        </is>
      </c>
      <c r="E615" s="412" t="inlineStr">
        <is>
          <t>Sarthak Advocates &amp; Solicitors</t>
        </is>
      </c>
      <c r="F615" s="413" t="n">
        <v>29166.1</v>
      </c>
      <c r="G615" s="413">
        <f>F615*18%</f>
        <v/>
      </c>
      <c r="H615" s="413">
        <f>F615+G615</f>
        <v/>
      </c>
      <c r="I615" s="412" t="inlineStr">
        <is>
          <t>B2B</t>
        </is>
      </c>
    </row>
    <row r="616" ht="12" customHeight="1" s="253">
      <c r="A616" s="414" t="n">
        <v>45901</v>
      </c>
      <c r="B616" s="415" t="n">
        <v>45922</v>
      </c>
      <c r="C616" s="412" t="inlineStr">
        <is>
          <t>CN-00027</t>
        </is>
      </c>
      <c r="E616" s="412" t="inlineStr">
        <is>
          <t>Sarthak Advocates &amp; Solicitors</t>
        </is>
      </c>
      <c r="F616" s="413" t="n">
        <v>-5833.9</v>
      </c>
      <c r="G616" s="413">
        <f>F616*18%</f>
        <v/>
      </c>
      <c r="H616" s="413">
        <f>F616+G616</f>
        <v/>
      </c>
      <c r="I616" s="412" t="inlineStr">
        <is>
          <t>B2B</t>
        </is>
      </c>
    </row>
    <row r="617" ht="12" customHeight="1" s="253">
      <c r="A617" s="414" t="n">
        <v>45901</v>
      </c>
      <c r="B617" s="415" t="n">
        <v>45922</v>
      </c>
      <c r="C617" s="412" t="inlineStr">
        <is>
          <t>CN-00028</t>
        </is>
      </c>
      <c r="E617" s="412" t="inlineStr">
        <is>
          <t>Sarthak Advocates &amp; Solicitors</t>
        </is>
      </c>
      <c r="F617" s="413" t="n">
        <v>-5833.9</v>
      </c>
      <c r="G617" s="413">
        <f>F617*18%</f>
        <v/>
      </c>
      <c r="H617" s="413">
        <f>F617+G617</f>
        <v/>
      </c>
      <c r="I617" s="412" t="inlineStr">
        <is>
          <t>B2B</t>
        </is>
      </c>
    </row>
    <row r="618" ht="12" customHeight="1" s="253">
      <c r="A618" s="414" t="n">
        <v>45901</v>
      </c>
      <c r="B618" s="415" t="n">
        <v>45922</v>
      </c>
      <c r="C618" s="412" t="inlineStr">
        <is>
          <t>INV-25-26-000459</t>
        </is>
      </c>
      <c r="E618" s="412" t="inlineStr">
        <is>
          <t>Swapna Sheshadri</t>
        </is>
      </c>
      <c r="F618" s="413" t="n">
        <v>15000</v>
      </c>
      <c r="G618" s="413">
        <f>F618*18%</f>
        <v/>
      </c>
      <c r="H618" s="413">
        <f>F618+G618</f>
        <v/>
      </c>
      <c r="I618" s="412" t="inlineStr">
        <is>
          <t>B2B</t>
        </is>
      </c>
    </row>
    <row r="619" ht="12" customHeight="1" s="253">
      <c r="A619" s="414" t="n">
        <v>45901</v>
      </c>
      <c r="B619" s="415" t="n">
        <v>45923</v>
      </c>
      <c r="C619" s="412" t="inlineStr">
        <is>
          <t>INV-25-26-000460</t>
        </is>
      </c>
      <c r="E619" s="412" t="inlineStr">
        <is>
          <t>AKS Advocates</t>
        </is>
      </c>
      <c r="F619" s="413" t="n">
        <v>70000</v>
      </c>
      <c r="G619" s="413">
        <f>F619*18%</f>
        <v/>
      </c>
      <c r="H619" s="413">
        <f>F619+G619</f>
        <v/>
      </c>
      <c r="I619" s="412" t="inlineStr">
        <is>
          <t>B2B</t>
        </is>
      </c>
    </row>
    <row r="620" ht="12" customHeight="1" s="253">
      <c r="A620" s="414" t="n">
        <v>45901</v>
      </c>
      <c r="B620" s="415" t="n">
        <v>45923</v>
      </c>
      <c r="C620" s="412" t="inlineStr">
        <is>
          <t>INV-25-26-000461</t>
        </is>
      </c>
      <c r="E620" s="412" t="inlineStr">
        <is>
          <t>Rajdeep Panda</t>
        </is>
      </c>
      <c r="F620" s="413" t="n">
        <v>8474.58</v>
      </c>
      <c r="G620" s="413">
        <f>F620*18%</f>
        <v/>
      </c>
      <c r="H620" s="413">
        <f>F620+G620</f>
        <v/>
      </c>
      <c r="I620" s="412" t="inlineStr">
        <is>
          <t>B2B</t>
        </is>
      </c>
    </row>
    <row r="621" ht="12" customHeight="1" s="253">
      <c r="A621" s="414" t="n">
        <v>45901</v>
      </c>
      <c r="B621" s="415" t="n">
        <v>45925</v>
      </c>
      <c r="C621" s="412" t="inlineStr">
        <is>
          <t>INV-25-26-000462</t>
        </is>
      </c>
      <c r="E621" s="412" t="inlineStr">
        <is>
          <t>Hammurabi &amp; Solomon Partner</t>
        </is>
      </c>
      <c r="F621" s="413" t="n">
        <v>10000</v>
      </c>
      <c r="G621" s="413">
        <f>F621*18%</f>
        <v/>
      </c>
      <c r="H621" s="413">
        <f>F621+G621</f>
        <v/>
      </c>
      <c r="I621" s="412" t="inlineStr">
        <is>
          <t>B2B</t>
        </is>
      </c>
    </row>
    <row r="622" ht="12" customHeight="1" s="253">
      <c r="A622" s="414" t="n">
        <v>45901</v>
      </c>
      <c r="B622" s="415" t="n">
        <v>45925</v>
      </c>
      <c r="C622" s="412" t="inlineStr">
        <is>
          <t>INV-25-26-000463</t>
        </is>
      </c>
      <c r="E622" s="412" t="inlineStr">
        <is>
          <t>Aurtus Consulting LLP</t>
        </is>
      </c>
      <c r="F622" s="413" t="n">
        <v>18000</v>
      </c>
      <c r="G622" s="413">
        <f>F622*18%</f>
        <v/>
      </c>
      <c r="H622" s="413">
        <f>F622+G622</f>
        <v/>
      </c>
      <c r="I622" s="412" t="inlineStr">
        <is>
          <t>B2B</t>
        </is>
      </c>
    </row>
    <row r="623" ht="12" customHeight="1" s="253">
      <c r="A623" s="414" t="n">
        <v>45901</v>
      </c>
      <c r="B623" s="415" t="n">
        <v>45925</v>
      </c>
      <c r="C623" s="412" t="inlineStr">
        <is>
          <t>INV-25-26-000464</t>
        </is>
      </c>
      <c r="E623" s="412" t="inlineStr">
        <is>
          <t>Prerit Goyal</t>
        </is>
      </c>
      <c r="F623" s="413" t="n">
        <v>40000</v>
      </c>
      <c r="G623" s="413">
        <f>F623*18%</f>
        <v/>
      </c>
      <c r="H623" s="413">
        <f>F623+G623</f>
        <v/>
      </c>
      <c r="I623" s="412" t="inlineStr">
        <is>
          <t>B2B</t>
        </is>
      </c>
    </row>
    <row r="624" ht="12" customHeight="1" s="253">
      <c r="A624" s="414" t="n">
        <v>45901</v>
      </c>
      <c r="B624" s="415" t="n">
        <v>45925</v>
      </c>
      <c r="C624" s="412" t="inlineStr">
        <is>
          <t>INV-25-26-000465</t>
        </is>
      </c>
      <c r="E624" s="412" t="inlineStr">
        <is>
          <t>S Arjun Suresh</t>
        </is>
      </c>
      <c r="F624" s="413" t="n">
        <v>6779.66</v>
      </c>
      <c r="G624" s="413">
        <f>F624*18%</f>
        <v/>
      </c>
      <c r="H624" s="413">
        <f>F624+G624</f>
        <v/>
      </c>
      <c r="I624" s="412" t="inlineStr">
        <is>
          <t>B2B</t>
        </is>
      </c>
    </row>
    <row r="625" ht="12" customHeight="1" s="253">
      <c r="A625" s="414" t="n">
        <v>45901</v>
      </c>
      <c r="B625" s="415" t="n">
        <v>45925</v>
      </c>
      <c r="C625" s="412" t="inlineStr">
        <is>
          <t>INV-25-26-000466</t>
        </is>
      </c>
      <c r="E625" s="412" t="inlineStr">
        <is>
          <t>Shamik Sanjanwala</t>
        </is>
      </c>
      <c r="F625" s="413" t="n">
        <v>10000</v>
      </c>
      <c r="G625" s="413">
        <f>F625*18%</f>
        <v/>
      </c>
      <c r="H625" s="413">
        <f>F625+G625</f>
        <v/>
      </c>
      <c r="I625" s="412" t="inlineStr">
        <is>
          <t>B2B</t>
        </is>
      </c>
    </row>
    <row r="626" ht="12" customHeight="1" s="253">
      <c r="A626" s="414" t="n">
        <v>45901</v>
      </c>
      <c r="B626" s="415" t="n">
        <v>45925</v>
      </c>
      <c r="C626" s="412" t="inlineStr">
        <is>
          <t>INV-25-26-000467</t>
        </is>
      </c>
      <c r="E626" s="412" t="inlineStr">
        <is>
          <t>Adarsh Ramakrishnan</t>
        </is>
      </c>
      <c r="F626" s="413" t="n">
        <v>11086.47</v>
      </c>
      <c r="G626" s="413">
        <f>F626*18%</f>
        <v/>
      </c>
      <c r="H626" s="413">
        <f>F626+G626</f>
        <v/>
      </c>
      <c r="I626" s="412" t="inlineStr">
        <is>
          <t>B2B</t>
        </is>
      </c>
    </row>
    <row r="627" ht="12" customHeight="1" s="253">
      <c r="A627" s="414" t="n">
        <v>45901</v>
      </c>
      <c r="B627" s="415" t="n">
        <v>45926</v>
      </c>
      <c r="C627" s="412" t="inlineStr">
        <is>
          <t>INV-25-26-000471</t>
        </is>
      </c>
      <c r="E627" s="412" t="inlineStr">
        <is>
          <t>Debopriyo Moulik</t>
        </is>
      </c>
      <c r="F627" s="413" t="n">
        <v>59322.03</v>
      </c>
      <c r="G627" s="413">
        <f>F627*18%</f>
        <v/>
      </c>
      <c r="H627" s="413">
        <f>F627+G627</f>
        <v/>
      </c>
      <c r="I627" s="412" t="inlineStr">
        <is>
          <t>B2B</t>
        </is>
      </c>
    </row>
    <row r="628" ht="12" customHeight="1" s="253">
      <c r="A628" s="414" t="n">
        <v>45901</v>
      </c>
      <c r="B628" s="415" t="n">
        <v>45926</v>
      </c>
      <c r="C628" s="412" t="inlineStr">
        <is>
          <t>CN-00029</t>
        </is>
      </c>
      <c r="E628" s="412" t="inlineStr">
        <is>
          <t>Chambers of Ninad Laud</t>
        </is>
      </c>
      <c r="F628" s="413" t="n">
        <v>-10000</v>
      </c>
      <c r="G628" s="413">
        <f>F628*18%</f>
        <v/>
      </c>
      <c r="H628" s="413">
        <f>F628+G628</f>
        <v/>
      </c>
      <c r="I628" s="412" t="inlineStr">
        <is>
          <t>B2B</t>
        </is>
      </c>
    </row>
    <row r="629" ht="12" customHeight="1" s="253">
      <c r="A629" s="414" t="n">
        <v>45901</v>
      </c>
      <c r="B629" s="415" t="n">
        <v>45926</v>
      </c>
      <c r="C629" s="412" t="inlineStr">
        <is>
          <t>INV-25-26-000468</t>
        </is>
      </c>
      <c r="E629" s="412" t="inlineStr">
        <is>
          <t>Pratik Patnaik</t>
        </is>
      </c>
      <c r="F629" s="413" t="n">
        <v>12000</v>
      </c>
      <c r="G629" s="413">
        <f>F629*18%</f>
        <v/>
      </c>
      <c r="H629" s="413">
        <f>F629+G629</f>
        <v/>
      </c>
      <c r="I629" s="412" t="inlineStr">
        <is>
          <t>B2B</t>
        </is>
      </c>
    </row>
    <row r="630" ht="12" customHeight="1" s="253">
      <c r="A630" s="414" t="n">
        <v>45901</v>
      </c>
      <c r="B630" s="415" t="n">
        <v>45926</v>
      </c>
      <c r="C630" s="412" t="inlineStr">
        <is>
          <t>INV-25-26-000469</t>
        </is>
      </c>
      <c r="E630" s="412" t="inlineStr">
        <is>
          <t>Sarthak Advocates &amp; Solicitors</t>
        </is>
      </c>
      <c r="F630" s="413" t="n">
        <v>4000</v>
      </c>
      <c r="G630" s="413">
        <f>F630*18%</f>
        <v/>
      </c>
      <c r="H630" s="413">
        <f>F630+G630</f>
        <v/>
      </c>
      <c r="I630" s="412" t="inlineStr">
        <is>
          <t>B2B</t>
        </is>
      </c>
    </row>
    <row r="631" ht="12" customHeight="1" s="253">
      <c r="A631" s="414" t="n">
        <v>45901</v>
      </c>
      <c r="B631" s="415" t="n">
        <v>45926</v>
      </c>
      <c r="C631" s="412" t="inlineStr">
        <is>
          <t>INV-25-26-000473</t>
        </is>
      </c>
      <c r="E631" s="412" t="inlineStr">
        <is>
          <t>Anirban Bhattacharya</t>
        </is>
      </c>
      <c r="F631" s="413" t="n">
        <v>67796.61</v>
      </c>
      <c r="G631" s="413">
        <f>F631*18%</f>
        <v/>
      </c>
      <c r="H631" s="413">
        <f>F631+G631</f>
        <v/>
      </c>
      <c r="I631" s="412" t="inlineStr">
        <is>
          <t>B2B</t>
        </is>
      </c>
    </row>
    <row r="632" ht="12" customHeight="1" s="253">
      <c r="A632" s="414" t="n">
        <v>45901</v>
      </c>
      <c r="B632" s="415" t="n">
        <v>45926</v>
      </c>
      <c r="C632" s="412" t="inlineStr">
        <is>
          <t>INV-25-26-000470</t>
        </is>
      </c>
      <c r="E632" s="412" t="inlineStr">
        <is>
          <t>Aditya S Puar</t>
        </is>
      </c>
      <c r="F632" s="413" t="n">
        <v>40000</v>
      </c>
      <c r="G632" s="413">
        <f>F632*18%</f>
        <v/>
      </c>
      <c r="H632" s="413">
        <f>F632+G632</f>
        <v/>
      </c>
      <c r="I632" s="412" t="inlineStr">
        <is>
          <t>B2B</t>
        </is>
      </c>
    </row>
    <row r="633" ht="12" customHeight="1" s="253">
      <c r="A633" s="414" t="n">
        <v>45901</v>
      </c>
      <c r="B633" s="415" t="n">
        <v>45926</v>
      </c>
      <c r="C633" s="412" t="inlineStr">
        <is>
          <t>INV-25-26-000472</t>
        </is>
      </c>
      <c r="E633" s="412" t="inlineStr">
        <is>
          <t>REMFRY &amp; SAGAR CONSULTANT PVT LTD</t>
        </is>
      </c>
      <c r="F633" s="413" t="n">
        <v>16200</v>
      </c>
      <c r="G633" s="413">
        <f>F633*18%</f>
        <v/>
      </c>
      <c r="H633" s="413">
        <f>F633+G633</f>
        <v/>
      </c>
      <c r="I633" s="412" t="inlineStr">
        <is>
          <t>B2B</t>
        </is>
      </c>
    </row>
    <row r="634" ht="12" customHeight="1" s="253">
      <c r="A634" s="414" t="n">
        <v>45901</v>
      </c>
      <c r="B634" s="415" t="n">
        <v>45928</v>
      </c>
      <c r="C634" s="412" t="inlineStr">
        <is>
          <t>CN-00030</t>
        </is>
      </c>
      <c r="E634" s="412" t="inlineStr">
        <is>
          <t>Stride Legal</t>
        </is>
      </c>
      <c r="F634" s="413" t="n">
        <v>-10000</v>
      </c>
      <c r="G634" s="413">
        <f>F634*18%</f>
        <v/>
      </c>
      <c r="H634" s="413">
        <f>F634+G634</f>
        <v/>
      </c>
      <c r="I634" s="412" t="inlineStr">
        <is>
          <t>B2B</t>
        </is>
      </c>
    </row>
    <row r="635" ht="12" customHeight="1" s="253">
      <c r="A635" s="414" t="n">
        <v>45901</v>
      </c>
      <c r="B635" s="415" t="n">
        <v>45928</v>
      </c>
      <c r="C635" s="412" t="inlineStr">
        <is>
          <t>CN-00031</t>
        </is>
      </c>
      <c r="E635" s="412" t="inlineStr">
        <is>
          <t>Stride Legal</t>
        </is>
      </c>
      <c r="F635" s="413" t="n">
        <v>-10000</v>
      </c>
      <c r="G635" s="413">
        <f>F635*18%</f>
        <v/>
      </c>
      <c r="H635" s="413">
        <f>F635+G635</f>
        <v/>
      </c>
      <c r="I635" s="412" t="inlineStr">
        <is>
          <t>B2B</t>
        </is>
      </c>
    </row>
    <row r="636" ht="12" customHeight="1" s="253">
      <c r="A636" s="414" t="n">
        <v>45901</v>
      </c>
      <c r="B636" s="415" t="n">
        <v>45928</v>
      </c>
      <c r="C636" s="412" t="inlineStr">
        <is>
          <t>CN-00032</t>
        </is>
      </c>
      <c r="E636" s="412" t="inlineStr">
        <is>
          <t>Stride Legal</t>
        </is>
      </c>
      <c r="F636" s="413" t="n">
        <v>-10000</v>
      </c>
      <c r="G636" s="413">
        <f>F636*18%</f>
        <v/>
      </c>
      <c r="H636" s="413">
        <f>F636+G636</f>
        <v/>
      </c>
      <c r="I636" s="412" t="inlineStr">
        <is>
          <t>B2B</t>
        </is>
      </c>
    </row>
    <row r="637" ht="12" customHeight="1" s="253">
      <c r="A637" s="414" t="n">
        <v>45901</v>
      </c>
      <c r="B637" s="415" t="n">
        <v>45928</v>
      </c>
      <c r="C637" s="412" t="inlineStr">
        <is>
          <t>CN-00033</t>
        </is>
      </c>
      <c r="E637" s="412" t="inlineStr">
        <is>
          <t>Stride Legal</t>
        </is>
      </c>
      <c r="F637" s="413" t="n">
        <v>-10000</v>
      </c>
      <c r="G637" s="413">
        <f>F637*18%</f>
        <v/>
      </c>
      <c r="H637" s="413">
        <f>F637+G637</f>
        <v/>
      </c>
      <c r="I637" s="412" t="inlineStr">
        <is>
          <t>B2B</t>
        </is>
      </c>
    </row>
    <row r="638" ht="12" customHeight="1" s="253">
      <c r="A638" s="414" t="n">
        <v>45901</v>
      </c>
      <c r="B638" s="415" t="n">
        <v>45929</v>
      </c>
      <c r="C638" s="412" t="inlineStr">
        <is>
          <t>INV-25-26-000474</t>
        </is>
      </c>
      <c r="E638" s="412" t="inlineStr">
        <is>
          <t>SRCO Legal / Salvador Raghav &amp; Co.</t>
        </is>
      </c>
      <c r="F638" s="413" t="n">
        <v>6779.66</v>
      </c>
      <c r="G638" s="413">
        <f>F638*18%</f>
        <v/>
      </c>
      <c r="H638" s="413">
        <f>F638+G638</f>
        <v/>
      </c>
      <c r="I638" s="412" t="inlineStr">
        <is>
          <t>B2B</t>
        </is>
      </c>
    </row>
    <row r="639" ht="12" customHeight="1" s="253">
      <c r="A639" s="414" t="n">
        <v>45901</v>
      </c>
      <c r="B639" s="415" t="n">
        <v>45929</v>
      </c>
      <c r="C639" s="412" t="inlineStr">
        <is>
          <t>INV-25-26-000475</t>
        </is>
      </c>
      <c r="E639" s="412" t="inlineStr">
        <is>
          <t>Jayant Mehta</t>
        </is>
      </c>
      <c r="F639" s="413" t="n">
        <v>169491.53</v>
      </c>
      <c r="G639" s="413">
        <f>F639*18%</f>
        <v/>
      </c>
      <c r="H639" s="413">
        <f>F639+G639</f>
        <v/>
      </c>
      <c r="I639" s="412" t="inlineStr">
        <is>
          <t>B2B</t>
        </is>
      </c>
    </row>
    <row r="640" ht="12" customHeight="1" s="253">
      <c r="A640" s="414" t="n">
        <v>45901</v>
      </c>
      <c r="B640" s="415" t="n">
        <v>45929</v>
      </c>
      <c r="C640" s="412" t="inlineStr">
        <is>
          <t>INV-25-26-000476</t>
        </is>
      </c>
      <c r="E640" s="412" t="inlineStr">
        <is>
          <t>Rohit Sharma</t>
        </is>
      </c>
      <c r="F640" s="413" t="n">
        <v>84000</v>
      </c>
      <c r="G640" s="413">
        <f>F640*18%</f>
        <v/>
      </c>
      <c r="H640" s="413">
        <f>F640+G640</f>
        <v/>
      </c>
      <c r="I640" s="412" t="inlineStr">
        <is>
          <t>B2B</t>
        </is>
      </c>
    </row>
    <row r="641" ht="12" customHeight="1" s="253">
      <c r="A641" s="414" t="n">
        <v>45901</v>
      </c>
      <c r="B641" s="415" t="n">
        <v>45929</v>
      </c>
      <c r="C641" s="412" t="inlineStr">
        <is>
          <t>INV-25-26-000477</t>
        </is>
      </c>
      <c r="E641" s="412" t="inlineStr">
        <is>
          <t>Sourish Roy</t>
        </is>
      </c>
      <c r="F641" s="413" t="n">
        <v>42372.88</v>
      </c>
      <c r="G641" s="413">
        <f>F641*18%</f>
        <v/>
      </c>
      <c r="H641" s="413">
        <f>F641+G641</f>
        <v/>
      </c>
      <c r="I641" s="412" t="inlineStr">
        <is>
          <t>B2B</t>
        </is>
      </c>
    </row>
    <row r="642" ht="12" customHeight="1" s="253">
      <c r="A642" s="414" t="n">
        <v>45901</v>
      </c>
      <c r="B642" s="415" t="n">
        <v>45929</v>
      </c>
      <c r="C642" s="412" t="inlineStr">
        <is>
          <t>INV-25-26-000478</t>
        </is>
      </c>
      <c r="E642" s="412" t="inlineStr">
        <is>
          <t>Acuity Law LLP</t>
        </is>
      </c>
      <c r="F642" s="413" t="n">
        <v>63000</v>
      </c>
      <c r="G642" s="413">
        <f>F642*18%</f>
        <v/>
      </c>
      <c r="H642" s="413">
        <f>F642+G642</f>
        <v/>
      </c>
      <c r="I642" s="412" t="inlineStr">
        <is>
          <t>B2B</t>
        </is>
      </c>
    </row>
    <row r="643" ht="12" customHeight="1" s="253">
      <c r="A643" s="414" t="n">
        <v>45901</v>
      </c>
      <c r="B643" s="415" t="n">
        <v>45930</v>
      </c>
      <c r="C643" s="412" t="inlineStr">
        <is>
          <t>CN-00034</t>
        </is>
      </c>
      <c r="E643" s="412" t="inlineStr">
        <is>
          <t>TLH, Advocates &amp; Solicitors</t>
        </is>
      </c>
      <c r="F643" s="413" t="n">
        <v>-209576</v>
      </c>
      <c r="G643" s="413">
        <f>F643*18%</f>
        <v/>
      </c>
      <c r="H643" s="413">
        <f>F643+G643</f>
        <v/>
      </c>
      <c r="I643" s="412" t="inlineStr">
        <is>
          <t>B2B</t>
        </is>
      </c>
    </row>
    <row r="644" ht="12" customHeight="1" s="253">
      <c r="A644" s="414" t="n">
        <v>45901</v>
      </c>
      <c r="B644" s="415" t="n">
        <v>45930</v>
      </c>
      <c r="C644" s="412" t="inlineStr">
        <is>
          <t>CN-00035</t>
        </is>
      </c>
      <c r="E644" s="412" t="inlineStr">
        <is>
          <t>Jayakar and Partners</t>
        </is>
      </c>
      <c r="F644" s="413" t="n">
        <v>-20000</v>
      </c>
      <c r="G644" s="413">
        <f>F644*18%</f>
        <v/>
      </c>
      <c r="H644" s="413">
        <f>F644+G644</f>
        <v/>
      </c>
      <c r="I644" s="412" t="inlineStr">
        <is>
          <t>B2B</t>
        </is>
      </c>
    </row>
    <row r="645" ht="12" customHeight="1" s="253">
      <c r="A645" s="414" t="n">
        <v>45901</v>
      </c>
      <c r="B645" s="415" t="n">
        <v>45930</v>
      </c>
      <c r="C645" s="412" t="inlineStr">
        <is>
          <t>INV-25-26-000480</t>
        </is>
      </c>
      <c r="E645" s="412" t="inlineStr">
        <is>
          <t>Sarvottam Law Offices</t>
        </is>
      </c>
      <c r="F645" s="413" t="n">
        <v>110169.5</v>
      </c>
      <c r="G645" s="413">
        <f>F645*18%</f>
        <v/>
      </c>
      <c r="H645" s="413">
        <f>F645+G645</f>
        <v/>
      </c>
      <c r="I645" s="412" t="inlineStr">
        <is>
          <t>B2B</t>
        </is>
      </c>
    </row>
    <row r="646" ht="12" customHeight="1" s="253">
      <c r="A646" s="414" t="n">
        <v>45901</v>
      </c>
      <c r="B646" s="415" t="n">
        <v>45930</v>
      </c>
      <c r="C646" s="412" t="inlineStr">
        <is>
          <t>INV-25-26-000479</t>
        </is>
      </c>
      <c r="E646" s="412" t="inlineStr">
        <is>
          <t>Rohit Gupta</t>
        </is>
      </c>
      <c r="F646" s="413" t="n">
        <v>35000</v>
      </c>
      <c r="G646" s="413">
        <f>F646*18%</f>
        <v/>
      </c>
      <c r="H646" s="413">
        <f>F646+G646</f>
        <v/>
      </c>
      <c r="I646" s="412" t="inlineStr">
        <is>
          <t>B2B</t>
        </is>
      </c>
    </row>
    <row r="647" ht="12" customHeight="1" s="253">
      <c r="A647" s="414" t="n">
        <v>45931</v>
      </c>
      <c r="B647" s="415" t="n">
        <v>45931</v>
      </c>
      <c r="C647" s="412" t="inlineStr">
        <is>
          <t>INV-25-26-000481</t>
        </is>
      </c>
      <c r="E647" s="412" t="inlineStr">
        <is>
          <t>Solaris Legal</t>
        </is>
      </c>
      <c r="F647" s="413" t="n">
        <v>120000</v>
      </c>
      <c r="G647" s="413">
        <f>F647*18%</f>
        <v/>
      </c>
      <c r="H647" s="413">
        <f>F647+G647</f>
        <v/>
      </c>
      <c r="I647" s="412" t="inlineStr">
        <is>
          <t>B2B</t>
        </is>
      </c>
    </row>
    <row r="648" ht="12" customHeight="1" s="253">
      <c r="A648" s="414" t="n">
        <v>45931</v>
      </c>
      <c r="B648" s="415" t="n">
        <v>45931</v>
      </c>
      <c r="C648" s="412" t="inlineStr">
        <is>
          <t>INV-25-26-000482</t>
        </is>
      </c>
      <c r="E648" s="412" t="inlineStr">
        <is>
          <t>MG Ramachandran</t>
        </is>
      </c>
      <c r="F648" s="413" t="n">
        <v>30000</v>
      </c>
      <c r="G648" s="413">
        <f>F648*18%</f>
        <v/>
      </c>
      <c r="H648" s="413">
        <f>F648+G648</f>
        <v/>
      </c>
      <c r="I648" s="412" t="inlineStr">
        <is>
          <t>B2B</t>
        </is>
      </c>
    </row>
    <row r="649" ht="12" customHeight="1" s="253">
      <c r="A649" s="414" t="n">
        <v>45931</v>
      </c>
      <c r="B649" s="415" t="n">
        <v>45931</v>
      </c>
      <c r="C649" s="412" t="inlineStr">
        <is>
          <t>INV-25-26-000483</t>
        </is>
      </c>
      <c r="E649" s="412" t="inlineStr">
        <is>
          <t>Agama Law Associates</t>
        </is>
      </c>
      <c r="F649" s="413" t="n">
        <v>67796.61</v>
      </c>
      <c r="G649" s="413">
        <f>F649*18%</f>
        <v/>
      </c>
      <c r="H649" s="413">
        <f>F649+G649</f>
        <v/>
      </c>
      <c r="I649" s="412" t="inlineStr">
        <is>
          <t>B2B</t>
        </is>
      </c>
    </row>
    <row r="650" ht="12" customHeight="1" s="253">
      <c r="A650" s="414" t="n">
        <v>45931</v>
      </c>
      <c r="B650" s="415" t="n">
        <v>45931</v>
      </c>
      <c r="C650" s="412" t="inlineStr">
        <is>
          <t>INV-25-26-000484</t>
        </is>
      </c>
      <c r="E650" s="412" t="inlineStr">
        <is>
          <t>B2C</t>
        </is>
      </c>
      <c r="F650" s="413" t="n">
        <v>422.88</v>
      </c>
      <c r="G650" s="413">
        <f>F650*18%</f>
        <v/>
      </c>
      <c r="H650" s="413">
        <f>F650+G650</f>
        <v/>
      </c>
      <c r="I650" s="412" t="inlineStr">
        <is>
          <t>B2C</t>
        </is>
      </c>
    </row>
    <row r="651" ht="12" customHeight="1" s="253">
      <c r="A651" s="414" t="n">
        <v>45931</v>
      </c>
      <c r="B651" s="415" t="n">
        <v>45931</v>
      </c>
      <c r="C651" s="412" t="inlineStr">
        <is>
          <t>INV-25-26-000485</t>
        </is>
      </c>
      <c r="E651" s="412" t="inlineStr">
        <is>
          <t>Aanchal Basur</t>
        </is>
      </c>
      <c r="F651" s="413" t="n">
        <v>11400</v>
      </c>
      <c r="G651" s="413">
        <f>F651*18%</f>
        <v/>
      </c>
      <c r="H651" s="413">
        <f>F651+G651</f>
        <v/>
      </c>
      <c r="I651" s="412" t="inlineStr">
        <is>
          <t>B2B</t>
        </is>
      </c>
    </row>
    <row r="652" ht="12" customHeight="1" s="253">
      <c r="A652" s="414" t="n">
        <v>45931</v>
      </c>
      <c r="B652" s="415" t="n">
        <v>45931</v>
      </c>
      <c r="C652" s="412" t="inlineStr">
        <is>
          <t>INV-25-26-000486</t>
        </is>
      </c>
      <c r="E652" s="412" t="inlineStr">
        <is>
          <t>Roshan Santhalia</t>
        </is>
      </c>
      <c r="F652" s="413" t="n">
        <v>3389.83</v>
      </c>
      <c r="G652" s="413">
        <f>F652*18%</f>
        <v/>
      </c>
      <c r="H652" s="413">
        <f>F652+G652</f>
        <v/>
      </c>
      <c r="I652" s="412" t="inlineStr">
        <is>
          <t>B2B</t>
        </is>
      </c>
    </row>
    <row r="653" ht="12" customHeight="1" s="253">
      <c r="A653" s="414" t="n">
        <v>45931</v>
      </c>
      <c r="B653" s="415" t="n">
        <v>45932</v>
      </c>
      <c r="C653" s="412" t="inlineStr">
        <is>
          <t>INV-25-26-000487</t>
        </is>
      </c>
      <c r="E653" s="412" t="inlineStr">
        <is>
          <t>Jayakar and Partners</t>
        </is>
      </c>
      <c r="F653" s="413" t="n">
        <v>20000</v>
      </c>
      <c r="G653" s="413">
        <f>F653*18%</f>
        <v/>
      </c>
      <c r="H653" s="413">
        <f>F653+G653</f>
        <v/>
      </c>
      <c r="I653" s="412" t="inlineStr">
        <is>
          <t>B2B</t>
        </is>
      </c>
    </row>
    <row r="654" ht="12" customHeight="1" s="253">
      <c r="A654" s="414" t="n">
        <v>45931</v>
      </c>
      <c r="B654" s="415" t="n">
        <v>45933</v>
      </c>
      <c r="C654" s="412" t="inlineStr">
        <is>
          <t>INV-25-26-000488</t>
        </is>
      </c>
      <c r="E654" s="412" t="inlineStr">
        <is>
          <t>LEGALOGIC CONSULTING LLP</t>
        </is>
      </c>
      <c r="F654" s="413" t="n">
        <v>100000</v>
      </c>
      <c r="G654" s="413">
        <f>F654*18%</f>
        <v/>
      </c>
      <c r="H654" s="413">
        <f>F654+G654</f>
        <v/>
      </c>
      <c r="I654" s="412" t="inlineStr">
        <is>
          <t>B2B</t>
        </is>
      </c>
    </row>
    <row r="655" ht="12" customHeight="1" s="253">
      <c r="A655" s="414" t="n">
        <v>45931</v>
      </c>
      <c r="B655" s="415" t="n">
        <v>45932</v>
      </c>
      <c r="C655" s="412" t="inlineStr">
        <is>
          <t>INV-25-26-000489</t>
        </is>
      </c>
      <c r="E655" s="412" t="inlineStr">
        <is>
          <t>SACH &amp; THARAAS ADVOCATES</t>
        </is>
      </c>
      <c r="F655" s="413" t="n">
        <v>70000</v>
      </c>
      <c r="G655" s="413">
        <f>F655*18%</f>
        <v/>
      </c>
      <c r="H655" s="413">
        <f>F655+G655</f>
        <v/>
      </c>
      <c r="I655" s="412" t="inlineStr">
        <is>
          <t>B2B</t>
        </is>
      </c>
    </row>
    <row r="656" ht="12" customHeight="1" s="253">
      <c r="A656" s="414" t="n">
        <v>45931</v>
      </c>
      <c r="B656" s="415" t="n">
        <v>45933</v>
      </c>
      <c r="C656" s="412" t="inlineStr">
        <is>
          <t>INV-25-26-000490</t>
        </is>
      </c>
      <c r="E656" s="412" t="inlineStr">
        <is>
          <t>LEGALOGIC CONSULTING LLP</t>
        </is>
      </c>
      <c r="F656" s="413" t="n">
        <v>35000</v>
      </c>
      <c r="G656" s="413">
        <f>F656*18%</f>
        <v/>
      </c>
      <c r="H656" s="413">
        <f>F656+G656</f>
        <v/>
      </c>
      <c r="I656" s="412" t="inlineStr">
        <is>
          <t>B2B</t>
        </is>
      </c>
    </row>
    <row r="657" ht="12" customHeight="1" s="253">
      <c r="A657" s="414" t="n">
        <v>45931</v>
      </c>
      <c r="B657" s="415" t="n">
        <v>45933</v>
      </c>
      <c r="C657" s="412" t="inlineStr">
        <is>
          <t>INV-25-26-000491</t>
        </is>
      </c>
      <c r="E657" s="412" t="inlineStr">
        <is>
          <t>Udyam Law Practice</t>
        </is>
      </c>
      <c r="F657" s="413" t="n">
        <v>42372.88</v>
      </c>
      <c r="G657" s="413">
        <f>F657*18%</f>
        <v/>
      </c>
      <c r="H657" s="413">
        <f>F657+G657</f>
        <v/>
      </c>
      <c r="I657" s="412" t="inlineStr">
        <is>
          <t>B2B</t>
        </is>
      </c>
    </row>
    <row r="658" ht="12" customHeight="1" s="253">
      <c r="A658" s="414" t="n">
        <v>45931</v>
      </c>
      <c r="B658" s="415" t="n">
        <v>45933</v>
      </c>
      <c r="C658" s="412" t="inlineStr">
        <is>
          <t>INV-25-26-000492</t>
        </is>
      </c>
      <c r="E658" s="412" t="inlineStr">
        <is>
          <t>Pioneer Legal</t>
        </is>
      </c>
      <c r="F658" s="413" t="n">
        <v>103500</v>
      </c>
      <c r="G658" s="413">
        <f>F658*18%</f>
        <v/>
      </c>
      <c r="H658" s="413">
        <f>F658+G658</f>
        <v/>
      </c>
      <c r="I658" s="412" t="inlineStr">
        <is>
          <t>B2B</t>
        </is>
      </c>
    </row>
    <row r="659" ht="12" customHeight="1" s="253">
      <c r="A659" s="414" t="n">
        <v>45931</v>
      </c>
      <c r="B659" s="415" t="n">
        <v>45933</v>
      </c>
      <c r="C659" s="412" t="inlineStr">
        <is>
          <t>INV-25-26-000493</t>
        </is>
      </c>
      <c r="E659" s="412" t="inlineStr">
        <is>
          <t>Lzafeer Ahmad B F</t>
        </is>
      </c>
      <c r="F659" s="413" t="n">
        <v>5000</v>
      </c>
      <c r="G659" s="413">
        <f>F659*18%</f>
        <v/>
      </c>
      <c r="H659" s="413">
        <f>F659+G659</f>
        <v/>
      </c>
      <c r="I659" s="412" t="inlineStr">
        <is>
          <t>B2B</t>
        </is>
      </c>
    </row>
    <row r="660" ht="12" customHeight="1" s="253">
      <c r="A660" s="414" t="n">
        <v>45931</v>
      </c>
      <c r="B660" s="415" t="n">
        <v>45935</v>
      </c>
      <c r="C660" s="412" t="inlineStr">
        <is>
          <t>INV-25-26-000494</t>
        </is>
      </c>
      <c r="E660" s="412" t="inlineStr">
        <is>
          <t>B2C</t>
        </is>
      </c>
      <c r="F660" s="413" t="n">
        <v>2117.8</v>
      </c>
      <c r="G660" s="413">
        <f>F660*18%</f>
        <v/>
      </c>
      <c r="H660" s="413">
        <f>F660+G660</f>
        <v/>
      </c>
      <c r="I660" s="412" t="inlineStr">
        <is>
          <t>B2C</t>
        </is>
      </c>
    </row>
    <row r="661" ht="12" customHeight="1" s="253">
      <c r="A661" s="414" t="n">
        <v>45931</v>
      </c>
      <c r="B661" s="415" t="n">
        <v>45935</v>
      </c>
      <c r="C661" s="412" t="inlineStr">
        <is>
          <t>INV-25-26-000495</t>
        </is>
      </c>
      <c r="E661" s="412" t="inlineStr">
        <is>
          <t>B2C</t>
        </is>
      </c>
      <c r="F661" s="413" t="n">
        <v>422.88</v>
      </c>
      <c r="G661" s="413">
        <f>F661*18%</f>
        <v/>
      </c>
      <c r="H661" s="413">
        <f>F661+G661</f>
        <v/>
      </c>
      <c r="I661" s="412" t="inlineStr">
        <is>
          <t>B2C</t>
        </is>
      </c>
    </row>
    <row r="662" ht="12" customHeight="1" s="253">
      <c r="A662" s="414" t="n">
        <v>45931</v>
      </c>
      <c r="B662" s="415" t="n">
        <v>45936</v>
      </c>
      <c r="C662" s="412" t="inlineStr">
        <is>
          <t>INV-25-26-000496</t>
        </is>
      </c>
      <c r="E662" s="412" t="inlineStr">
        <is>
          <t>Chambers of Ninad Laud</t>
        </is>
      </c>
      <c r="F662" s="413" t="n">
        <v>10000</v>
      </c>
      <c r="G662" s="413">
        <f>F662*18%</f>
        <v/>
      </c>
      <c r="H662" s="413">
        <f>F662+G662</f>
        <v/>
      </c>
      <c r="I662" s="412" t="inlineStr">
        <is>
          <t>B2B</t>
        </is>
      </c>
    </row>
    <row r="663" ht="12" customHeight="1" s="253">
      <c r="A663" s="414" t="n">
        <v>45931</v>
      </c>
      <c r="B663" s="415" t="n">
        <v>45936</v>
      </c>
      <c r="C663" s="412" t="inlineStr">
        <is>
          <t>INV-25-26-000497</t>
        </is>
      </c>
      <c r="E663" s="412" t="inlineStr">
        <is>
          <t>Puneet Rathsharma</t>
        </is>
      </c>
      <c r="F663" s="413" t="n">
        <v>30000</v>
      </c>
      <c r="G663" s="413">
        <f>F663*18%</f>
        <v/>
      </c>
      <c r="H663" s="413">
        <f>F663+G663</f>
        <v/>
      </c>
      <c r="I663" s="412" t="inlineStr">
        <is>
          <t>B2B</t>
        </is>
      </c>
    </row>
    <row r="664" ht="12" customHeight="1" s="253">
      <c r="A664" s="414" t="n">
        <v>45931</v>
      </c>
      <c r="B664" s="415" t="n">
        <v>45936</v>
      </c>
      <c r="C664" s="412" t="inlineStr">
        <is>
          <t>INV-25-26-000498</t>
        </is>
      </c>
      <c r="E664" s="412" t="inlineStr">
        <is>
          <t>Aarna Law LLP</t>
        </is>
      </c>
      <c r="F664" s="413" t="n">
        <v>7500</v>
      </c>
      <c r="G664" s="413">
        <f>F664*18%</f>
        <v/>
      </c>
      <c r="H664" s="413">
        <f>F664+G664</f>
        <v/>
      </c>
      <c r="I664" s="412" t="inlineStr">
        <is>
          <t>B2B</t>
        </is>
      </c>
    </row>
    <row r="665" ht="12" customHeight="1" s="253">
      <c r="A665" s="414" t="n">
        <v>45931</v>
      </c>
      <c r="B665" s="415" t="n">
        <v>45936</v>
      </c>
      <c r="C665" s="412" t="inlineStr">
        <is>
          <t>INV-25-26-000499</t>
        </is>
      </c>
      <c r="E665" s="412" t="inlineStr">
        <is>
          <t>ICL CORPORATE ADVISORY PRIVATE LIMITED</t>
        </is>
      </c>
      <c r="F665" s="413" t="n">
        <v>153116.13</v>
      </c>
      <c r="G665" s="413">
        <f>F665*18%</f>
        <v/>
      </c>
      <c r="H665" s="413">
        <f>F665+G665</f>
        <v/>
      </c>
      <c r="I665" s="412" t="inlineStr">
        <is>
          <t>B2B</t>
        </is>
      </c>
    </row>
    <row r="666" ht="12" customHeight="1" s="253">
      <c r="A666" s="414" t="n">
        <v>45931</v>
      </c>
      <c r="B666" s="415" t="n">
        <v>45937</v>
      </c>
      <c r="C666" s="412" t="inlineStr">
        <is>
          <t>INV-25-26-000500</t>
        </is>
      </c>
      <c r="E666" s="412" t="inlineStr">
        <is>
          <t>Darius J. Khambata</t>
        </is>
      </c>
      <c r="F666" s="413" t="n">
        <v>16949.15</v>
      </c>
      <c r="G666" s="413">
        <f>F666*18%</f>
        <v/>
      </c>
      <c r="H666" s="413">
        <f>F666+G666</f>
        <v/>
      </c>
      <c r="I666" s="412" t="inlineStr">
        <is>
          <t>B2B</t>
        </is>
      </c>
    </row>
    <row r="667" ht="12" customHeight="1" s="253">
      <c r="A667" s="414" t="n">
        <v>45931</v>
      </c>
      <c r="B667" s="415" t="n">
        <v>45937</v>
      </c>
      <c r="C667" s="412" t="inlineStr">
        <is>
          <t>INV-25-26-000501</t>
        </is>
      </c>
      <c r="E667" s="412" t="inlineStr">
        <is>
          <t>Singularity Legal LLP</t>
        </is>
      </c>
      <c r="F667" s="413" t="n">
        <v>12500</v>
      </c>
      <c r="G667" s="413">
        <f>F667*18%</f>
        <v/>
      </c>
      <c r="H667" s="413">
        <f>F667+G667</f>
        <v/>
      </c>
      <c r="I667" s="412" t="inlineStr">
        <is>
          <t>B2B</t>
        </is>
      </c>
    </row>
    <row r="668" ht="12" customHeight="1" s="253">
      <c r="A668" s="414" t="n">
        <v>45931</v>
      </c>
      <c r="B668" s="415" t="n">
        <v>45938</v>
      </c>
      <c r="C668" s="412" t="inlineStr">
        <is>
          <t>INV-25-26-000502</t>
        </is>
      </c>
      <c r="E668" s="412" t="inlineStr">
        <is>
          <t>Sir Sobha Singh &amp; Sons Pvt Ltd</t>
        </is>
      </c>
      <c r="F668" s="413" t="n">
        <v>85000</v>
      </c>
      <c r="G668" s="413">
        <f>F668*18%</f>
        <v/>
      </c>
      <c r="H668" s="413">
        <f>F668+G668</f>
        <v/>
      </c>
      <c r="I668" s="412" t="inlineStr">
        <is>
          <t>B2B</t>
        </is>
      </c>
    </row>
    <row r="669" ht="12" customHeight="1" s="253">
      <c r="A669" s="414" t="n">
        <v>45931</v>
      </c>
      <c r="B669" s="415" t="n">
        <v>45938</v>
      </c>
      <c r="C669" s="412" t="inlineStr">
        <is>
          <t>INV-25-26-000503</t>
        </is>
      </c>
      <c r="E669" s="412" t="inlineStr">
        <is>
          <t>B2C</t>
        </is>
      </c>
      <c r="F669" s="413" t="n">
        <v>422.88</v>
      </c>
      <c r="G669" s="413">
        <f>F669*18%</f>
        <v/>
      </c>
      <c r="H669" s="413">
        <f>F669+G669</f>
        <v/>
      </c>
      <c r="I669" s="412" t="inlineStr">
        <is>
          <t>B2C</t>
        </is>
      </c>
    </row>
    <row r="670" ht="12" customHeight="1" s="253">
      <c r="A670" s="414" t="n">
        <v>45931</v>
      </c>
      <c r="B670" s="415" t="n">
        <v>45938</v>
      </c>
      <c r="C670" s="412" t="inlineStr">
        <is>
          <t>INV-25-26-000504</t>
        </is>
      </c>
      <c r="E670" s="412" t="inlineStr">
        <is>
          <t>Laksha Kalappa B</t>
        </is>
      </c>
      <c r="F670" s="413" t="n">
        <v>6000</v>
      </c>
      <c r="G670" s="413">
        <f>F670*18%</f>
        <v/>
      </c>
      <c r="H670" s="413">
        <f>F670+G670</f>
        <v/>
      </c>
      <c r="I670" s="412" t="inlineStr">
        <is>
          <t>B2B</t>
        </is>
      </c>
    </row>
    <row r="671" ht="12" customHeight="1" s="253">
      <c r="A671" s="414" t="n">
        <v>45931</v>
      </c>
      <c r="B671" s="415" t="n">
        <v>45939</v>
      </c>
      <c r="C671" s="412" t="inlineStr">
        <is>
          <t>INV-25-26-000505</t>
        </is>
      </c>
      <c r="E671" s="412" t="inlineStr">
        <is>
          <t>Manish kelker</t>
        </is>
      </c>
      <c r="F671" s="413" t="n">
        <v>3388.98</v>
      </c>
      <c r="G671" s="413">
        <f>F671*18%</f>
        <v/>
      </c>
      <c r="H671" s="413">
        <f>F671+G671</f>
        <v/>
      </c>
      <c r="I671" s="412" t="inlineStr">
        <is>
          <t>B2B</t>
        </is>
      </c>
    </row>
    <row r="672" ht="12" customHeight="1" s="253">
      <c r="A672" s="414" t="n">
        <v>45931</v>
      </c>
      <c r="B672" s="415" t="n">
        <v>45939</v>
      </c>
      <c r="C672" s="412" t="inlineStr">
        <is>
          <t>INV-25-26-000506</t>
        </is>
      </c>
      <c r="E672" s="412" t="inlineStr">
        <is>
          <t>B2C</t>
        </is>
      </c>
      <c r="F672" s="413" t="n">
        <v>422.88</v>
      </c>
      <c r="G672" s="413">
        <f>F672*18%</f>
        <v/>
      </c>
      <c r="H672" s="413">
        <f>F672+G672</f>
        <v/>
      </c>
      <c r="I672" s="412" t="inlineStr">
        <is>
          <t>B2C</t>
        </is>
      </c>
    </row>
    <row r="673" ht="12" customHeight="1" s="253">
      <c r="A673" s="414" t="n">
        <v>45931</v>
      </c>
      <c r="B673" s="415" t="n">
        <v>45939</v>
      </c>
      <c r="C673" s="412" t="inlineStr">
        <is>
          <t>INV-25-26-000507</t>
        </is>
      </c>
      <c r="E673" s="412" t="inlineStr">
        <is>
          <t>Touchstone Partners</t>
        </is>
      </c>
      <c r="F673" s="413" t="n">
        <v>26193.55</v>
      </c>
      <c r="G673" s="413">
        <f>F673*18%</f>
        <v/>
      </c>
      <c r="H673" s="413">
        <f>F673+G673</f>
        <v/>
      </c>
      <c r="I673" s="412" t="inlineStr">
        <is>
          <t>B2B</t>
        </is>
      </c>
    </row>
    <row r="674" ht="12" customHeight="1" s="253">
      <c r="A674" s="414" t="n">
        <v>45931</v>
      </c>
      <c r="B674" s="415" t="n">
        <v>45939</v>
      </c>
      <c r="C674" s="412" t="inlineStr">
        <is>
          <t>INV-25-26-000508</t>
        </is>
      </c>
      <c r="E674" s="412" t="inlineStr">
        <is>
          <t>Vaish Associates</t>
        </is>
      </c>
      <c r="F674" s="413" t="n">
        <v>1101600</v>
      </c>
      <c r="G674" s="413">
        <f>F674*18%</f>
        <v/>
      </c>
      <c r="H674" s="413">
        <f>F674+G674</f>
        <v/>
      </c>
      <c r="I674" s="412" t="inlineStr">
        <is>
          <t>B2B</t>
        </is>
      </c>
    </row>
    <row r="675" ht="12" customHeight="1" s="253">
      <c r="A675" s="414" t="n">
        <v>45931</v>
      </c>
      <c r="B675" s="415" t="n">
        <v>45939</v>
      </c>
      <c r="C675" s="412" t="inlineStr">
        <is>
          <t>INV-25-26-000509</t>
        </is>
      </c>
      <c r="E675" s="412" t="inlineStr">
        <is>
          <t>B2C</t>
        </is>
      </c>
      <c r="F675" s="413" t="n">
        <v>422.88</v>
      </c>
      <c r="G675" s="413">
        <f>F675*18%</f>
        <v/>
      </c>
      <c r="H675" s="413">
        <f>F675+G675</f>
        <v/>
      </c>
      <c r="I675" s="412" t="inlineStr">
        <is>
          <t>B2C</t>
        </is>
      </c>
    </row>
    <row r="676" ht="12" customHeight="1" s="253">
      <c r="A676" s="414" t="n">
        <v>45931</v>
      </c>
      <c r="B676" s="415" t="n">
        <v>45940</v>
      </c>
      <c r="C676" s="412" t="inlineStr">
        <is>
          <t>INV-25-26-000510</t>
        </is>
      </c>
      <c r="E676" s="412" t="inlineStr">
        <is>
          <t>SKR &amp; associates</t>
        </is>
      </c>
      <c r="F676" s="413" t="n">
        <v>8729</v>
      </c>
      <c r="G676" s="413">
        <f>F676*18%</f>
        <v/>
      </c>
      <c r="H676" s="413">
        <f>F676+G676</f>
        <v/>
      </c>
      <c r="I676" s="412" t="inlineStr">
        <is>
          <t>B2B</t>
        </is>
      </c>
    </row>
    <row r="677" ht="12" customHeight="1" s="253">
      <c r="A677" s="414" t="n">
        <v>45931</v>
      </c>
      <c r="B677" s="415" t="n">
        <v>45940</v>
      </c>
      <c r="C677" s="412" t="inlineStr">
        <is>
          <t>INV-25-26-000511</t>
        </is>
      </c>
      <c r="E677" s="412" t="inlineStr">
        <is>
          <t>Vis Legis Law Practice</t>
        </is>
      </c>
      <c r="F677" s="413" t="n">
        <v>16258.06</v>
      </c>
      <c r="G677" s="413">
        <f>F677*18%</f>
        <v/>
      </c>
      <c r="H677" s="413">
        <f>F677+G677</f>
        <v/>
      </c>
      <c r="I677" s="412" t="inlineStr">
        <is>
          <t>B2B</t>
        </is>
      </c>
    </row>
    <row r="678" ht="12" customHeight="1" s="253">
      <c r="A678" s="414" t="n">
        <v>45931</v>
      </c>
      <c r="B678" s="415" t="n">
        <v>45941</v>
      </c>
      <c r="C678" s="412" t="inlineStr">
        <is>
          <t>INV-25-26-000512</t>
        </is>
      </c>
      <c r="E678" s="412" t="inlineStr">
        <is>
          <t>Rahul Saboo, Advocate</t>
        </is>
      </c>
      <c r="F678" s="413" t="n">
        <v>8474.58</v>
      </c>
      <c r="G678" s="413">
        <f>F678*18%</f>
        <v/>
      </c>
      <c r="H678" s="413">
        <f>F678+G678</f>
        <v/>
      </c>
      <c r="I678" s="412" t="inlineStr">
        <is>
          <t>B2B</t>
        </is>
      </c>
    </row>
    <row r="679" ht="12" customHeight="1" s="253">
      <c r="A679" s="414" t="n">
        <v>45931</v>
      </c>
      <c r="B679" s="415" t="n">
        <v>45942</v>
      </c>
      <c r="C679" s="412" t="inlineStr">
        <is>
          <t>INV-25-26-000513</t>
        </is>
      </c>
      <c r="E679" s="412" t="inlineStr">
        <is>
          <t>Diwan Law Associates</t>
        </is>
      </c>
      <c r="F679" s="413" t="n">
        <v>4237.29</v>
      </c>
      <c r="G679" s="413">
        <f>F679*18%</f>
        <v/>
      </c>
      <c r="H679" s="413">
        <f>F679+G679</f>
        <v/>
      </c>
      <c r="I679" s="412" t="inlineStr">
        <is>
          <t>B2B</t>
        </is>
      </c>
    </row>
    <row r="680" ht="12" customHeight="1" s="253">
      <c r="A680" s="414" t="n">
        <v>45931</v>
      </c>
      <c r="B680" s="415" t="n">
        <v>45942</v>
      </c>
      <c r="C680" s="412" t="inlineStr">
        <is>
          <t>INV-25-26-000514</t>
        </is>
      </c>
      <c r="E680" s="412" t="inlineStr">
        <is>
          <t>Megha Chandra</t>
        </is>
      </c>
      <c r="F680" s="413" t="n">
        <v>10000</v>
      </c>
      <c r="G680" s="413">
        <f>F680*18%</f>
        <v/>
      </c>
      <c r="H680" s="413">
        <f>F680+G680</f>
        <v/>
      </c>
      <c r="I680" s="412" t="inlineStr">
        <is>
          <t>B2B</t>
        </is>
      </c>
    </row>
    <row r="681" ht="12" customHeight="1" s="253">
      <c r="A681" s="414" t="n">
        <v>45931</v>
      </c>
      <c r="B681" s="415" t="n">
        <v>45943</v>
      </c>
      <c r="C681" s="412" t="inlineStr">
        <is>
          <t>INV-25-26-000515</t>
        </is>
      </c>
      <c r="E681" s="412" t="inlineStr">
        <is>
          <t>NINE PILLARS INFRATECH LLP</t>
        </is>
      </c>
      <c r="F681" s="413" t="n">
        <v>25000</v>
      </c>
      <c r="G681" s="413">
        <f>F681*18%</f>
        <v/>
      </c>
      <c r="H681" s="413">
        <f>F681+G681</f>
        <v/>
      </c>
      <c r="I681" s="412" t="inlineStr">
        <is>
          <t>B2B</t>
        </is>
      </c>
    </row>
    <row r="682" ht="12" customHeight="1" s="253">
      <c r="A682" s="414" t="n">
        <v>45931</v>
      </c>
      <c r="B682" s="415" t="n">
        <v>45943</v>
      </c>
      <c r="C682" s="412" t="inlineStr">
        <is>
          <t>INV-25-26-000516</t>
        </is>
      </c>
      <c r="E682" s="412" t="inlineStr">
        <is>
          <t>Dr Sanjay Jain</t>
        </is>
      </c>
      <c r="F682" s="413" t="n">
        <v>70000</v>
      </c>
      <c r="G682" s="413">
        <f>F682*18%</f>
        <v/>
      </c>
      <c r="H682" s="413">
        <f>F682+G682</f>
        <v/>
      </c>
      <c r="I682" s="412" t="inlineStr">
        <is>
          <t>B2B</t>
        </is>
      </c>
    </row>
    <row r="683" ht="12" customHeight="1" s="253">
      <c r="A683" s="414" t="n">
        <v>45931</v>
      </c>
      <c r="B683" s="415" t="n">
        <v>45944</v>
      </c>
      <c r="C683" s="412" t="inlineStr">
        <is>
          <t>INV-25-26-000517</t>
        </is>
      </c>
      <c r="E683" s="412" t="inlineStr">
        <is>
          <t>Arun Kumar P</t>
        </is>
      </c>
      <c r="F683" s="413" t="n">
        <v>4500</v>
      </c>
      <c r="G683" s="413">
        <f>F683*18%</f>
        <v/>
      </c>
      <c r="H683" s="413">
        <f>F683+G683</f>
        <v/>
      </c>
      <c r="I683" s="412" t="inlineStr">
        <is>
          <t>B2B</t>
        </is>
      </c>
    </row>
    <row r="684" ht="12" customHeight="1" s="253">
      <c r="A684" s="414" t="n">
        <v>45931</v>
      </c>
      <c r="B684" s="415" t="n">
        <v>45944</v>
      </c>
      <c r="C684" s="412" t="inlineStr">
        <is>
          <t>INV-25-26-000518</t>
        </is>
      </c>
      <c r="E684" s="412" t="inlineStr">
        <is>
          <t>Ahan Gadkari</t>
        </is>
      </c>
      <c r="F684" s="413" t="n">
        <v>12500</v>
      </c>
      <c r="G684" s="413">
        <f>F684*18%</f>
        <v/>
      </c>
      <c r="H684" s="413">
        <f>F684+G684</f>
        <v/>
      </c>
      <c r="I684" s="412" t="inlineStr">
        <is>
          <t>B2B</t>
        </is>
      </c>
    </row>
    <row r="685" ht="12" customHeight="1" s="253">
      <c r="A685" s="414" t="n">
        <v>45931</v>
      </c>
      <c r="B685" s="415" t="n">
        <v>45944</v>
      </c>
      <c r="C685" s="412" t="inlineStr">
        <is>
          <t>INV-25-26-000519</t>
        </is>
      </c>
      <c r="E685" s="412" t="inlineStr">
        <is>
          <t>ASREC India Ltd</t>
        </is>
      </c>
      <c r="F685" s="413" t="n">
        <v>12500</v>
      </c>
      <c r="G685" s="413">
        <f>F685*18%</f>
        <v/>
      </c>
      <c r="H685" s="413">
        <f>F685+G685</f>
        <v/>
      </c>
      <c r="I685" s="412" t="inlineStr">
        <is>
          <t>B2B</t>
        </is>
      </c>
    </row>
    <row r="686" ht="12" customHeight="1" s="253">
      <c r="A686" s="414" t="n">
        <v>45931</v>
      </c>
      <c r="B686" s="415" t="n">
        <v>45944</v>
      </c>
      <c r="C686" s="412" t="inlineStr">
        <is>
          <t>INV-25-26-000520</t>
        </is>
      </c>
      <c r="E686" s="412" t="inlineStr">
        <is>
          <t>Chavi V Jain</t>
        </is>
      </c>
      <c r="F686" s="413" t="n">
        <v>4500</v>
      </c>
      <c r="G686" s="413">
        <f>F686*18%</f>
        <v/>
      </c>
      <c r="H686" s="413">
        <f>F686+G686</f>
        <v/>
      </c>
      <c r="I686" s="412" t="inlineStr">
        <is>
          <t>B2B</t>
        </is>
      </c>
    </row>
    <row r="687" ht="12" customHeight="1" s="253">
      <c r="A687" s="414" t="n">
        <v>45931</v>
      </c>
      <c r="B687" s="415" t="n">
        <v>45944</v>
      </c>
      <c r="C687" s="412" t="inlineStr">
        <is>
          <t>INV-25-26-000521</t>
        </is>
      </c>
      <c r="E687" s="412" t="inlineStr">
        <is>
          <t>Mahadeshwara. D</t>
        </is>
      </c>
      <c r="F687" s="413" t="n">
        <v>12500</v>
      </c>
      <c r="G687" s="413">
        <f>F687*18%</f>
        <v/>
      </c>
      <c r="H687" s="413">
        <f>F687+G687</f>
        <v/>
      </c>
      <c r="I687" s="412" t="inlineStr">
        <is>
          <t>B2B</t>
        </is>
      </c>
    </row>
    <row r="688" ht="12" customHeight="1" s="253">
      <c r="A688" s="414" t="n">
        <v>45931</v>
      </c>
      <c r="B688" s="415" t="n">
        <v>45944</v>
      </c>
      <c r="C688" s="412" t="inlineStr">
        <is>
          <t>INV-25-26-000522</t>
        </is>
      </c>
      <c r="E688" s="412" t="inlineStr">
        <is>
          <t>Pramit Mohanty</t>
        </is>
      </c>
      <c r="F688" s="413" t="n">
        <v>12500</v>
      </c>
      <c r="G688" s="413">
        <f>F688*18%</f>
        <v/>
      </c>
      <c r="H688" s="413">
        <f>F688+G688</f>
        <v/>
      </c>
      <c r="I688" s="412" t="inlineStr">
        <is>
          <t>B2B</t>
        </is>
      </c>
    </row>
    <row r="689" ht="12" customHeight="1" s="253">
      <c r="A689" s="414" t="n">
        <v>45931</v>
      </c>
      <c r="B689" s="415" t="n">
        <v>45944</v>
      </c>
      <c r="C689" s="412" t="inlineStr">
        <is>
          <t>INV-25-26-000523</t>
        </is>
      </c>
      <c r="E689" s="412" t="inlineStr">
        <is>
          <t>Manaswi Agrawal</t>
        </is>
      </c>
      <c r="F689" s="413" t="n">
        <v>4500</v>
      </c>
      <c r="G689" s="413">
        <f>F689*18%</f>
        <v/>
      </c>
      <c r="H689" s="413">
        <f>F689+G689</f>
        <v/>
      </c>
      <c r="I689" s="412" t="inlineStr">
        <is>
          <t>B2B</t>
        </is>
      </c>
    </row>
    <row r="690" ht="12" customHeight="1" s="253">
      <c r="A690" s="414" t="n">
        <v>45931</v>
      </c>
      <c r="B690" s="415" t="n">
        <v>45944</v>
      </c>
      <c r="C690" s="412" t="inlineStr">
        <is>
          <t>INV-25-26-000524</t>
        </is>
      </c>
      <c r="E690" s="412" t="inlineStr">
        <is>
          <t>Pratap Venugopal, Senior Advocate</t>
        </is>
      </c>
      <c r="F690" s="413" t="n">
        <v>70000</v>
      </c>
      <c r="G690" s="413">
        <f>F690*18%</f>
        <v/>
      </c>
      <c r="H690" s="413">
        <f>F690+G690</f>
        <v/>
      </c>
      <c r="I690" s="412" t="inlineStr">
        <is>
          <t>B2B</t>
        </is>
      </c>
    </row>
    <row r="691" ht="12" customHeight="1" s="253">
      <c r="A691" s="414" t="n">
        <v>45931</v>
      </c>
      <c r="B691" s="415" t="n">
        <v>45944</v>
      </c>
      <c r="C691" s="412" t="inlineStr">
        <is>
          <t>INV-25-26-000525</t>
        </is>
      </c>
      <c r="E691" s="412" t="inlineStr">
        <is>
          <t>Parekh Legal Proprieter Ami Parekh</t>
        </is>
      </c>
      <c r="F691" s="413" t="n">
        <v>5000</v>
      </c>
      <c r="G691" s="413">
        <f>F691*18%</f>
        <v/>
      </c>
      <c r="H691" s="413">
        <f>F691+G691</f>
        <v/>
      </c>
      <c r="I691" s="412" t="inlineStr">
        <is>
          <t>B2B</t>
        </is>
      </c>
    </row>
    <row r="692" ht="12" customHeight="1" s="253">
      <c r="A692" s="414" t="n">
        <v>45931</v>
      </c>
      <c r="B692" s="415" t="n">
        <v>45944</v>
      </c>
      <c r="C692" s="412" t="inlineStr">
        <is>
          <t>INV-25-26-000526</t>
        </is>
      </c>
      <c r="E692" s="412" t="inlineStr">
        <is>
          <t>AKS LAW ASSOCIATES</t>
        </is>
      </c>
      <c r="F692" s="413" t="n">
        <v>8000</v>
      </c>
      <c r="G692" s="413">
        <f>F692*18%</f>
        <v/>
      </c>
      <c r="H692" s="413">
        <f>F692+G692</f>
        <v/>
      </c>
      <c r="I692" s="412" t="inlineStr">
        <is>
          <t>B2B</t>
        </is>
      </c>
    </row>
    <row r="693" ht="12" customHeight="1" s="253">
      <c r="A693" s="414" t="n">
        <v>45931</v>
      </c>
      <c r="B693" s="415" t="n">
        <v>45945</v>
      </c>
      <c r="C693" s="412" t="inlineStr">
        <is>
          <t>INV-25-26-000528</t>
        </is>
      </c>
      <c r="E693" s="412" t="inlineStr">
        <is>
          <t>R. Vishnu Kumar, Advocate</t>
        </is>
      </c>
      <c r="F693" s="413" t="n">
        <v>16950</v>
      </c>
      <c r="G693" s="413">
        <f>F693*18%</f>
        <v/>
      </c>
      <c r="H693" s="413">
        <f>F693+G693</f>
        <v/>
      </c>
      <c r="I693" s="412" t="inlineStr">
        <is>
          <t>B2B</t>
        </is>
      </c>
    </row>
    <row r="694" ht="12" customHeight="1" s="253">
      <c r="A694" s="414" t="n">
        <v>45931</v>
      </c>
      <c r="B694" s="415" t="n">
        <v>45945</v>
      </c>
      <c r="C694" s="412" t="inlineStr">
        <is>
          <t>INV-25-26-000529</t>
        </is>
      </c>
      <c r="E694" s="412" t="inlineStr">
        <is>
          <t>Aravindakshan Nair</t>
        </is>
      </c>
      <c r="F694" s="413" t="n">
        <v>4500</v>
      </c>
      <c r="G694" s="413">
        <f>F694*18%</f>
        <v/>
      </c>
      <c r="H694" s="413">
        <f>F694+G694</f>
        <v/>
      </c>
      <c r="I694" s="412" t="inlineStr">
        <is>
          <t>B2B</t>
        </is>
      </c>
    </row>
    <row r="695" ht="12" customHeight="1" s="253">
      <c r="A695" s="414" t="n">
        <v>45931</v>
      </c>
      <c r="B695" s="415" t="n">
        <v>45945</v>
      </c>
      <c r="C695" s="412" t="inlineStr">
        <is>
          <t>INV-25-26-000530</t>
        </is>
      </c>
      <c r="E695" s="412" t="inlineStr">
        <is>
          <t>Nyayosh Bharucha</t>
        </is>
      </c>
      <c r="F695" s="413" t="n">
        <v>4500</v>
      </c>
      <c r="G695" s="413">
        <f>F695*18%</f>
        <v/>
      </c>
      <c r="H695" s="413">
        <f>F695+G695</f>
        <v/>
      </c>
      <c r="I695" s="412" t="inlineStr">
        <is>
          <t>B2B</t>
        </is>
      </c>
    </row>
    <row r="696" ht="12" customHeight="1" s="253">
      <c r="A696" s="414" t="n">
        <v>45931</v>
      </c>
      <c r="B696" s="415" t="n">
        <v>45945</v>
      </c>
      <c r="C696" s="412" t="inlineStr">
        <is>
          <t>INV-25-26-000531</t>
        </is>
      </c>
      <c r="E696" s="412" t="inlineStr">
        <is>
          <t>Sahil Singh</t>
        </is>
      </c>
      <c r="F696" s="413" t="n">
        <v>4500</v>
      </c>
      <c r="G696" s="413">
        <f>F696*18%</f>
        <v/>
      </c>
      <c r="H696" s="413">
        <f>F696+G696</f>
        <v/>
      </c>
      <c r="I696" s="412" t="inlineStr">
        <is>
          <t>B2B</t>
        </is>
      </c>
    </row>
    <row r="697" ht="12" customHeight="1" s="253">
      <c r="A697" s="414" t="n">
        <v>45931</v>
      </c>
      <c r="B697" s="415" t="n">
        <v>45945</v>
      </c>
      <c r="C697" s="412" t="inlineStr">
        <is>
          <t>INV-25-26-000532</t>
        </is>
      </c>
      <c r="E697" s="412" t="inlineStr">
        <is>
          <t>Mohammed Moin</t>
        </is>
      </c>
      <c r="F697" s="413" t="n">
        <v>12500</v>
      </c>
      <c r="G697" s="413">
        <f>F697*18%</f>
        <v/>
      </c>
      <c r="H697" s="413">
        <f>F697+G697</f>
        <v/>
      </c>
      <c r="I697" s="412" t="inlineStr">
        <is>
          <t>B2B</t>
        </is>
      </c>
    </row>
    <row r="698" ht="12" customHeight="1" s="253">
      <c r="A698" s="414" t="n">
        <v>45931</v>
      </c>
      <c r="B698" s="415" t="n">
        <v>45945</v>
      </c>
      <c r="C698" s="412" t="inlineStr">
        <is>
          <t>INV-25-26-000533</t>
        </is>
      </c>
      <c r="E698" s="412" t="inlineStr">
        <is>
          <t>TLH, Advocates &amp; Solicitors</t>
        </is>
      </c>
      <c r="F698" s="413" t="n">
        <v>150000</v>
      </c>
      <c r="G698" s="413">
        <f>F698*18%</f>
        <v/>
      </c>
      <c r="H698" s="413">
        <f>F698+G698</f>
        <v/>
      </c>
      <c r="I698" s="412" t="inlineStr">
        <is>
          <t>B2B</t>
        </is>
      </c>
    </row>
    <row r="699" ht="12" customHeight="1" s="253">
      <c r="A699" s="414" t="n">
        <v>45931</v>
      </c>
      <c r="B699" s="415" t="n">
        <v>45945</v>
      </c>
      <c r="C699" s="412" t="inlineStr">
        <is>
          <t>INV-25-26-000533</t>
        </is>
      </c>
      <c r="E699" s="412" t="inlineStr">
        <is>
          <t>TLH, Advocates &amp; Solicitors</t>
        </is>
      </c>
      <c r="F699" s="413" t="n">
        <v>2708</v>
      </c>
      <c r="G699" s="413">
        <f>F699*18%</f>
        <v/>
      </c>
      <c r="H699" s="413">
        <f>F699+G699</f>
        <v/>
      </c>
      <c r="I699" s="412" t="inlineStr">
        <is>
          <t>B2B</t>
        </is>
      </c>
    </row>
    <row r="700" ht="12" customHeight="1" s="253">
      <c r="A700" s="414" t="n">
        <v>45931</v>
      </c>
      <c r="B700" s="415" t="n">
        <v>45945</v>
      </c>
      <c r="C700" s="412" t="inlineStr">
        <is>
          <t>INV-25-26-000534</t>
        </is>
      </c>
      <c r="E700" s="412" t="inlineStr">
        <is>
          <t>Veritas Legal Advocates and Solicitors</t>
        </is>
      </c>
      <c r="F700" s="413" t="n">
        <v>993600</v>
      </c>
      <c r="G700" s="413">
        <f>F700*18%</f>
        <v/>
      </c>
      <c r="H700" s="413">
        <f>F700+G700</f>
        <v/>
      </c>
      <c r="I700" s="412" t="inlineStr">
        <is>
          <t>B2B</t>
        </is>
      </c>
    </row>
    <row r="701" ht="12" customHeight="1" s="253">
      <c r="A701" s="414" t="n">
        <v>45931</v>
      </c>
      <c r="B701" s="415" t="n">
        <v>45945</v>
      </c>
      <c r="C701" s="412" t="inlineStr">
        <is>
          <t>INV-25-26-000535</t>
        </is>
      </c>
      <c r="E701" s="412" t="inlineStr">
        <is>
          <t>Amicus Lex &amp; Associates</t>
        </is>
      </c>
      <c r="F701" s="413" t="n">
        <v>8000</v>
      </c>
      <c r="G701" s="413">
        <f>F701*18%</f>
        <v/>
      </c>
      <c r="H701" s="413">
        <f>F701+G701</f>
        <v/>
      </c>
      <c r="I701" s="412" t="inlineStr">
        <is>
          <t>B2B</t>
        </is>
      </c>
    </row>
    <row r="702" ht="12" customHeight="1" s="253">
      <c r="A702" s="414" t="n">
        <v>45931</v>
      </c>
      <c r="B702" s="415" t="n">
        <v>45945</v>
      </c>
      <c r="C702" s="412" t="inlineStr">
        <is>
          <t>INV-25-26-000536</t>
        </is>
      </c>
      <c r="E702" s="412" t="inlineStr">
        <is>
          <t>Athena Legal</t>
        </is>
      </c>
      <c r="F702" s="413" t="n">
        <v>1015200</v>
      </c>
      <c r="G702" s="413">
        <f>F702*18%</f>
        <v/>
      </c>
      <c r="H702" s="413">
        <f>F702+G702</f>
        <v/>
      </c>
      <c r="I702" s="412" t="inlineStr">
        <is>
          <t>B2B</t>
        </is>
      </c>
    </row>
    <row r="703" ht="12" customHeight="1" s="253">
      <c r="A703" s="414" t="n">
        <v>45931</v>
      </c>
      <c r="B703" s="415" t="n">
        <v>45946</v>
      </c>
      <c r="C703" s="412" t="inlineStr">
        <is>
          <t>INV-25-26-000537</t>
        </is>
      </c>
      <c r="E703" s="412" t="inlineStr">
        <is>
          <t>Arvind Menon</t>
        </is>
      </c>
      <c r="F703" s="413" t="n">
        <v>4500</v>
      </c>
      <c r="G703" s="413">
        <f>F703*18%</f>
        <v/>
      </c>
      <c r="H703" s="413">
        <f>F703+G703</f>
        <v/>
      </c>
      <c r="I703" s="412" t="inlineStr">
        <is>
          <t>B2B</t>
        </is>
      </c>
    </row>
    <row r="704" ht="12" customHeight="1" s="253">
      <c r="A704" s="414" t="n">
        <v>45931</v>
      </c>
      <c r="B704" s="415" t="n">
        <v>45947</v>
      </c>
      <c r="C704" s="412" t="inlineStr">
        <is>
          <t>INV-25-26-000538</t>
        </is>
      </c>
      <c r="E704" s="412" t="inlineStr">
        <is>
          <t>Vardharma Chambers</t>
        </is>
      </c>
      <c r="F704" s="413" t="n">
        <v>30000</v>
      </c>
      <c r="G704" s="413">
        <f>F704*18%</f>
        <v/>
      </c>
      <c r="H704" s="413">
        <f>F704+G704</f>
        <v/>
      </c>
      <c r="I704" s="412" t="inlineStr">
        <is>
          <t>B2B</t>
        </is>
      </c>
    </row>
    <row r="705" ht="12" customHeight="1" s="253">
      <c r="A705" s="414" t="n">
        <v>45931</v>
      </c>
      <c r="B705" s="415" t="n">
        <v>45947</v>
      </c>
      <c r="C705" s="412" t="inlineStr">
        <is>
          <t>INV-25-26-000539</t>
        </is>
      </c>
      <c r="E705" s="412" t="inlineStr">
        <is>
          <t>GC Legal</t>
        </is>
      </c>
      <c r="F705" s="413" t="n">
        <v>7000</v>
      </c>
      <c r="G705" s="413">
        <f>F705*18%</f>
        <v/>
      </c>
      <c r="H705" s="413">
        <f>F705+G705</f>
        <v/>
      </c>
      <c r="I705" s="412" t="inlineStr">
        <is>
          <t>B2B</t>
        </is>
      </c>
    </row>
    <row r="706" ht="12" customHeight="1" s="253">
      <c r="A706" s="414" t="n">
        <v>45931</v>
      </c>
      <c r="B706" s="415" t="n">
        <v>45947</v>
      </c>
      <c r="C706" s="412" t="inlineStr">
        <is>
          <t>INV-25-26-000540</t>
        </is>
      </c>
      <c r="E706" s="412" t="inlineStr">
        <is>
          <t>Prateek Rath</t>
        </is>
      </c>
      <c r="F706" s="413" t="n">
        <v>5084.75</v>
      </c>
      <c r="G706" s="413">
        <f>F706*18%</f>
        <v/>
      </c>
      <c r="H706" s="413">
        <f>F706+G706</f>
        <v/>
      </c>
      <c r="I706" s="412" t="inlineStr">
        <is>
          <t>B2B</t>
        </is>
      </c>
    </row>
    <row r="707" ht="12" customHeight="1" s="253">
      <c r="A707" s="414" t="n">
        <v>45931</v>
      </c>
      <c r="B707" s="415" t="n">
        <v>45947</v>
      </c>
      <c r="C707" s="412" t="inlineStr">
        <is>
          <t>INV-25-26-000541</t>
        </is>
      </c>
      <c r="E707" s="412" t="inlineStr">
        <is>
          <t>Kaizen Law</t>
        </is>
      </c>
      <c r="F707" s="413" t="n">
        <v>300000</v>
      </c>
      <c r="G707" s="413">
        <f>F707*18%</f>
        <v/>
      </c>
      <c r="H707" s="413">
        <f>F707+G707</f>
        <v/>
      </c>
      <c r="I707" s="412" t="inlineStr">
        <is>
          <t>B2B</t>
        </is>
      </c>
    </row>
    <row r="708" ht="12" customHeight="1" s="253">
      <c r="A708" s="414" t="n">
        <v>45931</v>
      </c>
      <c r="B708" s="415" t="n">
        <v>45948</v>
      </c>
      <c r="C708" s="412" t="inlineStr">
        <is>
          <t>INV-25-26-000542</t>
        </is>
      </c>
      <c r="E708" s="412" t="inlineStr">
        <is>
          <t>Foresight Law Offices</t>
        </is>
      </c>
      <c r="F708" s="413" t="n">
        <v>28000</v>
      </c>
      <c r="G708" s="413">
        <f>F708*18%</f>
        <v/>
      </c>
      <c r="H708" s="413">
        <f>F708+G708</f>
        <v/>
      </c>
      <c r="I708" s="412" t="inlineStr">
        <is>
          <t>B2B</t>
        </is>
      </c>
    </row>
    <row r="709" ht="12" customHeight="1" s="253">
      <c r="A709" s="414" t="n">
        <v>45931</v>
      </c>
      <c r="B709" s="415" t="n">
        <v>45948</v>
      </c>
      <c r="C709" s="412" t="inlineStr">
        <is>
          <t>INV-25-26-000543</t>
        </is>
      </c>
      <c r="E709" s="412" t="inlineStr">
        <is>
          <t>Law office of Amrita Sarkar</t>
        </is>
      </c>
      <c r="F709" s="413" t="n">
        <v>5084.75</v>
      </c>
      <c r="G709" s="413">
        <f>F709*18%</f>
        <v/>
      </c>
      <c r="H709" s="413">
        <f>F709+G709</f>
        <v/>
      </c>
      <c r="I709" s="412" t="inlineStr">
        <is>
          <t>B2B</t>
        </is>
      </c>
    </row>
    <row r="710" ht="12" customHeight="1" s="253">
      <c r="A710" s="414" t="n">
        <v>45931</v>
      </c>
      <c r="B710" s="415" t="n">
        <v>45948</v>
      </c>
      <c r="C710" s="412" t="inlineStr">
        <is>
          <t>INV-25-26-000544</t>
        </is>
      </c>
      <c r="E710" s="412" t="inlineStr">
        <is>
          <t>Hamza mir</t>
        </is>
      </c>
      <c r="F710" s="413" t="n">
        <v>2500</v>
      </c>
      <c r="G710" s="413">
        <f>F710*18%</f>
        <v/>
      </c>
      <c r="H710" s="413">
        <f>F710+G710</f>
        <v/>
      </c>
      <c r="I710" s="412" t="inlineStr">
        <is>
          <t>B2B</t>
        </is>
      </c>
    </row>
    <row r="711" ht="12" customHeight="1" s="253">
      <c r="A711" s="414" t="n">
        <v>45931</v>
      </c>
      <c r="B711" s="415" t="n">
        <v>45948</v>
      </c>
      <c r="C711" s="412" t="inlineStr">
        <is>
          <t>INV-25-26-000545</t>
        </is>
      </c>
      <c r="E711" s="412" t="inlineStr">
        <is>
          <t>Vrinda Taneja</t>
        </is>
      </c>
      <c r="F711" s="413" t="n">
        <v>5084.75</v>
      </c>
      <c r="G711" s="413">
        <f>F711*18%</f>
        <v/>
      </c>
      <c r="H711" s="413">
        <f>F711+G711</f>
        <v/>
      </c>
      <c r="I711" s="412" t="inlineStr">
        <is>
          <t>B2B</t>
        </is>
      </c>
    </row>
    <row r="712" ht="12" customHeight="1" s="253">
      <c r="A712" s="414" t="n">
        <v>45931</v>
      </c>
      <c r="B712" s="415" t="n">
        <v>45949</v>
      </c>
      <c r="C712" s="412" t="inlineStr">
        <is>
          <t>INV-25-26-000546</t>
        </is>
      </c>
      <c r="E712" s="412" t="inlineStr">
        <is>
          <t>Gauri Puri</t>
        </is>
      </c>
      <c r="F712" s="413" t="n">
        <v>6000</v>
      </c>
      <c r="G712" s="413">
        <f>F712*18%</f>
        <v/>
      </c>
      <c r="H712" s="413">
        <f>F712+G712</f>
        <v/>
      </c>
      <c r="I712" s="412" t="inlineStr">
        <is>
          <t>B2B</t>
        </is>
      </c>
    </row>
    <row r="713" ht="12" customHeight="1" s="253">
      <c r="A713" s="414" t="n">
        <v>45931</v>
      </c>
      <c r="B713" s="415" t="n">
        <v>45949</v>
      </c>
      <c r="C713" s="412" t="inlineStr">
        <is>
          <t>INV-25-26-000547</t>
        </is>
      </c>
      <c r="E713" s="412" t="inlineStr">
        <is>
          <t>Amit Bhagat</t>
        </is>
      </c>
      <c r="F713" s="413" t="n">
        <v>5000</v>
      </c>
      <c r="G713" s="413">
        <f>F713*18%</f>
        <v/>
      </c>
      <c r="H713" s="413">
        <f>F713+G713</f>
        <v/>
      </c>
      <c r="I713" s="412" t="inlineStr">
        <is>
          <t>B2B</t>
        </is>
      </c>
    </row>
    <row r="714" ht="12" customHeight="1" s="253">
      <c r="A714" s="414" t="n">
        <v>45931</v>
      </c>
      <c r="B714" s="415" t="n">
        <v>45950</v>
      </c>
      <c r="C714" s="412" t="inlineStr">
        <is>
          <t>INV-25-26-000548</t>
        </is>
      </c>
      <c r="E714" s="412" t="inlineStr">
        <is>
          <t>Kunal Vaishnav</t>
        </is>
      </c>
      <c r="F714" s="413" t="n">
        <v>5084.75</v>
      </c>
      <c r="G714" s="413">
        <f>F714*18%</f>
        <v/>
      </c>
      <c r="H714" s="413">
        <f>F714+G714</f>
        <v/>
      </c>
      <c r="I714" s="412" t="inlineStr">
        <is>
          <t>B2B</t>
        </is>
      </c>
    </row>
    <row r="715" ht="12" customHeight="1" s="253">
      <c r="A715" s="414" t="n">
        <v>45931</v>
      </c>
      <c r="B715" s="415" t="n">
        <v>45951</v>
      </c>
      <c r="C715" s="412" t="inlineStr">
        <is>
          <t>INV-25-26-000549</t>
        </is>
      </c>
      <c r="E715" s="412" t="inlineStr">
        <is>
          <t>B2C</t>
        </is>
      </c>
      <c r="F715" s="413" t="n">
        <v>2117.8</v>
      </c>
      <c r="G715" s="413">
        <f>F715*18%</f>
        <v/>
      </c>
      <c r="H715" s="413">
        <f>F715+G715</f>
        <v/>
      </c>
      <c r="I715" s="412" t="inlineStr">
        <is>
          <t>B2C</t>
        </is>
      </c>
    </row>
    <row r="716" ht="12" customHeight="1" s="253">
      <c r="A716" s="414" t="n">
        <v>45931</v>
      </c>
      <c r="B716" s="415" t="n">
        <v>45951</v>
      </c>
      <c r="C716" s="412" t="inlineStr">
        <is>
          <t>INV-25-26-000550</t>
        </is>
      </c>
      <c r="E716" s="412" t="inlineStr">
        <is>
          <t>Sarthak Advocates &amp; Solicitors</t>
        </is>
      </c>
      <c r="F716" s="413" t="n">
        <v>29166.1</v>
      </c>
      <c r="G716" s="413">
        <f>F716*18%</f>
        <v/>
      </c>
      <c r="H716" s="413">
        <f>F716+G716</f>
        <v/>
      </c>
      <c r="I716" s="412" t="inlineStr">
        <is>
          <t>B2B</t>
        </is>
      </c>
    </row>
    <row r="717" ht="12" customHeight="1" s="253">
      <c r="A717" s="414" t="n">
        <v>45931</v>
      </c>
      <c r="B717" s="415" t="n">
        <v>45952</v>
      </c>
      <c r="C717" s="412" t="inlineStr">
        <is>
          <t>INV-25-26-000551</t>
        </is>
      </c>
      <c r="E717" s="412" t="inlineStr">
        <is>
          <t>Swapna Sheshadri</t>
        </is>
      </c>
      <c r="F717" s="413" t="n">
        <v>15000</v>
      </c>
      <c r="G717" s="413">
        <f>F717*18%</f>
        <v/>
      </c>
      <c r="H717" s="413">
        <f>F717+G717</f>
        <v/>
      </c>
      <c r="I717" s="412" t="inlineStr">
        <is>
          <t>B2B</t>
        </is>
      </c>
    </row>
    <row r="718" ht="12" customHeight="1" s="253">
      <c r="A718" s="414" t="n">
        <v>45931</v>
      </c>
      <c r="B718" s="415" t="n">
        <v>45953</v>
      </c>
      <c r="C718" s="412" t="inlineStr">
        <is>
          <t>INV-25-26-000552</t>
        </is>
      </c>
      <c r="E718" s="412" t="inlineStr">
        <is>
          <t>Precinct Legal</t>
        </is>
      </c>
      <c r="F718" s="413" t="n">
        <v>180000</v>
      </c>
      <c r="G718" s="413">
        <f>F718*18%</f>
        <v/>
      </c>
      <c r="H718" s="413">
        <f>F718+G718</f>
        <v/>
      </c>
      <c r="I718" s="412" t="inlineStr">
        <is>
          <t>B2B</t>
        </is>
      </c>
    </row>
    <row r="719" ht="12" customHeight="1" s="253">
      <c r="A719" s="414" t="n">
        <v>45931</v>
      </c>
      <c r="B719" s="415" t="n">
        <v>45953</v>
      </c>
      <c r="C719" s="412" t="inlineStr">
        <is>
          <t>INV-25-26-000553</t>
        </is>
      </c>
      <c r="E719" s="412" t="inlineStr">
        <is>
          <t>Major Nirvikar Singh (Retd.)</t>
        </is>
      </c>
      <c r="F719" s="413" t="n">
        <v>8000</v>
      </c>
      <c r="G719" s="413">
        <f>F719*18%</f>
        <v/>
      </c>
      <c r="H719" s="413">
        <f>F719+G719</f>
        <v/>
      </c>
      <c r="I719" s="412" t="inlineStr">
        <is>
          <t>B2B</t>
        </is>
      </c>
    </row>
    <row r="720" ht="12" customHeight="1" s="253">
      <c r="A720" s="414" t="n">
        <v>45931</v>
      </c>
      <c r="B720" s="415" t="n">
        <v>45954</v>
      </c>
      <c r="C720" s="412" t="inlineStr">
        <is>
          <t>INV-25-26-000554</t>
        </is>
      </c>
      <c r="E720" s="412" t="inlineStr">
        <is>
          <t>Dhru &amp; Co</t>
        </is>
      </c>
      <c r="F720" s="413" t="n">
        <v>120000</v>
      </c>
      <c r="G720" s="413">
        <f>F720*18%</f>
        <v/>
      </c>
      <c r="H720" s="413">
        <f>F720+G720</f>
        <v/>
      </c>
      <c r="I720" s="412" t="inlineStr">
        <is>
          <t>B2B</t>
        </is>
      </c>
    </row>
    <row r="721" ht="12" customHeight="1" s="253">
      <c r="A721" s="414" t="n">
        <v>45931</v>
      </c>
      <c r="B721" s="415" t="n">
        <v>45954</v>
      </c>
      <c r="C721" s="412" t="inlineStr">
        <is>
          <t>INV-25-26-000555</t>
        </is>
      </c>
      <c r="E721" s="412" t="inlineStr">
        <is>
          <t>Adarsh Ramakrishnan</t>
        </is>
      </c>
      <c r="F721" s="413" t="n">
        <v>10970.69</v>
      </c>
      <c r="G721" s="413">
        <f>F721*18%</f>
        <v/>
      </c>
      <c r="H721" s="413">
        <f>F721+G721</f>
        <v/>
      </c>
      <c r="I721" s="412" t="inlineStr">
        <is>
          <t>B2B</t>
        </is>
      </c>
    </row>
    <row r="722" ht="12" customHeight="1" s="253">
      <c r="A722" s="414" t="n">
        <v>45931</v>
      </c>
      <c r="B722" s="415" t="n">
        <v>45954</v>
      </c>
      <c r="C722" s="412" t="inlineStr">
        <is>
          <t>INV-25-26-000556</t>
        </is>
      </c>
      <c r="E722" s="412" t="inlineStr">
        <is>
          <t>Sandip Agarwal and Co.</t>
        </is>
      </c>
      <c r="F722" s="413" t="n">
        <v>60169.49</v>
      </c>
      <c r="G722" s="413">
        <f>F722*18%</f>
        <v/>
      </c>
      <c r="H722" s="413">
        <f>F722+G722</f>
        <v/>
      </c>
      <c r="I722" s="412" t="inlineStr">
        <is>
          <t>B2B</t>
        </is>
      </c>
    </row>
    <row r="723" ht="12" customHeight="1" s="253">
      <c r="A723" s="414" t="n">
        <v>45931</v>
      </c>
      <c r="B723" s="415" t="n">
        <v>45955</v>
      </c>
      <c r="C723" s="412" t="inlineStr">
        <is>
          <t>INV-25-26-000557</t>
        </is>
      </c>
      <c r="E723" s="412" t="inlineStr">
        <is>
          <t>S Arjun Suresh</t>
        </is>
      </c>
      <c r="F723" s="413" t="n">
        <v>6779.66</v>
      </c>
      <c r="G723" s="413">
        <f>F723*18%</f>
        <v/>
      </c>
      <c r="H723" s="413">
        <f>F723+G723</f>
        <v/>
      </c>
      <c r="I723" s="412" t="inlineStr">
        <is>
          <t>B2B</t>
        </is>
      </c>
    </row>
    <row r="724" ht="12" customHeight="1" s="253">
      <c r="A724" s="414" t="n">
        <v>45931</v>
      </c>
      <c r="B724" s="415" t="n">
        <v>45956</v>
      </c>
      <c r="C724" s="412" t="inlineStr">
        <is>
          <t>INV-25-26-000558</t>
        </is>
      </c>
      <c r="E724" s="412" t="inlineStr">
        <is>
          <t>Pratik Patnaik</t>
        </is>
      </c>
      <c r="F724" s="413" t="n">
        <v>12000</v>
      </c>
      <c r="G724" s="413">
        <f>F724*18%</f>
        <v/>
      </c>
      <c r="H724" s="413">
        <f>F724+G724</f>
        <v/>
      </c>
      <c r="I724" s="412" t="inlineStr">
        <is>
          <t>B2B</t>
        </is>
      </c>
    </row>
    <row r="725" ht="12" customHeight="1" s="253">
      <c r="A725" s="414" t="n">
        <v>45931</v>
      </c>
      <c r="B725" s="415" t="n">
        <v>45957</v>
      </c>
      <c r="C725" s="412" t="inlineStr">
        <is>
          <t>INV-25-26-000559</t>
        </is>
      </c>
      <c r="E725" s="412" t="inlineStr">
        <is>
          <t>Vinayak Sharma</t>
        </is>
      </c>
      <c r="F725" s="413" t="n">
        <v>29661.02</v>
      </c>
      <c r="G725" s="413">
        <f>F725*18%</f>
        <v/>
      </c>
      <c r="H725" s="413">
        <f>F725+G725</f>
        <v/>
      </c>
      <c r="I725" s="412" t="inlineStr">
        <is>
          <t>B2B</t>
        </is>
      </c>
    </row>
    <row r="726" ht="12" customHeight="1" s="253">
      <c r="A726" s="414" t="n">
        <v>45931</v>
      </c>
      <c r="B726" s="415" t="n">
        <v>45957</v>
      </c>
      <c r="C726" s="412" t="inlineStr">
        <is>
          <t>INV-25-26-000560</t>
        </is>
      </c>
      <c r="E726" s="412" t="inlineStr">
        <is>
          <t>Rohit Sharma</t>
        </is>
      </c>
      <c r="F726" s="413" t="n">
        <v>10000</v>
      </c>
      <c r="G726" s="413">
        <f>F726*18%</f>
        <v/>
      </c>
      <c r="H726" s="413">
        <f>F726+G726</f>
        <v/>
      </c>
      <c r="I726" s="412" t="inlineStr">
        <is>
          <t>B2B</t>
        </is>
      </c>
    </row>
    <row r="727" ht="12" customHeight="1" s="253">
      <c r="A727" s="414" t="n">
        <v>45931</v>
      </c>
      <c r="B727" s="415" t="n">
        <v>45957</v>
      </c>
      <c r="C727" s="412" t="inlineStr">
        <is>
          <t>INV-25-26-000561</t>
        </is>
      </c>
      <c r="E727" s="412" t="inlineStr">
        <is>
          <t>Khaitan Legal Associates</t>
        </is>
      </c>
      <c r="F727" s="413" t="n">
        <v>13200</v>
      </c>
      <c r="G727" s="413">
        <f>F727*18%</f>
        <v/>
      </c>
      <c r="H727" s="413">
        <f>F727+G727</f>
        <v/>
      </c>
      <c r="I727" s="412" t="inlineStr">
        <is>
          <t>B2B</t>
        </is>
      </c>
    </row>
    <row r="728" ht="12" customHeight="1" s="253">
      <c r="A728" s="414" t="n">
        <v>45931</v>
      </c>
      <c r="B728" s="415" t="n">
        <v>45958</v>
      </c>
      <c r="C728" s="412" t="inlineStr">
        <is>
          <t>INV-25-26-000562</t>
        </is>
      </c>
      <c r="E728" s="412" t="inlineStr">
        <is>
          <t>Lighthouse Legal</t>
        </is>
      </c>
      <c r="F728" s="413" t="n">
        <v>63000</v>
      </c>
      <c r="G728" s="413">
        <f>F728*18%</f>
        <v/>
      </c>
      <c r="H728" s="413">
        <f>F728+G728</f>
        <v/>
      </c>
      <c r="I728" s="412" t="inlineStr">
        <is>
          <t>B2B</t>
        </is>
      </c>
    </row>
    <row r="729" ht="12" customHeight="1" s="253">
      <c r="A729" s="414" t="n">
        <v>45931</v>
      </c>
      <c r="B729" s="415" t="n">
        <v>45958</v>
      </c>
      <c r="C729" s="412" t="inlineStr">
        <is>
          <t>INV-25-26-000563</t>
        </is>
      </c>
      <c r="E729" s="412" t="inlineStr">
        <is>
          <t>AL- Fanar Closed Joint Stock Company</t>
        </is>
      </c>
      <c r="F729" s="413" t="n">
        <v>35313.85</v>
      </c>
      <c r="G729" s="413">
        <f>F729*18%</f>
        <v/>
      </c>
      <c r="H729" s="413">
        <f>F729+G729</f>
        <v/>
      </c>
      <c r="I729" s="412" t="inlineStr">
        <is>
          <t>B2B</t>
        </is>
      </c>
    </row>
    <row r="730" ht="12" customHeight="1" s="253">
      <c r="A730" s="414" t="n">
        <v>45931</v>
      </c>
      <c r="B730" s="415" t="n">
        <v>45959</v>
      </c>
      <c r="C730" s="412" t="inlineStr">
        <is>
          <t>INV-25-26-000564</t>
        </is>
      </c>
      <c r="E730" s="412" t="inlineStr">
        <is>
          <t>Srivastava &amp; Company</t>
        </is>
      </c>
      <c r="F730" s="413" t="n">
        <v>33898.4</v>
      </c>
      <c r="G730" s="413">
        <f>F730*18%</f>
        <v/>
      </c>
      <c r="H730" s="413">
        <f>F730+G730</f>
        <v/>
      </c>
      <c r="I730" s="412" t="inlineStr">
        <is>
          <t>B2B</t>
        </is>
      </c>
    </row>
    <row r="731" ht="12" customHeight="1" s="253">
      <c r="A731" s="414" t="n">
        <v>45931</v>
      </c>
      <c r="B731" s="415" t="n">
        <v>45959</v>
      </c>
      <c r="C731" s="412" t="inlineStr">
        <is>
          <t>INV-25-26-000565</t>
        </is>
      </c>
      <c r="E731" s="412" t="inlineStr">
        <is>
          <t>B2C</t>
        </is>
      </c>
      <c r="F731" s="413" t="n">
        <v>7199.16</v>
      </c>
      <c r="G731" s="413">
        <f>F731*18%</f>
        <v/>
      </c>
      <c r="H731" s="413">
        <f>F731+G731</f>
        <v/>
      </c>
      <c r="I731" s="412" t="inlineStr">
        <is>
          <t>B2C</t>
        </is>
      </c>
    </row>
    <row r="732" ht="12" customHeight="1" s="253">
      <c r="A732" s="414" t="n">
        <v>45931</v>
      </c>
      <c r="B732" s="415" t="n">
        <v>45959</v>
      </c>
      <c r="C732" s="412" t="inlineStr">
        <is>
          <t>INV-25-26-000566</t>
        </is>
      </c>
      <c r="E732" s="412" t="inlineStr">
        <is>
          <t>Kochhar &amp; Co.</t>
        </is>
      </c>
      <c r="F732" s="413" t="n">
        <v>6000</v>
      </c>
      <c r="G732" s="413">
        <f>F732*18%</f>
        <v/>
      </c>
      <c r="H732" s="413">
        <f>F732+G732</f>
        <v/>
      </c>
      <c r="I732" s="412" t="inlineStr">
        <is>
          <t>B2B</t>
        </is>
      </c>
    </row>
    <row r="733" ht="12" customHeight="1" s="253">
      <c r="A733" s="414" t="n">
        <v>45931</v>
      </c>
      <c r="B733" s="415" t="n">
        <v>45960</v>
      </c>
      <c r="C733" s="412" t="inlineStr">
        <is>
          <t>INV-25-26-000567</t>
        </is>
      </c>
      <c r="E733" s="412" t="inlineStr">
        <is>
          <t>Diya Kapur</t>
        </is>
      </c>
      <c r="F733" s="413" t="n">
        <v>7000</v>
      </c>
      <c r="G733" s="413">
        <f>F733*18%</f>
        <v/>
      </c>
      <c r="H733" s="413">
        <f>F733+G733</f>
        <v/>
      </c>
      <c r="I733" s="412" t="inlineStr">
        <is>
          <t>B2B</t>
        </is>
      </c>
    </row>
    <row r="734" ht="12" customHeight="1" s="253">
      <c r="A734" s="414" t="n">
        <v>45931</v>
      </c>
      <c r="B734" s="415" t="n">
        <v>45960</v>
      </c>
      <c r="C734" s="412" t="inlineStr">
        <is>
          <t>INV-25-26-000568</t>
        </is>
      </c>
      <c r="E734" s="412" t="inlineStr">
        <is>
          <t>Shamik Sanjanwala</t>
        </is>
      </c>
      <c r="F734" s="413" t="n">
        <v>35000</v>
      </c>
      <c r="G734" s="413">
        <f>F734*18%</f>
        <v/>
      </c>
      <c r="H734" s="413">
        <f>F734+G734</f>
        <v/>
      </c>
      <c r="I734" s="412" t="inlineStr">
        <is>
          <t>B2B</t>
        </is>
      </c>
    </row>
    <row r="735" ht="12" customHeight="1" s="253">
      <c r="A735" s="414" t="n">
        <v>45931</v>
      </c>
      <c r="B735" s="415" t="n">
        <v>45960</v>
      </c>
      <c r="C735" s="412" t="inlineStr">
        <is>
          <t>INV-25-26-000569</t>
        </is>
      </c>
      <c r="E735" s="412" t="inlineStr">
        <is>
          <t>Udai V. S. Rathore</t>
        </is>
      </c>
      <c r="F735" s="413" t="n">
        <v>200</v>
      </c>
      <c r="G735" s="413">
        <f>F735*18%</f>
        <v/>
      </c>
      <c r="H735" s="413">
        <f>F735+G735</f>
        <v/>
      </c>
      <c r="I735" s="412" t="inlineStr">
        <is>
          <t>B2B</t>
        </is>
      </c>
    </row>
    <row r="736" ht="12" customHeight="1" s="253">
      <c r="A736" s="414" t="n">
        <v>45931</v>
      </c>
      <c r="B736" s="415" t="n">
        <v>45960</v>
      </c>
      <c r="C736" s="412" t="inlineStr">
        <is>
          <t>INV-25-26-000570</t>
        </is>
      </c>
      <c r="E736" s="412" t="inlineStr">
        <is>
          <t>K R Prasad Advocates</t>
        </is>
      </c>
      <c r="F736" s="413" t="n">
        <v>70000</v>
      </c>
      <c r="G736" s="413">
        <f>F736*18%</f>
        <v/>
      </c>
      <c r="H736" s="413">
        <f>F736+G736</f>
        <v/>
      </c>
      <c r="I736" s="412" t="inlineStr">
        <is>
          <t>B2B</t>
        </is>
      </c>
    </row>
    <row r="737" ht="12" customHeight="1" s="253">
      <c r="A737" s="414" t="n">
        <v>45931</v>
      </c>
      <c r="B737" s="415" t="n">
        <v>45960</v>
      </c>
      <c r="C737" s="412" t="inlineStr">
        <is>
          <t>INV-25-26-000571</t>
        </is>
      </c>
      <c r="E737" s="412" t="inlineStr">
        <is>
          <t>Optimus Legal</t>
        </is>
      </c>
      <c r="F737" s="413" t="n">
        <v>21186.44</v>
      </c>
      <c r="G737" s="413">
        <f>F737*18%</f>
        <v/>
      </c>
      <c r="H737" s="413">
        <f>F737+G737</f>
        <v/>
      </c>
      <c r="I737" s="412" t="inlineStr">
        <is>
          <t>B2B</t>
        </is>
      </c>
    </row>
    <row r="738" ht="12" customHeight="1" s="253">
      <c r="A738" s="414" t="n">
        <v>45931</v>
      </c>
      <c r="B738" s="415" t="n">
        <v>45961</v>
      </c>
      <c r="C738" s="412" t="inlineStr">
        <is>
          <t>INV-25-26-000572</t>
        </is>
      </c>
      <c r="E738" s="412" t="inlineStr">
        <is>
          <t>Vidhittas Legal</t>
        </is>
      </c>
      <c r="F738" s="413" t="n">
        <v>100002</v>
      </c>
      <c r="G738" s="413">
        <f>F738*18%</f>
        <v/>
      </c>
      <c r="H738" s="413">
        <f>F738+G738</f>
        <v/>
      </c>
      <c r="I738" s="412" t="inlineStr">
        <is>
          <t>B2B</t>
        </is>
      </c>
    </row>
    <row r="739" ht="12" customHeight="1" s="253">
      <c r="A739" s="414" t="n">
        <v>45931</v>
      </c>
      <c r="B739" s="415" t="n">
        <v>45961</v>
      </c>
      <c r="C739" s="412" t="inlineStr">
        <is>
          <t>INV-25-26-000573</t>
        </is>
      </c>
      <c r="E739" s="412" t="inlineStr">
        <is>
          <t>Solicitors India Law Offices</t>
        </is>
      </c>
      <c r="F739" s="413" t="n">
        <v>8000</v>
      </c>
      <c r="G739" s="413">
        <f>F739*18%</f>
        <v/>
      </c>
      <c r="H739" s="413">
        <f>F739+G739</f>
        <v/>
      </c>
      <c r="I739" s="412" t="inlineStr">
        <is>
          <t>B2B</t>
        </is>
      </c>
    </row>
    <row r="740" ht="12" customHeight="1" s="253">
      <c r="A740" s="414" t="n">
        <v>45931</v>
      </c>
      <c r="B740" s="415" t="n">
        <v>45961</v>
      </c>
      <c r="C740" s="412" t="inlineStr">
        <is>
          <t>INV-25-26-000574</t>
        </is>
      </c>
      <c r="E740" s="412" t="inlineStr">
        <is>
          <t>Jani &amp; Parikh, Advocates and Solicitors</t>
        </is>
      </c>
      <c r="F740" s="413" t="n">
        <v>18000</v>
      </c>
      <c r="G740" s="413">
        <f>F740*18%</f>
        <v/>
      </c>
      <c r="H740" s="413">
        <f>F740+G740</f>
        <v/>
      </c>
      <c r="I740" s="412" t="inlineStr">
        <is>
          <t>B2B</t>
        </is>
      </c>
    </row>
    <row r="741" ht="12" customHeight="1" s="253">
      <c r="A741" s="414" t="n">
        <v>45931</v>
      </c>
      <c r="B741" s="415" t="n">
        <v>45961</v>
      </c>
      <c r="C741" s="412" t="inlineStr">
        <is>
          <t>INV-25-26-000575</t>
        </is>
      </c>
      <c r="E741" s="412" t="inlineStr">
        <is>
          <t>Siddhant Makkar</t>
        </is>
      </c>
      <c r="F741" s="413" t="n">
        <v>4237.29</v>
      </c>
      <c r="G741" s="413">
        <f>F741*18%</f>
        <v/>
      </c>
      <c r="H741" s="413">
        <f>F741+G741</f>
        <v/>
      </c>
      <c r="I741" s="412" t="inlineStr">
        <is>
          <t>B2B</t>
        </is>
      </c>
    </row>
    <row r="742" ht="12" customHeight="1" s="253">
      <c r="A742" s="414" t="n">
        <v>45931</v>
      </c>
      <c r="B742" s="415" t="n">
        <v>45961</v>
      </c>
      <c r="C742" s="412" t="inlineStr">
        <is>
          <t>INV-25-26-000576</t>
        </is>
      </c>
      <c r="E742" s="412" t="inlineStr">
        <is>
          <t>Astik Vaid</t>
        </is>
      </c>
      <c r="F742" s="413" t="n">
        <v>6779.66</v>
      </c>
      <c r="G742" s="413">
        <f>F742*18%</f>
        <v/>
      </c>
      <c r="H742" s="413">
        <f>F742+G742</f>
        <v/>
      </c>
      <c r="I742" s="412" t="inlineStr">
        <is>
          <t>B2B</t>
        </is>
      </c>
    </row>
    <row r="743" ht="12" customHeight="1" s="253">
      <c r="A743" s="414" t="n">
        <v>45931</v>
      </c>
      <c r="B743" s="415" t="n">
        <v>45961</v>
      </c>
      <c r="C743" s="412" t="inlineStr">
        <is>
          <t>INV-25-26-000577</t>
        </is>
      </c>
      <c r="E743" s="412" t="inlineStr">
        <is>
          <t>Anand and Anand</t>
        </is>
      </c>
      <c r="F743" s="413" t="n">
        <v>37500</v>
      </c>
      <c r="G743" s="413">
        <f>F743*18%</f>
        <v/>
      </c>
      <c r="H743" s="413">
        <f>F743+G743</f>
        <v/>
      </c>
      <c r="I743" s="412" t="inlineStr">
        <is>
          <t>B2B</t>
        </is>
      </c>
    </row>
    <row r="744" ht="12" customHeight="1" s="253">
      <c r="A744" s="414" t="n">
        <v>45931</v>
      </c>
      <c r="B744" s="415" t="n">
        <v>45957</v>
      </c>
      <c r="C744" s="412" t="inlineStr">
        <is>
          <t>CN-00036</t>
        </is>
      </c>
      <c r="E744" s="412" t="inlineStr">
        <is>
          <t>Rohit Sharma</t>
        </is>
      </c>
      <c r="F744" s="413" t="n">
        <v>-84000</v>
      </c>
      <c r="G744" s="413">
        <f>F744*18%</f>
        <v/>
      </c>
      <c r="H744" s="413">
        <f>F744+G744</f>
        <v/>
      </c>
      <c r="I744" s="412" t="inlineStr">
        <is>
          <t>B2B</t>
        </is>
      </c>
    </row>
    <row r="745" ht="12" customHeight="1" s="253">
      <c r="A745" s="414" t="n">
        <v>45931</v>
      </c>
      <c r="B745" s="415" t="n">
        <v>45961</v>
      </c>
      <c r="C745" s="412" t="inlineStr">
        <is>
          <t>CN-00037</t>
        </is>
      </c>
      <c r="E745" s="412" t="inlineStr">
        <is>
          <t>Vesta Legal</t>
        </is>
      </c>
      <c r="F745" s="413" t="n">
        <v>-92540</v>
      </c>
      <c r="G745" s="413">
        <f>F745*18%</f>
        <v/>
      </c>
      <c r="H745" s="413">
        <f>F745+G745</f>
        <v/>
      </c>
      <c r="I745" s="412" t="inlineStr">
        <is>
          <t>B2B</t>
        </is>
      </c>
    </row>
  </sheetData>
  <autoFilter ref="A3:I745"/>
  <conditionalFormatting sqref="E557:E558">
    <cfRule type="duplicateValues" rank="0" priority="2" equalAverage="0" aboveAverage="0" dxfId="9" text="" percent="0" bottom="0"/>
  </conditionalFormatting>
  <conditionalFormatting sqref="E557:E559">
    <cfRule type="duplicateValues" rank="0" priority="3" equalAverage="0" aboveAverage="0" dxfId="9" text="" percent="0" bottom="0"/>
  </conditionalFormatting>
  <conditionalFormatting sqref="E557 E559">
    <cfRule type="duplicateValues" rank="0" priority="4" equalAverage="0" aboveAverage="0" dxfId="9" text="" percent="0" bottom="0"/>
    <cfRule type="duplicateValues" rank="0" priority="5" equalAverage="0" aboveAverage="0" dxfId="9" text="" percent="0" bottom="0"/>
    <cfRule type="duplicateValues" rank="0" priority="6" equalAverage="0" aboveAverage="0" dxfId="9" text="" percent="0" bottom="0"/>
  </conditionalFormatting>
  <conditionalFormatting sqref="E1:E308 E376:E556 E561:E1048576">
    <cfRule type="duplicateValues" rank="0" priority="7" equalAverage="0" aboveAverage="0" dxfId="9" text="" percent="0" bottom="0"/>
  </conditionalFormatting>
  <conditionalFormatting sqref="E56:E83">
    <cfRule type="duplicateValues" rank="0" priority="8" equalAverage="0" aboveAverage="0" dxfId="9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T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0390625" defaultRowHeight="13.5" zeroHeight="0" outlineLevelRow="0"/>
  <cols>
    <col width="28.54" customWidth="1" style="464" min="1" max="1"/>
    <col width="31.09" customWidth="1" style="464" min="2" max="2"/>
    <col width="19.54" customWidth="1" style="464" min="3" max="3"/>
    <col hidden="1" width="19.54" customWidth="1" style="464" min="4" max="26"/>
    <col width="19.54" customWidth="1" style="464" min="27" max="37"/>
    <col hidden="1" width="19.54" customWidth="1" style="464" min="38" max="55"/>
    <col width="19.54" customWidth="1" style="464" min="56" max="56"/>
    <col width="52.09" customWidth="1" style="464" min="57" max="57"/>
    <col width="19.54" customWidth="1" style="464" min="58" max="456"/>
    <col width="9" customWidth="1" style="464" min="457" max="16384"/>
  </cols>
  <sheetData>
    <row r="1" ht="13.5" customHeight="1" s="253">
      <c r="A1" s="465" t="inlineStr">
        <is>
          <t>Invoice Date</t>
        </is>
      </c>
      <c r="B1" s="465" t="inlineStr">
        <is>
          <t>Invoice ID</t>
        </is>
      </c>
      <c r="C1" s="465" t="inlineStr">
        <is>
          <t>Invoice Number</t>
        </is>
      </c>
      <c r="D1" s="465" t="inlineStr">
        <is>
          <t>Invoice Status</t>
        </is>
      </c>
      <c r="E1" s="465" t="inlineStr">
        <is>
          <t>Customer ID</t>
        </is>
      </c>
      <c r="F1" s="465" t="inlineStr">
        <is>
          <t>Customer Name</t>
        </is>
      </c>
      <c r="G1" s="465" t="inlineStr">
        <is>
          <t>Place of Supply</t>
        </is>
      </c>
      <c r="H1" s="465" t="inlineStr">
        <is>
          <t>Place of Supply(With State Code)</t>
        </is>
      </c>
      <c r="I1" s="465" t="inlineStr">
        <is>
          <t>GST Treatment</t>
        </is>
      </c>
      <c r="J1" s="465" t="inlineStr">
        <is>
          <t>Is Inclusive Tax</t>
        </is>
      </c>
      <c r="K1" s="465" t="inlineStr">
        <is>
          <t>Due Date</t>
        </is>
      </c>
      <c r="L1" s="465" t="inlineStr">
        <is>
          <t>PurchaseOrder</t>
        </is>
      </c>
      <c r="M1" s="465" t="inlineStr">
        <is>
          <t>Currency Code</t>
        </is>
      </c>
      <c r="N1" s="465" t="inlineStr">
        <is>
          <t>Exchange Rate</t>
        </is>
      </c>
      <c r="O1" s="465" t="inlineStr">
        <is>
          <t>Discount Type</t>
        </is>
      </c>
      <c r="P1" s="465" t="inlineStr">
        <is>
          <t>Is Discount Before Tax</t>
        </is>
      </c>
      <c r="Q1" s="465" t="inlineStr">
        <is>
          <t>Template Name</t>
        </is>
      </c>
      <c r="R1" s="465" t="inlineStr">
        <is>
          <t>Entity Discount Percent</t>
        </is>
      </c>
      <c r="S1" s="465" t="inlineStr">
        <is>
          <t>TCS Tax Name</t>
        </is>
      </c>
      <c r="T1" s="465" t="inlineStr">
        <is>
          <t>TCS Percentage</t>
        </is>
      </c>
      <c r="U1" s="465" t="inlineStr">
        <is>
          <t>TDS Calculation Type</t>
        </is>
      </c>
      <c r="V1" s="465" t="inlineStr">
        <is>
          <t>TDS Name</t>
        </is>
      </c>
      <c r="W1" s="465" t="inlineStr">
        <is>
          <t>TDS Percentage</t>
        </is>
      </c>
      <c r="X1" s="465" t="inlineStr">
        <is>
          <t>TDS Section Code</t>
        </is>
      </c>
      <c r="Y1" s="465" t="inlineStr">
        <is>
          <t>TDS Section</t>
        </is>
      </c>
      <c r="Z1" s="465" t="inlineStr">
        <is>
          <t>TDS Amount</t>
        </is>
      </c>
      <c r="AA1" s="465" t="inlineStr">
        <is>
          <t>SubTotal</t>
        </is>
      </c>
      <c r="AB1" s="465" t="inlineStr">
        <is>
          <t>Total</t>
        </is>
      </c>
      <c r="AC1" s="465" t="inlineStr">
        <is>
          <t>Balance</t>
        </is>
      </c>
      <c r="AD1" s="465" t="inlineStr">
        <is>
          <t>Adjustment</t>
        </is>
      </c>
      <c r="AE1" s="465" t="inlineStr">
        <is>
          <t>Adjustment Description</t>
        </is>
      </c>
      <c r="AF1" s="465" t="inlineStr">
        <is>
          <t>Expected Payment Date</t>
        </is>
      </c>
      <c r="AG1" s="465" t="inlineStr">
        <is>
          <t>Last Payment Date</t>
        </is>
      </c>
      <c r="AH1" s="465" t="inlineStr">
        <is>
          <t>Payment Terms</t>
        </is>
      </c>
      <c r="AI1" s="465" t="inlineStr">
        <is>
          <t>Payment Terms Label</t>
        </is>
      </c>
      <c r="AJ1" s="465" t="inlineStr">
        <is>
          <t>Notes</t>
        </is>
      </c>
      <c r="AK1" s="465" t="inlineStr">
        <is>
          <t>Terms &amp; Conditions</t>
        </is>
      </c>
      <c r="AL1" s="465" t="inlineStr">
        <is>
          <t>E-WayBill Number</t>
        </is>
      </c>
      <c r="AM1" s="465" t="inlineStr">
        <is>
          <t>E-WayBill Generated Time</t>
        </is>
      </c>
      <c r="AN1" s="465" t="inlineStr">
        <is>
          <t>E-WayBill Status</t>
        </is>
      </c>
      <c r="AO1" s="465" t="inlineStr">
        <is>
          <t>E-WayBill Cancelled Time</t>
        </is>
      </c>
      <c r="AP1" s="465" t="inlineStr">
        <is>
          <t>E-WayBill Expired Time</t>
        </is>
      </c>
      <c r="AQ1" s="465" t="inlineStr">
        <is>
          <t>Transporter Name</t>
        </is>
      </c>
      <c r="AR1" s="465" t="inlineStr">
        <is>
          <t>Transporter ID</t>
        </is>
      </c>
      <c r="AS1" s="465" t="inlineStr">
        <is>
          <t>TCS Amount</t>
        </is>
      </c>
      <c r="AT1" s="465" t="inlineStr">
        <is>
          <t>Invoice Type</t>
        </is>
      </c>
      <c r="AU1" s="465" t="inlineStr">
        <is>
          <t>Entity Discount Amount</t>
        </is>
      </c>
      <c r="AV1" s="465" t="inlineStr">
        <is>
          <t>Shipping Charge</t>
        </is>
      </c>
      <c r="AW1" s="465" t="inlineStr">
        <is>
          <t>Shipping Charge Tax ID</t>
        </is>
      </c>
      <c r="AX1" s="465" t="inlineStr">
        <is>
          <t>Shipping Charge Tax Amount</t>
        </is>
      </c>
      <c r="AY1" s="465" t="inlineStr">
        <is>
          <t>Shipping Charge Tax Name</t>
        </is>
      </c>
      <c r="AZ1" s="465" t="inlineStr">
        <is>
          <t>Shipping Charge Tax %</t>
        </is>
      </c>
      <c r="BA1" s="465" t="inlineStr">
        <is>
          <t>Shipping Charge Tax Type</t>
        </is>
      </c>
      <c r="BB1" s="465" t="inlineStr">
        <is>
          <t>Shipping Charge Tax Exemption Code</t>
        </is>
      </c>
      <c r="BC1" s="465" t="inlineStr">
        <is>
          <t>Shipping Charge SAC Code</t>
        </is>
      </c>
      <c r="BD1" s="465" t="inlineStr">
        <is>
          <t>Item Name</t>
        </is>
      </c>
      <c r="BE1" s="465" t="inlineStr">
        <is>
          <t>Item Desc</t>
        </is>
      </c>
      <c r="BF1" s="465" t="inlineStr">
        <is>
          <t>Quantity</t>
        </is>
      </c>
      <c r="BG1" s="465" t="inlineStr">
        <is>
          <t>Discount</t>
        </is>
      </c>
      <c r="BH1" s="465" t="inlineStr">
        <is>
          <t>Discount Amount</t>
        </is>
      </c>
      <c r="BI1" s="465" t="inlineStr">
        <is>
          <t>Item Total</t>
        </is>
      </c>
      <c r="BJ1" s="465" t="inlineStr">
        <is>
          <t>Usage unit</t>
        </is>
      </c>
      <c r="BK1" s="465" t="inlineStr">
        <is>
          <t>Item Price</t>
        </is>
      </c>
      <c r="BL1" s="465" t="inlineStr">
        <is>
          <t>Product ID</t>
        </is>
      </c>
      <c r="BM1" s="465" t="inlineStr">
        <is>
          <t>Brand</t>
        </is>
      </c>
      <c r="BN1" s="465" t="inlineStr">
        <is>
          <t>Sales Order Number</t>
        </is>
      </c>
      <c r="BO1" s="465" t="inlineStr">
        <is>
          <t>Expense Reference ID</t>
        </is>
      </c>
      <c r="BP1" s="465" t="inlineStr">
        <is>
          <t>Recurrence Name</t>
        </is>
      </c>
      <c r="BQ1" s="465" t="inlineStr">
        <is>
          <t>Billing Attention</t>
        </is>
      </c>
      <c r="BR1" s="465" t="inlineStr">
        <is>
          <t>Billing Address</t>
        </is>
      </c>
      <c r="BS1" s="465" t="inlineStr">
        <is>
          <t>Billing Street2</t>
        </is>
      </c>
      <c r="BT1" s="465" t="inlineStr">
        <is>
          <t>Billing City</t>
        </is>
      </c>
      <c r="BU1" s="465" t="inlineStr">
        <is>
          <t>Billing State</t>
        </is>
      </c>
      <c r="BV1" s="465" t="inlineStr">
        <is>
          <t>Billing Country</t>
        </is>
      </c>
      <c r="BW1" s="465" t="inlineStr">
        <is>
          <t>Billing Code</t>
        </is>
      </c>
      <c r="BX1" s="465" t="inlineStr">
        <is>
          <t>Billing Phone</t>
        </is>
      </c>
      <c r="BY1" s="465" t="inlineStr">
        <is>
          <t>Billing Fax</t>
        </is>
      </c>
      <c r="BZ1" s="465" t="inlineStr">
        <is>
          <t>Shipping Attention</t>
        </is>
      </c>
      <c r="CA1" s="465" t="inlineStr">
        <is>
          <t>Shipping Address</t>
        </is>
      </c>
      <c r="CB1" s="465" t="inlineStr">
        <is>
          <t>Shipping Street2</t>
        </is>
      </c>
      <c r="CC1" s="465" t="inlineStr">
        <is>
          <t>Shipping City</t>
        </is>
      </c>
      <c r="CD1" s="465" t="inlineStr">
        <is>
          <t>Shipping State</t>
        </is>
      </c>
      <c r="CE1" s="465" t="inlineStr">
        <is>
          <t>Shipping Country</t>
        </is>
      </c>
      <c r="CF1" s="465" t="inlineStr">
        <is>
          <t>Shipping Code</t>
        </is>
      </c>
      <c r="CG1" s="465" t="inlineStr">
        <is>
          <t>Shipping Fax</t>
        </is>
      </c>
      <c r="CH1" s="465" t="inlineStr">
        <is>
          <t>Shipping Phone Number</t>
        </is>
      </c>
      <c r="CI1" s="465" t="inlineStr">
        <is>
          <t>Supplier Org Name</t>
        </is>
      </c>
      <c r="CJ1" s="465" t="inlineStr">
        <is>
          <t>Supplier GST Registration Number</t>
        </is>
      </c>
      <c r="CK1" s="465" t="inlineStr">
        <is>
          <t>Supplier Street Address</t>
        </is>
      </c>
      <c r="CL1" s="465" t="inlineStr">
        <is>
          <t>Supplier City</t>
        </is>
      </c>
      <c r="CM1" s="465" t="inlineStr">
        <is>
          <t>Supplier State</t>
        </is>
      </c>
      <c r="CN1" s="465" t="inlineStr">
        <is>
          <t>Supplier Country</t>
        </is>
      </c>
      <c r="CO1" s="465" t="inlineStr">
        <is>
          <t>Supplier ZipCode</t>
        </is>
      </c>
      <c r="CP1" s="465" t="inlineStr">
        <is>
          <t>Supplier Phone</t>
        </is>
      </c>
      <c r="CQ1" s="465" t="inlineStr">
        <is>
          <t>Supplier E-Mail</t>
        </is>
      </c>
      <c r="CR1" s="465" t="inlineStr">
        <is>
          <t>CGST Rate %</t>
        </is>
      </c>
      <c r="CS1" s="465" t="inlineStr">
        <is>
          <t>SGST Rate %</t>
        </is>
      </c>
      <c r="CT1" s="465" t="inlineStr">
        <is>
          <t>IGST Rate %</t>
        </is>
      </c>
      <c r="CU1" s="465" t="inlineStr">
        <is>
          <t>CESS Rate %</t>
        </is>
      </c>
      <c r="CV1" s="465" t="inlineStr">
        <is>
          <t>CGST(FCY)</t>
        </is>
      </c>
      <c r="CW1" s="465" t="inlineStr">
        <is>
          <t>SGST(FCY)</t>
        </is>
      </c>
      <c r="CX1" s="465" t="inlineStr">
        <is>
          <t>IGST(FCY)</t>
        </is>
      </c>
      <c r="CY1" s="465" t="inlineStr">
        <is>
          <t>CESS(FCY)</t>
        </is>
      </c>
      <c r="CZ1" s="465" t="inlineStr">
        <is>
          <t>CGST</t>
        </is>
      </c>
      <c r="DA1" s="465" t="inlineStr">
        <is>
          <t>SGST</t>
        </is>
      </c>
      <c r="DB1" s="465" t="inlineStr">
        <is>
          <t>IGST</t>
        </is>
      </c>
      <c r="DC1" s="465" t="inlineStr">
        <is>
          <t>CESS</t>
        </is>
      </c>
      <c r="DD1" s="465" t="inlineStr">
        <is>
          <t>Reverse Charge Tax Name</t>
        </is>
      </c>
      <c r="DE1" s="465" t="inlineStr">
        <is>
          <t>Reverse Charge Tax Rate</t>
        </is>
      </c>
      <c r="DF1" s="465" t="inlineStr">
        <is>
          <t>Reverse Charge Tax Type</t>
        </is>
      </c>
      <c r="DG1" s="465" t="inlineStr">
        <is>
          <t>Item TDS Name</t>
        </is>
      </c>
      <c r="DH1" s="465" t="inlineStr">
        <is>
          <t>Item TDS Percentage</t>
        </is>
      </c>
      <c r="DI1" s="465" t="inlineStr">
        <is>
          <t>Item TDS Amount</t>
        </is>
      </c>
      <c r="DJ1" s="465" t="inlineStr">
        <is>
          <t>Item TDS Section Code</t>
        </is>
      </c>
      <c r="DK1" s="465" t="inlineStr">
        <is>
          <t>Item TDS Section</t>
        </is>
      </c>
      <c r="DL1" s="465" t="inlineStr">
        <is>
          <t>GST Identification Number (GSTIN)</t>
        </is>
      </c>
      <c r="DM1" s="465" t="inlineStr">
        <is>
          <t>Nature Of Collection</t>
        </is>
      </c>
      <c r="DN1" s="465" t="inlineStr">
        <is>
          <t>Project ID</t>
        </is>
      </c>
      <c r="DO1" s="465" t="inlineStr">
        <is>
          <t>Project Name</t>
        </is>
      </c>
      <c r="DP1" s="465" t="inlineStr">
        <is>
          <t>HSN/SAC</t>
        </is>
      </c>
      <c r="DQ1" s="465" t="inlineStr">
        <is>
          <t>Round Off</t>
        </is>
      </c>
      <c r="DR1" s="465" t="inlineStr">
        <is>
          <t>Sales person</t>
        </is>
      </c>
      <c r="DS1" s="465" t="inlineStr">
        <is>
          <t>Subject</t>
        </is>
      </c>
      <c r="DT1" s="465" t="inlineStr">
        <is>
          <t>Primary Contact EmailID</t>
        </is>
      </c>
      <c r="DU1" s="465" t="inlineStr">
        <is>
          <t>Primary Contact Mobile</t>
        </is>
      </c>
      <c r="DV1" s="465" t="inlineStr">
        <is>
          <t>Primary Contact Phone</t>
        </is>
      </c>
      <c r="DW1" s="465" t="inlineStr">
        <is>
          <t>Estimate Number</t>
        </is>
      </c>
      <c r="DX1" s="465" t="inlineStr">
        <is>
          <t>Item Type</t>
        </is>
      </c>
      <c r="DY1" s="465" t="inlineStr">
        <is>
          <t>Custom Charges</t>
        </is>
      </c>
      <c r="DZ1" s="465" t="inlineStr">
        <is>
          <t>Shipping Bill#</t>
        </is>
      </c>
      <c r="EA1" s="465" t="inlineStr">
        <is>
          <t>Shipping Bill Date</t>
        </is>
      </c>
      <c r="EB1" s="465" t="inlineStr">
        <is>
          <t>Shipping Bill Total</t>
        </is>
      </c>
      <c r="EC1" s="465" t="inlineStr">
        <is>
          <t>PortCode</t>
        </is>
      </c>
      <c r="ED1" s="465" t="inlineStr">
        <is>
          <t>Reference Invoice#</t>
        </is>
      </c>
      <c r="EE1" s="465" t="inlineStr">
        <is>
          <t>Reference Invoice Date</t>
        </is>
      </c>
      <c r="EF1" s="465" t="inlineStr">
        <is>
          <t>Reference Invoice Type</t>
        </is>
      </c>
      <c r="EG1" s="465" t="inlineStr">
        <is>
          <t>GST Registration Number(Reference Invoice)</t>
        </is>
      </c>
      <c r="EH1" s="465" t="inlineStr">
        <is>
          <t>Reason for issuing Debit Note</t>
        </is>
      </c>
      <c r="EI1" s="465" t="inlineStr">
        <is>
          <t>E-Commerce Operator Name</t>
        </is>
      </c>
      <c r="EJ1" s="465" t="inlineStr">
        <is>
          <t>E-Commerce Operator GSTIN</t>
        </is>
      </c>
      <c r="EK1" s="465" t="inlineStr">
        <is>
          <t>Account</t>
        </is>
      </c>
      <c r="EL1" s="465" t="inlineStr">
        <is>
          <t>Account Code</t>
        </is>
      </c>
      <c r="EM1" s="465" t="inlineStr">
        <is>
          <t>Supply Type</t>
        </is>
      </c>
      <c r="EN1" s="465" t="inlineStr">
        <is>
          <t>Tax ID</t>
        </is>
      </c>
      <c r="EO1" s="465" t="inlineStr">
        <is>
          <t>Item Tax</t>
        </is>
      </c>
      <c r="EP1" s="465" t="inlineStr">
        <is>
          <t>Item Tax %</t>
        </is>
      </c>
      <c r="EQ1" s="465" t="inlineStr">
        <is>
          <t>Item Tax Amount</t>
        </is>
      </c>
      <c r="ER1" s="465" t="inlineStr">
        <is>
          <t>Item Tax Type</t>
        </is>
      </c>
      <c r="ES1" s="465" t="inlineStr">
        <is>
          <t>Item Tax Exemption Reason</t>
        </is>
      </c>
      <c r="ET1" s="465" t="inlineStr">
        <is>
          <t>Kit Combo Item Name</t>
        </is>
      </c>
    </row>
    <row r="2" ht="52.2" customHeight="1" s="253">
      <c r="A2" s="466" t="n">
        <v>45748</v>
      </c>
      <c r="B2" s="467" t="inlineStr">
        <is>
          <t>2297152000000050064</t>
        </is>
      </c>
      <c r="C2" s="467" t="inlineStr">
        <is>
          <t>INV-25-26-000001</t>
        </is>
      </c>
      <c r="D2" s="467" t="inlineStr">
        <is>
          <t>Closed</t>
        </is>
      </c>
      <c r="E2" s="467" t="inlineStr">
        <is>
          <t>2297152000000050001</t>
        </is>
      </c>
      <c r="F2" s="467" t="inlineStr">
        <is>
          <t>Touchstone Partners</t>
        </is>
      </c>
      <c r="G2" s="467" t="inlineStr">
        <is>
          <t>DL</t>
        </is>
      </c>
      <c r="H2" s="467" t="inlineStr">
        <is>
          <t>07-Delhi</t>
        </is>
      </c>
      <c r="I2" s="467" t="inlineStr">
        <is>
          <t>business_none</t>
        </is>
      </c>
      <c r="J2" s="467" t="inlineStr">
        <is>
          <t>false</t>
        </is>
      </c>
      <c r="K2" s="466" t="n">
        <v>45748</v>
      </c>
      <c r="L2" s="467" t="n"/>
      <c r="M2" s="467" t="inlineStr">
        <is>
          <t>INR</t>
        </is>
      </c>
      <c r="N2" s="467" t="n">
        <v>1</v>
      </c>
      <c r="O2" s="467" t="inlineStr">
        <is>
          <t>item_level</t>
        </is>
      </c>
      <c r="P2" s="467" t="inlineStr">
        <is>
          <t>true</t>
        </is>
      </c>
      <c r="Q2" s="467" t="inlineStr">
        <is>
          <t>Tax Invoice</t>
        </is>
      </c>
      <c r="R2" s="467" t="inlineStr">
        <is>
          <t>0.00</t>
        </is>
      </c>
      <c r="S2" s="467" t="n"/>
      <c r="T2" s="467" t="n"/>
      <c r="U2" s="467" t="inlineStr">
        <is>
          <t>entity_level</t>
        </is>
      </c>
      <c r="V2" s="467" t="inlineStr">
        <is>
          <t>Technical Fees (2%)</t>
        </is>
      </c>
      <c r="W2" s="467" t="inlineStr">
        <is>
          <t>2.00</t>
        </is>
      </c>
      <c r="X2" s="467" t="inlineStr">
        <is>
          <t>194J</t>
        </is>
      </c>
      <c r="Y2" s="467" t="inlineStr">
        <is>
          <t>Section 194 J</t>
        </is>
      </c>
      <c r="Z2" s="467" t="inlineStr">
        <is>
          <t>1200.000</t>
        </is>
      </c>
      <c r="AA2" s="467" t="n">
        <v>60000</v>
      </c>
      <c r="AB2" s="467">
        <f>69600</f>
        <v/>
      </c>
      <c r="AC2" s="467" t="n">
        <v>0</v>
      </c>
      <c r="AD2" s="467" t="n">
        <v>0</v>
      </c>
      <c r="AE2" s="467" t="inlineStr">
        <is>
          <t>Adjustment</t>
        </is>
      </c>
      <c r="AF2" s="467" t="n"/>
      <c r="AG2" s="466" t="n">
        <v>45749</v>
      </c>
      <c r="AH2" s="467" t="inlineStr">
        <is>
          <t>0</t>
        </is>
      </c>
      <c r="AI2" s="467" t="inlineStr">
        <is>
          <t>Due On Receipt</t>
        </is>
      </c>
      <c r="AJ2" s="467" t="inlineStr">
        <is>
          <t>Thanks for your business.</t>
        </is>
      </c>
      <c r="AK2" s="467" t="n"/>
      <c r="AL2" s="467" t="n"/>
      <c r="AM2" s="467" t="n"/>
      <c r="AN2" s="467" t="n"/>
      <c r="AO2" s="467" t="n"/>
      <c r="AP2" s="467" t="n"/>
      <c r="AQ2" s="467" t="n"/>
      <c r="AR2" s="467" t="n"/>
      <c r="AS2" s="467" t="n"/>
      <c r="AT2" s="467" t="inlineStr">
        <is>
          <t>Invoice</t>
        </is>
      </c>
      <c r="AU2" s="467" t="inlineStr">
        <is>
          <t>0.0</t>
        </is>
      </c>
      <c r="AV2" s="467" t="n">
        <v>0</v>
      </c>
      <c r="AW2" s="467" t="n"/>
      <c r="AX2" s="467" t="n"/>
      <c r="AY2" s="467" t="n"/>
      <c r="AZ2" s="467" t="n"/>
      <c r="BA2" s="467" t="n"/>
      <c r="BB2" s="467" t="n"/>
      <c r="BC2" s="467" t="n"/>
      <c r="BD2" s="467" t="inlineStr">
        <is>
          <t>Jurisphere Enterprise Subscription</t>
        </is>
      </c>
      <c r="BE2" s="468" t="inlineStr">
        <is>
          <t>License Period- 1st Apr to 30th June25
Description-
10 licenses for 3 months, at Rs. 2000
each month per license</t>
        </is>
      </c>
      <c r="BF2" s="467" t="n">
        <v>3</v>
      </c>
      <c r="BG2" s="467" t="inlineStr">
        <is>
          <t>0.00</t>
        </is>
      </c>
      <c r="BH2" s="467" t="inlineStr">
        <is>
          <t>0.00</t>
        </is>
      </c>
      <c r="BI2" s="467" t="n">
        <v>60000</v>
      </c>
      <c r="BJ2" s="467" t="inlineStr">
        <is>
          <t>pcs</t>
        </is>
      </c>
      <c r="BK2" s="467" t="n">
        <v>20000</v>
      </c>
      <c r="BL2" s="467" t="inlineStr">
        <is>
          <t>2297152000000039748</t>
        </is>
      </c>
      <c r="BM2" s="467" t="n"/>
      <c r="BN2" s="467" t="n"/>
      <c r="BO2" s="467" t="n"/>
      <c r="BP2" s="467" t="n"/>
      <c r="BQ2" s="467" t="n"/>
      <c r="BR2" s="467" t="inlineStr">
        <is>
          <t>2nd Floor, Block E, The MIRA Plot 1 &amp; 2,</t>
        </is>
      </c>
      <c r="BS2" s="467" t="inlineStr">
        <is>
          <t>Ishwar Nagar, Mathura Road,</t>
        </is>
      </c>
      <c r="BT2" s="467" t="inlineStr">
        <is>
          <t>New Delhi</t>
        </is>
      </c>
      <c r="BU2" s="467" t="inlineStr">
        <is>
          <t>Delhi</t>
        </is>
      </c>
      <c r="BV2" s="467" t="inlineStr">
        <is>
          <t>India</t>
        </is>
      </c>
      <c r="BW2" s="467" t="inlineStr">
        <is>
          <t>110065</t>
        </is>
      </c>
      <c r="BX2" s="467" t="n"/>
      <c r="BY2" s="467" t="n"/>
      <c r="BZ2" s="467" t="n"/>
      <c r="CA2" s="467" t="inlineStr">
        <is>
          <t>2nd Floor, Block E, The MIRA Plot 1 &amp; 2,</t>
        </is>
      </c>
      <c r="CB2" s="467" t="inlineStr">
        <is>
          <t>Ishwar Nagar, Mathura Road,</t>
        </is>
      </c>
      <c r="CC2" s="467" t="inlineStr">
        <is>
          <t>New Delhi</t>
        </is>
      </c>
      <c r="CD2" s="467" t="inlineStr">
        <is>
          <t>Delhi</t>
        </is>
      </c>
      <c r="CE2" s="467" t="inlineStr">
        <is>
          <t>India</t>
        </is>
      </c>
      <c r="CF2" s="467" t="inlineStr">
        <is>
          <t>110065</t>
        </is>
      </c>
      <c r="CG2" s="467" t="n"/>
      <c r="CH2" s="467" t="n"/>
      <c r="CI2" s="467" t="inlineStr">
        <is>
          <t>Coresphere100 Technologies Pvt. Ltd.</t>
        </is>
      </c>
      <c r="CJ2" s="467" t="inlineStr">
        <is>
          <t>09AALCC7037K1Z7</t>
        </is>
      </c>
      <c r="CK2" s="467" t="inlineStr">
        <is>
          <t>16026, 16th Floor, Tower Oakwood,</t>
        </is>
      </c>
      <c r="CL2" s="467" t="inlineStr">
        <is>
          <t>Greater Noida,</t>
        </is>
      </c>
      <c r="CM2" s="467" t="inlineStr">
        <is>
          <t>Uttar Pradesh</t>
        </is>
      </c>
      <c r="CN2" s="467" t="inlineStr">
        <is>
          <t>India</t>
        </is>
      </c>
      <c r="CO2" s="467" t="inlineStr">
        <is>
          <t>201306</t>
        </is>
      </c>
      <c r="CP2" s="467" t="inlineStr">
        <is>
          <t>8928163657</t>
        </is>
      </c>
      <c r="CQ2" s="467" t="inlineStr">
        <is>
          <t>manas@jurisphere.ai</t>
        </is>
      </c>
      <c r="CR2" s="467" t="inlineStr">
        <is>
          <t>0.00</t>
        </is>
      </c>
      <c r="CS2" s="467" t="inlineStr">
        <is>
          <t>0.00</t>
        </is>
      </c>
      <c r="CT2" s="467" t="inlineStr">
        <is>
          <t>18.00</t>
        </is>
      </c>
      <c r="CU2" s="467" t="inlineStr">
        <is>
          <t>0.00</t>
        </is>
      </c>
      <c r="CV2" s="467" t="inlineStr">
        <is>
          <t>0.00</t>
        </is>
      </c>
      <c r="CW2" s="467" t="inlineStr">
        <is>
          <t>0.00</t>
        </is>
      </c>
      <c r="CX2" s="467" t="inlineStr">
        <is>
          <t>10800.00</t>
        </is>
      </c>
      <c r="CY2" s="467" t="inlineStr">
        <is>
          <t>0.00</t>
        </is>
      </c>
      <c r="CZ2" s="467" t="inlineStr">
        <is>
          <t>0.00</t>
        </is>
      </c>
      <c r="DA2" s="467" t="inlineStr">
        <is>
          <t>0.00</t>
        </is>
      </c>
      <c r="DB2" s="467" t="inlineStr">
        <is>
          <t>10800.00</t>
        </is>
      </c>
      <c r="DC2" s="467" t="inlineStr">
        <is>
          <t>0.00</t>
        </is>
      </c>
      <c r="DD2" s="467" t="n"/>
      <c r="DE2" s="467" t="n"/>
      <c r="DF2" s="467" t="n"/>
      <c r="DG2" s="467" t="n"/>
      <c r="DH2" s="467" t="n"/>
      <c r="DI2" s="467" t="n"/>
      <c r="DJ2" s="467" t="n"/>
      <c r="DK2" s="467" t="n"/>
      <c r="DL2" s="467" t="n"/>
      <c r="DM2" s="467" t="n"/>
      <c r="DN2" s="467" t="n"/>
      <c r="DO2" s="467" t="n"/>
      <c r="DP2" s="467" t="inlineStr">
        <is>
          <t>998313</t>
        </is>
      </c>
      <c r="DQ2" s="467" t="n">
        <v>0</v>
      </c>
      <c r="DR2" s="467" t="n"/>
      <c r="DS2" s="467" t="n"/>
      <c r="DT2" s="467" t="n"/>
      <c r="DU2" s="467" t="n"/>
      <c r="DV2" s="467" t="n"/>
      <c r="DW2" s="467" t="n"/>
      <c r="DX2" s="467" t="inlineStr">
        <is>
          <t>service</t>
        </is>
      </c>
      <c r="DY2" s="467" t="n"/>
      <c r="DZ2" s="467" t="n"/>
      <c r="EA2" s="467" t="n"/>
      <c r="EB2" s="467" t="n"/>
      <c r="EC2" s="467" t="n"/>
      <c r="ED2" s="467" t="n"/>
      <c r="EE2" s="467" t="n"/>
      <c r="EF2" s="467" t="n"/>
      <c r="EG2" s="467" t="n"/>
      <c r="EH2" s="467" t="inlineStr">
        <is>
          <t>Others</t>
        </is>
      </c>
      <c r="EI2" s="467" t="n"/>
      <c r="EJ2" s="467" t="n"/>
      <c r="EK2" s="467" t="inlineStr">
        <is>
          <t>Sales</t>
        </is>
      </c>
      <c r="EL2" s="467" t="n"/>
      <c r="EM2" s="467" t="inlineStr">
        <is>
          <t>Taxable</t>
        </is>
      </c>
      <c r="EN2" s="467" t="inlineStr">
        <is>
          <t>2297152000000031111</t>
        </is>
      </c>
      <c r="EO2" s="467" t="inlineStr">
        <is>
          <t>IGST18</t>
        </is>
      </c>
      <c r="EP2" s="467" t="inlineStr">
        <is>
          <t>18.00</t>
        </is>
      </c>
      <c r="EQ2" s="467" t="n">
        <v>10800</v>
      </c>
      <c r="ER2" s="467" t="inlineStr">
        <is>
          <t>ItemAmount</t>
        </is>
      </c>
      <c r="ES2" s="467" t="n"/>
      <c r="ET2" s="467" t="n"/>
    </row>
    <row r="3" ht="102.95" customHeight="1" s="253">
      <c r="A3" s="466" t="n">
        <v>45748</v>
      </c>
      <c r="B3" s="467" t="inlineStr">
        <is>
          <t>2297152000000050138</t>
        </is>
      </c>
      <c r="C3" s="467" t="inlineStr">
        <is>
          <t>INV-25-26-000002</t>
        </is>
      </c>
      <c r="D3" s="467" t="inlineStr">
        <is>
          <t>Closed</t>
        </is>
      </c>
      <c r="E3" s="467" t="inlineStr">
        <is>
          <t>2297152000000050113</t>
        </is>
      </c>
      <c r="F3" s="467" t="inlineStr">
        <is>
          <t>Bimal Rajasekhar</t>
        </is>
      </c>
      <c r="G3" s="467" t="inlineStr">
        <is>
          <t>MH</t>
        </is>
      </c>
      <c r="H3" s="467" t="inlineStr">
        <is>
          <t>27-Maharashtra</t>
        </is>
      </c>
      <c r="I3" s="467" t="inlineStr">
        <is>
          <t>business_none</t>
        </is>
      </c>
      <c r="J3" s="467" t="inlineStr">
        <is>
          <t>false</t>
        </is>
      </c>
      <c r="K3" s="466" t="n">
        <v>45748</v>
      </c>
      <c r="L3" s="467" t="n"/>
      <c r="M3" s="467" t="inlineStr">
        <is>
          <t>INR</t>
        </is>
      </c>
      <c r="N3" s="467" t="n">
        <v>1</v>
      </c>
      <c r="O3" s="467" t="inlineStr">
        <is>
          <t>item_level</t>
        </is>
      </c>
      <c r="P3" s="467" t="inlineStr">
        <is>
          <t>true</t>
        </is>
      </c>
      <c r="Q3" s="467" t="inlineStr">
        <is>
          <t>Tax Invoice</t>
        </is>
      </c>
      <c r="R3" s="467" t="inlineStr">
        <is>
          <t>0.00</t>
        </is>
      </c>
      <c r="S3" s="467" t="n"/>
      <c r="T3" s="467" t="n"/>
      <c r="U3" s="467" t="inlineStr">
        <is>
          <t>item_level</t>
        </is>
      </c>
      <c r="V3" s="467" t="n"/>
      <c r="W3" s="467" t="inlineStr">
        <is>
          <t>0.00</t>
        </is>
      </c>
      <c r="X3" s="467" t="n"/>
      <c r="Y3" s="467" t="n"/>
      <c r="Z3" s="467" t="inlineStr">
        <is>
          <t>0.000</t>
        </is>
      </c>
      <c r="AA3" s="467" t="n">
        <v>30000</v>
      </c>
      <c r="AB3" s="467" t="n">
        <v>35400</v>
      </c>
      <c r="AC3" s="467" t="n">
        <v>0</v>
      </c>
      <c r="AD3" s="467" t="n">
        <v>0</v>
      </c>
      <c r="AE3" s="467" t="inlineStr">
        <is>
          <t>Adjustment</t>
        </is>
      </c>
      <c r="AF3" s="467" t="n"/>
      <c r="AG3" s="466" t="n">
        <v>45749</v>
      </c>
      <c r="AH3" s="467" t="inlineStr">
        <is>
          <t>0</t>
        </is>
      </c>
      <c r="AI3" s="467" t="inlineStr">
        <is>
          <t>Due On Receipt</t>
        </is>
      </c>
      <c r="AJ3" s="467" t="inlineStr">
        <is>
          <t>Thanks for your business.</t>
        </is>
      </c>
      <c r="AK3" s="468" t="inlineStr">
        <is>
          <t>1. FLEXIBLE CANCELLATION, WITH PRO-RATED REFUND
2. ALL UPCOMING FEATURES WILL BE INCLUDED IN THE SUBSCRIPTION</t>
        </is>
      </c>
      <c r="AL3" s="467" t="n"/>
      <c r="AM3" s="467" t="n"/>
      <c r="AN3" s="467" t="n"/>
      <c r="AO3" s="467" t="n"/>
      <c r="AP3" s="467" t="n"/>
      <c r="AQ3" s="467" t="n"/>
      <c r="AR3" s="467" t="n"/>
      <c r="AS3" s="467" t="n"/>
      <c r="AT3" s="467" t="inlineStr">
        <is>
          <t>Invoice</t>
        </is>
      </c>
      <c r="AU3" s="467" t="inlineStr">
        <is>
          <t>0.0</t>
        </is>
      </c>
      <c r="AV3" s="467" t="n">
        <v>0</v>
      </c>
      <c r="AW3" s="467" t="n"/>
      <c r="AX3" s="467" t="n"/>
      <c r="AY3" s="467" t="n"/>
      <c r="AZ3" s="467" t="n"/>
      <c r="BA3" s="467" t="n"/>
      <c r="BB3" s="467" t="n"/>
      <c r="BC3" s="467" t="n"/>
      <c r="BD3" s="467" t="inlineStr">
        <is>
          <t>Jurisphere Enterprise Subscription</t>
        </is>
      </c>
      <c r="BE3" s="468" t="inlineStr">
        <is>
          <t xml:space="preserve"> Period - 1st Apr 25 to 31st May 25
Description- Pilot Access of 5 licenses for 2 months of Rs.15000 per month</t>
        </is>
      </c>
      <c r="BF3" s="467" t="n">
        <v>2</v>
      </c>
      <c r="BG3" s="467" t="inlineStr">
        <is>
          <t>0.00</t>
        </is>
      </c>
      <c r="BH3" s="467" t="inlineStr">
        <is>
          <t>0.00</t>
        </is>
      </c>
      <c r="BI3" s="467" t="n">
        <v>30000</v>
      </c>
      <c r="BJ3" s="467" t="inlineStr">
        <is>
          <t>pcs</t>
        </is>
      </c>
      <c r="BK3" s="467" t="n">
        <v>15000</v>
      </c>
      <c r="BL3" s="467" t="inlineStr">
        <is>
          <t>2297152000000039748</t>
        </is>
      </c>
      <c r="BM3" s="467" t="n"/>
      <c r="BN3" s="467" t="n"/>
      <c r="BO3" s="467" t="n"/>
      <c r="BP3" s="467" t="n"/>
      <c r="BQ3" s="467" t="n"/>
      <c r="BR3" s="467" t="n"/>
      <c r="BS3" s="467" t="n"/>
      <c r="BT3" s="467" t="n"/>
      <c r="BU3" s="467" t="n"/>
      <c r="BV3" s="467" t="n"/>
      <c r="BW3" s="467" t="n"/>
      <c r="BX3" s="467" t="n"/>
      <c r="BY3" s="467" t="n"/>
      <c r="BZ3" s="467" t="n"/>
      <c r="CA3" s="467" t="n"/>
      <c r="CB3" s="467" t="n"/>
      <c r="CC3" s="467" t="n"/>
      <c r="CD3" s="467" t="n"/>
      <c r="CE3" s="467" t="n"/>
      <c r="CF3" s="467" t="n"/>
      <c r="CG3" s="467" t="n"/>
      <c r="CH3" s="467" t="n"/>
      <c r="CI3" s="467" t="inlineStr">
        <is>
          <t>Coresphere100 Technologies Pvt. Ltd.</t>
        </is>
      </c>
      <c r="CJ3" s="467" t="inlineStr">
        <is>
          <t>09AALCC7037K1Z7</t>
        </is>
      </c>
      <c r="CK3" s="467" t="inlineStr">
        <is>
          <t>16026, 16th Floor, Tower Oakwood,</t>
        </is>
      </c>
      <c r="CL3" s="467" t="inlineStr">
        <is>
          <t>Greater Noida,</t>
        </is>
      </c>
      <c r="CM3" s="467" t="inlineStr">
        <is>
          <t>Uttar Pradesh</t>
        </is>
      </c>
      <c r="CN3" s="467" t="inlineStr">
        <is>
          <t>India</t>
        </is>
      </c>
      <c r="CO3" s="467" t="inlineStr">
        <is>
          <t>201306</t>
        </is>
      </c>
      <c r="CP3" s="467" t="inlineStr">
        <is>
          <t>8928163657</t>
        </is>
      </c>
      <c r="CQ3" s="467" t="inlineStr">
        <is>
          <t>manas@jurisphere.ai</t>
        </is>
      </c>
      <c r="CR3" s="467" t="inlineStr">
        <is>
          <t>0.00</t>
        </is>
      </c>
      <c r="CS3" s="467" t="inlineStr">
        <is>
          <t>0.00</t>
        </is>
      </c>
      <c r="CT3" s="467" t="inlineStr">
        <is>
          <t>18.00</t>
        </is>
      </c>
      <c r="CU3" s="467" t="inlineStr">
        <is>
          <t>0.00</t>
        </is>
      </c>
      <c r="CV3" s="467" t="inlineStr">
        <is>
          <t>0.00</t>
        </is>
      </c>
      <c r="CW3" s="467" t="inlineStr">
        <is>
          <t>0.00</t>
        </is>
      </c>
      <c r="CX3" s="467" t="inlineStr">
        <is>
          <t>5400.00</t>
        </is>
      </c>
      <c r="CY3" s="467" t="inlineStr">
        <is>
          <t>0.00</t>
        </is>
      </c>
      <c r="CZ3" s="467" t="inlineStr">
        <is>
          <t>0.00</t>
        </is>
      </c>
      <c r="DA3" s="467" t="inlineStr">
        <is>
          <t>0.00</t>
        </is>
      </c>
      <c r="DB3" s="467" t="inlineStr">
        <is>
          <t>5400.00</t>
        </is>
      </c>
      <c r="DC3" s="467" t="inlineStr">
        <is>
          <t>0.00</t>
        </is>
      </c>
      <c r="DD3" s="467" t="n"/>
      <c r="DE3" s="467" t="n"/>
      <c r="DF3" s="467" t="n"/>
      <c r="DG3" s="467" t="n"/>
      <c r="DH3" s="467" t="n"/>
      <c r="DI3" s="467" t="inlineStr">
        <is>
          <t>0.000</t>
        </is>
      </c>
      <c r="DJ3" s="467" t="n"/>
      <c r="DK3" s="467" t="n"/>
      <c r="DL3" s="467" t="n"/>
      <c r="DM3" s="467" t="n"/>
      <c r="DN3" s="467" t="n"/>
      <c r="DO3" s="467" t="n"/>
      <c r="DP3" s="467" t="inlineStr">
        <is>
          <t>998313</t>
        </is>
      </c>
      <c r="DQ3" s="467" t="n">
        <v>0</v>
      </c>
      <c r="DR3" s="467" t="n"/>
      <c r="DS3" s="467" t="n"/>
      <c r="DT3" s="467" t="n"/>
      <c r="DU3" s="467" t="n"/>
      <c r="DV3" s="467" t="n"/>
      <c r="DW3" s="467" t="n"/>
      <c r="DX3" s="467" t="inlineStr">
        <is>
          <t>service</t>
        </is>
      </c>
      <c r="DY3" s="467" t="n"/>
      <c r="DZ3" s="467" t="n"/>
      <c r="EA3" s="467" t="n"/>
      <c r="EB3" s="467" t="n"/>
      <c r="EC3" s="467" t="n"/>
      <c r="ED3" s="467" t="n"/>
      <c r="EE3" s="467" t="n"/>
      <c r="EF3" s="467" t="n"/>
      <c r="EG3" s="467" t="n"/>
      <c r="EH3" s="467" t="inlineStr">
        <is>
          <t>Others</t>
        </is>
      </c>
      <c r="EI3" s="467" t="n"/>
      <c r="EJ3" s="467" t="n"/>
      <c r="EK3" s="467" t="inlineStr">
        <is>
          <t>Sales</t>
        </is>
      </c>
      <c r="EL3" s="467" t="n"/>
      <c r="EM3" s="467" t="inlineStr">
        <is>
          <t>Taxable</t>
        </is>
      </c>
      <c r="EN3" s="467" t="inlineStr">
        <is>
          <t>2297152000000031111</t>
        </is>
      </c>
      <c r="EO3" s="467" t="inlineStr">
        <is>
          <t>IGST18</t>
        </is>
      </c>
      <c r="EP3" s="467" t="inlineStr">
        <is>
          <t>18.00</t>
        </is>
      </c>
      <c r="EQ3" s="467" t="n">
        <v>5400</v>
      </c>
      <c r="ER3" s="467" t="inlineStr">
        <is>
          <t>ItemAmount</t>
        </is>
      </c>
      <c r="ES3" s="467" t="n"/>
      <c r="ET3" s="467" t="n"/>
    </row>
    <row r="4" ht="26.85" customHeight="1" s="253">
      <c r="A4" s="466" t="n">
        <v>45749</v>
      </c>
      <c r="B4" s="467" t="inlineStr">
        <is>
          <t>2297152000000050202</t>
        </is>
      </c>
      <c r="C4" s="467" t="inlineStr">
        <is>
          <t>INV-25-26-000003</t>
        </is>
      </c>
      <c r="D4" s="467" t="inlineStr">
        <is>
          <t>Closed</t>
        </is>
      </c>
      <c r="E4" s="467" t="inlineStr">
        <is>
          <t>2297152000000050184</t>
        </is>
      </c>
      <c r="F4" s="467" t="inlineStr">
        <is>
          <t>Veritas Legal Advocates and Solicitors</t>
        </is>
      </c>
      <c r="G4" s="467" t="inlineStr">
        <is>
          <t>MH</t>
        </is>
      </c>
      <c r="H4" s="467" t="inlineStr">
        <is>
          <t>27-Maharashtra</t>
        </is>
      </c>
      <c r="I4" s="467" t="inlineStr">
        <is>
          <t>business_registered_composition</t>
        </is>
      </c>
      <c r="J4" s="467" t="inlineStr">
        <is>
          <t>false</t>
        </is>
      </c>
      <c r="K4" s="466" t="n">
        <v>45749</v>
      </c>
      <c r="L4" s="467" t="n"/>
      <c r="M4" s="467" t="inlineStr">
        <is>
          <t>INR</t>
        </is>
      </c>
      <c r="N4" s="467" t="n">
        <v>1</v>
      </c>
      <c r="O4" s="467" t="inlineStr">
        <is>
          <t>item_level</t>
        </is>
      </c>
      <c r="P4" s="467" t="inlineStr">
        <is>
          <t>true</t>
        </is>
      </c>
      <c r="Q4" s="467" t="inlineStr">
        <is>
          <t>Tax Invoice</t>
        </is>
      </c>
      <c r="R4" s="467" t="inlineStr">
        <is>
          <t>0.00</t>
        </is>
      </c>
      <c r="S4" s="467" t="n"/>
      <c r="T4" s="467" t="n"/>
      <c r="U4" s="467" t="inlineStr">
        <is>
          <t>entity_level</t>
        </is>
      </c>
      <c r="V4" s="467" t="inlineStr">
        <is>
          <t>Technical Fees (2%)</t>
        </is>
      </c>
      <c r="W4" s="467" t="inlineStr">
        <is>
          <t>2.00</t>
        </is>
      </c>
      <c r="X4" s="467" t="inlineStr">
        <is>
          <t>194J</t>
        </is>
      </c>
      <c r="Y4" s="467" t="inlineStr">
        <is>
          <t>Section 194 J</t>
        </is>
      </c>
      <c r="Z4" s="467" t="inlineStr">
        <is>
          <t>19872.000</t>
        </is>
      </c>
      <c r="AA4" s="467" t="n">
        <v>993600</v>
      </c>
      <c r="AB4" s="467" t="n">
        <v>1152576</v>
      </c>
      <c r="AC4" s="467" t="n">
        <v>0</v>
      </c>
      <c r="AD4" s="467" t="n">
        <v>0</v>
      </c>
      <c r="AE4" s="467" t="inlineStr">
        <is>
          <t>Adjustment</t>
        </is>
      </c>
      <c r="AF4" s="467" t="n"/>
      <c r="AG4" s="466" t="n">
        <v>45762</v>
      </c>
      <c r="AH4" s="467" t="inlineStr">
        <is>
          <t>0</t>
        </is>
      </c>
      <c r="AI4" s="467" t="inlineStr">
        <is>
          <t>Due On Receipt</t>
        </is>
      </c>
      <c r="AJ4" s="467" t="inlineStr">
        <is>
          <t>Thanks for your business.</t>
        </is>
      </c>
      <c r="AK4" s="467" t="n"/>
      <c r="AL4" s="467" t="n"/>
      <c r="AM4" s="467" t="n"/>
      <c r="AN4" s="467" t="n"/>
      <c r="AO4" s="467" t="n"/>
      <c r="AP4" s="467" t="n"/>
      <c r="AQ4" s="467" t="n"/>
      <c r="AR4" s="467" t="n"/>
      <c r="AS4" s="467" t="n"/>
      <c r="AT4" s="467" t="inlineStr">
        <is>
          <t>Invoice</t>
        </is>
      </c>
      <c r="AU4" s="467" t="inlineStr">
        <is>
          <t>0.0</t>
        </is>
      </c>
      <c r="AV4" s="467" t="n">
        <v>0</v>
      </c>
      <c r="AW4" s="467" t="n"/>
      <c r="AX4" s="467" t="n"/>
      <c r="AY4" s="467" t="n"/>
      <c r="AZ4" s="467" t="n"/>
      <c r="BA4" s="467" t="n"/>
      <c r="BB4" s="467" t="n"/>
      <c r="BC4" s="467" t="n"/>
      <c r="BD4" s="467" t="inlineStr">
        <is>
          <t>Jurisphere Enterprise Subscription</t>
        </is>
      </c>
      <c r="BE4" s="468" t="inlineStr">
        <is>
          <t>Duration - 6 months Subscriptions
Description- 46 licenses of Rs. 4000 per month per license</t>
        </is>
      </c>
      <c r="BF4" s="467" t="n">
        <v>46</v>
      </c>
      <c r="BG4" s="467" t="inlineStr">
        <is>
          <t>10.00</t>
        </is>
      </c>
      <c r="BH4" s="467" t="inlineStr">
        <is>
          <t>110400.000</t>
        </is>
      </c>
      <c r="BI4" s="467" t="n">
        <v>993600</v>
      </c>
      <c r="BJ4" s="467" t="inlineStr">
        <is>
          <t>pcs</t>
        </is>
      </c>
      <c r="BK4" s="467" t="n">
        <v>24000</v>
      </c>
      <c r="BL4" s="467" t="inlineStr">
        <is>
          <t>2297152000000039748</t>
        </is>
      </c>
      <c r="BM4" s="467" t="n"/>
      <c r="BN4" s="467" t="n"/>
      <c r="BO4" s="467" t="n"/>
      <c r="BP4" s="467" t="n"/>
      <c r="BQ4" s="467" t="inlineStr">
        <is>
          <t>Tushar Raut</t>
        </is>
      </c>
      <c r="BR4" s="467" t="inlineStr">
        <is>
          <t>1st Floor, Veritas Legal, Forbes Building,</t>
        </is>
      </c>
      <c r="BS4" s="467" t="inlineStr">
        <is>
          <t>Charanjit Rai Marg, Azad Maidan, Fort,</t>
        </is>
      </c>
      <c r="BT4" s="467" t="inlineStr">
        <is>
          <t>Mumbai</t>
        </is>
      </c>
      <c r="BU4" s="467" t="inlineStr">
        <is>
          <t>Maharashtra</t>
        </is>
      </c>
      <c r="BV4" s="467" t="inlineStr">
        <is>
          <t>India</t>
        </is>
      </c>
      <c r="BW4" s="467" t="inlineStr">
        <is>
          <t>400001</t>
        </is>
      </c>
      <c r="BX4" s="467" t="inlineStr">
        <is>
          <t>+91-22-43686700</t>
        </is>
      </c>
      <c r="BY4" s="467" t="n"/>
      <c r="BZ4" s="467" t="inlineStr">
        <is>
          <t>Tushar Raut</t>
        </is>
      </c>
      <c r="CA4" s="467" t="inlineStr">
        <is>
          <t>1st Floor, Veritas Legal, Forbes Building,</t>
        </is>
      </c>
      <c r="CB4" s="467" t="inlineStr">
        <is>
          <t>Charanjit Rai Marg, Azad Maidan, Fort,</t>
        </is>
      </c>
      <c r="CC4" s="467" t="inlineStr">
        <is>
          <t>Mumbai</t>
        </is>
      </c>
      <c r="CD4" s="467" t="inlineStr">
        <is>
          <t>Maharashtra</t>
        </is>
      </c>
      <c r="CE4" s="467" t="inlineStr">
        <is>
          <t>India</t>
        </is>
      </c>
      <c r="CF4" s="467" t="inlineStr">
        <is>
          <t>400001</t>
        </is>
      </c>
      <c r="CG4" s="467" t="n"/>
      <c r="CH4" s="467" t="inlineStr">
        <is>
          <t>+91-22-43686700</t>
        </is>
      </c>
      <c r="CI4" s="467" t="inlineStr">
        <is>
          <t>Coresphere100 Technologies Pvt. Ltd.</t>
        </is>
      </c>
      <c r="CJ4" s="467" t="inlineStr">
        <is>
          <t>09AALCC7037K1Z7</t>
        </is>
      </c>
      <c r="CK4" s="467" t="inlineStr">
        <is>
          <t>16026, 16th Floor, Tower Oakwood,</t>
        </is>
      </c>
      <c r="CL4" s="467" t="inlineStr">
        <is>
          <t>Greater Noida,</t>
        </is>
      </c>
      <c r="CM4" s="467" t="inlineStr">
        <is>
          <t>Uttar Pradesh</t>
        </is>
      </c>
      <c r="CN4" s="467" t="inlineStr">
        <is>
          <t>India</t>
        </is>
      </c>
      <c r="CO4" s="467" t="inlineStr">
        <is>
          <t>201306</t>
        </is>
      </c>
      <c r="CP4" s="467" t="inlineStr">
        <is>
          <t>8928163657</t>
        </is>
      </c>
      <c r="CQ4" s="467" t="inlineStr">
        <is>
          <t>manas@jurisphere.ai</t>
        </is>
      </c>
      <c r="CR4" s="467" t="inlineStr">
        <is>
          <t>0.00</t>
        </is>
      </c>
      <c r="CS4" s="467" t="inlineStr">
        <is>
          <t>0.00</t>
        </is>
      </c>
      <c r="CT4" s="467" t="inlineStr">
        <is>
          <t>18.00</t>
        </is>
      </c>
      <c r="CU4" s="467" t="inlineStr">
        <is>
          <t>0.00</t>
        </is>
      </c>
      <c r="CV4" s="467" t="inlineStr">
        <is>
          <t>0.00</t>
        </is>
      </c>
      <c r="CW4" s="467" t="inlineStr">
        <is>
          <t>0.00</t>
        </is>
      </c>
      <c r="CX4" s="467" t="inlineStr">
        <is>
          <t>178848.00</t>
        </is>
      </c>
      <c r="CY4" s="467" t="inlineStr">
        <is>
          <t>0.00</t>
        </is>
      </c>
      <c r="CZ4" s="467" t="inlineStr">
        <is>
          <t>0.00</t>
        </is>
      </c>
      <c r="DA4" s="467" t="inlineStr">
        <is>
          <t>0.00</t>
        </is>
      </c>
      <c r="DB4" s="467" t="inlineStr">
        <is>
          <t>178848.00</t>
        </is>
      </c>
      <c r="DC4" s="467" t="inlineStr">
        <is>
          <t>0.00</t>
        </is>
      </c>
      <c r="DD4" s="467" t="n"/>
      <c r="DE4" s="467" t="n"/>
      <c r="DF4" s="467" t="n"/>
      <c r="DG4" s="467" t="n"/>
      <c r="DH4" s="467" t="n"/>
      <c r="DI4" s="467" t="n"/>
      <c r="DJ4" s="467" t="n"/>
      <c r="DK4" s="467" t="n"/>
      <c r="DL4" s="467" t="inlineStr">
        <is>
          <t>27AANFV0524F1Z7</t>
        </is>
      </c>
      <c r="DM4" s="467" t="n"/>
      <c r="DN4" s="467" t="n"/>
      <c r="DO4" s="467" t="n"/>
      <c r="DP4" s="467" t="inlineStr">
        <is>
          <t>998313</t>
        </is>
      </c>
      <c r="DQ4" s="467" t="n">
        <v>0</v>
      </c>
      <c r="DR4" s="467" t="n"/>
      <c r="DS4" s="467" t="n"/>
      <c r="DT4" s="467" t="inlineStr">
        <is>
          <t>tushar.raut@veritaslegal.in</t>
        </is>
      </c>
      <c r="DU4" s="467" t="n"/>
      <c r="DV4" s="467" t="inlineStr">
        <is>
          <t>+91-22-43686700</t>
        </is>
      </c>
      <c r="DW4" s="467" t="n"/>
      <c r="DX4" s="467" t="inlineStr">
        <is>
          <t>service</t>
        </is>
      </c>
      <c r="DY4" s="467" t="n"/>
      <c r="DZ4" s="467" t="n"/>
      <c r="EA4" s="467" t="n"/>
      <c r="EB4" s="467" t="n"/>
      <c r="EC4" s="467" t="n"/>
      <c r="ED4" s="467" t="n"/>
      <c r="EE4" s="467" t="n"/>
      <c r="EF4" s="467" t="n"/>
      <c r="EG4" s="467" t="n"/>
      <c r="EH4" s="467" t="inlineStr">
        <is>
          <t>Others</t>
        </is>
      </c>
      <c r="EI4" s="467" t="n"/>
      <c r="EJ4" s="467" t="n"/>
      <c r="EK4" s="467" t="inlineStr">
        <is>
          <t>Sales</t>
        </is>
      </c>
      <c r="EL4" s="467" t="n"/>
      <c r="EM4" s="467" t="inlineStr">
        <is>
          <t>Taxable</t>
        </is>
      </c>
      <c r="EN4" s="467" t="inlineStr">
        <is>
          <t>2297152000000031111</t>
        </is>
      </c>
      <c r="EO4" s="467" t="inlineStr">
        <is>
          <t>IGST18</t>
        </is>
      </c>
      <c r="EP4" s="467" t="inlineStr">
        <is>
          <t>18.00</t>
        </is>
      </c>
      <c r="EQ4" s="467" t="n">
        <v>178848</v>
      </c>
      <c r="ER4" s="467" t="inlineStr">
        <is>
          <t>ItemAmount</t>
        </is>
      </c>
      <c r="ES4" s="467" t="n"/>
      <c r="ET4" s="467" t="n"/>
    </row>
    <row r="5" ht="39.55" customHeight="1" s="253">
      <c r="A5" s="466" t="n">
        <v>45749</v>
      </c>
      <c r="B5" s="467" t="inlineStr">
        <is>
          <t>2297152000000051047</t>
        </is>
      </c>
      <c r="C5" s="467" t="inlineStr">
        <is>
          <t>INV-25-26-000004</t>
        </is>
      </c>
      <c r="D5" s="467" t="inlineStr">
        <is>
          <t>Closed</t>
        </is>
      </c>
      <c r="E5" s="467" t="inlineStr">
        <is>
          <t>2297152000000051029</t>
        </is>
      </c>
      <c r="F5" s="467" t="inlineStr">
        <is>
          <t>LEGALOGIC CONSULTING LLP</t>
        </is>
      </c>
      <c r="G5" s="467" t="inlineStr">
        <is>
          <t>MH</t>
        </is>
      </c>
      <c r="H5" s="467" t="inlineStr">
        <is>
          <t>27-Maharashtra</t>
        </is>
      </c>
      <c r="I5" s="467" t="inlineStr">
        <is>
          <t>business_gst</t>
        </is>
      </c>
      <c r="J5" s="467" t="inlineStr">
        <is>
          <t>false</t>
        </is>
      </c>
      <c r="K5" s="466" t="n">
        <v>45749</v>
      </c>
      <c r="L5" s="467" t="n"/>
      <c r="M5" s="467" t="inlineStr">
        <is>
          <t>INR</t>
        </is>
      </c>
      <c r="N5" s="467" t="n">
        <v>1</v>
      </c>
      <c r="O5" s="467" t="inlineStr">
        <is>
          <t>item_level</t>
        </is>
      </c>
      <c r="P5" s="467" t="inlineStr">
        <is>
          <t>true</t>
        </is>
      </c>
      <c r="Q5" s="467" t="inlineStr">
        <is>
          <t>Tax Invoice</t>
        </is>
      </c>
      <c r="R5" s="467" t="inlineStr">
        <is>
          <t>0.00</t>
        </is>
      </c>
      <c r="S5" s="467" t="n"/>
      <c r="T5" s="467" t="n"/>
      <c r="U5" s="467" t="inlineStr">
        <is>
          <t>entity_level</t>
        </is>
      </c>
      <c r="V5" s="467" t="inlineStr">
        <is>
          <t>Professional Fees</t>
        </is>
      </c>
      <c r="W5" s="467" t="inlineStr">
        <is>
          <t>10.00</t>
        </is>
      </c>
      <c r="X5" s="467" t="inlineStr">
        <is>
          <t>194J</t>
        </is>
      </c>
      <c r="Y5" s="467" t="inlineStr">
        <is>
          <t>Section 194 J</t>
        </is>
      </c>
      <c r="Z5" s="467" t="inlineStr">
        <is>
          <t>3000.000</t>
        </is>
      </c>
      <c r="AA5" s="467" t="n">
        <v>30000</v>
      </c>
      <c r="AB5" s="467" t="n">
        <v>32400</v>
      </c>
      <c r="AC5" s="467" t="n">
        <v>0</v>
      </c>
      <c r="AD5" s="467" t="n">
        <v>0</v>
      </c>
      <c r="AE5" s="467" t="inlineStr">
        <is>
          <t>Adjustment</t>
        </is>
      </c>
      <c r="AF5" s="467" t="n"/>
      <c r="AG5" s="466" t="n">
        <v>45752</v>
      </c>
      <c r="AH5" s="467" t="inlineStr">
        <is>
          <t>0</t>
        </is>
      </c>
      <c r="AI5" s="467" t="inlineStr">
        <is>
          <t>Due On Receipt</t>
        </is>
      </c>
      <c r="AJ5" s="467" t="inlineStr">
        <is>
          <t>Thanks for your business.</t>
        </is>
      </c>
      <c r="AK5" s="467" t="n"/>
      <c r="AL5" s="467" t="n"/>
      <c r="AM5" s="467" t="n"/>
      <c r="AN5" s="467" t="n"/>
      <c r="AO5" s="467" t="n"/>
      <c r="AP5" s="467" t="n"/>
      <c r="AQ5" s="467" t="n"/>
      <c r="AR5" s="467" t="n"/>
      <c r="AS5" s="467" t="n"/>
      <c r="AT5" s="467" t="inlineStr">
        <is>
          <t>Invoice</t>
        </is>
      </c>
      <c r="AU5" s="467" t="inlineStr">
        <is>
          <t>0.0</t>
        </is>
      </c>
      <c r="AV5" s="467" t="n">
        <v>0</v>
      </c>
      <c r="AW5" s="467" t="n"/>
      <c r="AX5" s="467" t="n"/>
      <c r="AY5" s="467" t="n"/>
      <c r="AZ5" s="467" t="n"/>
      <c r="BA5" s="467" t="n"/>
      <c r="BB5" s="467" t="n"/>
      <c r="BC5" s="467" t="n"/>
      <c r="BD5" s="467" t="inlineStr">
        <is>
          <t>Jurisphere Enterprise Subscription</t>
        </is>
      </c>
      <c r="BE5" s="468" t="inlineStr">
        <is>
          <t>Subscription Period : monthly invoice
01 April 2025 to 30 June, 2025
Unlimited Access- Enterprise Tool (for 15 users)</t>
        </is>
      </c>
      <c r="BF5" s="467" t="n">
        <v>1</v>
      </c>
      <c r="BG5" s="467" t="inlineStr">
        <is>
          <t>0.00</t>
        </is>
      </c>
      <c r="BH5" s="467" t="inlineStr">
        <is>
          <t>0.00</t>
        </is>
      </c>
      <c r="BI5" s="467" t="n">
        <v>30000</v>
      </c>
      <c r="BJ5" s="467" t="inlineStr">
        <is>
          <t>pcs</t>
        </is>
      </c>
      <c r="BK5" s="467" t="n">
        <v>30000</v>
      </c>
      <c r="BL5" s="467" t="inlineStr">
        <is>
          <t>2297152000000039748</t>
        </is>
      </c>
      <c r="BM5" s="467" t="n"/>
      <c r="BN5" s="467" t="n"/>
      <c r="BO5" s="467" t="n"/>
      <c r="BP5" s="467" t="n"/>
      <c r="BQ5" s="467" t="n"/>
      <c r="BR5" s="467" t="inlineStr">
        <is>
          <t>Unit No.3A, PV House, FP No. 85,</t>
        </is>
      </c>
      <c r="BS5" s="467" t="inlineStr">
        <is>
          <t>T.P. Scheme No. 1 55, Damle Road, Erandwane</t>
        </is>
      </c>
      <c r="BT5" s="467" t="inlineStr">
        <is>
          <t>Pune</t>
        </is>
      </c>
      <c r="BU5" s="467" t="inlineStr">
        <is>
          <t>Maharashtra</t>
        </is>
      </c>
      <c r="BV5" s="467" t="inlineStr">
        <is>
          <t>India</t>
        </is>
      </c>
      <c r="BW5" s="467" t="inlineStr">
        <is>
          <t>411004</t>
        </is>
      </c>
      <c r="BX5" s="467" t="n"/>
      <c r="BY5" s="467" t="n"/>
      <c r="BZ5" s="467" t="n"/>
      <c r="CA5" s="467" t="inlineStr">
        <is>
          <t>Unit No.3A, PV House, FP No. 85,</t>
        </is>
      </c>
      <c r="CB5" s="467" t="inlineStr">
        <is>
          <t>T.P. Scheme No. 1 55, Damle Road, Erandwane</t>
        </is>
      </c>
      <c r="CC5" s="467" t="inlineStr">
        <is>
          <t>Pune</t>
        </is>
      </c>
      <c r="CD5" s="467" t="inlineStr">
        <is>
          <t>Maharashtra</t>
        </is>
      </c>
      <c r="CE5" s="467" t="inlineStr">
        <is>
          <t>India</t>
        </is>
      </c>
      <c r="CF5" s="467" t="inlineStr">
        <is>
          <t>411004</t>
        </is>
      </c>
      <c r="CG5" s="467" t="n"/>
      <c r="CH5" s="467" t="n"/>
      <c r="CI5" s="467" t="inlineStr">
        <is>
          <t>Coresphere100 Technologies Pvt. Ltd.</t>
        </is>
      </c>
      <c r="CJ5" s="467" t="inlineStr">
        <is>
          <t>09AALCC7037K1Z7</t>
        </is>
      </c>
      <c r="CK5" s="467" t="inlineStr">
        <is>
          <t>16026, 16th Floor, Tower Oakwood,</t>
        </is>
      </c>
      <c r="CL5" s="467" t="inlineStr">
        <is>
          <t>Greater Noida,</t>
        </is>
      </c>
      <c r="CM5" s="467" t="inlineStr">
        <is>
          <t>Uttar Pradesh</t>
        </is>
      </c>
      <c r="CN5" s="467" t="inlineStr">
        <is>
          <t>India</t>
        </is>
      </c>
      <c r="CO5" s="467" t="inlineStr">
        <is>
          <t>201306</t>
        </is>
      </c>
      <c r="CP5" s="467" t="inlineStr">
        <is>
          <t>8928163657</t>
        </is>
      </c>
      <c r="CQ5" s="467" t="inlineStr">
        <is>
          <t>manas@jurisphere.ai</t>
        </is>
      </c>
      <c r="CR5" s="467" t="inlineStr">
        <is>
          <t>0.00</t>
        </is>
      </c>
      <c r="CS5" s="467" t="inlineStr">
        <is>
          <t>0.00</t>
        </is>
      </c>
      <c r="CT5" s="467" t="inlineStr">
        <is>
          <t>18.00</t>
        </is>
      </c>
      <c r="CU5" s="467" t="inlineStr">
        <is>
          <t>0.00</t>
        </is>
      </c>
      <c r="CV5" s="467" t="inlineStr">
        <is>
          <t>0.00</t>
        </is>
      </c>
      <c r="CW5" s="467" t="inlineStr">
        <is>
          <t>0.00</t>
        </is>
      </c>
      <c r="CX5" s="467" t="inlineStr">
        <is>
          <t>5400.00</t>
        </is>
      </c>
      <c r="CY5" s="467" t="inlineStr">
        <is>
          <t>0.00</t>
        </is>
      </c>
      <c r="CZ5" s="467" t="inlineStr">
        <is>
          <t>0.00</t>
        </is>
      </c>
      <c r="DA5" s="467" t="inlineStr">
        <is>
          <t>0.00</t>
        </is>
      </c>
      <c r="DB5" s="467" t="inlineStr">
        <is>
          <t>5400.00</t>
        </is>
      </c>
      <c r="DC5" s="467" t="inlineStr">
        <is>
          <t>0.00</t>
        </is>
      </c>
      <c r="DD5" s="467" t="n"/>
      <c r="DE5" s="467" t="n"/>
      <c r="DF5" s="467" t="n"/>
      <c r="DG5" s="467" t="n"/>
      <c r="DH5" s="467" t="n"/>
      <c r="DI5" s="467" t="n"/>
      <c r="DJ5" s="467" t="n"/>
      <c r="DK5" s="467" t="n"/>
      <c r="DL5" s="467" t="inlineStr">
        <is>
          <t>27AAFFL6917J1ZZ</t>
        </is>
      </c>
      <c r="DM5" s="467" t="n"/>
      <c r="DN5" s="467" t="n"/>
      <c r="DO5" s="467" t="n"/>
      <c r="DP5" s="467" t="inlineStr">
        <is>
          <t>998313</t>
        </is>
      </c>
      <c r="DQ5" s="467" t="n">
        <v>0</v>
      </c>
      <c r="DR5" s="467" t="n"/>
      <c r="DS5" s="467" t="n"/>
      <c r="DT5" s="467" t="n"/>
      <c r="DU5" s="467" t="n"/>
      <c r="DV5" s="467" t="n"/>
      <c r="DW5" s="467" t="n"/>
      <c r="DX5" s="467" t="inlineStr">
        <is>
          <t>service</t>
        </is>
      </c>
      <c r="DY5" s="467" t="n"/>
      <c r="DZ5" s="467" t="n"/>
      <c r="EA5" s="467" t="n"/>
      <c r="EB5" s="467" t="n"/>
      <c r="EC5" s="467" t="n"/>
      <c r="ED5" s="467" t="n"/>
      <c r="EE5" s="467" t="n"/>
      <c r="EF5" s="467" t="n"/>
      <c r="EG5" s="467" t="n"/>
      <c r="EH5" s="467" t="inlineStr">
        <is>
          <t>Others</t>
        </is>
      </c>
      <c r="EI5" s="467" t="n"/>
      <c r="EJ5" s="467" t="n"/>
      <c r="EK5" s="467" t="inlineStr">
        <is>
          <t>Sales</t>
        </is>
      </c>
      <c r="EL5" s="467" t="n"/>
      <c r="EM5" s="467" t="inlineStr">
        <is>
          <t>Taxable</t>
        </is>
      </c>
      <c r="EN5" s="467" t="inlineStr">
        <is>
          <t>2297152000000031111</t>
        </is>
      </c>
      <c r="EO5" s="467" t="inlineStr">
        <is>
          <t>IGST18</t>
        </is>
      </c>
      <c r="EP5" s="467" t="inlineStr">
        <is>
          <t>18.00</t>
        </is>
      </c>
      <c r="EQ5" s="467" t="n">
        <v>5400</v>
      </c>
      <c r="ER5" s="467" t="inlineStr">
        <is>
          <t>ItemAmount</t>
        </is>
      </c>
      <c r="ES5" s="467" t="n"/>
      <c r="ET5" s="467" t="n"/>
    </row>
    <row r="6" ht="26.85" customHeight="1" s="253">
      <c r="A6" s="466" t="n">
        <v>45750</v>
      </c>
      <c r="B6" s="467" t="inlineStr">
        <is>
          <t>2297152000000051071</t>
        </is>
      </c>
      <c r="C6" s="467" t="inlineStr">
        <is>
          <t>INV-25-26-000005</t>
        </is>
      </c>
      <c r="D6" s="467" t="inlineStr">
        <is>
          <t>Overdue</t>
        </is>
      </c>
      <c r="E6" s="467" t="inlineStr">
        <is>
          <t>2297152000000051011</t>
        </is>
      </c>
      <c r="F6" s="467" t="inlineStr">
        <is>
          <t>VACUITAS COUNSELLOR LLP</t>
        </is>
      </c>
      <c r="G6" s="467" t="inlineStr">
        <is>
          <t>WB</t>
        </is>
      </c>
      <c r="H6" s="467" t="inlineStr">
        <is>
          <t>19-West Bengal</t>
        </is>
      </c>
      <c r="I6" s="467" t="inlineStr">
        <is>
          <t>business_gst</t>
        </is>
      </c>
      <c r="J6" s="467" t="inlineStr">
        <is>
          <t>false</t>
        </is>
      </c>
      <c r="K6" s="466" t="n">
        <v>45750</v>
      </c>
      <c r="L6" s="467" t="n"/>
      <c r="M6" s="467" t="inlineStr">
        <is>
          <t>INR</t>
        </is>
      </c>
      <c r="N6" s="467" t="n">
        <v>1</v>
      </c>
      <c r="O6" s="467" t="inlineStr">
        <is>
          <t>item_level</t>
        </is>
      </c>
      <c r="P6" s="467" t="inlineStr">
        <is>
          <t>true</t>
        </is>
      </c>
      <c r="Q6" s="467" t="inlineStr">
        <is>
          <t>Tax Invoice</t>
        </is>
      </c>
      <c r="R6" s="467" t="inlineStr">
        <is>
          <t>0.00</t>
        </is>
      </c>
      <c r="S6" s="467" t="n"/>
      <c r="T6" s="467" t="n"/>
      <c r="U6" s="467" t="inlineStr">
        <is>
          <t>item_level</t>
        </is>
      </c>
      <c r="V6" s="467" t="n"/>
      <c r="W6" s="467" t="inlineStr">
        <is>
          <t>0.00</t>
        </is>
      </c>
      <c r="X6" s="467" t="n"/>
      <c r="Y6" s="467" t="n"/>
      <c r="Z6" s="467" t="inlineStr">
        <is>
          <t>0.000</t>
        </is>
      </c>
      <c r="AA6" s="467" t="n">
        <v>99000</v>
      </c>
      <c r="AB6" s="467" t="n">
        <v>116820</v>
      </c>
      <c r="AC6" s="467" t="n">
        <v>116820</v>
      </c>
      <c r="AD6" s="467" t="n">
        <v>0</v>
      </c>
      <c r="AE6" s="467" t="inlineStr">
        <is>
          <t>Adjustment</t>
        </is>
      </c>
      <c r="AF6" s="467" t="n"/>
      <c r="AG6" s="467" t="n"/>
      <c r="AH6" s="467" t="inlineStr">
        <is>
          <t>0</t>
        </is>
      </c>
      <c r="AI6" s="467" t="inlineStr">
        <is>
          <t>Due On Receipt</t>
        </is>
      </c>
      <c r="AJ6" s="467" t="inlineStr">
        <is>
          <t>Thanks for your business.</t>
        </is>
      </c>
      <c r="AK6" s="467" t="n"/>
      <c r="AL6" s="467" t="n"/>
      <c r="AM6" s="467" t="n"/>
      <c r="AN6" s="467" t="n"/>
      <c r="AO6" s="467" t="n"/>
      <c r="AP6" s="467" t="n"/>
      <c r="AQ6" s="467" t="n"/>
      <c r="AR6" s="467" t="n"/>
      <c r="AS6" s="467" t="n"/>
      <c r="AT6" s="467" t="inlineStr">
        <is>
          <t>Invoice</t>
        </is>
      </c>
      <c r="AU6" s="467" t="inlineStr">
        <is>
          <t>0.0</t>
        </is>
      </c>
      <c r="AV6" s="467" t="n">
        <v>0</v>
      </c>
      <c r="AW6" s="467" t="n"/>
      <c r="AX6" s="467" t="n"/>
      <c r="AY6" s="467" t="n"/>
      <c r="AZ6" s="467" t="n"/>
      <c r="BA6" s="467" t="n"/>
      <c r="BB6" s="467" t="n"/>
      <c r="BC6" s="467" t="n"/>
      <c r="BD6" s="467" t="inlineStr">
        <is>
          <t>Jurisphere Enterprise Subscription</t>
        </is>
      </c>
      <c r="BE6" s="468" t="inlineStr">
        <is>
          <t>Subscription Period- 1 year
Description- Unlimited Tool for 2 logins</t>
        </is>
      </c>
      <c r="BF6" s="467" t="n">
        <v>2</v>
      </c>
      <c r="BG6" s="467" t="inlineStr">
        <is>
          <t>0.00</t>
        </is>
      </c>
      <c r="BH6" s="467" t="inlineStr">
        <is>
          <t>0.00</t>
        </is>
      </c>
      <c r="BI6" s="467" t="n">
        <v>99000</v>
      </c>
      <c r="BJ6" s="467" t="inlineStr">
        <is>
          <t>pcs</t>
        </is>
      </c>
      <c r="BK6" s="467" t="n">
        <v>49500</v>
      </c>
      <c r="BL6" s="467" t="inlineStr">
        <is>
          <t>2297152000000039748</t>
        </is>
      </c>
      <c r="BM6" s="467" t="n"/>
      <c r="BN6" s="467" t="n"/>
      <c r="BO6" s="467" t="n"/>
      <c r="BP6" s="467" t="n"/>
      <c r="BQ6" s="467" t="n"/>
      <c r="BR6" s="467" t="inlineStr">
        <is>
          <t>6, Brabourne Road,</t>
        </is>
      </c>
      <c r="BS6" s="467" t="n"/>
      <c r="BT6" s="467" t="inlineStr">
        <is>
          <t>Kolkata</t>
        </is>
      </c>
      <c r="BU6" s="467" t="inlineStr">
        <is>
          <t>West Bengal</t>
        </is>
      </c>
      <c r="BV6" s="467" t="inlineStr">
        <is>
          <t>India</t>
        </is>
      </c>
      <c r="BW6" s="467" t="inlineStr">
        <is>
          <t>700001</t>
        </is>
      </c>
      <c r="BX6" s="467" t="n"/>
      <c r="BY6" s="467" t="n"/>
      <c r="BZ6" s="467" t="n"/>
      <c r="CA6" s="467" t="inlineStr">
        <is>
          <t>6, Brabourne Road,</t>
        </is>
      </c>
      <c r="CB6" s="467" t="n"/>
      <c r="CC6" s="467" t="inlineStr">
        <is>
          <t>Kolkata</t>
        </is>
      </c>
      <c r="CD6" s="467" t="inlineStr">
        <is>
          <t>West Bengal</t>
        </is>
      </c>
      <c r="CE6" s="467" t="inlineStr">
        <is>
          <t>India</t>
        </is>
      </c>
      <c r="CF6" s="467" t="inlineStr">
        <is>
          <t>700001</t>
        </is>
      </c>
      <c r="CG6" s="467" t="n"/>
      <c r="CH6" s="467" t="n"/>
      <c r="CI6" s="467" t="inlineStr">
        <is>
          <t>Coresphere100 Technologies Pvt. Ltd.</t>
        </is>
      </c>
      <c r="CJ6" s="467" t="inlineStr">
        <is>
          <t>09AALCC7037K1Z7</t>
        </is>
      </c>
      <c r="CK6" s="467" t="inlineStr">
        <is>
          <t>16026, 16th Floor, Tower Oakwood,</t>
        </is>
      </c>
      <c r="CL6" s="467" t="inlineStr">
        <is>
          <t>Greater Noida,</t>
        </is>
      </c>
      <c r="CM6" s="467" t="inlineStr">
        <is>
          <t>Uttar Pradesh</t>
        </is>
      </c>
      <c r="CN6" s="467" t="inlineStr">
        <is>
          <t>India</t>
        </is>
      </c>
      <c r="CO6" s="467" t="inlineStr">
        <is>
          <t>201306</t>
        </is>
      </c>
      <c r="CP6" s="467" t="inlineStr">
        <is>
          <t>8928163657</t>
        </is>
      </c>
      <c r="CQ6" s="467" t="inlineStr">
        <is>
          <t>manas@jurisphere.ai</t>
        </is>
      </c>
      <c r="CR6" s="467" t="inlineStr">
        <is>
          <t>0.00</t>
        </is>
      </c>
      <c r="CS6" s="467" t="inlineStr">
        <is>
          <t>0.00</t>
        </is>
      </c>
      <c r="CT6" s="467" t="inlineStr">
        <is>
          <t>18.00</t>
        </is>
      </c>
      <c r="CU6" s="467" t="inlineStr">
        <is>
          <t>0.00</t>
        </is>
      </c>
      <c r="CV6" s="467" t="inlineStr">
        <is>
          <t>0.00</t>
        </is>
      </c>
      <c r="CW6" s="467" t="inlineStr">
        <is>
          <t>0.00</t>
        </is>
      </c>
      <c r="CX6" s="467" t="inlineStr">
        <is>
          <t>17820.00</t>
        </is>
      </c>
      <c r="CY6" s="467" t="inlineStr">
        <is>
          <t>0.00</t>
        </is>
      </c>
      <c r="CZ6" s="467" t="inlineStr">
        <is>
          <t>0.00</t>
        </is>
      </c>
      <c r="DA6" s="467" t="inlineStr">
        <is>
          <t>0.00</t>
        </is>
      </c>
      <c r="DB6" s="467" t="inlineStr">
        <is>
          <t>17820.00</t>
        </is>
      </c>
      <c r="DC6" s="467" t="inlineStr">
        <is>
          <t>0.00</t>
        </is>
      </c>
      <c r="DD6" s="467" t="n"/>
      <c r="DE6" s="467" t="n"/>
      <c r="DF6" s="467" t="n"/>
      <c r="DG6" s="467" t="n"/>
      <c r="DH6" s="467" t="n"/>
      <c r="DI6" s="467" t="inlineStr">
        <is>
          <t>0.000</t>
        </is>
      </c>
      <c r="DJ6" s="467" t="n"/>
      <c r="DK6" s="467" t="n"/>
      <c r="DL6" s="467" t="inlineStr">
        <is>
          <t>19AAVFV8769L1ZO</t>
        </is>
      </c>
      <c r="DM6" s="467" t="n"/>
      <c r="DN6" s="467" t="n"/>
      <c r="DO6" s="467" t="n"/>
      <c r="DP6" s="467" t="inlineStr">
        <is>
          <t>998313</t>
        </is>
      </c>
      <c r="DQ6" s="467" t="n">
        <v>0</v>
      </c>
      <c r="DR6" s="467" t="n"/>
      <c r="DS6" s="467" t="n"/>
      <c r="DT6" s="467" t="n"/>
      <c r="DU6" s="467" t="n"/>
      <c r="DV6" s="467" t="n"/>
      <c r="DW6" s="467" t="n"/>
      <c r="DX6" s="467" t="inlineStr">
        <is>
          <t>service</t>
        </is>
      </c>
      <c r="DY6" s="467" t="n"/>
      <c r="DZ6" s="467" t="n"/>
      <c r="EA6" s="467" t="n"/>
      <c r="EB6" s="467" t="n"/>
      <c r="EC6" s="467" t="n"/>
      <c r="ED6" s="467" t="n"/>
      <c r="EE6" s="467" t="n"/>
      <c r="EF6" s="467" t="n"/>
      <c r="EG6" s="467" t="n"/>
      <c r="EH6" s="467" t="inlineStr">
        <is>
          <t>Others</t>
        </is>
      </c>
      <c r="EI6" s="467" t="n"/>
      <c r="EJ6" s="467" t="n"/>
      <c r="EK6" s="467" t="inlineStr">
        <is>
          <t>Sales</t>
        </is>
      </c>
      <c r="EL6" s="467" t="n"/>
      <c r="EM6" s="467" t="inlineStr">
        <is>
          <t>Taxable</t>
        </is>
      </c>
      <c r="EN6" s="467" t="inlineStr">
        <is>
          <t>2297152000000031111</t>
        </is>
      </c>
      <c r="EO6" s="467" t="inlineStr">
        <is>
          <t>IGST18</t>
        </is>
      </c>
      <c r="EP6" s="467" t="inlineStr">
        <is>
          <t>18.00</t>
        </is>
      </c>
      <c r="EQ6" s="467" t="n">
        <v>17820</v>
      </c>
      <c r="ER6" s="467" t="inlineStr">
        <is>
          <t>ItemAmount</t>
        </is>
      </c>
      <c r="ES6" s="467" t="n"/>
      <c r="ET6" s="467" t="n"/>
    </row>
    <row r="7" ht="13.5" customHeight="1" s="253">
      <c r="A7" s="466" t="n">
        <v>45752</v>
      </c>
      <c r="B7" s="467" t="inlineStr">
        <is>
          <t>2297152000000053035</t>
        </is>
      </c>
      <c r="C7" s="467" t="inlineStr">
        <is>
          <t>INV-25-26-000006</t>
        </is>
      </c>
      <c r="D7" s="467" t="inlineStr">
        <is>
          <t>Closed</t>
        </is>
      </c>
      <c r="E7" s="467" t="inlineStr">
        <is>
          <t>2297152000000053017</t>
        </is>
      </c>
      <c r="F7" s="467" t="inlineStr">
        <is>
          <t>Tvashta Law</t>
        </is>
      </c>
      <c r="G7" s="467" t="inlineStr">
        <is>
          <t>DL</t>
        </is>
      </c>
      <c r="H7" s="467" t="inlineStr">
        <is>
          <t>07-Delhi</t>
        </is>
      </c>
      <c r="I7" s="467" t="inlineStr">
        <is>
          <t>business_none</t>
        </is>
      </c>
      <c r="J7" s="467" t="inlineStr">
        <is>
          <t>false</t>
        </is>
      </c>
      <c r="K7" s="466" t="n">
        <v>45752</v>
      </c>
      <c r="L7" s="467" t="n"/>
      <c r="M7" s="467" t="inlineStr">
        <is>
          <t>INR</t>
        </is>
      </c>
      <c r="N7" s="467" t="n">
        <v>1</v>
      </c>
      <c r="O7" s="467" t="inlineStr">
        <is>
          <t>item_level</t>
        </is>
      </c>
      <c r="P7" s="467" t="inlineStr">
        <is>
          <t>true</t>
        </is>
      </c>
      <c r="Q7" s="467" t="inlineStr">
        <is>
          <t>Tax Invoice</t>
        </is>
      </c>
      <c r="R7" s="467" t="inlineStr">
        <is>
          <t>0.00</t>
        </is>
      </c>
      <c r="S7" s="467" t="n"/>
      <c r="T7" s="467" t="n"/>
      <c r="U7" s="467" t="inlineStr">
        <is>
          <t>item_level</t>
        </is>
      </c>
      <c r="V7" s="467" t="n"/>
      <c r="W7" s="467" t="inlineStr">
        <is>
          <t>0.00</t>
        </is>
      </c>
      <c r="X7" s="467" t="n"/>
      <c r="Y7" s="467" t="n"/>
      <c r="Z7" s="467" t="inlineStr">
        <is>
          <t>0.000</t>
        </is>
      </c>
      <c r="AA7" s="467" t="n">
        <v>2000</v>
      </c>
      <c r="AB7" s="467" t="n">
        <v>2360</v>
      </c>
      <c r="AC7" s="467" t="n">
        <v>0</v>
      </c>
      <c r="AD7" s="467" t="n">
        <v>0</v>
      </c>
      <c r="AE7" s="467" t="inlineStr">
        <is>
          <t>Adjustment</t>
        </is>
      </c>
      <c r="AF7" s="467" t="n"/>
      <c r="AG7" s="466" t="n">
        <v>45752</v>
      </c>
      <c r="AH7" s="467" t="inlineStr">
        <is>
          <t>0</t>
        </is>
      </c>
      <c r="AI7" s="467" t="inlineStr">
        <is>
          <t>Due On Receipt</t>
        </is>
      </c>
      <c r="AJ7" s="467" t="inlineStr">
        <is>
          <t>Thanks for your business.</t>
        </is>
      </c>
      <c r="AK7" s="467" t="n"/>
      <c r="AL7" s="467" t="n"/>
      <c r="AM7" s="467" t="n"/>
      <c r="AN7" s="467" t="n"/>
      <c r="AO7" s="467" t="n"/>
      <c r="AP7" s="467" t="n"/>
      <c r="AQ7" s="467" t="n"/>
      <c r="AR7" s="467" t="n"/>
      <c r="AS7" s="467" t="n"/>
      <c r="AT7" s="467" t="inlineStr">
        <is>
          <t>Invoice</t>
        </is>
      </c>
      <c r="AU7" s="467" t="inlineStr">
        <is>
          <t>0.0</t>
        </is>
      </c>
      <c r="AV7" s="467" t="n">
        <v>0</v>
      </c>
      <c r="AW7" s="467" t="n"/>
      <c r="AX7" s="467" t="n"/>
      <c r="AY7" s="467" t="n"/>
      <c r="AZ7" s="467" t="n"/>
      <c r="BA7" s="467" t="n"/>
      <c r="BB7" s="467" t="n"/>
      <c r="BC7" s="467" t="n"/>
      <c r="BD7" s="467" t="inlineStr">
        <is>
          <t>Jurisphere Enterprise Subscription</t>
        </is>
      </c>
      <c r="BE7" s="467" t="inlineStr">
        <is>
          <t>Description - 10 credits for MCA of INR 200/credit</t>
        </is>
      </c>
      <c r="BF7" s="467" t="n">
        <v>10</v>
      </c>
      <c r="BG7" s="467" t="inlineStr">
        <is>
          <t>0.00</t>
        </is>
      </c>
      <c r="BH7" s="467" t="inlineStr">
        <is>
          <t>0.00</t>
        </is>
      </c>
      <c r="BI7" s="467" t="n">
        <v>2000</v>
      </c>
      <c r="BJ7" s="467" t="inlineStr">
        <is>
          <t>pcs</t>
        </is>
      </c>
      <c r="BK7" s="467" t="n">
        <v>200</v>
      </c>
      <c r="BL7" s="467" t="inlineStr">
        <is>
          <t>2297152000000039748</t>
        </is>
      </c>
      <c r="BM7" s="467" t="n"/>
      <c r="BN7" s="467" t="n"/>
      <c r="BO7" s="467" t="n"/>
      <c r="BP7" s="467" t="n"/>
      <c r="BQ7" s="467" t="n"/>
      <c r="BR7" s="467" t="inlineStr">
        <is>
          <t>C 36 Lower Ground Floor,</t>
        </is>
      </c>
      <c r="BS7" s="467" t="inlineStr">
        <is>
          <t>Mayfair Gardens,</t>
        </is>
      </c>
      <c r="BT7" s="467" t="inlineStr">
        <is>
          <t>New Delhi</t>
        </is>
      </c>
      <c r="BU7" s="467" t="inlineStr">
        <is>
          <t>Delhi</t>
        </is>
      </c>
      <c r="BV7" s="467" t="inlineStr">
        <is>
          <t>India</t>
        </is>
      </c>
      <c r="BW7" s="467" t="inlineStr">
        <is>
          <t>110019</t>
        </is>
      </c>
      <c r="BX7" s="467" t="n"/>
      <c r="BY7" s="467" t="n"/>
      <c r="BZ7" s="467" t="n"/>
      <c r="CA7" s="467" t="inlineStr">
        <is>
          <t>C 36 Lower Ground Floor,</t>
        </is>
      </c>
      <c r="CB7" s="467" t="inlineStr">
        <is>
          <t>Mayfair Gardens,</t>
        </is>
      </c>
      <c r="CC7" s="467" t="inlineStr">
        <is>
          <t>New Delhi</t>
        </is>
      </c>
      <c r="CD7" s="467" t="inlineStr">
        <is>
          <t>Delhi</t>
        </is>
      </c>
      <c r="CE7" s="467" t="inlineStr">
        <is>
          <t>India</t>
        </is>
      </c>
      <c r="CF7" s="467" t="inlineStr">
        <is>
          <t>110019</t>
        </is>
      </c>
      <c r="CG7" s="467" t="n"/>
      <c r="CH7" s="467" t="n"/>
      <c r="CI7" s="467" t="inlineStr">
        <is>
          <t>Coresphere100 Technologies Pvt. Ltd.</t>
        </is>
      </c>
      <c r="CJ7" s="467" t="inlineStr">
        <is>
          <t>09AALCC7037K1Z7</t>
        </is>
      </c>
      <c r="CK7" s="467" t="inlineStr">
        <is>
          <t>16026, 16th Floor, Tower Oakwood,</t>
        </is>
      </c>
      <c r="CL7" s="467" t="inlineStr">
        <is>
          <t>Greater Noida,</t>
        </is>
      </c>
      <c r="CM7" s="467" t="inlineStr">
        <is>
          <t>Uttar Pradesh</t>
        </is>
      </c>
      <c r="CN7" s="467" t="inlineStr">
        <is>
          <t>India</t>
        </is>
      </c>
      <c r="CO7" s="467" t="inlineStr">
        <is>
          <t>201306</t>
        </is>
      </c>
      <c r="CP7" s="467" t="inlineStr">
        <is>
          <t>8928163657</t>
        </is>
      </c>
      <c r="CQ7" s="467" t="inlineStr">
        <is>
          <t>manas@jurisphere.ai</t>
        </is>
      </c>
      <c r="CR7" s="467" t="inlineStr">
        <is>
          <t>0.00</t>
        </is>
      </c>
      <c r="CS7" s="467" t="inlineStr">
        <is>
          <t>0.00</t>
        </is>
      </c>
      <c r="CT7" s="467" t="inlineStr">
        <is>
          <t>18.00</t>
        </is>
      </c>
      <c r="CU7" s="467" t="inlineStr">
        <is>
          <t>0.00</t>
        </is>
      </c>
      <c r="CV7" s="467" t="inlineStr">
        <is>
          <t>0.00</t>
        </is>
      </c>
      <c r="CW7" s="467" t="inlineStr">
        <is>
          <t>0.00</t>
        </is>
      </c>
      <c r="CX7" s="467" t="inlineStr">
        <is>
          <t>360.00</t>
        </is>
      </c>
      <c r="CY7" s="467" t="inlineStr">
        <is>
          <t>0.00</t>
        </is>
      </c>
      <c r="CZ7" s="467" t="inlineStr">
        <is>
          <t>0.00</t>
        </is>
      </c>
      <c r="DA7" s="467" t="inlineStr">
        <is>
          <t>0.00</t>
        </is>
      </c>
      <c r="DB7" s="467" t="inlineStr">
        <is>
          <t>360.00</t>
        </is>
      </c>
      <c r="DC7" s="467" t="inlineStr">
        <is>
          <t>0.00</t>
        </is>
      </c>
      <c r="DD7" s="467" t="n"/>
      <c r="DE7" s="467" t="n"/>
      <c r="DF7" s="467" t="n"/>
      <c r="DG7" s="467" t="n"/>
      <c r="DH7" s="467" t="n"/>
      <c r="DI7" s="467" t="inlineStr">
        <is>
          <t>0.000</t>
        </is>
      </c>
      <c r="DJ7" s="467" t="n"/>
      <c r="DK7" s="467" t="n"/>
      <c r="DL7" s="467" t="n"/>
      <c r="DM7" s="467" t="n"/>
      <c r="DN7" s="467" t="n"/>
      <c r="DO7" s="467" t="n"/>
      <c r="DP7" s="467" t="inlineStr">
        <is>
          <t>998313</t>
        </is>
      </c>
      <c r="DQ7" s="467" t="n">
        <v>0</v>
      </c>
      <c r="DR7" s="467" t="n"/>
      <c r="DS7" s="467" t="n"/>
      <c r="DT7" s="467" t="n"/>
      <c r="DU7" s="467" t="n"/>
      <c r="DV7" s="467" t="n"/>
      <c r="DW7" s="467" t="n"/>
      <c r="DX7" s="467" t="inlineStr">
        <is>
          <t>service</t>
        </is>
      </c>
      <c r="DY7" s="467" t="n"/>
      <c r="DZ7" s="467" t="n"/>
      <c r="EA7" s="467" t="n"/>
      <c r="EB7" s="467" t="n"/>
      <c r="EC7" s="467" t="n"/>
      <c r="ED7" s="467" t="n"/>
      <c r="EE7" s="467" t="n"/>
      <c r="EF7" s="467" t="n"/>
      <c r="EG7" s="467" t="n"/>
      <c r="EH7" s="467" t="inlineStr">
        <is>
          <t>Others</t>
        </is>
      </c>
      <c r="EI7" s="467" t="n"/>
      <c r="EJ7" s="467" t="n"/>
      <c r="EK7" s="467" t="inlineStr">
        <is>
          <t>Sales</t>
        </is>
      </c>
      <c r="EL7" s="467" t="n"/>
      <c r="EM7" s="467" t="inlineStr">
        <is>
          <t>Taxable</t>
        </is>
      </c>
      <c r="EN7" s="467" t="inlineStr">
        <is>
          <t>2297152000000031111</t>
        </is>
      </c>
      <c r="EO7" s="467" t="inlineStr">
        <is>
          <t>IGST18</t>
        </is>
      </c>
      <c r="EP7" s="467" t="inlineStr">
        <is>
          <t>18.00</t>
        </is>
      </c>
      <c r="EQ7" s="467" t="n">
        <v>360</v>
      </c>
      <c r="ER7" s="467" t="inlineStr">
        <is>
          <t>ItemAmount</t>
        </is>
      </c>
      <c r="ES7" s="467" t="n"/>
      <c r="ET7" s="467" t="n"/>
    </row>
    <row r="8" ht="26.85" customHeight="1" s="253">
      <c r="A8" s="466" t="n">
        <v>45754</v>
      </c>
      <c r="B8" s="467" t="inlineStr">
        <is>
          <t>2297152000000054231</t>
        </is>
      </c>
      <c r="C8" s="467" t="inlineStr">
        <is>
          <t>INV-25-26-000007</t>
        </is>
      </c>
      <c r="D8" s="467" t="inlineStr">
        <is>
          <t>Closed</t>
        </is>
      </c>
      <c r="E8" s="467" t="inlineStr">
        <is>
          <t>2297152000000054193</t>
        </is>
      </c>
      <c r="F8" s="467" t="inlineStr">
        <is>
          <t>U. S. GANDHI &amp; CO.</t>
        </is>
      </c>
      <c r="G8" s="467" t="inlineStr">
        <is>
          <t>MH</t>
        </is>
      </c>
      <c r="H8" s="467" t="inlineStr">
        <is>
          <t>27-Maharashtra</t>
        </is>
      </c>
      <c r="I8" s="467" t="inlineStr">
        <is>
          <t>business_gst</t>
        </is>
      </c>
      <c r="J8" s="467" t="inlineStr">
        <is>
          <t>false</t>
        </is>
      </c>
      <c r="K8" s="466" t="n">
        <v>45754</v>
      </c>
      <c r="L8" s="467" t="n"/>
      <c r="M8" s="467" t="inlineStr">
        <is>
          <t>INR</t>
        </is>
      </c>
      <c r="N8" s="467" t="n">
        <v>1</v>
      </c>
      <c r="O8" s="467" t="inlineStr">
        <is>
          <t>item_level</t>
        </is>
      </c>
      <c r="P8" s="467" t="inlineStr">
        <is>
          <t>true</t>
        </is>
      </c>
      <c r="Q8" s="467" t="inlineStr">
        <is>
          <t>Tax Invoice</t>
        </is>
      </c>
      <c r="R8" s="467" t="inlineStr">
        <is>
          <t>0.00</t>
        </is>
      </c>
      <c r="S8" s="467" t="n"/>
      <c r="T8" s="467" t="n"/>
      <c r="U8" s="467" t="inlineStr">
        <is>
          <t>item_level</t>
        </is>
      </c>
      <c r="V8" s="467" t="n"/>
      <c r="W8" s="467" t="inlineStr">
        <is>
          <t>0.00</t>
        </is>
      </c>
      <c r="X8" s="467" t="n"/>
      <c r="Y8" s="467" t="n"/>
      <c r="Z8" s="467" t="inlineStr">
        <is>
          <t>0.000</t>
        </is>
      </c>
      <c r="AA8" s="467" t="n">
        <v>8000</v>
      </c>
      <c r="AB8" s="467" t="n">
        <v>9440</v>
      </c>
      <c r="AC8" s="467" t="n">
        <v>0</v>
      </c>
      <c r="AD8" s="467" t="n">
        <v>0</v>
      </c>
      <c r="AE8" s="467" t="inlineStr">
        <is>
          <t>Adjustment</t>
        </is>
      </c>
      <c r="AF8" s="467" t="n"/>
      <c r="AG8" s="466" t="n">
        <v>45754</v>
      </c>
      <c r="AH8" s="467" t="inlineStr">
        <is>
          <t>0</t>
        </is>
      </c>
      <c r="AI8" s="467" t="inlineStr">
        <is>
          <t>Due On Receipt</t>
        </is>
      </c>
      <c r="AJ8" s="467" t="inlineStr">
        <is>
          <t>Thanks for your business.</t>
        </is>
      </c>
      <c r="AK8" s="467" t="n"/>
      <c r="AL8" s="467" t="n"/>
      <c r="AM8" s="467" t="n"/>
      <c r="AN8" s="467" t="n"/>
      <c r="AO8" s="467" t="n"/>
      <c r="AP8" s="467" t="n"/>
      <c r="AQ8" s="467" t="n"/>
      <c r="AR8" s="467" t="n"/>
      <c r="AS8" s="467" t="n"/>
      <c r="AT8" s="467" t="inlineStr">
        <is>
          <t>Invoice</t>
        </is>
      </c>
      <c r="AU8" s="467" t="inlineStr">
        <is>
          <t>0.0</t>
        </is>
      </c>
      <c r="AV8" s="467" t="n">
        <v>0</v>
      </c>
      <c r="AW8" s="467" t="n"/>
      <c r="AX8" s="467" t="n"/>
      <c r="AY8" s="467" t="n"/>
      <c r="AZ8" s="467" t="n"/>
      <c r="BA8" s="467" t="n"/>
      <c r="BB8" s="467" t="n"/>
      <c r="BC8" s="467" t="n"/>
      <c r="BD8" s="467" t="inlineStr">
        <is>
          <t>Jurisphere Enterprise Subscription</t>
        </is>
      </c>
      <c r="BE8" s="468" t="inlineStr">
        <is>
          <t xml:space="preserve">Description -
Unlimited usage of 1 license for 2 months for Rs.4000/month </t>
        </is>
      </c>
      <c r="BF8" s="467" t="n">
        <v>1</v>
      </c>
      <c r="BG8" s="467" t="inlineStr">
        <is>
          <t>0.00</t>
        </is>
      </c>
      <c r="BH8" s="467" t="inlineStr">
        <is>
          <t>0.00</t>
        </is>
      </c>
      <c r="BI8" s="467" t="n">
        <v>8000</v>
      </c>
      <c r="BJ8" s="467" t="inlineStr">
        <is>
          <t>pcs</t>
        </is>
      </c>
      <c r="BK8" s="467" t="n">
        <v>8000</v>
      </c>
      <c r="BL8" s="467" t="inlineStr">
        <is>
          <t>2297152000000039748</t>
        </is>
      </c>
      <c r="BM8" s="467" t="n"/>
      <c r="BN8" s="467" t="n"/>
      <c r="BO8" s="467" t="n"/>
      <c r="BP8" s="467" t="n"/>
      <c r="BQ8" s="467" t="n"/>
      <c r="BR8" s="467" t="inlineStr">
        <is>
          <t>2ND FLOOR, 114, SUNDERVILLA, SV ROAD,</t>
        </is>
      </c>
      <c r="BS8" s="467" t="inlineStr">
        <is>
          <t>NEXT TO VIJAY SALES, SANTACRUZ WEST, Mumbai Suburban,</t>
        </is>
      </c>
      <c r="BT8" s="467" t="inlineStr">
        <is>
          <t>Mumbai</t>
        </is>
      </c>
      <c r="BU8" s="467" t="inlineStr">
        <is>
          <t>Maharashtra</t>
        </is>
      </c>
      <c r="BV8" s="467" t="inlineStr">
        <is>
          <t>India</t>
        </is>
      </c>
      <c r="BW8" s="467" t="inlineStr">
        <is>
          <t>400054</t>
        </is>
      </c>
      <c r="BX8" s="467" t="n"/>
      <c r="BY8" s="467" t="n"/>
      <c r="BZ8" s="467" t="n"/>
      <c r="CA8" s="467" t="inlineStr">
        <is>
          <t>2ND FLOOR, 114, SUNDERVILLA, SV ROAD,</t>
        </is>
      </c>
      <c r="CB8" s="467" t="inlineStr">
        <is>
          <t>NEXT TO VIJAY SALES, SANTACRUZ WEST, Mumbai Suburban,</t>
        </is>
      </c>
      <c r="CC8" s="467" t="inlineStr">
        <is>
          <t>Mumbai</t>
        </is>
      </c>
      <c r="CD8" s="467" t="inlineStr">
        <is>
          <t>Maharashtra</t>
        </is>
      </c>
      <c r="CE8" s="467" t="inlineStr">
        <is>
          <t>India</t>
        </is>
      </c>
      <c r="CF8" s="467" t="inlineStr">
        <is>
          <t>400054</t>
        </is>
      </c>
      <c r="CG8" s="467" t="n"/>
      <c r="CH8" s="467" t="n"/>
      <c r="CI8" s="467" t="inlineStr">
        <is>
          <t>Coresphere100 Technologies Pvt. Ltd.</t>
        </is>
      </c>
      <c r="CJ8" s="467" t="inlineStr">
        <is>
          <t>09AALCC7037K1Z7</t>
        </is>
      </c>
      <c r="CK8" s="467" t="inlineStr">
        <is>
          <t>16026, 16th Floor, Tower Oakwood,</t>
        </is>
      </c>
      <c r="CL8" s="467" t="inlineStr">
        <is>
          <t>Greater Noida,</t>
        </is>
      </c>
      <c r="CM8" s="467" t="inlineStr">
        <is>
          <t>Uttar Pradesh</t>
        </is>
      </c>
      <c r="CN8" s="467" t="inlineStr">
        <is>
          <t>India</t>
        </is>
      </c>
      <c r="CO8" s="467" t="inlineStr">
        <is>
          <t>201306</t>
        </is>
      </c>
      <c r="CP8" s="467" t="inlineStr">
        <is>
          <t>8928163657</t>
        </is>
      </c>
      <c r="CQ8" s="467" t="inlineStr">
        <is>
          <t>manas@jurisphere.ai</t>
        </is>
      </c>
      <c r="CR8" s="467" t="inlineStr">
        <is>
          <t>0.00</t>
        </is>
      </c>
      <c r="CS8" s="467" t="inlineStr">
        <is>
          <t>0.00</t>
        </is>
      </c>
      <c r="CT8" s="467" t="inlineStr">
        <is>
          <t>18.00</t>
        </is>
      </c>
      <c r="CU8" s="467" t="inlineStr">
        <is>
          <t>0.00</t>
        </is>
      </c>
      <c r="CV8" s="467" t="inlineStr">
        <is>
          <t>0.00</t>
        </is>
      </c>
      <c r="CW8" s="467" t="inlineStr">
        <is>
          <t>0.00</t>
        </is>
      </c>
      <c r="CX8" s="467" t="inlineStr">
        <is>
          <t>1440.00</t>
        </is>
      </c>
      <c r="CY8" s="467" t="inlineStr">
        <is>
          <t>0.00</t>
        </is>
      </c>
      <c r="CZ8" s="467" t="inlineStr">
        <is>
          <t>0.00</t>
        </is>
      </c>
      <c r="DA8" s="467" t="inlineStr">
        <is>
          <t>0.00</t>
        </is>
      </c>
      <c r="DB8" s="467" t="inlineStr">
        <is>
          <t>1440.00</t>
        </is>
      </c>
      <c r="DC8" s="467" t="inlineStr">
        <is>
          <t>0.00</t>
        </is>
      </c>
      <c r="DD8" s="467" t="n"/>
      <c r="DE8" s="467" t="n"/>
      <c r="DF8" s="467" t="n"/>
      <c r="DG8" s="467" t="n"/>
      <c r="DH8" s="467" t="n"/>
      <c r="DI8" s="467" t="inlineStr">
        <is>
          <t>0.000</t>
        </is>
      </c>
      <c r="DJ8" s="467" t="n"/>
      <c r="DK8" s="467" t="n"/>
      <c r="DL8" s="467" t="inlineStr">
        <is>
          <t>27AACFU5143J1Z1</t>
        </is>
      </c>
      <c r="DM8" s="467" t="n"/>
      <c r="DN8" s="467" t="n"/>
      <c r="DO8" s="467" t="n"/>
      <c r="DP8" s="467" t="inlineStr">
        <is>
          <t>998313</t>
        </is>
      </c>
      <c r="DQ8" s="467" t="n">
        <v>0</v>
      </c>
      <c r="DR8" s="467" t="n"/>
      <c r="DS8" s="467" t="n"/>
      <c r="DT8" s="467" t="n"/>
      <c r="DU8" s="467" t="n"/>
      <c r="DV8" s="467" t="n"/>
      <c r="DW8" s="467" t="n"/>
      <c r="DX8" s="467" t="inlineStr">
        <is>
          <t>service</t>
        </is>
      </c>
      <c r="DY8" s="467" t="n"/>
      <c r="DZ8" s="467" t="n"/>
      <c r="EA8" s="467" t="n"/>
      <c r="EB8" s="467" t="n"/>
      <c r="EC8" s="467" t="n"/>
      <c r="ED8" s="467" t="n"/>
      <c r="EE8" s="467" t="n"/>
      <c r="EF8" s="467" t="n"/>
      <c r="EG8" s="467" t="n"/>
      <c r="EH8" s="467" t="inlineStr">
        <is>
          <t>Others</t>
        </is>
      </c>
      <c r="EI8" s="467" t="n"/>
      <c r="EJ8" s="467" t="n"/>
      <c r="EK8" s="467" t="inlineStr">
        <is>
          <t>Sales</t>
        </is>
      </c>
      <c r="EL8" s="467" t="n"/>
      <c r="EM8" s="467" t="inlineStr">
        <is>
          <t>Taxable</t>
        </is>
      </c>
      <c r="EN8" s="467" t="inlineStr">
        <is>
          <t>2297152000000031111</t>
        </is>
      </c>
      <c r="EO8" s="467" t="inlineStr">
        <is>
          <t>IGST18</t>
        </is>
      </c>
      <c r="EP8" s="467" t="inlineStr">
        <is>
          <t>18.00</t>
        </is>
      </c>
      <c r="EQ8" s="467" t="n">
        <v>1440</v>
      </c>
      <c r="ER8" s="467" t="inlineStr">
        <is>
          <t>ItemAmount</t>
        </is>
      </c>
      <c r="ES8" s="467" t="n"/>
      <c r="ET8" s="467" t="n"/>
    </row>
    <row r="9" ht="13.5" customHeight="1" s="253">
      <c r="A9" s="466" t="n">
        <v>45754</v>
      </c>
      <c r="B9" s="467" t="inlineStr">
        <is>
          <t>2297152000000054324</t>
        </is>
      </c>
      <c r="C9" s="467" t="inlineStr">
        <is>
          <t>INV-25-26-000008</t>
        </is>
      </c>
      <c r="D9" s="467" t="inlineStr">
        <is>
          <t>Closed</t>
        </is>
      </c>
      <c r="E9" s="467" t="inlineStr">
        <is>
          <t>2297152000000061001</t>
        </is>
      </c>
      <c r="F9" s="467" t="inlineStr">
        <is>
          <t>B2C</t>
        </is>
      </c>
      <c r="G9" s="467" t="inlineStr">
        <is>
          <t>UP</t>
        </is>
      </c>
      <c r="H9" s="467" t="inlineStr">
        <is>
          <t>09-Uttar Pradesh</t>
        </is>
      </c>
      <c r="I9" s="467" t="inlineStr">
        <is>
          <t>business_none</t>
        </is>
      </c>
      <c r="J9" s="467" t="inlineStr">
        <is>
          <t>false</t>
        </is>
      </c>
      <c r="K9" s="466" t="n">
        <v>45754</v>
      </c>
      <c r="L9" s="467" t="n"/>
      <c r="M9" s="467" t="inlineStr">
        <is>
          <t>INR</t>
        </is>
      </c>
      <c r="N9" s="467" t="n">
        <v>1</v>
      </c>
      <c r="O9" s="467" t="inlineStr">
        <is>
          <t>item_level</t>
        </is>
      </c>
      <c r="P9" s="467" t="inlineStr">
        <is>
          <t>true</t>
        </is>
      </c>
      <c r="Q9" s="467" t="inlineStr">
        <is>
          <t>Tax Invoice</t>
        </is>
      </c>
      <c r="R9" s="467" t="inlineStr">
        <is>
          <t>0.00</t>
        </is>
      </c>
      <c r="S9" s="467" t="n"/>
      <c r="T9" s="467" t="n"/>
      <c r="U9" s="467" t="inlineStr">
        <is>
          <t>item_level</t>
        </is>
      </c>
      <c r="V9" s="467" t="n"/>
      <c r="W9" s="467" t="inlineStr">
        <is>
          <t>0.00</t>
        </is>
      </c>
      <c r="X9" s="467" t="n"/>
      <c r="Y9" s="467" t="n"/>
      <c r="Z9" s="467" t="inlineStr">
        <is>
          <t>0.000</t>
        </is>
      </c>
      <c r="AA9" s="467" t="n">
        <v>12277.12</v>
      </c>
      <c r="AB9" s="469" t="n">
        <v>14487</v>
      </c>
      <c r="AC9" s="467" t="n">
        <v>0</v>
      </c>
      <c r="AD9" s="467" t="n">
        <v>0</v>
      </c>
      <c r="AE9" s="467" t="inlineStr">
        <is>
          <t>Adjustment</t>
        </is>
      </c>
      <c r="AF9" s="467" t="n"/>
      <c r="AG9" s="466" t="n">
        <v>45754</v>
      </c>
      <c r="AH9" s="467" t="inlineStr">
        <is>
          <t>0</t>
        </is>
      </c>
      <c r="AI9" s="467" t="inlineStr">
        <is>
          <t>Due On Receipt</t>
        </is>
      </c>
      <c r="AJ9" s="467" t="inlineStr">
        <is>
          <t>Thanks for your business.</t>
        </is>
      </c>
      <c r="AK9" s="467" t="n"/>
      <c r="AL9" s="467" t="n"/>
      <c r="AM9" s="467" t="n"/>
      <c r="AN9" s="467" t="n"/>
      <c r="AO9" s="467" t="n"/>
      <c r="AP9" s="467" t="n"/>
      <c r="AQ9" s="467" t="n"/>
      <c r="AR9" s="467" t="n"/>
      <c r="AS9" s="467" t="n"/>
      <c r="AT9" s="467" t="inlineStr">
        <is>
          <t>Invoice</t>
        </is>
      </c>
      <c r="AU9" s="467" t="inlineStr">
        <is>
          <t>0.0</t>
        </is>
      </c>
      <c r="AV9" s="467" t="n">
        <v>0</v>
      </c>
      <c r="AW9" s="467" t="n"/>
      <c r="AX9" s="467" t="n"/>
      <c r="AY9" s="467" t="n"/>
      <c r="AZ9" s="467" t="n"/>
      <c r="BA9" s="467" t="n"/>
      <c r="BB9" s="467" t="n"/>
      <c r="BC9" s="467" t="n"/>
      <c r="BD9" s="467" t="inlineStr">
        <is>
          <t>Jurisphere Enterprise Subscription</t>
        </is>
      </c>
      <c r="BE9" s="467" t="inlineStr">
        <is>
          <t>Razorpay B2C sales from 1st Apr to 7th Apr 25</t>
        </is>
      </c>
      <c r="BF9" s="467" t="n">
        <v>1</v>
      </c>
      <c r="BG9" s="467" t="inlineStr">
        <is>
          <t>0.00</t>
        </is>
      </c>
      <c r="BH9" s="467" t="inlineStr">
        <is>
          <t>0.00</t>
        </is>
      </c>
      <c r="BI9" s="467" t="n">
        <v>12277.12</v>
      </c>
      <c r="BJ9" s="467" t="inlineStr">
        <is>
          <t>pcs</t>
        </is>
      </c>
      <c r="BK9" s="467" t="n">
        <v>12277.12</v>
      </c>
      <c r="BL9" s="467" t="inlineStr">
        <is>
          <t>2297152000000039748</t>
        </is>
      </c>
      <c r="BM9" s="467" t="n"/>
      <c r="BN9" s="467" t="n"/>
      <c r="BO9" s="467" t="n"/>
      <c r="BP9" s="467" t="n"/>
      <c r="BQ9" s="467" t="n"/>
      <c r="BR9" s="467" t="n"/>
      <c r="BS9" s="467" t="n"/>
      <c r="BT9" s="467" t="n"/>
      <c r="BU9" s="467" t="n"/>
      <c r="BV9" s="467" t="n"/>
      <c r="BW9" s="467" t="n"/>
      <c r="BX9" s="467" t="n"/>
      <c r="BY9" s="467" t="n"/>
      <c r="BZ9" s="467" t="n"/>
      <c r="CA9" s="467" t="n"/>
      <c r="CB9" s="467" t="n"/>
      <c r="CC9" s="467" t="n"/>
      <c r="CD9" s="467" t="n"/>
      <c r="CE9" s="467" t="n"/>
      <c r="CF9" s="467" t="n"/>
      <c r="CG9" s="467" t="n"/>
      <c r="CH9" s="467" t="n"/>
      <c r="CI9" s="467" t="inlineStr">
        <is>
          <t>Coresphere100 Technologies Pvt. Ltd.</t>
        </is>
      </c>
      <c r="CJ9" s="467" t="inlineStr">
        <is>
          <t>09AALCC7037K1Z7</t>
        </is>
      </c>
      <c r="CK9" s="467" t="inlineStr">
        <is>
          <t>16026, 16th Floor, Tower Oakwood,</t>
        </is>
      </c>
      <c r="CL9" s="467" t="inlineStr">
        <is>
          <t>Greater Noida,</t>
        </is>
      </c>
      <c r="CM9" s="467" t="inlineStr">
        <is>
          <t>Uttar Pradesh</t>
        </is>
      </c>
      <c r="CN9" s="467" t="inlineStr">
        <is>
          <t>India</t>
        </is>
      </c>
      <c r="CO9" s="467" t="inlineStr">
        <is>
          <t>201306</t>
        </is>
      </c>
      <c r="CP9" s="467" t="inlineStr">
        <is>
          <t>8928163657</t>
        </is>
      </c>
      <c r="CQ9" s="467" t="inlineStr">
        <is>
          <t>manas@jurisphere.ai</t>
        </is>
      </c>
      <c r="CR9" s="467" t="inlineStr">
        <is>
          <t>9.00</t>
        </is>
      </c>
      <c r="CS9" s="467" t="inlineStr">
        <is>
          <t>9.00</t>
        </is>
      </c>
      <c r="CT9" s="467" t="inlineStr">
        <is>
          <t>0.00</t>
        </is>
      </c>
      <c r="CU9" s="467" t="inlineStr">
        <is>
          <t>0.00</t>
        </is>
      </c>
      <c r="CV9" s="467" t="inlineStr">
        <is>
          <t>1104.94</t>
        </is>
      </c>
      <c r="CW9" s="467" t="inlineStr">
        <is>
          <t>1104.94</t>
        </is>
      </c>
      <c r="CX9" s="467" t="inlineStr">
        <is>
          <t>0.00</t>
        </is>
      </c>
      <c r="CY9" s="467" t="inlineStr">
        <is>
          <t>0.00</t>
        </is>
      </c>
      <c r="CZ9" s="467" t="inlineStr">
        <is>
          <t>1104.94</t>
        </is>
      </c>
      <c r="DA9" s="467" t="inlineStr">
        <is>
          <t>1104.94</t>
        </is>
      </c>
      <c r="DB9" s="467" t="inlineStr">
        <is>
          <t>0.00</t>
        </is>
      </c>
      <c r="DC9" s="467" t="inlineStr">
        <is>
          <t>0.00</t>
        </is>
      </c>
      <c r="DD9" s="467" t="n"/>
      <c r="DE9" s="467" t="n"/>
      <c r="DF9" s="467" t="n"/>
      <c r="DG9" s="467" t="n"/>
      <c r="DH9" s="467" t="n"/>
      <c r="DI9" s="467" t="inlineStr">
        <is>
          <t>0.000</t>
        </is>
      </c>
      <c r="DJ9" s="467" t="n"/>
      <c r="DK9" s="467" t="n"/>
      <c r="DL9" s="467" t="n"/>
      <c r="DM9" s="467" t="n"/>
      <c r="DN9" s="467" t="n"/>
      <c r="DO9" s="467" t="n"/>
      <c r="DP9" s="467" t="inlineStr">
        <is>
          <t>998313</t>
        </is>
      </c>
      <c r="DQ9" s="467" t="n">
        <v>0</v>
      </c>
      <c r="DR9" s="467" t="n"/>
      <c r="DS9" s="467" t="n"/>
      <c r="DT9" s="467" t="n"/>
      <c r="DU9" s="467" t="n"/>
      <c r="DV9" s="467" t="n"/>
      <c r="DW9" s="467" t="n"/>
      <c r="DX9" s="467" t="inlineStr">
        <is>
          <t>service</t>
        </is>
      </c>
      <c r="DY9" s="467" t="n"/>
      <c r="DZ9" s="467" t="n"/>
      <c r="EA9" s="467" t="n"/>
      <c r="EB9" s="467" t="n"/>
      <c r="EC9" s="467" t="n"/>
      <c r="ED9" s="467" t="n"/>
      <c r="EE9" s="467" t="n"/>
      <c r="EF9" s="467" t="n"/>
      <c r="EG9" s="467" t="n"/>
      <c r="EH9" s="467" t="inlineStr">
        <is>
          <t>Others</t>
        </is>
      </c>
      <c r="EI9" s="467" t="n"/>
      <c r="EJ9" s="467" t="n"/>
      <c r="EK9" s="467" t="inlineStr">
        <is>
          <t>Sales</t>
        </is>
      </c>
      <c r="EL9" s="467" t="n"/>
      <c r="EM9" s="467" t="inlineStr">
        <is>
          <t>Taxable</t>
        </is>
      </c>
      <c r="EN9" s="467" t="inlineStr">
        <is>
          <t>2297152000000031213</t>
        </is>
      </c>
      <c r="EO9" s="467" t="inlineStr">
        <is>
          <t>GST18</t>
        </is>
      </c>
      <c r="EP9" s="467" t="inlineStr">
        <is>
          <t>18.00</t>
        </is>
      </c>
      <c r="EQ9" s="467" t="n">
        <v>2209.88</v>
      </c>
      <c r="ER9" s="467" t="inlineStr">
        <is>
          <t>Tax Group</t>
        </is>
      </c>
      <c r="ES9" s="467" t="n"/>
      <c r="ET9" s="467" t="n"/>
    </row>
    <row r="10" ht="39.55" customHeight="1" s="253">
      <c r="A10" s="466" t="n">
        <v>45754</v>
      </c>
      <c r="B10" s="467" t="inlineStr">
        <is>
          <t>2297152000000054375</t>
        </is>
      </c>
      <c r="C10" s="467" t="inlineStr">
        <is>
          <t>INV-25-26-000009</t>
        </is>
      </c>
      <c r="D10" s="467" t="inlineStr">
        <is>
          <t>Closed</t>
        </is>
      </c>
      <c r="E10" s="467" t="inlineStr">
        <is>
          <t>2297152000000054306</t>
        </is>
      </c>
      <c r="F10" s="467" t="inlineStr">
        <is>
          <t>Advocate Rohit Jaiswal</t>
        </is>
      </c>
      <c r="G10" s="467" t="inlineStr">
        <is>
          <t>UP</t>
        </is>
      </c>
      <c r="H10" s="467" t="inlineStr">
        <is>
          <t>09-Uttar Pradesh</t>
        </is>
      </c>
      <c r="I10" s="467" t="inlineStr">
        <is>
          <t>business_none</t>
        </is>
      </c>
      <c r="J10" s="467" t="inlineStr">
        <is>
          <t>false</t>
        </is>
      </c>
      <c r="K10" s="466" t="n">
        <v>45754</v>
      </c>
      <c r="L10" s="467" t="n"/>
      <c r="M10" s="467" t="inlineStr">
        <is>
          <t>INR</t>
        </is>
      </c>
      <c r="N10" s="467" t="n">
        <v>1</v>
      </c>
      <c r="O10" s="467" t="inlineStr">
        <is>
          <t>item_level</t>
        </is>
      </c>
      <c r="P10" s="467" t="inlineStr">
        <is>
          <t>true</t>
        </is>
      </c>
      <c r="Q10" s="467" t="inlineStr">
        <is>
          <t>Tax Invoice</t>
        </is>
      </c>
      <c r="R10" s="467" t="inlineStr">
        <is>
          <t>0.00</t>
        </is>
      </c>
      <c r="S10" s="467" t="n"/>
      <c r="T10" s="467" t="n"/>
      <c r="U10" s="467" t="inlineStr">
        <is>
          <t>item_level</t>
        </is>
      </c>
      <c r="V10" s="467" t="n"/>
      <c r="W10" s="467" t="inlineStr">
        <is>
          <t>0.00</t>
        </is>
      </c>
      <c r="X10" s="467" t="n"/>
      <c r="Y10" s="467" t="n"/>
      <c r="Z10" s="467" t="inlineStr">
        <is>
          <t>0.000</t>
        </is>
      </c>
      <c r="AA10" s="467" t="n">
        <v>5000</v>
      </c>
      <c r="AB10" s="467" t="n">
        <v>5900</v>
      </c>
      <c r="AC10" s="467" t="n">
        <v>0</v>
      </c>
      <c r="AD10" s="467" t="n">
        <v>0</v>
      </c>
      <c r="AE10" s="467" t="inlineStr">
        <is>
          <t>Adjustment</t>
        </is>
      </c>
      <c r="AF10" s="467" t="n"/>
      <c r="AG10" s="466" t="n">
        <v>45754</v>
      </c>
      <c r="AH10" s="467" t="inlineStr">
        <is>
          <t>0</t>
        </is>
      </c>
      <c r="AI10" s="467" t="inlineStr">
        <is>
          <t>Due On Receipt</t>
        </is>
      </c>
      <c r="AJ10" s="467" t="inlineStr">
        <is>
          <t>Thanks for your business.</t>
        </is>
      </c>
      <c r="AK10" s="467" t="n"/>
      <c r="AL10" s="467" t="n"/>
      <c r="AM10" s="467" t="n"/>
      <c r="AN10" s="467" t="n"/>
      <c r="AO10" s="467" t="n"/>
      <c r="AP10" s="467" t="n"/>
      <c r="AQ10" s="467" t="n"/>
      <c r="AR10" s="467" t="n"/>
      <c r="AS10" s="467" t="n"/>
      <c r="AT10" s="467" t="inlineStr">
        <is>
          <t>Invoice</t>
        </is>
      </c>
      <c r="AU10" s="467" t="inlineStr">
        <is>
          <t>0.0</t>
        </is>
      </c>
      <c r="AV10" s="467" t="n">
        <v>0</v>
      </c>
      <c r="AW10" s="467" t="n"/>
      <c r="AX10" s="467" t="n"/>
      <c r="AY10" s="467" t="n"/>
      <c r="AZ10" s="467" t="n"/>
      <c r="BA10" s="467" t="n"/>
      <c r="BB10" s="467" t="n"/>
      <c r="BC10" s="467" t="n"/>
      <c r="BD10" s="467" t="inlineStr">
        <is>
          <t>Jurisphere Enterprise Subscription</t>
        </is>
      </c>
      <c r="BE10" s="468" t="inlineStr">
        <is>
          <t>Subscription- Monthly for the period started from April 15, 2025 to April 14, 2026
Description- 1 License for INR 5000</t>
        </is>
      </c>
      <c r="BF10" s="467" t="n">
        <v>1</v>
      </c>
      <c r="BG10" s="467" t="inlineStr">
        <is>
          <t>0.00</t>
        </is>
      </c>
      <c r="BH10" s="467" t="inlineStr">
        <is>
          <t>0.000</t>
        </is>
      </c>
      <c r="BI10" s="467" t="n">
        <v>5000</v>
      </c>
      <c r="BJ10" s="467" t="inlineStr">
        <is>
          <t>pcs</t>
        </is>
      </c>
      <c r="BK10" s="467" t="n">
        <v>5000</v>
      </c>
      <c r="BL10" s="467" t="inlineStr">
        <is>
          <t>2297152000000039748</t>
        </is>
      </c>
      <c r="BM10" s="467" t="n"/>
      <c r="BN10" s="467" t="n"/>
      <c r="BO10" s="467" t="n"/>
      <c r="BP10" s="467" t="inlineStr">
        <is>
          <t>Advocate Rohit Jaiswal</t>
        </is>
      </c>
      <c r="BQ10" s="467" t="n"/>
      <c r="BR10" s="467" t="n"/>
      <c r="BS10" s="467" t="n"/>
      <c r="BT10" s="467" t="inlineStr">
        <is>
          <t>Lucknow</t>
        </is>
      </c>
      <c r="BU10" s="467" t="inlineStr">
        <is>
          <t>Uttar Pradesh</t>
        </is>
      </c>
      <c r="BV10" s="467" t="inlineStr">
        <is>
          <t>India</t>
        </is>
      </c>
      <c r="BW10" s="467" t="n"/>
      <c r="BX10" s="467" t="n"/>
      <c r="BY10" s="467" t="n"/>
      <c r="BZ10" s="467" t="n"/>
      <c r="CA10" s="467" t="n"/>
      <c r="CB10" s="467" t="n"/>
      <c r="CC10" s="467" t="inlineStr">
        <is>
          <t>Lucknow</t>
        </is>
      </c>
      <c r="CD10" s="467" t="inlineStr">
        <is>
          <t>Uttar Pradesh</t>
        </is>
      </c>
      <c r="CE10" s="467" t="inlineStr">
        <is>
          <t>India</t>
        </is>
      </c>
      <c r="CF10" s="467" t="n"/>
      <c r="CG10" s="467" t="n"/>
      <c r="CH10" s="467" t="n"/>
      <c r="CI10" s="467" t="inlineStr">
        <is>
          <t>Coresphere100 Technologies Pvt. Ltd.</t>
        </is>
      </c>
      <c r="CJ10" s="467" t="inlineStr">
        <is>
          <t>09AALCC7037K1Z7</t>
        </is>
      </c>
      <c r="CK10" s="467" t="inlineStr">
        <is>
          <t>16026, 16th Floor, Tower Oakwood,</t>
        </is>
      </c>
      <c r="CL10" s="467" t="inlineStr">
        <is>
          <t>Greater Noida,</t>
        </is>
      </c>
      <c r="CM10" s="467" t="inlineStr">
        <is>
          <t>Uttar Pradesh</t>
        </is>
      </c>
      <c r="CN10" s="467" t="inlineStr">
        <is>
          <t>India</t>
        </is>
      </c>
      <c r="CO10" s="467" t="inlineStr">
        <is>
          <t>201306</t>
        </is>
      </c>
      <c r="CP10" s="467" t="inlineStr">
        <is>
          <t>8928163657</t>
        </is>
      </c>
      <c r="CQ10" s="467" t="inlineStr">
        <is>
          <t>manas@jurisphere.ai</t>
        </is>
      </c>
      <c r="CR10" s="467" t="inlineStr">
        <is>
          <t>9.00</t>
        </is>
      </c>
      <c r="CS10" s="467" t="inlineStr">
        <is>
          <t>9.00</t>
        </is>
      </c>
      <c r="CT10" s="467" t="inlineStr">
        <is>
          <t>0.00</t>
        </is>
      </c>
      <c r="CU10" s="467" t="inlineStr">
        <is>
          <t>0.00</t>
        </is>
      </c>
      <c r="CV10" s="467" t="inlineStr">
        <is>
          <t>450.00</t>
        </is>
      </c>
      <c r="CW10" s="467" t="inlineStr">
        <is>
          <t>450.00</t>
        </is>
      </c>
      <c r="CX10" s="467" t="inlineStr">
        <is>
          <t>0.00</t>
        </is>
      </c>
      <c r="CY10" s="467" t="inlineStr">
        <is>
          <t>0.00</t>
        </is>
      </c>
      <c r="CZ10" s="467" t="inlineStr">
        <is>
          <t>450.00</t>
        </is>
      </c>
      <c r="DA10" s="467" t="inlineStr">
        <is>
          <t>450.00</t>
        </is>
      </c>
      <c r="DB10" s="467" t="inlineStr">
        <is>
          <t>0.00</t>
        </is>
      </c>
      <c r="DC10" s="467" t="inlineStr">
        <is>
          <t>0.00</t>
        </is>
      </c>
      <c r="DD10" s="467" t="n"/>
      <c r="DE10" s="467" t="n"/>
      <c r="DF10" s="467" t="n"/>
      <c r="DG10" s="467" t="n"/>
      <c r="DH10" s="467" t="n"/>
      <c r="DI10" s="467" t="inlineStr">
        <is>
          <t>0.000</t>
        </is>
      </c>
      <c r="DJ10" s="467" t="n"/>
      <c r="DK10" s="467" t="n"/>
      <c r="DL10" s="467" t="n"/>
      <c r="DM10" s="467" t="n"/>
      <c r="DN10" s="467" t="n"/>
      <c r="DO10" s="467" t="n"/>
      <c r="DP10" s="467" t="inlineStr">
        <is>
          <t>998313</t>
        </is>
      </c>
      <c r="DQ10" s="467" t="n">
        <v>0</v>
      </c>
      <c r="DR10" s="467" t="n"/>
      <c r="DS10" s="467" t="n"/>
      <c r="DT10" s="467" t="n"/>
      <c r="DU10" s="467" t="n"/>
      <c r="DV10" s="467" t="n"/>
      <c r="DW10" s="467" t="n"/>
      <c r="DX10" s="467" t="inlineStr">
        <is>
          <t>service</t>
        </is>
      </c>
      <c r="DY10" s="467" t="n"/>
      <c r="DZ10" s="467" t="n"/>
      <c r="EA10" s="467" t="n"/>
      <c r="EB10" s="467" t="n"/>
      <c r="EC10" s="467" t="n"/>
      <c r="ED10" s="467" t="n"/>
      <c r="EE10" s="467" t="n"/>
      <c r="EF10" s="467" t="n"/>
      <c r="EG10" s="467" t="n"/>
      <c r="EH10" s="467" t="inlineStr">
        <is>
          <t>Others</t>
        </is>
      </c>
      <c r="EI10" s="467" t="n"/>
      <c r="EJ10" s="467" t="n"/>
      <c r="EK10" s="467" t="inlineStr">
        <is>
          <t>Sales</t>
        </is>
      </c>
      <c r="EL10" s="467" t="n"/>
      <c r="EM10" s="467" t="inlineStr">
        <is>
          <t>Taxable</t>
        </is>
      </c>
      <c r="EN10" s="467" t="inlineStr">
        <is>
          <t>2297152000000031213</t>
        </is>
      </c>
      <c r="EO10" s="467" t="inlineStr">
        <is>
          <t>GST18</t>
        </is>
      </c>
      <c r="EP10" s="467" t="inlineStr">
        <is>
          <t>18.00</t>
        </is>
      </c>
      <c r="EQ10" s="467" t="n">
        <v>900</v>
      </c>
      <c r="ER10" s="467" t="inlineStr">
        <is>
          <t>Tax Group</t>
        </is>
      </c>
      <c r="ES10" s="467" t="n"/>
      <c r="ET10" s="467" t="n"/>
    </row>
    <row r="11" ht="26.85" customHeight="1" s="253">
      <c r="A11" s="466" t="n">
        <v>45755</v>
      </c>
      <c r="B11" s="467" t="inlineStr">
        <is>
          <t>2297152000000054400</t>
        </is>
      </c>
      <c r="C11" s="467" t="inlineStr">
        <is>
          <t>INV-25-26-000010</t>
        </is>
      </c>
      <c r="D11" s="467" t="inlineStr">
        <is>
          <t>Overdue</t>
        </is>
      </c>
      <c r="E11" s="467" t="inlineStr">
        <is>
          <t>2297152000000054432</t>
        </is>
      </c>
      <c r="F11" s="467" t="inlineStr">
        <is>
          <t>Dileep Poolakkot</t>
        </is>
      </c>
      <c r="G11" s="467" t="inlineStr">
        <is>
          <t>DL</t>
        </is>
      </c>
      <c r="H11" s="467" t="inlineStr">
        <is>
          <t>07-Delhi</t>
        </is>
      </c>
      <c r="I11" s="467" t="inlineStr">
        <is>
          <t>business_none</t>
        </is>
      </c>
      <c r="J11" s="467" t="inlineStr">
        <is>
          <t>false</t>
        </is>
      </c>
      <c r="K11" s="466" t="n">
        <v>45755</v>
      </c>
      <c r="L11" s="467" t="n"/>
      <c r="M11" s="467" t="inlineStr">
        <is>
          <t>INR</t>
        </is>
      </c>
      <c r="N11" s="467" t="n">
        <v>1</v>
      </c>
      <c r="O11" s="467" t="inlineStr">
        <is>
          <t>item_level</t>
        </is>
      </c>
      <c r="P11" s="467" t="inlineStr">
        <is>
          <t>true</t>
        </is>
      </c>
      <c r="Q11" s="467" t="inlineStr">
        <is>
          <t>Tax Invoice</t>
        </is>
      </c>
      <c r="R11" s="467" t="inlineStr">
        <is>
          <t>0.00</t>
        </is>
      </c>
      <c r="S11" s="467" t="n"/>
      <c r="T11" s="467" t="n"/>
      <c r="U11" s="467" t="inlineStr">
        <is>
          <t>item_level</t>
        </is>
      </c>
      <c r="V11" s="467" t="n"/>
      <c r="W11" s="467" t="inlineStr">
        <is>
          <t>0.00</t>
        </is>
      </c>
      <c r="X11" s="467" t="n"/>
      <c r="Y11" s="467" t="n"/>
      <c r="Z11" s="467" t="inlineStr">
        <is>
          <t>0.000</t>
        </is>
      </c>
      <c r="AA11" s="467" t="n">
        <v>60004</v>
      </c>
      <c r="AB11" s="467" t="n">
        <v>70804.72</v>
      </c>
      <c r="AC11" s="467" t="n">
        <v>4.72</v>
      </c>
      <c r="AD11" s="467" t="n">
        <v>0</v>
      </c>
      <c r="AE11" s="467" t="inlineStr">
        <is>
          <t>Adjustment</t>
        </is>
      </c>
      <c r="AF11" s="467" t="n"/>
      <c r="AG11" s="466" t="n">
        <v>45756</v>
      </c>
      <c r="AH11" s="467" t="inlineStr">
        <is>
          <t>0</t>
        </is>
      </c>
      <c r="AI11" s="467" t="inlineStr">
        <is>
          <t>Due On Receipt</t>
        </is>
      </c>
      <c r="AJ11" s="467" t="inlineStr">
        <is>
          <t>Thanks for your business.</t>
        </is>
      </c>
      <c r="AK11" s="467" t="n"/>
      <c r="AL11" s="467" t="n"/>
      <c r="AM11" s="467" t="n"/>
      <c r="AN11" s="467" t="n"/>
      <c r="AO11" s="467" t="n"/>
      <c r="AP11" s="467" t="n"/>
      <c r="AQ11" s="467" t="n"/>
      <c r="AR11" s="467" t="n"/>
      <c r="AS11" s="467" t="n"/>
      <c r="AT11" s="467" t="inlineStr">
        <is>
          <t>Invoice</t>
        </is>
      </c>
      <c r="AU11" s="467" t="inlineStr">
        <is>
          <t>0.0</t>
        </is>
      </c>
      <c r="AV11" s="467" t="n">
        <v>0</v>
      </c>
      <c r="AW11" s="467" t="n"/>
      <c r="AX11" s="467" t="n"/>
      <c r="AY11" s="467" t="n"/>
      <c r="AZ11" s="467" t="n"/>
      <c r="BA11" s="467" t="n"/>
      <c r="BB11" s="467" t="n"/>
      <c r="BC11" s="467" t="n"/>
      <c r="BD11" s="467" t="inlineStr">
        <is>
          <t>Jurisphere Enterprise Subscription</t>
        </is>
      </c>
      <c r="BE11" s="468" t="inlineStr">
        <is>
          <t>Subscription- Annual Subscription from 8th April 2025 
Description- 1 License for INR 60000</t>
        </is>
      </c>
      <c r="BF11" s="467" t="n">
        <v>1</v>
      </c>
      <c r="BG11" s="467" t="inlineStr">
        <is>
          <t>14.28</t>
        </is>
      </c>
      <c r="BH11" s="467" t="inlineStr">
        <is>
          <t>9996.000</t>
        </is>
      </c>
      <c r="BI11" s="467" t="n">
        <v>60004</v>
      </c>
      <c r="BJ11" s="467" t="inlineStr">
        <is>
          <t>pcs</t>
        </is>
      </c>
      <c r="BK11" s="467" t="n">
        <v>70000</v>
      </c>
      <c r="BL11" s="467" t="inlineStr">
        <is>
          <t>2297152000000039748</t>
        </is>
      </c>
      <c r="BM11" s="467" t="n"/>
      <c r="BN11" s="467" t="n"/>
      <c r="BO11" s="467" t="n"/>
      <c r="BP11" s="467" t="inlineStr">
        <is>
          <t>Advocate Rohit Jaiswal</t>
        </is>
      </c>
      <c r="BQ11" s="467" t="n"/>
      <c r="BR11" s="467" t="inlineStr">
        <is>
          <t>251, Tower-5,</t>
        </is>
      </c>
      <c r="BS11" s="468" t="inlineStr">
        <is>
          <t>Supreme Enclave,
Mayur Vihar-1,</t>
        </is>
      </c>
      <c r="BT11" s="467" t="inlineStr">
        <is>
          <t>Delhi</t>
        </is>
      </c>
      <c r="BU11" s="467" t="inlineStr">
        <is>
          <t>Delhi</t>
        </is>
      </c>
      <c r="BV11" s="467" t="inlineStr">
        <is>
          <t>India</t>
        </is>
      </c>
      <c r="BW11" s="467" t="inlineStr">
        <is>
          <t>110091</t>
        </is>
      </c>
      <c r="BX11" s="467" t="n"/>
      <c r="BY11" s="467" t="n"/>
      <c r="BZ11" s="467" t="n"/>
      <c r="CA11" s="467" t="inlineStr">
        <is>
          <t>251, Tower-5,</t>
        </is>
      </c>
      <c r="CB11" s="468" t="inlineStr">
        <is>
          <t>Supreme Enclave,
Mayur Vihar-1,</t>
        </is>
      </c>
      <c r="CC11" s="467" t="inlineStr">
        <is>
          <t>Delhi</t>
        </is>
      </c>
      <c r="CD11" s="467" t="inlineStr">
        <is>
          <t>Delhi</t>
        </is>
      </c>
      <c r="CE11" s="467" t="inlineStr">
        <is>
          <t>India</t>
        </is>
      </c>
      <c r="CF11" s="467" t="inlineStr">
        <is>
          <t>110091</t>
        </is>
      </c>
      <c r="CG11" s="467" t="n"/>
      <c r="CH11" s="467" t="n"/>
      <c r="CI11" s="467" t="inlineStr">
        <is>
          <t>Coresphere100 Technologies Pvt. Ltd.</t>
        </is>
      </c>
      <c r="CJ11" s="467" t="inlineStr">
        <is>
          <t>09AALCC7037K1Z7</t>
        </is>
      </c>
      <c r="CK11" s="467" t="inlineStr">
        <is>
          <t>16026, 16th Floor, Tower Oakwood,</t>
        </is>
      </c>
      <c r="CL11" s="467" t="inlineStr">
        <is>
          <t>Greater Noida,</t>
        </is>
      </c>
      <c r="CM11" s="467" t="inlineStr">
        <is>
          <t>Uttar Pradesh</t>
        </is>
      </c>
      <c r="CN11" s="467" t="inlineStr">
        <is>
          <t>India</t>
        </is>
      </c>
      <c r="CO11" s="467" t="inlineStr">
        <is>
          <t>201306</t>
        </is>
      </c>
      <c r="CP11" s="467" t="inlineStr">
        <is>
          <t>8928163657</t>
        </is>
      </c>
      <c r="CQ11" s="467" t="inlineStr">
        <is>
          <t>manas@jurisphere.ai</t>
        </is>
      </c>
      <c r="CR11" s="467" t="inlineStr">
        <is>
          <t>0.00</t>
        </is>
      </c>
      <c r="CS11" s="467" t="inlineStr">
        <is>
          <t>0.00</t>
        </is>
      </c>
      <c r="CT11" s="467" t="inlineStr">
        <is>
          <t>18.00</t>
        </is>
      </c>
      <c r="CU11" s="467" t="inlineStr">
        <is>
          <t>0.00</t>
        </is>
      </c>
      <c r="CV11" s="467" t="inlineStr">
        <is>
          <t>0.00</t>
        </is>
      </c>
      <c r="CW11" s="467" t="inlineStr">
        <is>
          <t>0.00</t>
        </is>
      </c>
      <c r="CX11" s="467" t="inlineStr">
        <is>
          <t>10800.72</t>
        </is>
      </c>
      <c r="CY11" s="467" t="inlineStr">
        <is>
          <t>0.00</t>
        </is>
      </c>
      <c r="CZ11" s="467" t="inlineStr">
        <is>
          <t>0.00</t>
        </is>
      </c>
      <c r="DA11" s="467" t="inlineStr">
        <is>
          <t>0.00</t>
        </is>
      </c>
      <c r="DB11" s="467" t="inlineStr">
        <is>
          <t>10800.72</t>
        </is>
      </c>
      <c r="DC11" s="467" t="inlineStr">
        <is>
          <t>0.00</t>
        </is>
      </c>
      <c r="DD11" s="467" t="n"/>
      <c r="DE11" s="467" t="n"/>
      <c r="DF11" s="467" t="n"/>
      <c r="DG11" s="467" t="n"/>
      <c r="DH11" s="467" t="n"/>
      <c r="DI11" s="467" t="inlineStr">
        <is>
          <t>0.000</t>
        </is>
      </c>
      <c r="DJ11" s="467" t="n"/>
      <c r="DK11" s="467" t="n"/>
      <c r="DL11" s="467" t="n"/>
      <c r="DM11" s="467" t="n"/>
      <c r="DN11" s="467" t="n"/>
      <c r="DO11" s="467" t="n"/>
      <c r="DP11" s="467" t="inlineStr">
        <is>
          <t>998313</t>
        </is>
      </c>
      <c r="DQ11" s="467" t="n">
        <v>0</v>
      </c>
      <c r="DR11" s="467" t="n"/>
      <c r="DS11" s="467" t="n"/>
      <c r="DT11" s="467" t="n"/>
      <c r="DU11" s="467" t="n"/>
      <c r="DV11" s="467" t="n"/>
      <c r="DW11" s="467" t="n"/>
      <c r="DX11" s="467" t="inlineStr">
        <is>
          <t>service</t>
        </is>
      </c>
      <c r="DY11" s="467" t="n"/>
      <c r="DZ11" s="467" t="n"/>
      <c r="EA11" s="467" t="n"/>
      <c r="EB11" s="467" t="n"/>
      <c r="EC11" s="467" t="n"/>
      <c r="ED11" s="467" t="n"/>
      <c r="EE11" s="467" t="n"/>
      <c r="EF11" s="467" t="n"/>
      <c r="EG11" s="467" t="n"/>
      <c r="EH11" s="467" t="inlineStr">
        <is>
          <t>Others</t>
        </is>
      </c>
      <c r="EI11" s="467" t="n"/>
      <c r="EJ11" s="467" t="n"/>
      <c r="EK11" s="467" t="inlineStr">
        <is>
          <t>Sales</t>
        </is>
      </c>
      <c r="EL11" s="467" t="n"/>
      <c r="EM11" s="467" t="inlineStr">
        <is>
          <t>Taxable</t>
        </is>
      </c>
      <c r="EN11" s="467" t="inlineStr">
        <is>
          <t>2297152000000031111</t>
        </is>
      </c>
      <c r="EO11" s="467" t="inlineStr">
        <is>
          <t>IGST18</t>
        </is>
      </c>
      <c r="EP11" s="467" t="inlineStr">
        <is>
          <t>18.00</t>
        </is>
      </c>
      <c r="EQ11" s="467" t="n">
        <v>10800.72</v>
      </c>
      <c r="ER11" s="467" t="inlineStr">
        <is>
          <t>ItemAmount</t>
        </is>
      </c>
      <c r="ES11" s="467" t="n"/>
      <c r="ET11" s="467" t="n"/>
    </row>
    <row r="12" ht="52.2" customHeight="1" s="253">
      <c r="A12" s="466" t="n">
        <v>45755</v>
      </c>
      <c r="B12" s="467" t="inlineStr">
        <is>
          <t>2297152000000054492</t>
        </is>
      </c>
      <c r="C12" s="467" t="inlineStr">
        <is>
          <t>INV-25-26-000011</t>
        </is>
      </c>
      <c r="D12" s="467" t="inlineStr">
        <is>
          <t>Closed</t>
        </is>
      </c>
      <c r="E12" s="467" t="inlineStr">
        <is>
          <t>2297152000000054474</t>
        </is>
      </c>
      <c r="F12" s="467" t="inlineStr">
        <is>
          <t>Utkarsh Joshi</t>
        </is>
      </c>
      <c r="G12" s="467" t="inlineStr">
        <is>
          <t>DL</t>
        </is>
      </c>
      <c r="H12" s="467" t="inlineStr">
        <is>
          <t>07-Delhi</t>
        </is>
      </c>
      <c r="I12" s="467" t="inlineStr">
        <is>
          <t>business_none</t>
        </is>
      </c>
      <c r="J12" s="467" t="inlineStr">
        <is>
          <t>false</t>
        </is>
      </c>
      <c r="K12" s="466" t="n">
        <v>45755</v>
      </c>
      <c r="L12" s="467" t="n"/>
      <c r="M12" s="467" t="inlineStr">
        <is>
          <t>INR</t>
        </is>
      </c>
      <c r="N12" s="467" t="n">
        <v>1</v>
      </c>
      <c r="O12" s="467" t="inlineStr">
        <is>
          <t>item_level</t>
        </is>
      </c>
      <c r="P12" s="467" t="inlineStr">
        <is>
          <t>true</t>
        </is>
      </c>
      <c r="Q12" s="467" t="inlineStr">
        <is>
          <t>Tax Invoice</t>
        </is>
      </c>
      <c r="R12" s="467" t="inlineStr">
        <is>
          <t>0.00</t>
        </is>
      </c>
      <c r="S12" s="467" t="n"/>
      <c r="T12" s="467" t="n"/>
      <c r="U12" s="467" t="inlineStr">
        <is>
          <t>item_level</t>
        </is>
      </c>
      <c r="V12" s="467" t="n"/>
      <c r="W12" s="467" t="inlineStr">
        <is>
          <t>0.00</t>
        </is>
      </c>
      <c r="X12" s="467" t="n"/>
      <c r="Y12" s="467" t="n"/>
      <c r="Z12" s="467" t="inlineStr">
        <is>
          <t>0.000</t>
        </is>
      </c>
      <c r="AA12" s="467" t="n">
        <v>6000</v>
      </c>
      <c r="AB12" s="467" t="n">
        <v>7080</v>
      </c>
      <c r="AC12" s="467" t="n">
        <v>0</v>
      </c>
      <c r="AD12" s="467" t="n">
        <v>0</v>
      </c>
      <c r="AE12" s="467" t="inlineStr">
        <is>
          <t>Adjustment</t>
        </is>
      </c>
      <c r="AF12" s="467" t="n"/>
      <c r="AG12" s="466" t="n">
        <v>45755</v>
      </c>
      <c r="AH12" s="467" t="inlineStr">
        <is>
          <t>0</t>
        </is>
      </c>
      <c r="AI12" s="467" t="inlineStr">
        <is>
          <t>Due On Receipt</t>
        </is>
      </c>
      <c r="AJ12" s="467" t="inlineStr">
        <is>
          <t>Thanks for your business.</t>
        </is>
      </c>
      <c r="AK12" s="467" t="n"/>
      <c r="AL12" s="467" t="n"/>
      <c r="AM12" s="467" t="n"/>
      <c r="AN12" s="467" t="n"/>
      <c r="AO12" s="467" t="n"/>
      <c r="AP12" s="467" t="n"/>
      <c r="AQ12" s="467" t="n"/>
      <c r="AR12" s="467" t="n"/>
      <c r="AS12" s="467" t="n"/>
      <c r="AT12" s="467" t="inlineStr">
        <is>
          <t>Invoice</t>
        </is>
      </c>
      <c r="AU12" s="467" t="inlineStr">
        <is>
          <t>0.0</t>
        </is>
      </c>
      <c r="AV12" s="467" t="n">
        <v>0</v>
      </c>
      <c r="AW12" s="467" t="n"/>
      <c r="AX12" s="467" t="n"/>
      <c r="AY12" s="467" t="n"/>
      <c r="AZ12" s="467" t="n"/>
      <c r="BA12" s="467" t="n"/>
      <c r="BB12" s="467" t="n"/>
      <c r="BC12" s="467" t="n"/>
      <c r="BD12" s="467" t="inlineStr">
        <is>
          <t>Jurisphere Enterprise Subscription</t>
        </is>
      </c>
      <c r="BE12" s="468" t="inlineStr">
        <is>
          <t>Subscription- 2 Months Contract
Description- 1 License for INR 3000/month.
Customer may opt-out out of the contract with a pro-rata refund at anytime during the duration of the contract.</t>
        </is>
      </c>
      <c r="BF12" s="467" t="n">
        <v>1</v>
      </c>
      <c r="BG12" s="467" t="inlineStr">
        <is>
          <t>0.00</t>
        </is>
      </c>
      <c r="BH12" s="467" t="inlineStr">
        <is>
          <t>0.00</t>
        </is>
      </c>
      <c r="BI12" s="467" t="n">
        <v>6000</v>
      </c>
      <c r="BJ12" s="467" t="inlineStr">
        <is>
          <t>pcs</t>
        </is>
      </c>
      <c r="BK12" s="467" t="n">
        <v>6000</v>
      </c>
      <c r="BL12" s="467" t="inlineStr">
        <is>
          <t>2297152000000039748</t>
        </is>
      </c>
      <c r="BM12" s="467" t="n"/>
      <c r="BN12" s="467" t="n"/>
      <c r="BO12" s="467" t="n"/>
      <c r="BP12" s="467" t="n"/>
      <c r="BQ12" s="467" t="n"/>
      <c r="BR12" s="467" t="inlineStr">
        <is>
          <t>Ground Floor, S-456,</t>
        </is>
      </c>
      <c r="BS12" s="467" t="inlineStr">
        <is>
          <t>GK 2,</t>
        </is>
      </c>
      <c r="BT12" s="467" t="inlineStr">
        <is>
          <t>Delhi</t>
        </is>
      </c>
      <c r="BU12" s="467" t="inlineStr">
        <is>
          <t>Delhi</t>
        </is>
      </c>
      <c r="BV12" s="467" t="inlineStr">
        <is>
          <t>India</t>
        </is>
      </c>
      <c r="BW12" s="467" t="inlineStr">
        <is>
          <t>110048</t>
        </is>
      </c>
      <c r="BX12" s="467" t="n"/>
      <c r="BY12" s="467" t="n"/>
      <c r="BZ12" s="467" t="n"/>
      <c r="CA12" s="467" t="inlineStr">
        <is>
          <t>Ground Floor, S-456,</t>
        </is>
      </c>
      <c r="CB12" s="467" t="inlineStr">
        <is>
          <t>GK 2,</t>
        </is>
      </c>
      <c r="CC12" s="467" t="inlineStr">
        <is>
          <t>Delhi</t>
        </is>
      </c>
      <c r="CD12" s="467" t="inlineStr">
        <is>
          <t>Delhi</t>
        </is>
      </c>
      <c r="CE12" s="467" t="inlineStr">
        <is>
          <t>India</t>
        </is>
      </c>
      <c r="CF12" s="467" t="inlineStr">
        <is>
          <t>110048</t>
        </is>
      </c>
      <c r="CG12" s="467" t="n"/>
      <c r="CH12" s="467" t="n"/>
      <c r="CI12" s="467" t="inlineStr">
        <is>
          <t>Coresphere100 Technologies Pvt. Ltd.</t>
        </is>
      </c>
      <c r="CJ12" s="467" t="inlineStr">
        <is>
          <t>09AALCC7037K1Z7</t>
        </is>
      </c>
      <c r="CK12" s="467" t="inlineStr">
        <is>
          <t>16026, 16th Floor, Tower Oakwood,</t>
        </is>
      </c>
      <c r="CL12" s="467" t="inlineStr">
        <is>
          <t>Greater Noida,</t>
        </is>
      </c>
      <c r="CM12" s="467" t="inlineStr">
        <is>
          <t>Uttar Pradesh</t>
        </is>
      </c>
      <c r="CN12" s="467" t="inlineStr">
        <is>
          <t>India</t>
        </is>
      </c>
      <c r="CO12" s="467" t="inlineStr">
        <is>
          <t>201306</t>
        </is>
      </c>
      <c r="CP12" s="467" t="inlineStr">
        <is>
          <t>8928163657</t>
        </is>
      </c>
      <c r="CQ12" s="467" t="inlineStr">
        <is>
          <t>manas@jurisphere.ai</t>
        </is>
      </c>
      <c r="CR12" s="467" t="inlineStr">
        <is>
          <t>0.00</t>
        </is>
      </c>
      <c r="CS12" s="467" t="inlineStr">
        <is>
          <t>0.00</t>
        </is>
      </c>
      <c r="CT12" s="467" t="inlineStr">
        <is>
          <t>18.00</t>
        </is>
      </c>
      <c r="CU12" s="467" t="inlineStr">
        <is>
          <t>0.00</t>
        </is>
      </c>
      <c r="CV12" s="467" t="inlineStr">
        <is>
          <t>0.00</t>
        </is>
      </c>
      <c r="CW12" s="467" t="inlineStr">
        <is>
          <t>0.00</t>
        </is>
      </c>
      <c r="CX12" s="467" t="inlineStr">
        <is>
          <t>1080.00</t>
        </is>
      </c>
      <c r="CY12" s="467" t="inlineStr">
        <is>
          <t>0.00</t>
        </is>
      </c>
      <c r="CZ12" s="467" t="inlineStr">
        <is>
          <t>0.00</t>
        </is>
      </c>
      <c r="DA12" s="467" t="inlineStr">
        <is>
          <t>0.00</t>
        </is>
      </c>
      <c r="DB12" s="467" t="inlineStr">
        <is>
          <t>1080.00</t>
        </is>
      </c>
      <c r="DC12" s="467" t="inlineStr">
        <is>
          <t>0.00</t>
        </is>
      </c>
      <c r="DD12" s="467" t="n"/>
      <c r="DE12" s="467" t="n"/>
      <c r="DF12" s="467" t="n"/>
      <c r="DG12" s="467" t="n"/>
      <c r="DH12" s="467" t="n"/>
      <c r="DI12" s="467" t="inlineStr">
        <is>
          <t>0.000</t>
        </is>
      </c>
      <c r="DJ12" s="467" t="n"/>
      <c r="DK12" s="467" t="n"/>
      <c r="DL12" s="467" t="n"/>
      <c r="DM12" s="467" t="n"/>
      <c r="DN12" s="467" t="n"/>
      <c r="DO12" s="467" t="n"/>
      <c r="DP12" s="467" t="inlineStr">
        <is>
          <t>998313</t>
        </is>
      </c>
      <c r="DQ12" s="467" t="n">
        <v>0</v>
      </c>
      <c r="DR12" s="467" t="n"/>
      <c r="DS12" s="467" t="n"/>
      <c r="DT12" s="467" t="n"/>
      <c r="DU12" s="467" t="n"/>
      <c r="DV12" s="467" t="n"/>
      <c r="DW12" s="467" t="n"/>
      <c r="DX12" s="467" t="inlineStr">
        <is>
          <t>service</t>
        </is>
      </c>
      <c r="DY12" s="467" t="n"/>
      <c r="DZ12" s="467" t="n"/>
      <c r="EA12" s="467" t="n"/>
      <c r="EB12" s="467" t="n"/>
      <c r="EC12" s="467" t="n"/>
      <c r="ED12" s="467" t="n"/>
      <c r="EE12" s="467" t="n"/>
      <c r="EF12" s="467" t="n"/>
      <c r="EG12" s="467" t="n"/>
      <c r="EH12" s="467" t="inlineStr">
        <is>
          <t>Others</t>
        </is>
      </c>
      <c r="EI12" s="467" t="n"/>
      <c r="EJ12" s="467" t="n"/>
      <c r="EK12" s="467" t="inlineStr">
        <is>
          <t>Sales</t>
        </is>
      </c>
      <c r="EL12" s="467" t="n"/>
      <c r="EM12" s="467" t="inlineStr">
        <is>
          <t>Taxable</t>
        </is>
      </c>
      <c r="EN12" s="467" t="inlineStr">
        <is>
          <t>2297152000000031111</t>
        </is>
      </c>
      <c r="EO12" s="467" t="inlineStr">
        <is>
          <t>IGST18</t>
        </is>
      </c>
      <c r="EP12" s="467" t="inlineStr">
        <is>
          <t>18.00</t>
        </is>
      </c>
      <c r="EQ12" s="467" t="n">
        <v>1080</v>
      </c>
      <c r="ER12" s="467" t="inlineStr">
        <is>
          <t>ItemAmount</t>
        </is>
      </c>
      <c r="ES12" s="467" t="n"/>
      <c r="ET12" s="467" t="n"/>
    </row>
    <row r="13" ht="39.55" customHeight="1" s="253">
      <c r="A13" s="466" t="n">
        <v>45755</v>
      </c>
      <c r="B13" s="467" t="inlineStr">
        <is>
          <t>2297152000000054539</t>
        </is>
      </c>
      <c r="C13" s="467" t="inlineStr">
        <is>
          <t>INV-25-26-000012</t>
        </is>
      </c>
      <c r="D13" s="467" t="inlineStr">
        <is>
          <t>Closed</t>
        </is>
      </c>
      <c r="E13" s="467" t="inlineStr">
        <is>
          <t>2297152000000054510</t>
        </is>
      </c>
      <c r="F13" s="467" t="inlineStr">
        <is>
          <t>Karan Butalia</t>
        </is>
      </c>
      <c r="G13" s="467" t="inlineStr">
        <is>
          <t>DL</t>
        </is>
      </c>
      <c r="H13" s="467" t="inlineStr">
        <is>
          <t>07-Delhi</t>
        </is>
      </c>
      <c r="I13" s="467" t="inlineStr">
        <is>
          <t>business_gst</t>
        </is>
      </c>
      <c r="J13" s="467" t="inlineStr">
        <is>
          <t>false</t>
        </is>
      </c>
      <c r="K13" s="466" t="n">
        <v>45755</v>
      </c>
      <c r="L13" s="467" t="n"/>
      <c r="M13" s="467" t="inlineStr">
        <is>
          <t>INR</t>
        </is>
      </c>
      <c r="N13" s="467" t="n">
        <v>1</v>
      </c>
      <c r="O13" s="467" t="inlineStr">
        <is>
          <t>item_level</t>
        </is>
      </c>
      <c r="P13" s="467" t="inlineStr">
        <is>
          <t>true</t>
        </is>
      </c>
      <c r="Q13" s="467" t="inlineStr">
        <is>
          <t>Tax Invoice</t>
        </is>
      </c>
      <c r="R13" s="467" t="inlineStr">
        <is>
          <t>0.00</t>
        </is>
      </c>
      <c r="S13" s="467" t="n"/>
      <c r="T13" s="467" t="n"/>
      <c r="U13" s="467" t="inlineStr">
        <is>
          <t>item_level</t>
        </is>
      </c>
      <c r="V13" s="467" t="n"/>
      <c r="W13" s="467" t="inlineStr">
        <is>
          <t>0.00</t>
        </is>
      </c>
      <c r="X13" s="467" t="n"/>
      <c r="Y13" s="467" t="n"/>
      <c r="Z13" s="467" t="inlineStr">
        <is>
          <t>0.000</t>
        </is>
      </c>
      <c r="AA13" s="467" t="n">
        <v>4000</v>
      </c>
      <c r="AB13" s="467" t="n">
        <v>4720</v>
      </c>
      <c r="AC13" s="467" t="n">
        <v>0</v>
      </c>
      <c r="AD13" s="467" t="n">
        <v>0</v>
      </c>
      <c r="AE13" s="467" t="inlineStr">
        <is>
          <t>Adjustment</t>
        </is>
      </c>
      <c r="AF13" s="467" t="n"/>
      <c r="AG13" s="466" t="n">
        <v>45755</v>
      </c>
      <c r="AH13" s="467" t="inlineStr">
        <is>
          <t>0</t>
        </is>
      </c>
      <c r="AI13" s="467" t="inlineStr">
        <is>
          <t>Due On Receipt</t>
        </is>
      </c>
      <c r="AJ13" s="467" t="inlineStr">
        <is>
          <t>Thanks for your business.</t>
        </is>
      </c>
      <c r="AK13" s="467" t="n"/>
      <c r="AL13" s="467" t="n"/>
      <c r="AM13" s="467" t="n"/>
      <c r="AN13" s="467" t="n"/>
      <c r="AO13" s="467" t="n"/>
      <c r="AP13" s="467" t="n"/>
      <c r="AQ13" s="467" t="n"/>
      <c r="AR13" s="467" t="n"/>
      <c r="AS13" s="467" t="n"/>
      <c r="AT13" s="467" t="inlineStr">
        <is>
          <t>Invoice</t>
        </is>
      </c>
      <c r="AU13" s="467" t="inlineStr">
        <is>
          <t>0.0</t>
        </is>
      </c>
      <c r="AV13" s="467" t="n">
        <v>0</v>
      </c>
      <c r="AW13" s="467" t="n"/>
      <c r="AX13" s="467" t="n"/>
      <c r="AY13" s="467" t="n"/>
      <c r="AZ13" s="467" t="n"/>
      <c r="BA13" s="467" t="n"/>
      <c r="BB13" s="467" t="n"/>
      <c r="BC13" s="467" t="n"/>
      <c r="BD13" s="467" t="inlineStr">
        <is>
          <t>Jurisphere Enterprise Subscription</t>
        </is>
      </c>
      <c r="BE13" s="468" t="inlineStr">
        <is>
          <t>Subscription Period- 2 months
Description- 1 login of INR 4000 for 2 months, Only for document Review and Research</t>
        </is>
      </c>
      <c r="BF13" s="467" t="n">
        <v>1</v>
      </c>
      <c r="BG13" s="467" t="inlineStr">
        <is>
          <t>0.00</t>
        </is>
      </c>
      <c r="BH13" s="467" t="inlineStr">
        <is>
          <t>0.00</t>
        </is>
      </c>
      <c r="BI13" s="467" t="n">
        <v>4000</v>
      </c>
      <c r="BJ13" s="467" t="inlineStr">
        <is>
          <t>pcs</t>
        </is>
      </c>
      <c r="BK13" s="467" t="n">
        <v>4000</v>
      </c>
      <c r="BL13" s="467" t="inlineStr">
        <is>
          <t>2297152000000039748</t>
        </is>
      </c>
      <c r="BM13" s="467" t="n"/>
      <c r="BN13" s="467" t="n"/>
      <c r="BO13" s="467" t="n"/>
      <c r="BP13" s="467" t="n"/>
      <c r="BQ13" s="467" t="n"/>
      <c r="BR13" s="467" t="inlineStr">
        <is>
          <t>75, Qutab View Apartments,</t>
        </is>
      </c>
      <c r="BS13" s="467" t="inlineStr">
        <is>
          <t>Katwaria Sarai,</t>
        </is>
      </c>
      <c r="BT13" s="467" t="inlineStr">
        <is>
          <t>New Delhi</t>
        </is>
      </c>
      <c r="BU13" s="467" t="inlineStr">
        <is>
          <t>Delhi</t>
        </is>
      </c>
      <c r="BV13" s="467" t="inlineStr">
        <is>
          <t>India</t>
        </is>
      </c>
      <c r="BW13" s="467" t="inlineStr">
        <is>
          <t>110016</t>
        </is>
      </c>
      <c r="BX13" s="467" t="n"/>
      <c r="BY13" s="467" t="n"/>
      <c r="BZ13" s="467" t="n"/>
      <c r="CA13" s="467" t="inlineStr">
        <is>
          <t>75, Qutab View Apartments,</t>
        </is>
      </c>
      <c r="CB13" s="467" t="inlineStr">
        <is>
          <t>Katwaria Sarai,</t>
        </is>
      </c>
      <c r="CC13" s="467" t="inlineStr">
        <is>
          <t>New Delhi</t>
        </is>
      </c>
      <c r="CD13" s="467" t="inlineStr">
        <is>
          <t>Delhi</t>
        </is>
      </c>
      <c r="CE13" s="467" t="inlineStr">
        <is>
          <t>India</t>
        </is>
      </c>
      <c r="CF13" s="467" t="inlineStr">
        <is>
          <t>110016</t>
        </is>
      </c>
      <c r="CG13" s="467" t="n"/>
      <c r="CH13" s="467" t="n"/>
      <c r="CI13" s="467" t="inlineStr">
        <is>
          <t>Coresphere100 Technologies Pvt. Ltd.</t>
        </is>
      </c>
      <c r="CJ13" s="467" t="inlineStr">
        <is>
          <t>09AALCC7037K1Z7</t>
        </is>
      </c>
      <c r="CK13" s="467" t="inlineStr">
        <is>
          <t>16026, 16th Floor, Tower Oakwood,</t>
        </is>
      </c>
      <c r="CL13" s="467" t="inlineStr">
        <is>
          <t>Greater Noida,</t>
        </is>
      </c>
      <c r="CM13" s="467" t="inlineStr">
        <is>
          <t>Uttar Pradesh</t>
        </is>
      </c>
      <c r="CN13" s="467" t="inlineStr">
        <is>
          <t>India</t>
        </is>
      </c>
      <c r="CO13" s="467" t="inlineStr">
        <is>
          <t>201306</t>
        </is>
      </c>
      <c r="CP13" s="467" t="inlineStr">
        <is>
          <t>8928163657</t>
        </is>
      </c>
      <c r="CQ13" s="467" t="inlineStr">
        <is>
          <t>manas@jurisphere.ai</t>
        </is>
      </c>
      <c r="CR13" s="467" t="inlineStr">
        <is>
          <t>0.00</t>
        </is>
      </c>
      <c r="CS13" s="467" t="inlineStr">
        <is>
          <t>0.00</t>
        </is>
      </c>
      <c r="CT13" s="467" t="inlineStr">
        <is>
          <t>18.00</t>
        </is>
      </c>
      <c r="CU13" s="467" t="inlineStr">
        <is>
          <t>0.00</t>
        </is>
      </c>
      <c r="CV13" s="467" t="inlineStr">
        <is>
          <t>0.00</t>
        </is>
      </c>
      <c r="CW13" s="467" t="inlineStr">
        <is>
          <t>0.00</t>
        </is>
      </c>
      <c r="CX13" s="467" t="inlineStr">
        <is>
          <t>720.00</t>
        </is>
      </c>
      <c r="CY13" s="467" t="inlineStr">
        <is>
          <t>0.00</t>
        </is>
      </c>
      <c r="CZ13" s="467" t="inlineStr">
        <is>
          <t>0.00</t>
        </is>
      </c>
      <c r="DA13" s="467" t="inlineStr">
        <is>
          <t>0.00</t>
        </is>
      </c>
      <c r="DB13" s="467" t="inlineStr">
        <is>
          <t>720.00</t>
        </is>
      </c>
      <c r="DC13" s="467" t="inlineStr">
        <is>
          <t>0.00</t>
        </is>
      </c>
      <c r="DD13" s="467" t="n"/>
      <c r="DE13" s="467" t="n"/>
      <c r="DF13" s="467" t="n"/>
      <c r="DG13" s="467" t="n"/>
      <c r="DH13" s="467" t="n"/>
      <c r="DI13" s="467" t="inlineStr">
        <is>
          <t>0.000</t>
        </is>
      </c>
      <c r="DJ13" s="467" t="n"/>
      <c r="DK13" s="467" t="n"/>
      <c r="DL13" s="467" t="inlineStr">
        <is>
          <t>07AEGPB1913B1ZC</t>
        </is>
      </c>
      <c r="DM13" s="467" t="n"/>
      <c r="DN13" s="467" t="n"/>
      <c r="DO13" s="467" t="n"/>
      <c r="DP13" s="467" t="inlineStr">
        <is>
          <t>998313</t>
        </is>
      </c>
      <c r="DQ13" s="467" t="n">
        <v>0</v>
      </c>
      <c r="DR13" s="467" t="n"/>
      <c r="DS13" s="467" t="n"/>
      <c r="DT13" s="467" t="n"/>
      <c r="DU13" s="467" t="n"/>
      <c r="DV13" s="467" t="n"/>
      <c r="DW13" s="467" t="n"/>
      <c r="DX13" s="467" t="inlineStr">
        <is>
          <t>service</t>
        </is>
      </c>
      <c r="DY13" s="467" t="n"/>
      <c r="DZ13" s="467" t="n"/>
      <c r="EA13" s="467" t="n"/>
      <c r="EB13" s="467" t="n"/>
      <c r="EC13" s="467" t="n"/>
      <c r="ED13" s="467" t="n"/>
      <c r="EE13" s="467" t="n"/>
      <c r="EF13" s="467" t="n"/>
      <c r="EG13" s="467" t="n"/>
      <c r="EH13" s="467" t="inlineStr">
        <is>
          <t>Others</t>
        </is>
      </c>
      <c r="EI13" s="467" t="n"/>
      <c r="EJ13" s="467" t="n"/>
      <c r="EK13" s="467" t="inlineStr">
        <is>
          <t>Sales</t>
        </is>
      </c>
      <c r="EL13" s="467" t="n"/>
      <c r="EM13" s="467" t="inlineStr">
        <is>
          <t>Taxable</t>
        </is>
      </c>
      <c r="EN13" s="467" t="inlineStr">
        <is>
          <t>2297152000000031111</t>
        </is>
      </c>
      <c r="EO13" s="467" t="inlineStr">
        <is>
          <t>IGST18</t>
        </is>
      </c>
      <c r="EP13" s="467" t="inlineStr">
        <is>
          <t>18.00</t>
        </is>
      </c>
      <c r="EQ13" s="467" t="n">
        <v>720</v>
      </c>
      <c r="ER13" s="467" t="inlineStr">
        <is>
          <t>ItemAmount</t>
        </is>
      </c>
      <c r="ES13" s="467" t="n"/>
      <c r="ET13" s="467" t="n"/>
    </row>
    <row r="14" ht="39.55" customHeight="1" s="253">
      <c r="A14" s="466" t="n">
        <v>45755</v>
      </c>
      <c r="B14" s="467" t="inlineStr">
        <is>
          <t>2297152000000054571</t>
        </is>
      </c>
      <c r="C14" s="467" t="inlineStr">
        <is>
          <t>INV-25-26-000013</t>
        </is>
      </c>
      <c r="D14" s="467" t="inlineStr">
        <is>
          <t>Overdue</t>
        </is>
      </c>
      <c r="E14" s="467" t="inlineStr">
        <is>
          <t>2297152000000054553</t>
        </is>
      </c>
      <c r="F14" s="467" t="inlineStr">
        <is>
          <t>Agama Law Associates</t>
        </is>
      </c>
      <c r="G14" s="467" t="inlineStr">
        <is>
          <t>MH</t>
        </is>
      </c>
      <c r="H14" s="467" t="inlineStr">
        <is>
          <t>27-Maharashtra</t>
        </is>
      </c>
      <c r="I14" s="467" t="inlineStr">
        <is>
          <t>business_none</t>
        </is>
      </c>
      <c r="J14" s="467" t="inlineStr">
        <is>
          <t>false</t>
        </is>
      </c>
      <c r="K14" s="466" t="n">
        <v>45755</v>
      </c>
      <c r="L14" s="467" t="n"/>
      <c r="M14" s="467" t="inlineStr">
        <is>
          <t>INR</t>
        </is>
      </c>
      <c r="N14" s="467" t="n">
        <v>1</v>
      </c>
      <c r="O14" s="467" t="inlineStr">
        <is>
          <t>item_level</t>
        </is>
      </c>
      <c r="P14" s="467" t="inlineStr">
        <is>
          <t>true</t>
        </is>
      </c>
      <c r="Q14" s="467" t="inlineStr">
        <is>
          <t>Tax Invoice</t>
        </is>
      </c>
      <c r="R14" s="467" t="inlineStr">
        <is>
          <t>0.00</t>
        </is>
      </c>
      <c r="S14" s="467" t="n"/>
      <c r="T14" s="467" t="n"/>
      <c r="U14" s="467" t="inlineStr">
        <is>
          <t>entity_level</t>
        </is>
      </c>
      <c r="V14" s="467" t="inlineStr">
        <is>
          <t>Technical Fees (2%)</t>
        </is>
      </c>
      <c r="W14" s="467" t="inlineStr">
        <is>
          <t>2.00</t>
        </is>
      </c>
      <c r="X14" s="467" t="inlineStr">
        <is>
          <t>194J</t>
        </is>
      </c>
      <c r="Y14" s="467" t="inlineStr">
        <is>
          <t>Section 194 J</t>
        </is>
      </c>
      <c r="Z14" s="467" t="inlineStr">
        <is>
          <t>1355.940</t>
        </is>
      </c>
      <c r="AA14" s="467" t="n">
        <v>67797</v>
      </c>
      <c r="AB14" s="467" t="n">
        <v>78644.06</v>
      </c>
      <c r="AC14" s="467" t="n">
        <v>1356.06</v>
      </c>
      <c r="AD14" s="467" t="n">
        <v>-0.46</v>
      </c>
      <c r="AE14" s="467" t="inlineStr">
        <is>
          <t>Adjustment</t>
        </is>
      </c>
      <c r="AF14" s="467" t="n"/>
      <c r="AG14" s="466" t="n">
        <v>45757</v>
      </c>
      <c r="AH14" s="467" t="inlineStr">
        <is>
          <t>0</t>
        </is>
      </c>
      <c r="AI14" s="467" t="inlineStr">
        <is>
          <t>Due On Receipt</t>
        </is>
      </c>
      <c r="AJ14" s="467" t="inlineStr">
        <is>
          <t>Thanks for your business.</t>
        </is>
      </c>
      <c r="AK14" s="467" t="n"/>
      <c r="AL14" s="467" t="n"/>
      <c r="AM14" s="467" t="n"/>
      <c r="AN14" s="467" t="n"/>
      <c r="AO14" s="467" t="n"/>
      <c r="AP14" s="467" t="n"/>
      <c r="AQ14" s="467" t="n"/>
      <c r="AR14" s="467" t="n"/>
      <c r="AS14" s="467" t="n"/>
      <c r="AT14" s="467" t="inlineStr">
        <is>
          <t>Invoice</t>
        </is>
      </c>
      <c r="AU14" s="467" t="inlineStr">
        <is>
          <t>0.0</t>
        </is>
      </c>
      <c r="AV14" s="467" t="n">
        <v>0</v>
      </c>
      <c r="AW14" s="467" t="n"/>
      <c r="AX14" s="467" t="n"/>
      <c r="AY14" s="467" t="n"/>
      <c r="AZ14" s="467" t="n"/>
      <c r="BA14" s="467" t="n"/>
      <c r="BB14" s="467" t="n"/>
      <c r="BC14" s="467" t="n"/>
      <c r="BD14" s="467" t="inlineStr">
        <is>
          <t>Jurisphere Enterprise Subscription</t>
        </is>
      </c>
      <c r="BE14" s="467" t="inlineStr">
        <is>
          <t>Subscription Period- 1st April, 2025 to 30th June, 2025</t>
        </is>
      </c>
      <c r="BF14" s="467" t="n">
        <v>1</v>
      </c>
      <c r="BG14" s="467" t="inlineStr">
        <is>
          <t>0.00</t>
        </is>
      </c>
      <c r="BH14" s="467" t="inlineStr">
        <is>
          <t>0.00</t>
        </is>
      </c>
      <c r="BI14" s="467" t="n">
        <v>67797</v>
      </c>
      <c r="BJ14" s="467" t="inlineStr">
        <is>
          <t>pcs</t>
        </is>
      </c>
      <c r="BK14" s="467" t="n">
        <v>67797</v>
      </c>
      <c r="BL14" s="467" t="inlineStr">
        <is>
          <t>2297152000000039748</t>
        </is>
      </c>
      <c r="BM14" s="467" t="n"/>
      <c r="BN14" s="467" t="n"/>
      <c r="BO14" s="467" t="n"/>
      <c r="BP14" s="467" t="n"/>
      <c r="BQ14" s="467" t="inlineStr">
        <is>
          <t>Nitin Jain</t>
        </is>
      </c>
      <c r="BR14" s="468" t="inlineStr">
        <is>
          <t>13th Floor Oppt, MTNL Office, 
Lodha Supremus,</t>
        </is>
      </c>
      <c r="BS14" s="468" t="inlineStr">
        <is>
          <t>1301, Saki Vihar Rd,
Tunga Village, Chandivali, Powai,</t>
        </is>
      </c>
      <c r="BT14" s="467" t="inlineStr">
        <is>
          <t>Mumbai</t>
        </is>
      </c>
      <c r="BU14" s="467" t="inlineStr">
        <is>
          <t>Maharashtra</t>
        </is>
      </c>
      <c r="BV14" s="467" t="inlineStr">
        <is>
          <t>India</t>
        </is>
      </c>
      <c r="BW14" s="467" t="inlineStr">
        <is>
          <t>400072</t>
        </is>
      </c>
      <c r="BX14" s="467" t="n"/>
      <c r="BY14" s="467" t="n"/>
      <c r="BZ14" s="467" t="inlineStr">
        <is>
          <t>Nitin Jain</t>
        </is>
      </c>
      <c r="CA14" s="468" t="inlineStr">
        <is>
          <t>13th Floor Oppt, MTNL Office, 
Lodha Supremus,</t>
        </is>
      </c>
      <c r="CB14" s="468" t="inlineStr">
        <is>
          <t>1301, Saki Vihar Rd,
Tunga Village, Chandivali, Powai,</t>
        </is>
      </c>
      <c r="CC14" s="467" t="inlineStr">
        <is>
          <t>Mumbai</t>
        </is>
      </c>
      <c r="CD14" s="467" t="inlineStr">
        <is>
          <t>Maharashtra</t>
        </is>
      </c>
      <c r="CE14" s="467" t="inlineStr">
        <is>
          <t>India</t>
        </is>
      </c>
      <c r="CF14" s="467" t="inlineStr">
        <is>
          <t>400072</t>
        </is>
      </c>
      <c r="CG14" s="467" t="n"/>
      <c r="CH14" s="467" t="n"/>
      <c r="CI14" s="467" t="inlineStr">
        <is>
          <t>Coresphere100 Technologies Pvt. Ltd.</t>
        </is>
      </c>
      <c r="CJ14" s="467" t="inlineStr">
        <is>
          <t>09AALCC7037K1Z7</t>
        </is>
      </c>
      <c r="CK14" s="467" t="inlineStr">
        <is>
          <t>16026, 16th Floor, Tower Oakwood,</t>
        </is>
      </c>
      <c r="CL14" s="467" t="inlineStr">
        <is>
          <t>Greater Noida,</t>
        </is>
      </c>
      <c r="CM14" s="467" t="inlineStr">
        <is>
          <t>Uttar Pradesh</t>
        </is>
      </c>
      <c r="CN14" s="467" t="inlineStr">
        <is>
          <t>India</t>
        </is>
      </c>
      <c r="CO14" s="467" t="inlineStr">
        <is>
          <t>201306</t>
        </is>
      </c>
      <c r="CP14" s="467" t="inlineStr">
        <is>
          <t>8928163657</t>
        </is>
      </c>
      <c r="CQ14" s="467" t="inlineStr">
        <is>
          <t>manas@jurisphere.ai</t>
        </is>
      </c>
      <c r="CR14" s="467" t="inlineStr">
        <is>
          <t>0.00</t>
        </is>
      </c>
      <c r="CS14" s="467" t="inlineStr">
        <is>
          <t>0.00</t>
        </is>
      </c>
      <c r="CT14" s="467" t="inlineStr">
        <is>
          <t>18.00</t>
        </is>
      </c>
      <c r="CU14" s="467" t="inlineStr">
        <is>
          <t>0.00</t>
        </is>
      </c>
      <c r="CV14" s="467" t="inlineStr">
        <is>
          <t>0.00</t>
        </is>
      </c>
      <c r="CW14" s="467" t="inlineStr">
        <is>
          <t>0.00</t>
        </is>
      </c>
      <c r="CX14" s="467" t="inlineStr">
        <is>
          <t>12203.46</t>
        </is>
      </c>
      <c r="CY14" s="467" t="inlineStr">
        <is>
          <t>0.00</t>
        </is>
      </c>
      <c r="CZ14" s="467" t="inlineStr">
        <is>
          <t>0.00</t>
        </is>
      </c>
      <c r="DA14" s="467" t="inlineStr">
        <is>
          <t>0.00</t>
        </is>
      </c>
      <c r="DB14" s="467" t="inlineStr">
        <is>
          <t>12203.46</t>
        </is>
      </c>
      <c r="DC14" s="467" t="inlineStr">
        <is>
          <t>0.00</t>
        </is>
      </c>
      <c r="DD14" s="467" t="n"/>
      <c r="DE14" s="467" t="n"/>
      <c r="DF14" s="467" t="n"/>
      <c r="DG14" s="467" t="n"/>
      <c r="DH14" s="467" t="n"/>
      <c r="DI14" s="467" t="n"/>
      <c r="DJ14" s="467" t="n"/>
      <c r="DK14" s="467" t="n"/>
      <c r="DL14" s="467" t="n"/>
      <c r="DM14" s="467" t="n"/>
      <c r="DN14" s="467" t="n"/>
      <c r="DO14" s="467" t="n"/>
      <c r="DP14" s="467" t="inlineStr">
        <is>
          <t>998313</t>
        </is>
      </c>
      <c r="DQ14" s="467" t="n">
        <v>0</v>
      </c>
      <c r="DR14" s="467" t="n"/>
      <c r="DS14" s="467" t="n"/>
      <c r="DT14" s="467" t="inlineStr">
        <is>
          <t>nitin@agamalaw.com</t>
        </is>
      </c>
      <c r="DU14" s="467" t="inlineStr">
        <is>
          <t>7506122343</t>
        </is>
      </c>
      <c r="DV14" s="467" t="inlineStr">
        <is>
          <t>022-40229129</t>
        </is>
      </c>
      <c r="DW14" s="467" t="n"/>
      <c r="DX14" s="467" t="inlineStr">
        <is>
          <t>service</t>
        </is>
      </c>
      <c r="DY14" s="467" t="n"/>
      <c r="DZ14" s="467" t="n"/>
      <c r="EA14" s="467" t="n"/>
      <c r="EB14" s="467" t="n"/>
      <c r="EC14" s="467" t="n"/>
      <c r="ED14" s="467" t="n"/>
      <c r="EE14" s="467" t="n"/>
      <c r="EF14" s="467" t="n"/>
      <c r="EG14" s="467" t="n"/>
      <c r="EH14" s="467" t="inlineStr">
        <is>
          <t>Others</t>
        </is>
      </c>
      <c r="EI14" s="467" t="n"/>
      <c r="EJ14" s="467" t="n"/>
      <c r="EK14" s="467" t="inlineStr">
        <is>
          <t>Sales</t>
        </is>
      </c>
      <c r="EL14" s="467" t="n"/>
      <c r="EM14" s="467" t="inlineStr">
        <is>
          <t>Taxable</t>
        </is>
      </c>
      <c r="EN14" s="467" t="inlineStr">
        <is>
          <t>2297152000000031111</t>
        </is>
      </c>
      <c r="EO14" s="467" t="inlineStr">
        <is>
          <t>IGST18</t>
        </is>
      </c>
      <c r="EP14" s="467" t="inlineStr">
        <is>
          <t>18.00</t>
        </is>
      </c>
      <c r="EQ14" s="467" t="n">
        <v>12203.46</v>
      </c>
      <c r="ER14" s="467" t="inlineStr">
        <is>
          <t>ItemAmount</t>
        </is>
      </c>
      <c r="ES14" s="467" t="n"/>
      <c r="ET14" s="467" t="n"/>
    </row>
    <row r="15" ht="39.55" customHeight="1" s="253">
      <c r="A15" s="466" t="n">
        <v>45755</v>
      </c>
      <c r="B15" s="467" t="inlineStr">
        <is>
          <t>2297152000000054775</t>
        </is>
      </c>
      <c r="C15" s="467" t="inlineStr">
        <is>
          <t>INV-25-26-000014</t>
        </is>
      </c>
      <c r="D15" s="467" t="inlineStr">
        <is>
          <t>Closed</t>
        </is>
      </c>
      <c r="E15" s="467" t="inlineStr">
        <is>
          <t>2297152000000054757</t>
        </is>
      </c>
      <c r="F15" s="467" t="inlineStr">
        <is>
          <t>RAJANI ASSOCIATES</t>
        </is>
      </c>
      <c r="G15" s="467" t="inlineStr">
        <is>
          <t>MH</t>
        </is>
      </c>
      <c r="H15" s="467" t="inlineStr">
        <is>
          <t>27-Maharashtra</t>
        </is>
      </c>
      <c r="I15" s="467" t="inlineStr">
        <is>
          <t>business_gst</t>
        </is>
      </c>
      <c r="J15" s="467" t="inlineStr">
        <is>
          <t>false</t>
        </is>
      </c>
      <c r="K15" s="466" t="n">
        <v>45755</v>
      </c>
      <c r="L15" s="467" t="n"/>
      <c r="M15" s="467" t="inlineStr">
        <is>
          <t>INR</t>
        </is>
      </c>
      <c r="N15" s="467" t="n">
        <v>1</v>
      </c>
      <c r="O15" s="467" t="inlineStr">
        <is>
          <t>item_level</t>
        </is>
      </c>
      <c r="P15" s="467" t="inlineStr">
        <is>
          <t>true</t>
        </is>
      </c>
      <c r="Q15" s="467" t="inlineStr">
        <is>
          <t>Tax Invoice</t>
        </is>
      </c>
      <c r="R15" s="467" t="inlineStr">
        <is>
          <t>0.00</t>
        </is>
      </c>
      <c r="S15" s="467" t="n"/>
      <c r="T15" s="467" t="n"/>
      <c r="U15" s="467" t="inlineStr">
        <is>
          <t>item_level</t>
        </is>
      </c>
      <c r="V15" s="467" t="n"/>
      <c r="W15" s="467" t="inlineStr">
        <is>
          <t>0.00</t>
        </is>
      </c>
      <c r="X15" s="467" t="n"/>
      <c r="Y15" s="467" t="n"/>
      <c r="Z15" s="467" t="inlineStr">
        <is>
          <t>0.000</t>
        </is>
      </c>
      <c r="AA15" s="467" t="n">
        <v>21000</v>
      </c>
      <c r="AB15" s="467" t="n">
        <v>24780</v>
      </c>
      <c r="AC15" s="467" t="n">
        <v>0</v>
      </c>
      <c r="AD15" s="467" t="n">
        <v>0</v>
      </c>
      <c r="AE15" s="467" t="inlineStr">
        <is>
          <t>Adjustment</t>
        </is>
      </c>
      <c r="AF15" s="467" t="n"/>
      <c r="AG15" s="466" t="n">
        <v>45757</v>
      </c>
      <c r="AH15" s="467" t="inlineStr">
        <is>
          <t>0</t>
        </is>
      </c>
      <c r="AI15" s="467" t="inlineStr">
        <is>
          <t>Due On Receipt</t>
        </is>
      </c>
      <c r="AJ15" s="467" t="inlineStr">
        <is>
          <t>Thanks for your business.</t>
        </is>
      </c>
      <c r="AK15" s="467" t="n"/>
      <c r="AL15" s="467" t="n"/>
      <c r="AM15" s="467" t="n"/>
      <c r="AN15" s="467" t="n"/>
      <c r="AO15" s="467" t="n"/>
      <c r="AP15" s="467" t="n"/>
      <c r="AQ15" s="467" t="n"/>
      <c r="AR15" s="467" t="n"/>
      <c r="AS15" s="467" t="n"/>
      <c r="AT15" s="467" t="inlineStr">
        <is>
          <t>Invoice</t>
        </is>
      </c>
      <c r="AU15" s="467" t="inlineStr">
        <is>
          <t>0.0</t>
        </is>
      </c>
      <c r="AV15" s="467" t="n">
        <v>0</v>
      </c>
      <c r="AW15" s="467" t="n"/>
      <c r="AX15" s="467" t="n"/>
      <c r="AY15" s="467" t="n"/>
      <c r="AZ15" s="467" t="n"/>
      <c r="BA15" s="467" t="n"/>
      <c r="BB15" s="467" t="n"/>
      <c r="BC15" s="467" t="n"/>
      <c r="BD15" s="467" t="inlineStr">
        <is>
          <t>Jurisphere Enterprise Subscription</t>
        </is>
      </c>
      <c r="BE15" s="468" t="inlineStr">
        <is>
          <t xml:space="preserve">Subscription Period- 1 month started from 10th April, 2025 to 9th May, 2025
Description - 3 License for Rs. 7000 each for per month </t>
        </is>
      </c>
      <c r="BF15" s="467" t="n">
        <v>3</v>
      </c>
      <c r="BG15" s="467" t="inlineStr">
        <is>
          <t>0.00</t>
        </is>
      </c>
      <c r="BH15" s="467" t="inlineStr">
        <is>
          <t>0.00</t>
        </is>
      </c>
      <c r="BI15" s="467" t="n">
        <v>21000</v>
      </c>
      <c r="BJ15" s="467" t="inlineStr">
        <is>
          <t>pcs</t>
        </is>
      </c>
      <c r="BK15" s="467" t="n">
        <v>7000</v>
      </c>
      <c r="BL15" s="467" t="inlineStr">
        <is>
          <t>2297152000000039748</t>
        </is>
      </c>
      <c r="BM15" s="467" t="n"/>
      <c r="BN15" s="467" t="n"/>
      <c r="BO15" s="467" t="n"/>
      <c r="BP15" s="467" t="n"/>
      <c r="BQ15" s="467" t="inlineStr">
        <is>
          <t>RIshi Rajani</t>
        </is>
      </c>
      <c r="BR15" s="467" t="inlineStr">
        <is>
          <t>204-207, Krishna Chambers,</t>
        </is>
      </c>
      <c r="BS15" s="468" t="inlineStr">
        <is>
          <t>59 New Marine Lines,
Churchgate,</t>
        </is>
      </c>
      <c r="BT15" s="467" t="inlineStr">
        <is>
          <t>Mumbai,</t>
        </is>
      </c>
      <c r="BU15" s="467" t="inlineStr">
        <is>
          <t>Maharashtra</t>
        </is>
      </c>
      <c r="BV15" s="467" t="inlineStr">
        <is>
          <t>India</t>
        </is>
      </c>
      <c r="BW15" s="467" t="inlineStr">
        <is>
          <t>400020</t>
        </is>
      </c>
      <c r="BX15" s="467" t="n"/>
      <c r="BY15" s="467" t="n"/>
      <c r="BZ15" s="467" t="inlineStr">
        <is>
          <t>RIshi Rajani</t>
        </is>
      </c>
      <c r="CA15" s="467" t="inlineStr">
        <is>
          <t>204-207, Krishna Chambers,</t>
        </is>
      </c>
      <c r="CB15" s="468" t="inlineStr">
        <is>
          <t>59 New Marine Lines,
Churchgate,</t>
        </is>
      </c>
      <c r="CC15" s="467" t="inlineStr">
        <is>
          <t>Mumbai,</t>
        </is>
      </c>
      <c r="CD15" s="467" t="inlineStr">
        <is>
          <t>Maharashtra</t>
        </is>
      </c>
      <c r="CE15" s="467" t="inlineStr">
        <is>
          <t>India</t>
        </is>
      </c>
      <c r="CF15" s="467" t="inlineStr">
        <is>
          <t>400020</t>
        </is>
      </c>
      <c r="CG15" s="467" t="n"/>
      <c r="CH15" s="467" t="n"/>
      <c r="CI15" s="467" t="inlineStr">
        <is>
          <t>Coresphere100 Technologies Pvt. Ltd.</t>
        </is>
      </c>
      <c r="CJ15" s="467" t="inlineStr">
        <is>
          <t>09AALCC7037K1Z7</t>
        </is>
      </c>
      <c r="CK15" s="467" t="inlineStr">
        <is>
          <t>16026, 16th Floor, Tower Oakwood,</t>
        </is>
      </c>
      <c r="CL15" s="467" t="inlineStr">
        <is>
          <t>Greater Noida,</t>
        </is>
      </c>
      <c r="CM15" s="467" t="inlineStr">
        <is>
          <t>Uttar Pradesh</t>
        </is>
      </c>
      <c r="CN15" s="467" t="inlineStr">
        <is>
          <t>India</t>
        </is>
      </c>
      <c r="CO15" s="467" t="inlineStr">
        <is>
          <t>201306</t>
        </is>
      </c>
      <c r="CP15" s="467" t="inlineStr">
        <is>
          <t>8928163657</t>
        </is>
      </c>
      <c r="CQ15" s="467" t="inlineStr">
        <is>
          <t>manas@jurisphere.ai</t>
        </is>
      </c>
      <c r="CR15" s="467" t="inlineStr">
        <is>
          <t>0.00</t>
        </is>
      </c>
      <c r="CS15" s="467" t="inlineStr">
        <is>
          <t>0.00</t>
        </is>
      </c>
      <c r="CT15" s="467" t="inlineStr">
        <is>
          <t>18.00</t>
        </is>
      </c>
      <c r="CU15" s="467" t="inlineStr">
        <is>
          <t>0.00</t>
        </is>
      </c>
      <c r="CV15" s="467" t="inlineStr">
        <is>
          <t>0.00</t>
        </is>
      </c>
      <c r="CW15" s="467" t="inlineStr">
        <is>
          <t>0.00</t>
        </is>
      </c>
      <c r="CX15" s="467" t="inlineStr">
        <is>
          <t>3780.00</t>
        </is>
      </c>
      <c r="CY15" s="467" t="inlineStr">
        <is>
          <t>0.00</t>
        </is>
      </c>
      <c r="CZ15" s="467" t="inlineStr">
        <is>
          <t>0.00</t>
        </is>
      </c>
      <c r="DA15" s="467" t="inlineStr">
        <is>
          <t>0.00</t>
        </is>
      </c>
      <c r="DB15" s="467" t="inlineStr">
        <is>
          <t>3780.00</t>
        </is>
      </c>
      <c r="DC15" s="467" t="inlineStr">
        <is>
          <t>0.00</t>
        </is>
      </c>
      <c r="DD15" s="467" t="n"/>
      <c r="DE15" s="467" t="n"/>
      <c r="DF15" s="467" t="n"/>
      <c r="DG15" s="467" t="n"/>
      <c r="DH15" s="467" t="n"/>
      <c r="DI15" s="467" t="inlineStr">
        <is>
          <t>0.000</t>
        </is>
      </c>
      <c r="DJ15" s="467" t="n"/>
      <c r="DK15" s="467" t="n"/>
      <c r="DL15" s="467" t="inlineStr">
        <is>
          <t>27AANFR0363C1ZC</t>
        </is>
      </c>
      <c r="DM15" s="467" t="n"/>
      <c r="DN15" s="467" t="n"/>
      <c r="DO15" s="467" t="n"/>
      <c r="DP15" s="467" t="inlineStr">
        <is>
          <t>998313</t>
        </is>
      </c>
      <c r="DQ15" s="467" t="n">
        <v>0</v>
      </c>
      <c r="DR15" s="467" t="n"/>
      <c r="DS15" s="467" t="n"/>
      <c r="DT15" s="467" t="inlineStr">
        <is>
          <t>rishi@rajaniassociates.net</t>
        </is>
      </c>
      <c r="DU15" s="467" t="n"/>
      <c r="DV15" s="467" t="n"/>
      <c r="DW15" s="467" t="n"/>
      <c r="DX15" s="467" t="inlineStr">
        <is>
          <t>service</t>
        </is>
      </c>
      <c r="DY15" s="467" t="n"/>
      <c r="DZ15" s="467" t="n"/>
      <c r="EA15" s="467" t="n"/>
      <c r="EB15" s="467" t="n"/>
      <c r="EC15" s="467" t="n"/>
      <c r="ED15" s="467" t="n"/>
      <c r="EE15" s="467" t="n"/>
      <c r="EF15" s="467" t="n"/>
      <c r="EG15" s="467" t="n"/>
      <c r="EH15" s="467" t="inlineStr">
        <is>
          <t>Others</t>
        </is>
      </c>
      <c r="EI15" s="467" t="n"/>
      <c r="EJ15" s="467" t="n"/>
      <c r="EK15" s="467" t="inlineStr">
        <is>
          <t>Sales</t>
        </is>
      </c>
      <c r="EL15" s="467" t="n"/>
      <c r="EM15" s="467" t="inlineStr">
        <is>
          <t>Taxable</t>
        </is>
      </c>
      <c r="EN15" s="467" t="inlineStr">
        <is>
          <t>2297152000000031111</t>
        </is>
      </c>
      <c r="EO15" s="467" t="inlineStr">
        <is>
          <t>IGST18</t>
        </is>
      </c>
      <c r="EP15" s="467" t="inlineStr">
        <is>
          <t>18.00</t>
        </is>
      </c>
      <c r="EQ15" s="467" t="n">
        <v>3780</v>
      </c>
      <c r="ER15" s="467" t="inlineStr">
        <is>
          <t>ItemAmount</t>
        </is>
      </c>
      <c r="ES15" s="467" t="n"/>
      <c r="ET15" s="467" t="n"/>
    </row>
    <row r="16" ht="13.5" customHeight="1" s="253">
      <c r="A16" s="466" t="n">
        <v>45756</v>
      </c>
      <c r="B16" s="467" t="inlineStr">
        <is>
          <t>2297152000000060019</t>
        </is>
      </c>
      <c r="C16" s="467" t="inlineStr">
        <is>
          <t>INV-25-26-000015</t>
        </is>
      </c>
      <c r="D16" s="467" t="inlineStr">
        <is>
          <t>Closed</t>
        </is>
      </c>
      <c r="E16" s="467" t="inlineStr">
        <is>
          <t>2297152000000060001</t>
        </is>
      </c>
      <c r="F16" s="467" t="inlineStr">
        <is>
          <t>Venkatesh Dhond</t>
        </is>
      </c>
      <c r="G16" s="467" t="inlineStr">
        <is>
          <t>UP</t>
        </is>
      </c>
      <c r="H16" s="467" t="inlineStr">
        <is>
          <t>09-Uttar Pradesh</t>
        </is>
      </c>
      <c r="I16" s="467" t="inlineStr">
        <is>
          <t>business_none</t>
        </is>
      </c>
      <c r="J16" s="467" t="inlineStr">
        <is>
          <t>false</t>
        </is>
      </c>
      <c r="K16" s="466" t="n">
        <v>45756</v>
      </c>
      <c r="L16" s="467" t="n"/>
      <c r="M16" s="467" t="inlineStr">
        <is>
          <t>INR</t>
        </is>
      </c>
      <c r="N16" s="467" t="n">
        <v>1</v>
      </c>
      <c r="O16" s="467" t="inlineStr">
        <is>
          <t>item_level</t>
        </is>
      </c>
      <c r="P16" s="467" t="inlineStr">
        <is>
          <t>true</t>
        </is>
      </c>
      <c r="Q16" s="467" t="inlineStr">
        <is>
          <t>Tax Invoice</t>
        </is>
      </c>
      <c r="R16" s="467" t="inlineStr">
        <is>
          <t>0.00</t>
        </is>
      </c>
      <c r="S16" s="467" t="n"/>
      <c r="T16" s="467" t="n"/>
      <c r="U16" s="467" t="inlineStr">
        <is>
          <t>item_level</t>
        </is>
      </c>
      <c r="V16" s="467" t="n"/>
      <c r="W16" s="467" t="inlineStr">
        <is>
          <t>0.00</t>
        </is>
      </c>
      <c r="X16" s="467" t="n"/>
      <c r="Y16" s="467" t="n"/>
      <c r="Z16" s="467" t="inlineStr">
        <is>
          <t>0.000</t>
        </is>
      </c>
      <c r="AA16" s="467" t="n">
        <v>85500</v>
      </c>
      <c r="AB16" s="467" t="n">
        <v>100890</v>
      </c>
      <c r="AC16" s="467" t="n">
        <v>0</v>
      </c>
      <c r="AD16" s="467" t="n">
        <v>0</v>
      </c>
      <c r="AE16" s="467" t="inlineStr">
        <is>
          <t>Adjustment</t>
        </is>
      </c>
      <c r="AF16" s="467" t="n"/>
      <c r="AG16" s="466" t="n">
        <v>45762</v>
      </c>
      <c r="AH16" s="467" t="inlineStr">
        <is>
          <t>0</t>
        </is>
      </c>
      <c r="AI16" s="467" t="inlineStr">
        <is>
          <t>Due On Receipt</t>
        </is>
      </c>
      <c r="AJ16" s="467" t="inlineStr">
        <is>
          <t>Thanks for your business.</t>
        </is>
      </c>
      <c r="AK16" s="467" t="n"/>
      <c r="AL16" s="467" t="n"/>
      <c r="AM16" s="467" t="n"/>
      <c r="AN16" s="467" t="n"/>
      <c r="AO16" s="467" t="n"/>
      <c r="AP16" s="467" t="n"/>
      <c r="AQ16" s="467" t="n"/>
      <c r="AR16" s="467" t="n"/>
      <c r="AS16" s="467" t="n"/>
      <c r="AT16" s="467" t="inlineStr">
        <is>
          <t>Invoice</t>
        </is>
      </c>
      <c r="AU16" s="467" t="inlineStr">
        <is>
          <t>0.0</t>
        </is>
      </c>
      <c r="AV16" s="467" t="n">
        <v>0</v>
      </c>
      <c r="AW16" s="467" t="n"/>
      <c r="AX16" s="467" t="n"/>
      <c r="AY16" s="467" t="n"/>
      <c r="AZ16" s="467" t="n"/>
      <c r="BA16" s="467" t="n"/>
      <c r="BB16" s="467" t="n"/>
      <c r="BC16" s="467" t="n"/>
      <c r="BD16" s="467" t="inlineStr">
        <is>
          <t>Jurisphere Enterprise Subscription</t>
        </is>
      </c>
      <c r="BE16" s="467" t="inlineStr">
        <is>
          <t>Subscription Period- 28 February , 2025 to 27 August, 2025</t>
        </is>
      </c>
      <c r="BF16" s="467" t="n">
        <v>1</v>
      </c>
      <c r="BG16" s="467" t="inlineStr">
        <is>
          <t>5.00</t>
        </is>
      </c>
      <c r="BH16" s="467" t="inlineStr">
        <is>
          <t>4500.000</t>
        </is>
      </c>
      <c r="BI16" s="467" t="n">
        <v>85500</v>
      </c>
      <c r="BJ16" s="467" t="inlineStr">
        <is>
          <t>pcs</t>
        </is>
      </c>
      <c r="BK16" s="467" t="n">
        <v>90000</v>
      </c>
      <c r="BL16" s="467" t="inlineStr">
        <is>
          <t>2297152000000039748</t>
        </is>
      </c>
      <c r="BM16" s="467" t="n"/>
      <c r="BN16" s="467" t="n"/>
      <c r="BO16" s="467" t="n"/>
      <c r="BP16" s="467" t="n"/>
      <c r="BQ16" s="467" t="n"/>
      <c r="BR16" s="467" t="n"/>
      <c r="BS16" s="467" t="n"/>
      <c r="BT16" s="467" t="n"/>
      <c r="BU16" s="467" t="n"/>
      <c r="BV16" s="467" t="n"/>
      <c r="BW16" s="467" t="n"/>
      <c r="BX16" s="467" t="n"/>
      <c r="BY16" s="467" t="n"/>
      <c r="BZ16" s="467" t="n"/>
      <c r="CA16" s="467" t="n"/>
      <c r="CB16" s="467" t="n"/>
      <c r="CC16" s="467" t="n"/>
      <c r="CD16" s="467" t="n"/>
      <c r="CE16" s="467" t="n"/>
      <c r="CF16" s="467" t="n"/>
      <c r="CG16" s="467" t="n"/>
      <c r="CH16" s="467" t="n"/>
      <c r="CI16" s="467" t="inlineStr">
        <is>
          <t>Coresphere100 Technologies Pvt. Ltd.</t>
        </is>
      </c>
      <c r="CJ16" s="467" t="inlineStr">
        <is>
          <t>09AALCC7037K1Z7</t>
        </is>
      </c>
      <c r="CK16" s="467" t="inlineStr">
        <is>
          <t>16026, 16th Floor, Tower Oakwood,</t>
        </is>
      </c>
      <c r="CL16" s="467" t="inlineStr">
        <is>
          <t>Greater Noida,</t>
        </is>
      </c>
      <c r="CM16" s="467" t="inlineStr">
        <is>
          <t>Uttar Pradesh</t>
        </is>
      </c>
      <c r="CN16" s="467" t="inlineStr">
        <is>
          <t>India</t>
        </is>
      </c>
      <c r="CO16" s="467" t="inlineStr">
        <is>
          <t>201306</t>
        </is>
      </c>
      <c r="CP16" s="467" t="inlineStr">
        <is>
          <t>8928163657</t>
        </is>
      </c>
      <c r="CQ16" s="467" t="inlineStr">
        <is>
          <t>manas@jurisphere.ai</t>
        </is>
      </c>
      <c r="CR16" s="467" t="inlineStr">
        <is>
          <t>9.00</t>
        </is>
      </c>
      <c r="CS16" s="467" t="inlineStr">
        <is>
          <t>9.00</t>
        </is>
      </c>
      <c r="CT16" s="467" t="inlineStr">
        <is>
          <t>0.00</t>
        </is>
      </c>
      <c r="CU16" s="467" t="inlineStr">
        <is>
          <t>0.00</t>
        </is>
      </c>
      <c r="CV16" s="467" t="inlineStr">
        <is>
          <t>7695.00</t>
        </is>
      </c>
      <c r="CW16" s="467" t="inlineStr">
        <is>
          <t>7695.00</t>
        </is>
      </c>
      <c r="CX16" s="467" t="inlineStr">
        <is>
          <t>0.00</t>
        </is>
      </c>
      <c r="CY16" s="467" t="inlineStr">
        <is>
          <t>0.00</t>
        </is>
      </c>
      <c r="CZ16" s="467" t="inlineStr">
        <is>
          <t>7695.00</t>
        </is>
      </c>
      <c r="DA16" s="467" t="inlineStr">
        <is>
          <t>7695.00</t>
        </is>
      </c>
      <c r="DB16" s="467" t="inlineStr">
        <is>
          <t>0.00</t>
        </is>
      </c>
      <c r="DC16" s="467" t="inlineStr">
        <is>
          <t>0.00</t>
        </is>
      </c>
      <c r="DD16" s="467" t="n"/>
      <c r="DE16" s="467" t="n"/>
      <c r="DF16" s="467" t="n"/>
      <c r="DG16" s="467" t="n"/>
      <c r="DH16" s="467" t="n"/>
      <c r="DI16" s="467" t="inlineStr">
        <is>
          <t>0.000</t>
        </is>
      </c>
      <c r="DJ16" s="467" t="n"/>
      <c r="DK16" s="467" t="n"/>
      <c r="DL16" s="467" t="n"/>
      <c r="DM16" s="467" t="n"/>
      <c r="DN16" s="467" t="n"/>
      <c r="DO16" s="467" t="n"/>
      <c r="DP16" s="467" t="inlineStr">
        <is>
          <t>998313</t>
        </is>
      </c>
      <c r="DQ16" s="467" t="n">
        <v>0</v>
      </c>
      <c r="DR16" s="467" t="n"/>
      <c r="DS16" s="467" t="n"/>
      <c r="DT16" s="467" t="n"/>
      <c r="DU16" s="467" t="n"/>
      <c r="DV16" s="467" t="n"/>
      <c r="DW16" s="467" t="n"/>
      <c r="DX16" s="467" t="inlineStr">
        <is>
          <t>service</t>
        </is>
      </c>
      <c r="DY16" s="467" t="n"/>
      <c r="DZ16" s="467" t="n"/>
      <c r="EA16" s="467" t="n"/>
      <c r="EB16" s="467" t="n"/>
      <c r="EC16" s="467" t="n"/>
      <c r="ED16" s="467" t="n"/>
      <c r="EE16" s="467" t="n"/>
      <c r="EF16" s="467" t="n"/>
      <c r="EG16" s="467" t="n"/>
      <c r="EH16" s="467" t="inlineStr">
        <is>
          <t>Others</t>
        </is>
      </c>
      <c r="EI16" s="467" t="n"/>
      <c r="EJ16" s="467" t="n"/>
      <c r="EK16" s="467" t="inlineStr">
        <is>
          <t>Sales</t>
        </is>
      </c>
      <c r="EL16" s="467" t="n"/>
      <c r="EM16" s="467" t="inlineStr">
        <is>
          <t>Taxable</t>
        </is>
      </c>
      <c r="EN16" s="467" t="inlineStr">
        <is>
          <t>2297152000000031213</t>
        </is>
      </c>
      <c r="EO16" s="467" t="inlineStr">
        <is>
          <t>GST18</t>
        </is>
      </c>
      <c r="EP16" s="467" t="inlineStr">
        <is>
          <t>18.00</t>
        </is>
      </c>
      <c r="EQ16" s="467" t="n">
        <v>15390</v>
      </c>
      <c r="ER16" s="467" t="inlineStr">
        <is>
          <t>Tax Group</t>
        </is>
      </c>
      <c r="ES16" s="467" t="n"/>
      <c r="ET16" s="467" t="n"/>
    </row>
    <row r="17" ht="39.55" customHeight="1" s="253">
      <c r="A17" s="466" t="n">
        <v>45756</v>
      </c>
      <c r="B17" s="467" t="inlineStr">
        <is>
          <t>2297152000000060073</t>
        </is>
      </c>
      <c r="C17" s="467" t="inlineStr">
        <is>
          <t>INV-25-26-000016</t>
        </is>
      </c>
      <c r="D17" s="467" t="inlineStr">
        <is>
          <t>Closed</t>
        </is>
      </c>
      <c r="E17" s="467" t="inlineStr">
        <is>
          <t>2297152000000060055</t>
        </is>
      </c>
      <c r="F17" s="467" t="inlineStr">
        <is>
          <t>Harshit Malik</t>
        </is>
      </c>
      <c r="G17" s="467" t="inlineStr">
        <is>
          <t>DL</t>
        </is>
      </c>
      <c r="H17" s="467" t="inlineStr">
        <is>
          <t>07-Delhi</t>
        </is>
      </c>
      <c r="I17" s="467" t="inlineStr">
        <is>
          <t>business_none</t>
        </is>
      </c>
      <c r="J17" s="467" t="inlineStr">
        <is>
          <t>false</t>
        </is>
      </c>
      <c r="K17" s="466" t="n">
        <v>45756</v>
      </c>
      <c r="L17" s="467" t="n"/>
      <c r="M17" s="467" t="inlineStr">
        <is>
          <t>INR</t>
        </is>
      </c>
      <c r="N17" s="467" t="n">
        <v>1</v>
      </c>
      <c r="O17" s="467" t="inlineStr">
        <is>
          <t>item_level</t>
        </is>
      </c>
      <c r="P17" s="467" t="inlineStr">
        <is>
          <t>true</t>
        </is>
      </c>
      <c r="Q17" s="467" t="inlineStr">
        <is>
          <t>Tax Invoice</t>
        </is>
      </c>
      <c r="R17" s="467" t="inlineStr">
        <is>
          <t>0.00</t>
        </is>
      </c>
      <c r="S17" s="467" t="n"/>
      <c r="T17" s="467" t="n"/>
      <c r="U17" s="467" t="inlineStr">
        <is>
          <t>item_level</t>
        </is>
      </c>
      <c r="V17" s="467" t="n"/>
      <c r="W17" s="467" t="inlineStr">
        <is>
          <t>0.00</t>
        </is>
      </c>
      <c r="X17" s="467" t="n"/>
      <c r="Y17" s="467" t="n"/>
      <c r="Z17" s="467" t="inlineStr">
        <is>
          <t>0.000</t>
        </is>
      </c>
      <c r="AA17" s="467" t="n">
        <v>10000</v>
      </c>
      <c r="AB17" s="467" t="n">
        <v>11800</v>
      </c>
      <c r="AC17" s="467" t="n">
        <v>0</v>
      </c>
      <c r="AD17" s="467" t="n">
        <v>0</v>
      </c>
      <c r="AE17" s="467" t="inlineStr">
        <is>
          <t>Adjustment</t>
        </is>
      </c>
      <c r="AF17" s="467" t="n"/>
      <c r="AG17" s="466" t="n">
        <v>45757</v>
      </c>
      <c r="AH17" s="467" t="inlineStr">
        <is>
          <t>0</t>
        </is>
      </c>
      <c r="AI17" s="467" t="inlineStr">
        <is>
          <t>Due On Receipt</t>
        </is>
      </c>
      <c r="AJ17" s="467" t="inlineStr">
        <is>
          <t>Thanks for your business.</t>
        </is>
      </c>
      <c r="AK17" s="467" t="n"/>
      <c r="AL17" s="467" t="n"/>
      <c r="AM17" s="467" t="n"/>
      <c r="AN17" s="467" t="n"/>
      <c r="AO17" s="467" t="n"/>
      <c r="AP17" s="467" t="n"/>
      <c r="AQ17" s="467" t="n"/>
      <c r="AR17" s="467" t="n"/>
      <c r="AS17" s="467" t="n"/>
      <c r="AT17" s="467" t="inlineStr">
        <is>
          <t>Invoice</t>
        </is>
      </c>
      <c r="AU17" s="467" t="inlineStr">
        <is>
          <t>0.0</t>
        </is>
      </c>
      <c r="AV17" s="467" t="n">
        <v>0</v>
      </c>
      <c r="AW17" s="467" t="n"/>
      <c r="AX17" s="467" t="n"/>
      <c r="AY17" s="467" t="n"/>
      <c r="AZ17" s="467" t="n"/>
      <c r="BA17" s="467" t="n"/>
      <c r="BB17" s="467" t="n"/>
      <c r="BC17" s="467" t="n"/>
      <c r="BD17" s="467" t="inlineStr">
        <is>
          <t>Jurisphere Enterprise Subscription</t>
        </is>
      </c>
      <c r="BE17" s="468" t="inlineStr">
        <is>
          <t>Subscription Period- Apr 25 Monthly Subscription started from  9th Mar 2025 to 9th Mar 2026
Description - Monthly payment cycle</t>
        </is>
      </c>
      <c r="BF17" s="467" t="n">
        <v>1</v>
      </c>
      <c r="BG17" s="467" t="inlineStr">
        <is>
          <t>0.00</t>
        </is>
      </c>
      <c r="BH17" s="467" t="inlineStr">
        <is>
          <t>0.00</t>
        </is>
      </c>
      <c r="BI17" s="467" t="n">
        <v>10000</v>
      </c>
      <c r="BJ17" s="467" t="inlineStr">
        <is>
          <t>pcs</t>
        </is>
      </c>
      <c r="BK17" s="467" t="n">
        <v>10000</v>
      </c>
      <c r="BL17" s="467" t="inlineStr">
        <is>
          <t>2297152000000039748</t>
        </is>
      </c>
      <c r="BM17" s="467" t="n"/>
      <c r="BN17" s="467" t="n"/>
      <c r="BO17" s="467" t="n"/>
      <c r="BP17" s="467" t="n"/>
      <c r="BQ17" s="467" t="n"/>
      <c r="BR17" s="467" t="n"/>
      <c r="BS17" s="467" t="n"/>
      <c r="BT17" s="467" t="n"/>
      <c r="BU17" s="467" t="inlineStr">
        <is>
          <t>Delhi</t>
        </is>
      </c>
      <c r="BV17" s="467" t="n"/>
      <c r="BW17" s="467" t="n"/>
      <c r="BX17" s="467" t="n"/>
      <c r="BY17" s="467" t="n"/>
      <c r="BZ17" s="467" t="n"/>
      <c r="CA17" s="467" t="n"/>
      <c r="CB17" s="467" t="n"/>
      <c r="CC17" s="467" t="n"/>
      <c r="CD17" s="467" t="inlineStr">
        <is>
          <t>Delhi</t>
        </is>
      </c>
      <c r="CE17" s="467" t="n"/>
      <c r="CF17" s="467" t="n"/>
      <c r="CG17" s="467" t="n"/>
      <c r="CH17" s="467" t="n"/>
      <c r="CI17" s="467" t="inlineStr">
        <is>
          <t>Coresphere100 Technologies Pvt. Ltd.</t>
        </is>
      </c>
      <c r="CJ17" s="467" t="inlineStr">
        <is>
          <t>09AALCC7037K1Z7</t>
        </is>
      </c>
      <c r="CK17" s="467" t="inlineStr">
        <is>
          <t>16026, 16th Floor, Tower Oakwood,</t>
        </is>
      </c>
      <c r="CL17" s="467" t="inlineStr">
        <is>
          <t>Greater Noida,</t>
        </is>
      </c>
      <c r="CM17" s="467" t="inlineStr">
        <is>
          <t>Uttar Pradesh</t>
        </is>
      </c>
      <c r="CN17" s="467" t="inlineStr">
        <is>
          <t>India</t>
        </is>
      </c>
      <c r="CO17" s="467" t="inlineStr">
        <is>
          <t>201306</t>
        </is>
      </c>
      <c r="CP17" s="467" t="inlineStr">
        <is>
          <t>8928163657</t>
        </is>
      </c>
      <c r="CQ17" s="467" t="inlineStr">
        <is>
          <t>manas@jurisphere.ai</t>
        </is>
      </c>
      <c r="CR17" s="467" t="inlineStr">
        <is>
          <t>0.00</t>
        </is>
      </c>
      <c r="CS17" s="467" t="inlineStr">
        <is>
          <t>0.00</t>
        </is>
      </c>
      <c r="CT17" s="467" t="inlineStr">
        <is>
          <t>18.00</t>
        </is>
      </c>
      <c r="CU17" s="467" t="inlineStr">
        <is>
          <t>0.00</t>
        </is>
      </c>
      <c r="CV17" s="467" t="inlineStr">
        <is>
          <t>0.00</t>
        </is>
      </c>
      <c r="CW17" s="467" t="inlineStr">
        <is>
          <t>0.00</t>
        </is>
      </c>
      <c r="CX17" s="467" t="inlineStr">
        <is>
          <t>1800.00</t>
        </is>
      </c>
      <c r="CY17" s="467" t="inlineStr">
        <is>
          <t>0.00</t>
        </is>
      </c>
      <c r="CZ17" s="467" t="inlineStr">
        <is>
          <t>0.00</t>
        </is>
      </c>
      <c r="DA17" s="467" t="inlineStr">
        <is>
          <t>0.00</t>
        </is>
      </c>
      <c r="DB17" s="467" t="inlineStr">
        <is>
          <t>1800.00</t>
        </is>
      </c>
      <c r="DC17" s="467" t="inlineStr">
        <is>
          <t>0.00</t>
        </is>
      </c>
      <c r="DD17" s="467" t="n"/>
      <c r="DE17" s="467" t="n"/>
      <c r="DF17" s="467" t="n"/>
      <c r="DG17" s="467" t="n"/>
      <c r="DH17" s="467" t="n"/>
      <c r="DI17" s="467" t="inlineStr">
        <is>
          <t>0.000</t>
        </is>
      </c>
      <c r="DJ17" s="467" t="n"/>
      <c r="DK17" s="467" t="n"/>
      <c r="DL17" s="467" t="n"/>
      <c r="DM17" s="467" t="n"/>
      <c r="DN17" s="467" t="n"/>
      <c r="DO17" s="467" t="n"/>
      <c r="DP17" s="467" t="inlineStr">
        <is>
          <t>998313</t>
        </is>
      </c>
      <c r="DQ17" s="467" t="n">
        <v>0</v>
      </c>
      <c r="DR17" s="467" t="n"/>
      <c r="DS17" s="467" t="n"/>
      <c r="DT17" s="467" t="n"/>
      <c r="DU17" s="467" t="n"/>
      <c r="DV17" s="467" t="n"/>
      <c r="DW17" s="467" t="n"/>
      <c r="DX17" s="467" t="inlineStr">
        <is>
          <t>service</t>
        </is>
      </c>
      <c r="DY17" s="467" t="n"/>
      <c r="DZ17" s="467" t="n"/>
      <c r="EA17" s="467" t="n"/>
      <c r="EB17" s="467" t="n"/>
      <c r="EC17" s="467" t="n"/>
      <c r="ED17" s="467" t="n"/>
      <c r="EE17" s="467" t="n"/>
      <c r="EF17" s="467" t="n"/>
      <c r="EG17" s="467" t="n"/>
      <c r="EH17" s="467" t="inlineStr">
        <is>
          <t>Others</t>
        </is>
      </c>
      <c r="EI17" s="467" t="n"/>
      <c r="EJ17" s="467" t="n"/>
      <c r="EK17" s="467" t="inlineStr">
        <is>
          <t>Sales</t>
        </is>
      </c>
      <c r="EL17" s="467" t="n"/>
      <c r="EM17" s="467" t="inlineStr">
        <is>
          <t>Taxable</t>
        </is>
      </c>
      <c r="EN17" s="467" t="inlineStr">
        <is>
          <t>2297152000000031111</t>
        </is>
      </c>
      <c r="EO17" s="467" t="inlineStr">
        <is>
          <t>IGST18</t>
        </is>
      </c>
      <c r="EP17" s="467" t="inlineStr">
        <is>
          <t>18.00</t>
        </is>
      </c>
      <c r="EQ17" s="467" t="n">
        <v>1800</v>
      </c>
      <c r="ER17" s="467" t="inlineStr">
        <is>
          <t>ItemAmount</t>
        </is>
      </c>
      <c r="ES17" s="467" t="n"/>
      <c r="ET17" s="467" t="n"/>
    </row>
    <row r="18" ht="52.2" customHeight="1" s="253">
      <c r="A18" s="466" t="n">
        <v>45757</v>
      </c>
      <c r="B18" s="467" t="inlineStr">
        <is>
          <t>2297152000000061097</t>
        </is>
      </c>
      <c r="C18" s="467" t="inlineStr">
        <is>
          <t>INV-25-26-000017</t>
        </is>
      </c>
      <c r="D18" s="467" t="inlineStr">
        <is>
          <t>Closed</t>
        </is>
      </c>
      <c r="E18" s="467" t="inlineStr">
        <is>
          <t>2297152000000061081</t>
        </is>
      </c>
      <c r="F18" s="467" t="inlineStr">
        <is>
          <t>PSN Legal Advocates and Legal Consultants</t>
        </is>
      </c>
      <c r="G18" s="467" t="inlineStr">
        <is>
          <t>MH</t>
        </is>
      </c>
      <c r="H18" s="467" t="inlineStr">
        <is>
          <t>27-Maharashtra</t>
        </is>
      </c>
      <c r="I18" s="467" t="inlineStr">
        <is>
          <t>business_none</t>
        </is>
      </c>
      <c r="J18" s="467" t="inlineStr">
        <is>
          <t>false</t>
        </is>
      </c>
      <c r="K18" s="466" t="n">
        <v>45757</v>
      </c>
      <c r="L18" s="467" t="n"/>
      <c r="M18" s="467" t="inlineStr">
        <is>
          <t>INR</t>
        </is>
      </c>
      <c r="N18" s="467" t="n">
        <v>1</v>
      </c>
      <c r="O18" s="467" t="inlineStr">
        <is>
          <t>item_level</t>
        </is>
      </c>
      <c r="P18" s="467" t="inlineStr">
        <is>
          <t>true</t>
        </is>
      </c>
      <c r="Q18" s="467" t="inlineStr">
        <is>
          <t>Tax Invoice</t>
        </is>
      </c>
      <c r="R18" s="467" t="inlineStr">
        <is>
          <t>0.00</t>
        </is>
      </c>
      <c r="S18" s="467" t="n"/>
      <c r="T18" s="467" t="n"/>
      <c r="U18" s="467" t="inlineStr">
        <is>
          <t>item_level</t>
        </is>
      </c>
      <c r="V18" s="467" t="n"/>
      <c r="W18" s="467" t="inlineStr">
        <is>
          <t>0.00</t>
        </is>
      </c>
      <c r="X18" s="467" t="n"/>
      <c r="Y18" s="467" t="n"/>
      <c r="Z18" s="467" t="inlineStr">
        <is>
          <t>0.000</t>
        </is>
      </c>
      <c r="AA18" s="467" t="n">
        <v>150012</v>
      </c>
      <c r="AB18" s="467" t="n">
        <v>177014.16</v>
      </c>
      <c r="AC18" s="467" t="n">
        <v>0</v>
      </c>
      <c r="AD18" s="467" t="n">
        <v>0</v>
      </c>
      <c r="AE18" s="467" t="inlineStr">
        <is>
          <t>Adjustment</t>
        </is>
      </c>
      <c r="AF18" s="467" t="n"/>
      <c r="AG18" s="466" t="n">
        <v>45771</v>
      </c>
      <c r="AH18" s="467" t="inlineStr">
        <is>
          <t>0</t>
        </is>
      </c>
      <c r="AI18" s="467" t="inlineStr">
        <is>
          <t>Due On Receipt</t>
        </is>
      </c>
      <c r="AJ18" s="467" t="inlineStr">
        <is>
          <t>Thanks for your business.</t>
        </is>
      </c>
      <c r="AK18" s="467" t="n"/>
      <c r="AL18" s="467" t="n"/>
      <c r="AM18" s="467" t="n"/>
      <c r="AN18" s="467" t="n"/>
      <c r="AO18" s="467" t="n"/>
      <c r="AP18" s="467" t="n"/>
      <c r="AQ18" s="467" t="n"/>
      <c r="AR18" s="467" t="n"/>
      <c r="AS18" s="467" t="n"/>
      <c r="AT18" s="467" t="inlineStr">
        <is>
          <t>Invoice</t>
        </is>
      </c>
      <c r="AU18" s="467" t="inlineStr">
        <is>
          <t>0.0</t>
        </is>
      </c>
      <c r="AV18" s="467" t="n">
        <v>0</v>
      </c>
      <c r="AW18" s="467" t="n"/>
      <c r="AX18" s="467" t="n"/>
      <c r="AY18" s="467" t="n"/>
      <c r="AZ18" s="467" t="n"/>
      <c r="BA18" s="467" t="n"/>
      <c r="BB18" s="467" t="n"/>
      <c r="BC18" s="467" t="n"/>
      <c r="BD18" s="467" t="inlineStr">
        <is>
          <t>Jurisphere Enterprise Subscription</t>
        </is>
      </c>
      <c r="BE18" s="468" t="inlineStr">
        <is>
          <t>Subscription Period- Annually
Description- 6 licenses with unlimited usage (litigation)</t>
        </is>
      </c>
      <c r="BF18" s="467" t="n">
        <v>1</v>
      </c>
      <c r="BG18" s="467" t="inlineStr">
        <is>
          <t>16.66</t>
        </is>
      </c>
      <c r="BH18" s="467" t="inlineStr">
        <is>
          <t>29988.000</t>
        </is>
      </c>
      <c r="BI18" s="467" t="n">
        <v>150012</v>
      </c>
      <c r="BJ18" s="467" t="inlineStr">
        <is>
          <t>pcs</t>
        </is>
      </c>
      <c r="BK18" s="467" t="n">
        <v>180000</v>
      </c>
      <c r="BL18" s="467" t="inlineStr">
        <is>
          <t>2297152000000039748</t>
        </is>
      </c>
      <c r="BM18" s="467" t="n"/>
      <c r="BN18" s="467" t="n"/>
      <c r="BO18" s="467" t="n"/>
      <c r="BP18" s="467" t="n"/>
      <c r="BQ18" s="467" t="n"/>
      <c r="BR18" s="467" t="inlineStr">
        <is>
          <t>A-3701, 37th Floor, Marathon Futurex,</t>
        </is>
      </c>
      <c r="BS18" s="468" t="inlineStr">
        <is>
          <t>Mafatlal Mill Compound, 
N M Joshi Marg, Lower Parel,</t>
        </is>
      </c>
      <c r="BT18" s="467" t="inlineStr">
        <is>
          <t>Mumbai</t>
        </is>
      </c>
      <c r="BU18" s="467" t="inlineStr">
        <is>
          <t>Maharashtra</t>
        </is>
      </c>
      <c r="BV18" s="467" t="inlineStr">
        <is>
          <t>India</t>
        </is>
      </c>
      <c r="BW18" s="467" t="inlineStr">
        <is>
          <t>400013</t>
        </is>
      </c>
      <c r="BX18" s="467" t="n"/>
      <c r="BY18" s="467" t="n"/>
      <c r="BZ18" s="467" t="n"/>
      <c r="CA18" s="467" t="inlineStr">
        <is>
          <t>A-3701, 37th Floor, Marathon Futurex,</t>
        </is>
      </c>
      <c r="CB18" s="468" t="inlineStr">
        <is>
          <t>Mafatlal Mill Compound, 
N M Joshi Marg, Lower Parel,</t>
        </is>
      </c>
      <c r="CC18" s="467" t="inlineStr">
        <is>
          <t>Mumbai</t>
        </is>
      </c>
      <c r="CD18" s="467" t="inlineStr">
        <is>
          <t>Maharashtra</t>
        </is>
      </c>
      <c r="CE18" s="467" t="inlineStr">
        <is>
          <t>India</t>
        </is>
      </c>
      <c r="CF18" s="467" t="inlineStr">
        <is>
          <t>400013</t>
        </is>
      </c>
      <c r="CG18" s="467" t="n"/>
      <c r="CH18" s="467" t="n"/>
      <c r="CI18" s="467" t="inlineStr">
        <is>
          <t>Coresphere100 Technologies Pvt. Ltd.</t>
        </is>
      </c>
      <c r="CJ18" s="467" t="inlineStr">
        <is>
          <t>09AALCC7037K1Z7</t>
        </is>
      </c>
      <c r="CK18" s="467" t="inlineStr">
        <is>
          <t>16026, 16th Floor, Tower Oakwood,</t>
        </is>
      </c>
      <c r="CL18" s="467" t="inlineStr">
        <is>
          <t>Greater Noida,</t>
        </is>
      </c>
      <c r="CM18" s="467" t="inlineStr">
        <is>
          <t>Uttar Pradesh</t>
        </is>
      </c>
      <c r="CN18" s="467" t="inlineStr">
        <is>
          <t>India</t>
        </is>
      </c>
      <c r="CO18" s="467" t="inlineStr">
        <is>
          <t>201306</t>
        </is>
      </c>
      <c r="CP18" s="467" t="inlineStr">
        <is>
          <t>8928163657</t>
        </is>
      </c>
      <c r="CQ18" s="467" t="inlineStr">
        <is>
          <t>manas@jurisphere.ai</t>
        </is>
      </c>
      <c r="CR18" s="467" t="inlineStr">
        <is>
          <t>0.00</t>
        </is>
      </c>
      <c r="CS18" s="467" t="inlineStr">
        <is>
          <t>0.00</t>
        </is>
      </c>
      <c r="CT18" s="467" t="inlineStr">
        <is>
          <t>18.00</t>
        </is>
      </c>
      <c r="CU18" s="467" t="inlineStr">
        <is>
          <t>0.00</t>
        </is>
      </c>
      <c r="CV18" s="467" t="inlineStr">
        <is>
          <t>0.00</t>
        </is>
      </c>
      <c r="CW18" s="467" t="inlineStr">
        <is>
          <t>0.00</t>
        </is>
      </c>
      <c r="CX18" s="467" t="inlineStr">
        <is>
          <t>27002.16</t>
        </is>
      </c>
      <c r="CY18" s="467" t="inlineStr">
        <is>
          <t>0.00</t>
        </is>
      </c>
      <c r="CZ18" s="467" t="inlineStr">
        <is>
          <t>0.00</t>
        </is>
      </c>
      <c r="DA18" s="467" t="inlineStr">
        <is>
          <t>0.00</t>
        </is>
      </c>
      <c r="DB18" s="467" t="inlineStr">
        <is>
          <t>27002.16</t>
        </is>
      </c>
      <c r="DC18" s="467" t="inlineStr">
        <is>
          <t>0.00</t>
        </is>
      </c>
      <c r="DD18" s="467" t="n"/>
      <c r="DE18" s="467" t="n"/>
      <c r="DF18" s="467" t="n"/>
      <c r="DG18" s="467" t="n"/>
      <c r="DH18" s="467" t="n"/>
      <c r="DI18" s="467" t="inlineStr">
        <is>
          <t>0.000</t>
        </is>
      </c>
      <c r="DJ18" s="467" t="n"/>
      <c r="DK18" s="467" t="n"/>
      <c r="DL18" s="467" t="n"/>
      <c r="DM18" s="467" t="n"/>
      <c r="DN18" s="467" t="n"/>
      <c r="DO18" s="467" t="n"/>
      <c r="DP18" s="467" t="inlineStr">
        <is>
          <t>998313</t>
        </is>
      </c>
      <c r="DQ18" s="467" t="n">
        <v>0</v>
      </c>
      <c r="DR18" s="467" t="n"/>
      <c r="DS18" s="467" t="n"/>
      <c r="DT18" s="467" t="n"/>
      <c r="DU18" s="467" t="n"/>
      <c r="DV18" s="467" t="n"/>
      <c r="DW18" s="467" t="n"/>
      <c r="DX18" s="467" t="inlineStr">
        <is>
          <t>service</t>
        </is>
      </c>
      <c r="DY18" s="467" t="n"/>
      <c r="DZ18" s="467" t="n"/>
      <c r="EA18" s="467" t="n"/>
      <c r="EB18" s="467" t="n"/>
      <c r="EC18" s="467" t="n"/>
      <c r="ED18" s="467" t="n"/>
      <c r="EE18" s="467" t="n"/>
      <c r="EF18" s="467" t="n"/>
      <c r="EG18" s="467" t="n"/>
      <c r="EH18" s="467" t="inlineStr">
        <is>
          <t>Others</t>
        </is>
      </c>
      <c r="EI18" s="467" t="n"/>
      <c r="EJ18" s="467" t="n"/>
      <c r="EK18" s="467" t="inlineStr">
        <is>
          <t>Sales</t>
        </is>
      </c>
      <c r="EL18" s="467" t="n"/>
      <c r="EM18" s="467" t="inlineStr">
        <is>
          <t>Taxable</t>
        </is>
      </c>
      <c r="EN18" s="467" t="inlineStr">
        <is>
          <t>2297152000000031111</t>
        </is>
      </c>
      <c r="EO18" s="467" t="inlineStr">
        <is>
          <t>IGST18</t>
        </is>
      </c>
      <c r="EP18" s="467" t="inlineStr">
        <is>
          <t>18.00</t>
        </is>
      </c>
      <c r="EQ18" s="467" t="n">
        <v>27002.16</v>
      </c>
      <c r="ER18" s="467" t="inlineStr">
        <is>
          <t>ItemAmount</t>
        </is>
      </c>
      <c r="ES18" s="467" t="n"/>
      <c r="ET18" s="467" t="n"/>
    </row>
    <row r="19" ht="39.55" customHeight="1" s="253">
      <c r="A19" s="466" t="n">
        <v>45757</v>
      </c>
      <c r="B19" s="467" t="inlineStr">
        <is>
          <t>2297152000000066035</t>
        </is>
      </c>
      <c r="C19" s="467" t="inlineStr">
        <is>
          <t>INV-25-26-000019</t>
        </is>
      </c>
      <c r="D19" s="467" t="inlineStr">
        <is>
          <t>Closed</t>
        </is>
      </c>
      <c r="E19" s="467" t="inlineStr">
        <is>
          <t>2297152000000066001</t>
        </is>
      </c>
      <c r="F19" s="467" t="inlineStr">
        <is>
          <t>Swapna Sheshadri</t>
        </is>
      </c>
      <c r="G19" s="467" t="inlineStr">
        <is>
          <t>DL</t>
        </is>
      </c>
      <c r="H19" s="467" t="inlineStr">
        <is>
          <t>07-Delhi</t>
        </is>
      </c>
      <c r="I19" s="467" t="inlineStr">
        <is>
          <t>business_none</t>
        </is>
      </c>
      <c r="J19" s="467" t="inlineStr">
        <is>
          <t>false</t>
        </is>
      </c>
      <c r="K19" s="466" t="n">
        <v>45757</v>
      </c>
      <c r="L19" s="467" t="n"/>
      <c r="M19" s="467" t="inlineStr">
        <is>
          <t>INR</t>
        </is>
      </c>
      <c r="N19" s="467" t="n">
        <v>1</v>
      </c>
      <c r="O19" s="467" t="inlineStr">
        <is>
          <t>item_level</t>
        </is>
      </c>
      <c r="P19" s="467" t="inlineStr">
        <is>
          <t>true</t>
        </is>
      </c>
      <c r="Q19" s="467" t="inlineStr">
        <is>
          <t>Tax Invoice</t>
        </is>
      </c>
      <c r="R19" s="467" t="inlineStr">
        <is>
          <t>0.00</t>
        </is>
      </c>
      <c r="S19" s="467" t="n"/>
      <c r="T19" s="467" t="n"/>
      <c r="U19" s="467" t="inlineStr">
        <is>
          <t>item_level</t>
        </is>
      </c>
      <c r="V19" s="467" t="n"/>
      <c r="W19" s="467" t="inlineStr">
        <is>
          <t>0.00</t>
        </is>
      </c>
      <c r="X19" s="467" t="n"/>
      <c r="Y19" s="467" t="n"/>
      <c r="Z19" s="467" t="inlineStr">
        <is>
          <t>0.000</t>
        </is>
      </c>
      <c r="AA19" s="467" t="n">
        <v>10000</v>
      </c>
      <c r="AB19" s="467" t="n">
        <v>11800</v>
      </c>
      <c r="AC19" s="467" t="n">
        <v>0</v>
      </c>
      <c r="AD19" s="467" t="n">
        <v>0</v>
      </c>
      <c r="AE19" s="467" t="inlineStr">
        <is>
          <t>Adjustment</t>
        </is>
      </c>
      <c r="AF19" s="467" t="n"/>
      <c r="AG19" s="466" t="n">
        <v>45757</v>
      </c>
      <c r="AH19" s="467" t="inlineStr">
        <is>
          <t>0</t>
        </is>
      </c>
      <c r="AI19" s="467" t="inlineStr">
        <is>
          <t>Due On Receipt</t>
        </is>
      </c>
      <c r="AJ19" s="467" t="inlineStr">
        <is>
          <t>Thanks for your business.</t>
        </is>
      </c>
      <c r="AK19" s="467" t="n"/>
      <c r="AL19" s="467" t="n"/>
      <c r="AM19" s="467" t="n"/>
      <c r="AN19" s="467" t="n"/>
      <c r="AO19" s="467" t="n"/>
      <c r="AP19" s="467" t="n"/>
      <c r="AQ19" s="467" t="n"/>
      <c r="AR19" s="467" t="n"/>
      <c r="AS19" s="467" t="n"/>
      <c r="AT19" s="467" t="inlineStr">
        <is>
          <t>Invoice</t>
        </is>
      </c>
      <c r="AU19" s="467" t="inlineStr">
        <is>
          <t>0.0</t>
        </is>
      </c>
      <c r="AV19" s="467" t="n">
        <v>0</v>
      </c>
      <c r="AW19" s="467" t="n"/>
      <c r="AX19" s="467" t="n"/>
      <c r="AY19" s="467" t="n"/>
      <c r="AZ19" s="467" t="n"/>
      <c r="BA19" s="467" t="n"/>
      <c r="BB19" s="467" t="n"/>
      <c r="BC19" s="467" t="n"/>
      <c r="BD19" s="467" t="inlineStr">
        <is>
          <t>Jurisphere Enterprise Subscription</t>
        </is>
      </c>
      <c r="BE19" s="468" t="inlineStr">
        <is>
          <t>Subscription Period- 10th Apr 25 to 9th Apr 26
Description- 1 year contract of monthly invoicing for  payment of Rs 10,000</t>
        </is>
      </c>
      <c r="BF19" s="467" t="n">
        <v>1</v>
      </c>
      <c r="BG19" s="467" t="inlineStr">
        <is>
          <t>0.00</t>
        </is>
      </c>
      <c r="BH19" s="467" t="inlineStr">
        <is>
          <t>0.000</t>
        </is>
      </c>
      <c r="BI19" s="467" t="n">
        <v>10000</v>
      </c>
      <c r="BJ19" s="467" t="inlineStr">
        <is>
          <t>pcs</t>
        </is>
      </c>
      <c r="BK19" s="467" t="n">
        <v>10000</v>
      </c>
      <c r="BL19" s="467" t="inlineStr">
        <is>
          <t>2297152000000039748</t>
        </is>
      </c>
      <c r="BM19" s="467" t="n"/>
      <c r="BN19" s="467" t="n"/>
      <c r="BO19" s="467" t="n"/>
      <c r="BP19" s="467" t="inlineStr">
        <is>
          <t>Swapna Sheshadri</t>
        </is>
      </c>
      <c r="BQ19" s="467" t="n"/>
      <c r="BR19" s="467" t="inlineStr">
        <is>
          <t>D-246, Block D,</t>
        </is>
      </c>
      <c r="BS19" s="467" t="inlineStr">
        <is>
          <t>Defence Colony,</t>
        </is>
      </c>
      <c r="BT19" s="467" t="inlineStr">
        <is>
          <t>New Delhi</t>
        </is>
      </c>
      <c r="BU19" s="467" t="inlineStr">
        <is>
          <t>Delhi</t>
        </is>
      </c>
      <c r="BV19" s="467" t="inlineStr">
        <is>
          <t>India</t>
        </is>
      </c>
      <c r="BW19" s="467" t="inlineStr">
        <is>
          <t>110024</t>
        </is>
      </c>
      <c r="BX19" s="467" t="n"/>
      <c r="BY19" s="467" t="n"/>
      <c r="BZ19" s="467" t="n"/>
      <c r="CA19" s="467" t="inlineStr">
        <is>
          <t>D-246, Block D,</t>
        </is>
      </c>
      <c r="CB19" s="467" t="inlineStr">
        <is>
          <t>Defence Colony,</t>
        </is>
      </c>
      <c r="CC19" s="467" t="inlineStr">
        <is>
          <t>New Delhi</t>
        </is>
      </c>
      <c r="CD19" s="467" t="inlineStr">
        <is>
          <t>Delhi</t>
        </is>
      </c>
      <c r="CE19" s="467" t="inlineStr">
        <is>
          <t>India</t>
        </is>
      </c>
      <c r="CF19" s="467" t="inlineStr">
        <is>
          <t>110024</t>
        </is>
      </c>
      <c r="CG19" s="467" t="n"/>
      <c r="CH19" s="467" t="n"/>
      <c r="CI19" s="467" t="inlineStr">
        <is>
          <t>Coresphere100 Technologies Pvt. Ltd.</t>
        </is>
      </c>
      <c r="CJ19" s="467" t="inlineStr">
        <is>
          <t>09AALCC7037K1Z7</t>
        </is>
      </c>
      <c r="CK19" s="467" t="inlineStr">
        <is>
          <t>16026, 16th Floor, Tower Oakwood,</t>
        </is>
      </c>
      <c r="CL19" s="467" t="inlineStr">
        <is>
          <t>Greater Noida,</t>
        </is>
      </c>
      <c r="CM19" s="467" t="inlineStr">
        <is>
          <t>Uttar Pradesh</t>
        </is>
      </c>
      <c r="CN19" s="467" t="inlineStr">
        <is>
          <t>India</t>
        </is>
      </c>
      <c r="CO19" s="467" t="inlineStr">
        <is>
          <t>201306</t>
        </is>
      </c>
      <c r="CP19" s="467" t="inlineStr">
        <is>
          <t>8928163657</t>
        </is>
      </c>
      <c r="CQ19" s="467" t="inlineStr">
        <is>
          <t>manas@jurisphere.ai</t>
        </is>
      </c>
      <c r="CR19" s="467" t="inlineStr">
        <is>
          <t>0.00</t>
        </is>
      </c>
      <c r="CS19" s="467" t="inlineStr">
        <is>
          <t>0.00</t>
        </is>
      </c>
      <c r="CT19" s="467" t="inlineStr">
        <is>
          <t>18.00</t>
        </is>
      </c>
      <c r="CU19" s="467" t="inlineStr">
        <is>
          <t>0.00</t>
        </is>
      </c>
      <c r="CV19" s="467" t="inlineStr">
        <is>
          <t>0.00</t>
        </is>
      </c>
      <c r="CW19" s="467" t="inlineStr">
        <is>
          <t>0.00</t>
        </is>
      </c>
      <c r="CX19" s="467" t="inlineStr">
        <is>
          <t>1800.00</t>
        </is>
      </c>
      <c r="CY19" s="467" t="inlineStr">
        <is>
          <t>0.00</t>
        </is>
      </c>
      <c r="CZ19" s="467" t="inlineStr">
        <is>
          <t>0.00</t>
        </is>
      </c>
      <c r="DA19" s="467" t="inlineStr">
        <is>
          <t>0.00</t>
        </is>
      </c>
      <c r="DB19" s="467" t="inlineStr">
        <is>
          <t>1800.00</t>
        </is>
      </c>
      <c r="DC19" s="467" t="inlineStr">
        <is>
          <t>0.00</t>
        </is>
      </c>
      <c r="DD19" s="467" t="n"/>
      <c r="DE19" s="467" t="n"/>
      <c r="DF19" s="467" t="n"/>
      <c r="DG19" s="467" t="n"/>
      <c r="DH19" s="467" t="n"/>
      <c r="DI19" s="467" t="inlineStr">
        <is>
          <t>0.000</t>
        </is>
      </c>
      <c r="DJ19" s="467" t="n"/>
      <c r="DK19" s="467" t="n"/>
      <c r="DL19" s="467" t="n"/>
      <c r="DM19" s="467" t="n"/>
      <c r="DN19" s="467" t="n"/>
      <c r="DO19" s="467" t="n"/>
      <c r="DP19" s="467" t="inlineStr">
        <is>
          <t>998313</t>
        </is>
      </c>
      <c r="DQ19" s="467" t="n">
        <v>0</v>
      </c>
      <c r="DR19" s="467" t="n"/>
      <c r="DS19" s="467" t="n"/>
      <c r="DT19" s="467" t="n"/>
      <c r="DU19" s="467" t="n"/>
      <c r="DV19" s="467" t="n"/>
      <c r="DW19" s="467" t="n"/>
      <c r="DX19" s="467" t="inlineStr">
        <is>
          <t>service</t>
        </is>
      </c>
      <c r="DY19" s="467" t="n"/>
      <c r="DZ19" s="467" t="n"/>
      <c r="EA19" s="467" t="n"/>
      <c r="EB19" s="467" t="n"/>
      <c r="EC19" s="467" t="n"/>
      <c r="ED19" s="467" t="n"/>
      <c r="EE19" s="467" t="n"/>
      <c r="EF19" s="467" t="n"/>
      <c r="EG19" s="467" t="n"/>
      <c r="EH19" s="467" t="inlineStr">
        <is>
          <t>Others</t>
        </is>
      </c>
      <c r="EI19" s="467" t="n"/>
      <c r="EJ19" s="467" t="n"/>
      <c r="EK19" s="467" t="inlineStr">
        <is>
          <t>Sales</t>
        </is>
      </c>
      <c r="EL19" s="467" t="n"/>
      <c r="EM19" s="467" t="inlineStr">
        <is>
          <t>Taxable</t>
        </is>
      </c>
      <c r="EN19" s="467" t="inlineStr">
        <is>
          <t>2297152000000031111</t>
        </is>
      </c>
      <c r="EO19" s="467" t="inlineStr">
        <is>
          <t>IGST18</t>
        </is>
      </c>
      <c r="EP19" s="467" t="inlineStr">
        <is>
          <t>18.00</t>
        </is>
      </c>
      <c r="EQ19" s="467" t="n">
        <v>1800</v>
      </c>
      <c r="ER19" s="467" t="inlineStr">
        <is>
          <t>ItemAmount</t>
        </is>
      </c>
      <c r="ES19" s="467" t="n"/>
      <c r="ET19" s="467" t="n"/>
    </row>
    <row r="20" ht="39.55" customHeight="1" s="253">
      <c r="A20" s="466" t="n">
        <v>45758</v>
      </c>
      <c r="B20" s="467" t="inlineStr">
        <is>
          <t>2297152000000068017</t>
        </is>
      </c>
      <c r="C20" s="467" t="inlineStr">
        <is>
          <t>INV-25-26-000020</t>
        </is>
      </c>
      <c r="D20" s="467" t="inlineStr">
        <is>
          <t>Closed</t>
        </is>
      </c>
      <c r="E20" s="467" t="inlineStr">
        <is>
          <t>2297152000000068001</t>
        </is>
      </c>
      <c r="F20" s="467" t="inlineStr">
        <is>
          <t>Vutts &amp; Associates LLP</t>
        </is>
      </c>
      <c r="G20" s="467" t="inlineStr">
        <is>
          <t>DL</t>
        </is>
      </c>
      <c r="H20" s="467" t="inlineStr">
        <is>
          <t>07-Delhi</t>
        </is>
      </c>
      <c r="I20" s="467" t="inlineStr">
        <is>
          <t>business_none</t>
        </is>
      </c>
      <c r="J20" s="467" t="inlineStr">
        <is>
          <t>false</t>
        </is>
      </c>
      <c r="K20" s="466" t="n">
        <v>45758</v>
      </c>
      <c r="L20" s="467" t="n"/>
      <c r="M20" s="467" t="inlineStr">
        <is>
          <t>INR</t>
        </is>
      </c>
      <c r="N20" s="467" t="n">
        <v>1</v>
      </c>
      <c r="O20" s="467" t="inlineStr">
        <is>
          <t>item_level</t>
        </is>
      </c>
      <c r="P20" s="467" t="inlineStr">
        <is>
          <t>true</t>
        </is>
      </c>
      <c r="Q20" s="467" t="inlineStr">
        <is>
          <t>Tax Invoice</t>
        </is>
      </c>
      <c r="R20" s="467" t="inlineStr">
        <is>
          <t>0.00</t>
        </is>
      </c>
      <c r="S20" s="467" t="n"/>
      <c r="T20" s="467" t="n"/>
      <c r="U20" s="467" t="inlineStr">
        <is>
          <t>entity_level</t>
        </is>
      </c>
      <c r="V20" s="467" t="inlineStr">
        <is>
          <t>Technical Fees (2%)</t>
        </is>
      </c>
      <c r="W20" s="467" t="inlineStr">
        <is>
          <t>2.00</t>
        </is>
      </c>
      <c r="X20" s="467" t="inlineStr">
        <is>
          <t>194J</t>
        </is>
      </c>
      <c r="Y20" s="467" t="inlineStr">
        <is>
          <t>Section 194 J</t>
        </is>
      </c>
      <c r="Z20" s="467" t="inlineStr">
        <is>
          <t>600.000</t>
        </is>
      </c>
      <c r="AA20" s="467" t="n">
        <v>30000</v>
      </c>
      <c r="AB20" s="467" t="n">
        <v>34800</v>
      </c>
      <c r="AC20" s="467" t="n">
        <v>0</v>
      </c>
      <c r="AD20" s="467" t="n">
        <v>0</v>
      </c>
      <c r="AE20" s="467" t="inlineStr">
        <is>
          <t>Adjustment</t>
        </is>
      </c>
      <c r="AF20" s="467" t="n"/>
      <c r="AG20" s="466" t="n">
        <v>45764</v>
      </c>
      <c r="AH20" s="467" t="inlineStr">
        <is>
          <t>0</t>
        </is>
      </c>
      <c r="AI20" s="467" t="inlineStr">
        <is>
          <t>Due On Receipt</t>
        </is>
      </c>
      <c r="AJ20" s="467" t="inlineStr">
        <is>
          <t>Thanks for your business.</t>
        </is>
      </c>
      <c r="AK20" s="467" t="n"/>
      <c r="AL20" s="467" t="n"/>
      <c r="AM20" s="467" t="n"/>
      <c r="AN20" s="467" t="n"/>
      <c r="AO20" s="467" t="n"/>
      <c r="AP20" s="467" t="n"/>
      <c r="AQ20" s="467" t="n"/>
      <c r="AR20" s="467" t="n"/>
      <c r="AS20" s="467" t="n"/>
      <c r="AT20" s="467" t="inlineStr">
        <is>
          <t>Invoice</t>
        </is>
      </c>
      <c r="AU20" s="467" t="inlineStr">
        <is>
          <t>0.0</t>
        </is>
      </c>
      <c r="AV20" s="467" t="n">
        <v>0</v>
      </c>
      <c r="AW20" s="467" t="n"/>
      <c r="AX20" s="467" t="n"/>
      <c r="AY20" s="467" t="n"/>
      <c r="AZ20" s="467" t="n"/>
      <c r="BA20" s="467" t="n"/>
      <c r="BB20" s="467" t="n"/>
      <c r="BC20" s="467" t="n"/>
      <c r="BD20" s="467" t="inlineStr">
        <is>
          <t>Jurisphere Enterprise Subscription</t>
        </is>
      </c>
      <c r="BE20" s="468" t="inlineStr">
        <is>
          <t>Subscription Period- 2 months
Description- Pilot Project for 2 months of Rs. 15000/month, unlimited usage</t>
        </is>
      </c>
      <c r="BF20" s="467" t="n">
        <v>1</v>
      </c>
      <c r="BG20" s="467" t="inlineStr">
        <is>
          <t>0.00</t>
        </is>
      </c>
      <c r="BH20" s="467" t="inlineStr">
        <is>
          <t>0.00</t>
        </is>
      </c>
      <c r="BI20" s="467" t="n">
        <v>30000</v>
      </c>
      <c r="BJ20" s="467" t="inlineStr">
        <is>
          <t>pcs</t>
        </is>
      </c>
      <c r="BK20" s="467" t="n">
        <v>30000</v>
      </c>
      <c r="BL20" s="467" t="inlineStr">
        <is>
          <t>2297152000000039748</t>
        </is>
      </c>
      <c r="BM20" s="467" t="n"/>
      <c r="BN20" s="467" t="n"/>
      <c r="BO20" s="467" t="n"/>
      <c r="BP20" s="467" t="n"/>
      <c r="BQ20" s="467" t="n"/>
      <c r="BR20" s="467" t="inlineStr">
        <is>
          <t>C-5/8, Block C 5,</t>
        </is>
      </c>
      <c r="BS20" s="468" t="inlineStr">
        <is>
          <t>Safdarjung Development Area,
Hauz Khas</t>
        </is>
      </c>
      <c r="BT20" s="467" t="inlineStr">
        <is>
          <t>New Delhi</t>
        </is>
      </c>
      <c r="BU20" s="467" t="inlineStr">
        <is>
          <t>Delhi</t>
        </is>
      </c>
      <c r="BV20" s="467" t="inlineStr">
        <is>
          <t>India</t>
        </is>
      </c>
      <c r="BW20" s="467" t="inlineStr">
        <is>
          <t>110016</t>
        </is>
      </c>
      <c r="BX20" s="467" t="n"/>
      <c r="BY20" s="467" t="n"/>
      <c r="BZ20" s="467" t="n"/>
      <c r="CA20" s="467" t="inlineStr">
        <is>
          <t>C-5/8, Block C 5,</t>
        </is>
      </c>
      <c r="CB20" s="468" t="inlineStr">
        <is>
          <t>Safdarjung Development Area,
Hauz Khas</t>
        </is>
      </c>
      <c r="CC20" s="467" t="inlineStr">
        <is>
          <t>New Delhi</t>
        </is>
      </c>
      <c r="CD20" s="467" t="inlineStr">
        <is>
          <t>Delhi</t>
        </is>
      </c>
      <c r="CE20" s="467" t="inlineStr">
        <is>
          <t>India</t>
        </is>
      </c>
      <c r="CF20" s="467" t="inlineStr">
        <is>
          <t>110016</t>
        </is>
      </c>
      <c r="CG20" s="467" t="n"/>
      <c r="CH20" s="467" t="n"/>
      <c r="CI20" s="467" t="inlineStr">
        <is>
          <t>Coresphere100 Technologies Pvt. Ltd.</t>
        </is>
      </c>
      <c r="CJ20" s="467" t="inlineStr">
        <is>
          <t>09AALCC7037K1Z7</t>
        </is>
      </c>
      <c r="CK20" s="467" t="inlineStr">
        <is>
          <t>16026, 16th Floor, Tower Oakwood,</t>
        </is>
      </c>
      <c r="CL20" s="467" t="inlineStr">
        <is>
          <t>Greater Noida,</t>
        </is>
      </c>
      <c r="CM20" s="467" t="inlineStr">
        <is>
          <t>Uttar Pradesh</t>
        </is>
      </c>
      <c r="CN20" s="467" t="inlineStr">
        <is>
          <t>India</t>
        </is>
      </c>
      <c r="CO20" s="467" t="inlineStr">
        <is>
          <t>201306</t>
        </is>
      </c>
      <c r="CP20" s="467" t="inlineStr">
        <is>
          <t>8928163657</t>
        </is>
      </c>
      <c r="CQ20" s="467" t="inlineStr">
        <is>
          <t>manas@jurisphere.ai</t>
        </is>
      </c>
      <c r="CR20" s="467" t="inlineStr">
        <is>
          <t>0.00</t>
        </is>
      </c>
      <c r="CS20" s="467" t="inlineStr">
        <is>
          <t>0.00</t>
        </is>
      </c>
      <c r="CT20" s="467" t="inlineStr">
        <is>
          <t>18.00</t>
        </is>
      </c>
      <c r="CU20" s="467" t="inlineStr">
        <is>
          <t>0.00</t>
        </is>
      </c>
      <c r="CV20" s="467" t="inlineStr">
        <is>
          <t>0.00</t>
        </is>
      </c>
      <c r="CW20" s="467" t="inlineStr">
        <is>
          <t>0.00</t>
        </is>
      </c>
      <c r="CX20" s="467" t="inlineStr">
        <is>
          <t>5400.00</t>
        </is>
      </c>
      <c r="CY20" s="467" t="inlineStr">
        <is>
          <t>0.00</t>
        </is>
      </c>
      <c r="CZ20" s="467" t="inlineStr">
        <is>
          <t>0.00</t>
        </is>
      </c>
      <c r="DA20" s="467" t="inlineStr">
        <is>
          <t>0.00</t>
        </is>
      </c>
      <c r="DB20" s="467" t="inlineStr">
        <is>
          <t>5400.00</t>
        </is>
      </c>
      <c r="DC20" s="467" t="inlineStr">
        <is>
          <t>0.00</t>
        </is>
      </c>
      <c r="DD20" s="467" t="n"/>
      <c r="DE20" s="467" t="n"/>
      <c r="DF20" s="467" t="n"/>
      <c r="DG20" s="467" t="n"/>
      <c r="DH20" s="467" t="n"/>
      <c r="DI20" s="467" t="n"/>
      <c r="DJ20" s="467" t="n"/>
      <c r="DK20" s="467" t="n"/>
      <c r="DL20" s="467" t="n"/>
      <c r="DM20" s="467" t="n"/>
      <c r="DN20" s="467" t="n"/>
      <c r="DO20" s="467" t="n"/>
      <c r="DP20" s="467" t="inlineStr">
        <is>
          <t>998313</t>
        </is>
      </c>
      <c r="DQ20" s="467" t="n">
        <v>0</v>
      </c>
      <c r="DR20" s="467" t="n"/>
      <c r="DS20" s="467" t="n"/>
      <c r="DT20" s="467" t="n"/>
      <c r="DU20" s="467" t="n"/>
      <c r="DV20" s="467" t="n"/>
      <c r="DW20" s="467" t="n"/>
      <c r="DX20" s="467" t="inlineStr">
        <is>
          <t>service</t>
        </is>
      </c>
      <c r="DY20" s="467" t="n"/>
      <c r="DZ20" s="467" t="n"/>
      <c r="EA20" s="467" t="n"/>
      <c r="EB20" s="467" t="n"/>
      <c r="EC20" s="467" t="n"/>
      <c r="ED20" s="467" t="n"/>
      <c r="EE20" s="467" t="n"/>
      <c r="EF20" s="467" t="n"/>
      <c r="EG20" s="467" t="n"/>
      <c r="EH20" s="467" t="inlineStr">
        <is>
          <t>Others</t>
        </is>
      </c>
      <c r="EI20" s="467" t="n"/>
      <c r="EJ20" s="467" t="n"/>
      <c r="EK20" s="467" t="inlineStr">
        <is>
          <t>Sales</t>
        </is>
      </c>
      <c r="EL20" s="467" t="n"/>
      <c r="EM20" s="467" t="inlineStr">
        <is>
          <t>Taxable</t>
        </is>
      </c>
      <c r="EN20" s="467" t="inlineStr">
        <is>
          <t>2297152000000031111</t>
        </is>
      </c>
      <c r="EO20" s="467" t="inlineStr">
        <is>
          <t>IGST18</t>
        </is>
      </c>
      <c r="EP20" s="467" t="inlineStr">
        <is>
          <t>18.00</t>
        </is>
      </c>
      <c r="EQ20" s="467" t="n">
        <v>5400</v>
      </c>
      <c r="ER20" s="467" t="inlineStr">
        <is>
          <t>ItemAmount</t>
        </is>
      </c>
      <c r="ES20" s="467" t="n"/>
      <c r="ET20" s="467" t="n"/>
    </row>
    <row r="21" ht="39.55" customHeight="1" s="253">
      <c r="A21" s="466" t="n">
        <v>45758</v>
      </c>
      <c r="B21" s="467" t="inlineStr">
        <is>
          <t>2297152000000068067</t>
        </is>
      </c>
      <c r="C21" s="467" t="inlineStr">
        <is>
          <t>INV-25-26-000021</t>
        </is>
      </c>
      <c r="D21" s="467" t="inlineStr">
        <is>
          <t>Overdue</t>
        </is>
      </c>
      <c r="E21" s="467" t="inlineStr">
        <is>
          <t>2297152000000068029</t>
        </is>
      </c>
      <c r="F21" s="467" t="inlineStr">
        <is>
          <t>Darius J. Khambata</t>
        </is>
      </c>
      <c r="G21" s="467" t="inlineStr">
        <is>
          <t>MH</t>
        </is>
      </c>
      <c r="H21" s="467" t="inlineStr">
        <is>
          <t>27-Maharashtra</t>
        </is>
      </c>
      <c r="I21" s="467" t="inlineStr">
        <is>
          <t>business_none</t>
        </is>
      </c>
      <c r="J21" s="467" t="inlineStr">
        <is>
          <t>false</t>
        </is>
      </c>
      <c r="K21" s="466" t="n">
        <v>45758</v>
      </c>
      <c r="L21" s="467" t="n"/>
      <c r="M21" s="467" t="inlineStr">
        <is>
          <t>INR</t>
        </is>
      </c>
      <c r="N21" s="467" t="n">
        <v>1</v>
      </c>
      <c r="O21" s="467" t="inlineStr">
        <is>
          <t>item_level</t>
        </is>
      </c>
      <c r="P21" s="467" t="inlineStr">
        <is>
          <t>true</t>
        </is>
      </c>
      <c r="Q21" s="467" t="inlineStr">
        <is>
          <t>Tax Invoice</t>
        </is>
      </c>
      <c r="R21" s="467" t="inlineStr">
        <is>
          <t>0.00</t>
        </is>
      </c>
      <c r="S21" s="467" t="n"/>
      <c r="T21" s="467" t="n"/>
      <c r="U21" s="467" t="inlineStr">
        <is>
          <t>item_level</t>
        </is>
      </c>
      <c r="V21" s="467" t="n"/>
      <c r="W21" s="467" t="inlineStr">
        <is>
          <t>0.00</t>
        </is>
      </c>
      <c r="X21" s="467" t="n"/>
      <c r="Y21" s="467" t="n"/>
      <c r="Z21" s="467" t="inlineStr">
        <is>
          <t>0.000</t>
        </is>
      </c>
      <c r="AA21" s="467" t="n">
        <v>16949.15</v>
      </c>
      <c r="AB21" s="467" t="n">
        <v>20000</v>
      </c>
      <c r="AC21" s="467" t="n">
        <v>20000</v>
      </c>
      <c r="AD21" s="467" t="n">
        <v>0</v>
      </c>
      <c r="AE21" s="467" t="inlineStr">
        <is>
          <t>Adjustment</t>
        </is>
      </c>
      <c r="AF21" s="467" t="n"/>
      <c r="AG21" s="467" t="n"/>
      <c r="AH21" s="467" t="inlineStr">
        <is>
          <t>0</t>
        </is>
      </c>
      <c r="AI21" s="467" t="inlineStr">
        <is>
          <t>Due On Receipt</t>
        </is>
      </c>
      <c r="AJ21" s="467" t="inlineStr">
        <is>
          <t>Thanks for your business.</t>
        </is>
      </c>
      <c r="AK21" s="467" t="n"/>
      <c r="AL21" s="467" t="n"/>
      <c r="AM21" s="467" t="n"/>
      <c r="AN21" s="467" t="n"/>
      <c r="AO21" s="467" t="n"/>
      <c r="AP21" s="467" t="n"/>
      <c r="AQ21" s="467" t="n"/>
      <c r="AR21" s="467" t="n"/>
      <c r="AS21" s="467" t="n"/>
      <c r="AT21" s="467" t="inlineStr">
        <is>
          <t>Invoice</t>
        </is>
      </c>
      <c r="AU21" s="467" t="inlineStr">
        <is>
          <t>0.0</t>
        </is>
      </c>
      <c r="AV21" s="467" t="n">
        <v>0</v>
      </c>
      <c r="AW21" s="467" t="n"/>
      <c r="AX21" s="467" t="n"/>
      <c r="AY21" s="467" t="n"/>
      <c r="AZ21" s="467" t="n"/>
      <c r="BA21" s="467" t="n"/>
      <c r="BB21" s="467" t="n"/>
      <c r="BC21" s="467" t="n"/>
      <c r="BD21" s="467" t="inlineStr">
        <is>
          <t>Jurisphere Enterprise Subscription</t>
        </is>
      </c>
      <c r="BE21" s="468" t="inlineStr">
        <is>
          <t>Subscription Period- 07/03/2025 - 06/04/2025 
Description- Monthly Invoice for Rs. 20,000</t>
        </is>
      </c>
      <c r="BF21" s="467" t="n">
        <v>1</v>
      </c>
      <c r="BG21" s="467" t="inlineStr">
        <is>
          <t>0.00</t>
        </is>
      </c>
      <c r="BH21" s="467" t="inlineStr">
        <is>
          <t>0.000</t>
        </is>
      </c>
      <c r="BI21" s="467" t="n">
        <v>16949.15</v>
      </c>
      <c r="BJ21" s="467" t="inlineStr">
        <is>
          <t>pcs</t>
        </is>
      </c>
      <c r="BK21" s="467" t="n">
        <v>16949.15</v>
      </c>
      <c r="BL21" s="467" t="inlineStr">
        <is>
          <t>2297152000000039748</t>
        </is>
      </c>
      <c r="BM21" s="467" t="n"/>
      <c r="BN21" s="467" t="n"/>
      <c r="BO21" s="467" t="n"/>
      <c r="BP21" s="467" t="inlineStr">
        <is>
          <t xml:space="preserve">Darius- 07/03/2025 - 06/04/2025 </t>
        </is>
      </c>
      <c r="BQ21" s="467" t="n"/>
      <c r="BR21" s="467" t="inlineStr">
        <is>
          <t>Mulla House 3rd floor 51,</t>
        </is>
      </c>
      <c r="BS21" s="468" t="inlineStr">
        <is>
          <t>Mahatma Gandhi Road, Fort,
Near Central Bank</t>
        </is>
      </c>
      <c r="BT21" s="467" t="inlineStr">
        <is>
          <t>Mumbai</t>
        </is>
      </c>
      <c r="BU21" s="467" t="inlineStr">
        <is>
          <t>Maharashtra</t>
        </is>
      </c>
      <c r="BV21" s="467" t="inlineStr">
        <is>
          <t>India</t>
        </is>
      </c>
      <c r="BW21" s="467" t="inlineStr">
        <is>
          <t>400001</t>
        </is>
      </c>
      <c r="BX21" s="467" t="n"/>
      <c r="BY21" s="467" t="n"/>
      <c r="BZ21" s="467" t="n"/>
      <c r="CA21" s="467" t="inlineStr">
        <is>
          <t>Mulla House 3rd floor 51,</t>
        </is>
      </c>
      <c r="CB21" s="467" t="inlineStr">
        <is>
          <t>Mahatma Gandhi Road, Fort,</t>
        </is>
      </c>
      <c r="CC21" s="467" t="inlineStr">
        <is>
          <t>Mumbai</t>
        </is>
      </c>
      <c r="CD21" s="467" t="inlineStr">
        <is>
          <t>Maharashtra</t>
        </is>
      </c>
      <c r="CE21" s="467" t="inlineStr">
        <is>
          <t>India</t>
        </is>
      </c>
      <c r="CF21" s="467" t="inlineStr">
        <is>
          <t>400001</t>
        </is>
      </c>
      <c r="CG21" s="467" t="n"/>
      <c r="CH21" s="467" t="n"/>
      <c r="CI21" s="467" t="inlineStr">
        <is>
          <t>Coresphere100 Technologies Pvt. Ltd.</t>
        </is>
      </c>
      <c r="CJ21" s="467" t="inlineStr">
        <is>
          <t>09AALCC7037K1Z7</t>
        </is>
      </c>
      <c r="CK21" s="467" t="inlineStr">
        <is>
          <t>16026, 16th Floor, Tower Oakwood,</t>
        </is>
      </c>
      <c r="CL21" s="467" t="inlineStr">
        <is>
          <t>Greater Noida,</t>
        </is>
      </c>
      <c r="CM21" s="467" t="inlineStr">
        <is>
          <t>Uttar Pradesh</t>
        </is>
      </c>
      <c r="CN21" s="467" t="inlineStr">
        <is>
          <t>India</t>
        </is>
      </c>
      <c r="CO21" s="467" t="inlineStr">
        <is>
          <t>201306</t>
        </is>
      </c>
      <c r="CP21" s="467" t="inlineStr">
        <is>
          <t>8928163657</t>
        </is>
      </c>
      <c r="CQ21" s="467" t="inlineStr">
        <is>
          <t>manas@jurisphere.ai</t>
        </is>
      </c>
      <c r="CR21" s="467" t="inlineStr">
        <is>
          <t>0.00</t>
        </is>
      </c>
      <c r="CS21" s="467" t="inlineStr">
        <is>
          <t>0.00</t>
        </is>
      </c>
      <c r="CT21" s="467" t="inlineStr">
        <is>
          <t>18.00</t>
        </is>
      </c>
      <c r="CU21" s="467" t="inlineStr">
        <is>
          <t>0.00</t>
        </is>
      </c>
      <c r="CV21" s="467" t="inlineStr">
        <is>
          <t>0.00</t>
        </is>
      </c>
      <c r="CW21" s="467" t="inlineStr">
        <is>
          <t>0.00</t>
        </is>
      </c>
      <c r="CX21" s="467" t="inlineStr">
        <is>
          <t>3050.85</t>
        </is>
      </c>
      <c r="CY21" s="467" t="inlineStr">
        <is>
          <t>0.00</t>
        </is>
      </c>
      <c r="CZ21" s="467" t="inlineStr">
        <is>
          <t>0.00</t>
        </is>
      </c>
      <c r="DA21" s="467" t="inlineStr">
        <is>
          <t>0.00</t>
        </is>
      </c>
      <c r="DB21" s="467" t="inlineStr">
        <is>
          <t>3050.85</t>
        </is>
      </c>
      <c r="DC21" s="467" t="inlineStr">
        <is>
          <t>0.00</t>
        </is>
      </c>
      <c r="DD21" s="467" t="n"/>
      <c r="DE21" s="467" t="n"/>
      <c r="DF21" s="467" t="n"/>
      <c r="DG21" s="467" t="n"/>
      <c r="DH21" s="467" t="n"/>
      <c r="DI21" s="467" t="inlineStr">
        <is>
          <t>0.000</t>
        </is>
      </c>
      <c r="DJ21" s="467" t="n"/>
      <c r="DK21" s="467" t="n"/>
      <c r="DL21" s="467" t="n"/>
      <c r="DM21" s="467" t="n"/>
      <c r="DN21" s="467" t="n"/>
      <c r="DO21" s="467" t="n"/>
      <c r="DP21" s="467" t="inlineStr">
        <is>
          <t>998313</t>
        </is>
      </c>
      <c r="DQ21" s="467" t="n">
        <v>0</v>
      </c>
      <c r="DR21" s="467" t="n"/>
      <c r="DS21" s="467" t="n"/>
      <c r="DT21" s="467" t="n"/>
      <c r="DU21" s="467" t="n"/>
      <c r="DV21" s="467" t="n"/>
      <c r="DW21" s="467" t="n"/>
      <c r="DX21" s="467" t="inlineStr">
        <is>
          <t>service</t>
        </is>
      </c>
      <c r="DY21" s="467" t="n"/>
      <c r="DZ21" s="467" t="n"/>
      <c r="EA21" s="467" t="n"/>
      <c r="EB21" s="467" t="n"/>
      <c r="EC21" s="467" t="n"/>
      <c r="ED21" s="467" t="n"/>
      <c r="EE21" s="467" t="n"/>
      <c r="EF21" s="467" t="n"/>
      <c r="EG21" s="467" t="n"/>
      <c r="EH21" s="467" t="inlineStr">
        <is>
          <t>Others</t>
        </is>
      </c>
      <c r="EI21" s="467" t="n"/>
      <c r="EJ21" s="467" t="n"/>
      <c r="EK21" s="467" t="inlineStr">
        <is>
          <t>Sales</t>
        </is>
      </c>
      <c r="EL21" s="467" t="n"/>
      <c r="EM21" s="467" t="inlineStr">
        <is>
          <t>Taxable</t>
        </is>
      </c>
      <c r="EN21" s="467" t="inlineStr">
        <is>
          <t>2297152000000031111</t>
        </is>
      </c>
      <c r="EO21" s="467" t="inlineStr">
        <is>
          <t>IGST18</t>
        </is>
      </c>
      <c r="EP21" s="467" t="inlineStr">
        <is>
          <t>18.00</t>
        </is>
      </c>
      <c r="EQ21" s="467" t="n">
        <v>3050.85</v>
      </c>
      <c r="ER21" s="467" t="inlineStr">
        <is>
          <t>ItemAmount</t>
        </is>
      </c>
      <c r="ES21" s="467" t="n"/>
      <c r="ET21" s="467" t="n"/>
    </row>
    <row r="22" ht="39.55" customHeight="1" s="253">
      <c r="A22" s="466" t="n">
        <v>45758</v>
      </c>
      <c r="B22" s="467" t="inlineStr">
        <is>
          <t>2297152000000068112</t>
        </is>
      </c>
      <c r="C22" s="467" t="inlineStr">
        <is>
          <t>INV-25-26-000022</t>
        </is>
      </c>
      <c r="D22" s="467" t="inlineStr">
        <is>
          <t>Overdue</t>
        </is>
      </c>
      <c r="E22" s="467" t="inlineStr">
        <is>
          <t>2297152000000068029</t>
        </is>
      </c>
      <c r="F22" s="467" t="inlineStr">
        <is>
          <t>Darius J. Khambata</t>
        </is>
      </c>
      <c r="G22" s="467" t="inlineStr">
        <is>
          <t>MH</t>
        </is>
      </c>
      <c r="H22" s="467" t="inlineStr">
        <is>
          <t>27-Maharashtra</t>
        </is>
      </c>
      <c r="I22" s="467" t="inlineStr">
        <is>
          <t>business_none</t>
        </is>
      </c>
      <c r="J22" s="467" t="inlineStr">
        <is>
          <t>false</t>
        </is>
      </c>
      <c r="K22" s="466" t="n">
        <v>45758</v>
      </c>
      <c r="L22" s="467" t="n"/>
      <c r="M22" s="467" t="inlineStr">
        <is>
          <t>INR</t>
        </is>
      </c>
      <c r="N22" s="467" t="n">
        <v>1</v>
      </c>
      <c r="O22" s="467" t="inlineStr">
        <is>
          <t>item_level</t>
        </is>
      </c>
      <c r="P22" s="467" t="inlineStr">
        <is>
          <t>true</t>
        </is>
      </c>
      <c r="Q22" s="467" t="inlineStr">
        <is>
          <t>Tax Invoice</t>
        </is>
      </c>
      <c r="R22" s="467" t="inlineStr">
        <is>
          <t>0.00</t>
        </is>
      </c>
      <c r="S22" s="467" t="n"/>
      <c r="T22" s="467" t="n"/>
      <c r="U22" s="467" t="inlineStr">
        <is>
          <t>item_level</t>
        </is>
      </c>
      <c r="V22" s="467" t="n"/>
      <c r="W22" s="467" t="inlineStr">
        <is>
          <t>0.00</t>
        </is>
      </c>
      <c r="X22" s="467" t="n"/>
      <c r="Y22" s="467" t="n"/>
      <c r="Z22" s="467" t="inlineStr">
        <is>
          <t>0.000</t>
        </is>
      </c>
      <c r="AA22" s="467" t="n">
        <v>16949.15</v>
      </c>
      <c r="AB22" s="467" t="n">
        <v>20000</v>
      </c>
      <c r="AC22" s="467" t="n">
        <v>20000</v>
      </c>
      <c r="AD22" s="467" t="n">
        <v>0</v>
      </c>
      <c r="AE22" s="467" t="inlineStr">
        <is>
          <t>Adjustment</t>
        </is>
      </c>
      <c r="AF22" s="467" t="n"/>
      <c r="AG22" s="467" t="n"/>
      <c r="AH22" s="467" t="inlineStr">
        <is>
          <t>0</t>
        </is>
      </c>
      <c r="AI22" s="467" t="inlineStr">
        <is>
          <t>Due On Receipt</t>
        </is>
      </c>
      <c r="AJ22" s="467" t="inlineStr">
        <is>
          <t>Thanks for your business.</t>
        </is>
      </c>
      <c r="AK22" s="467" t="n"/>
      <c r="AL22" s="467" t="n"/>
      <c r="AM22" s="467" t="n"/>
      <c r="AN22" s="467" t="n"/>
      <c r="AO22" s="467" t="n"/>
      <c r="AP22" s="467" t="n"/>
      <c r="AQ22" s="467" t="n"/>
      <c r="AR22" s="467" t="n"/>
      <c r="AS22" s="467" t="n"/>
      <c r="AT22" s="467" t="inlineStr">
        <is>
          <t>Invoice</t>
        </is>
      </c>
      <c r="AU22" s="467" t="inlineStr">
        <is>
          <t>0.0</t>
        </is>
      </c>
      <c r="AV22" s="467" t="n">
        <v>0</v>
      </c>
      <c r="AW22" s="467" t="n"/>
      <c r="AX22" s="467" t="n"/>
      <c r="AY22" s="467" t="n"/>
      <c r="AZ22" s="467" t="n"/>
      <c r="BA22" s="467" t="n"/>
      <c r="BB22" s="467" t="n"/>
      <c r="BC22" s="467" t="n"/>
      <c r="BD22" s="467" t="inlineStr">
        <is>
          <t>Jurisphere Enterprise Subscription</t>
        </is>
      </c>
      <c r="BE22" s="468" t="inlineStr">
        <is>
          <t>Subscription Period- 07/04/2025 - 06/05/2025 
Description- Monthly Invoice for Rs. 20,000</t>
        </is>
      </c>
      <c r="BF22" s="467" t="n">
        <v>1</v>
      </c>
      <c r="BG22" s="467" t="inlineStr">
        <is>
          <t>0.00</t>
        </is>
      </c>
      <c r="BH22" s="467" t="inlineStr">
        <is>
          <t>0.00</t>
        </is>
      </c>
      <c r="BI22" s="467" t="n">
        <v>16949.15</v>
      </c>
      <c r="BJ22" s="467" t="inlineStr">
        <is>
          <t>pcs</t>
        </is>
      </c>
      <c r="BK22" s="467" t="n">
        <v>16949.15</v>
      </c>
      <c r="BL22" s="467" t="inlineStr">
        <is>
          <t>2297152000000039748</t>
        </is>
      </c>
      <c r="BM22" s="467" t="n"/>
      <c r="BN22" s="467" t="n"/>
      <c r="BO22" s="467" t="n"/>
      <c r="BP22" s="467" t="inlineStr">
        <is>
          <t xml:space="preserve">Darius- 07/03/2025 - 06/04/2025 </t>
        </is>
      </c>
      <c r="BQ22" s="467" t="n"/>
      <c r="BR22" s="467" t="inlineStr">
        <is>
          <t>Mulla House 3rd floor 51,</t>
        </is>
      </c>
      <c r="BS22" s="468" t="inlineStr">
        <is>
          <t>Mahatma Gandhi Road, Fort,
Near Central Bank</t>
        </is>
      </c>
      <c r="BT22" s="467" t="inlineStr">
        <is>
          <t>Mumbai</t>
        </is>
      </c>
      <c r="BU22" s="467" t="inlineStr">
        <is>
          <t>Maharashtra</t>
        </is>
      </c>
      <c r="BV22" s="467" t="inlineStr">
        <is>
          <t>India</t>
        </is>
      </c>
      <c r="BW22" s="467" t="inlineStr">
        <is>
          <t>400001</t>
        </is>
      </c>
      <c r="BX22" s="467" t="n"/>
      <c r="BY22" s="467" t="n"/>
      <c r="BZ22" s="467" t="n"/>
      <c r="CA22" s="467" t="inlineStr">
        <is>
          <t>Mulla House 3rd floor 51,</t>
        </is>
      </c>
      <c r="CB22" s="467" t="inlineStr">
        <is>
          <t>Mahatma Gandhi Road, Fort,</t>
        </is>
      </c>
      <c r="CC22" s="467" t="inlineStr">
        <is>
          <t>Mumbai</t>
        </is>
      </c>
      <c r="CD22" s="467" t="inlineStr">
        <is>
          <t>Maharashtra</t>
        </is>
      </c>
      <c r="CE22" s="467" t="inlineStr">
        <is>
          <t>India</t>
        </is>
      </c>
      <c r="CF22" s="467" t="inlineStr">
        <is>
          <t>400001</t>
        </is>
      </c>
      <c r="CG22" s="467" t="n"/>
      <c r="CH22" s="467" t="n"/>
      <c r="CI22" s="467" t="inlineStr">
        <is>
          <t>Coresphere100 Technologies Pvt. Ltd.</t>
        </is>
      </c>
      <c r="CJ22" s="467" t="inlineStr">
        <is>
          <t>09AALCC7037K1Z7</t>
        </is>
      </c>
      <c r="CK22" s="467" t="inlineStr">
        <is>
          <t>16026, 16th Floor, Tower Oakwood,</t>
        </is>
      </c>
      <c r="CL22" s="467" t="inlineStr">
        <is>
          <t>Greater Noida,</t>
        </is>
      </c>
      <c r="CM22" s="467" t="inlineStr">
        <is>
          <t>Uttar Pradesh</t>
        </is>
      </c>
      <c r="CN22" s="467" t="inlineStr">
        <is>
          <t>India</t>
        </is>
      </c>
      <c r="CO22" s="467" t="inlineStr">
        <is>
          <t>201306</t>
        </is>
      </c>
      <c r="CP22" s="467" t="inlineStr">
        <is>
          <t>8928163657</t>
        </is>
      </c>
      <c r="CQ22" s="467" t="inlineStr">
        <is>
          <t>manas@jurisphere.ai</t>
        </is>
      </c>
      <c r="CR22" s="467" t="inlineStr">
        <is>
          <t>0.00</t>
        </is>
      </c>
      <c r="CS22" s="467" t="inlineStr">
        <is>
          <t>0.00</t>
        </is>
      </c>
      <c r="CT22" s="467" t="inlineStr">
        <is>
          <t>18.00</t>
        </is>
      </c>
      <c r="CU22" s="467" t="inlineStr">
        <is>
          <t>0.00</t>
        </is>
      </c>
      <c r="CV22" s="467" t="inlineStr">
        <is>
          <t>0.00</t>
        </is>
      </c>
      <c r="CW22" s="467" t="inlineStr">
        <is>
          <t>0.00</t>
        </is>
      </c>
      <c r="CX22" s="467" t="inlineStr">
        <is>
          <t>3050.85</t>
        </is>
      </c>
      <c r="CY22" s="467" t="inlineStr">
        <is>
          <t>0.00</t>
        </is>
      </c>
      <c r="CZ22" s="467" t="inlineStr">
        <is>
          <t>0.00</t>
        </is>
      </c>
      <c r="DA22" s="467" t="inlineStr">
        <is>
          <t>0.00</t>
        </is>
      </c>
      <c r="DB22" s="467" t="inlineStr">
        <is>
          <t>3050.85</t>
        </is>
      </c>
      <c r="DC22" s="467" t="inlineStr">
        <is>
          <t>0.00</t>
        </is>
      </c>
      <c r="DD22" s="467" t="n"/>
      <c r="DE22" s="467" t="n"/>
      <c r="DF22" s="467" t="n"/>
      <c r="DG22" s="467" t="n"/>
      <c r="DH22" s="467" t="n"/>
      <c r="DI22" s="467" t="inlineStr">
        <is>
          <t>0.000</t>
        </is>
      </c>
      <c r="DJ22" s="467" t="n"/>
      <c r="DK22" s="467" t="n"/>
      <c r="DL22" s="467" t="n"/>
      <c r="DM22" s="467" t="n"/>
      <c r="DN22" s="467" t="n"/>
      <c r="DO22" s="467" t="n"/>
      <c r="DP22" s="467" t="inlineStr">
        <is>
          <t>998313</t>
        </is>
      </c>
      <c r="DQ22" s="467" t="n">
        <v>0</v>
      </c>
      <c r="DR22" s="467" t="n"/>
      <c r="DS22" s="467" t="n"/>
      <c r="DT22" s="467" t="n"/>
      <c r="DU22" s="467" t="n"/>
      <c r="DV22" s="467" t="n"/>
      <c r="DW22" s="467" t="n"/>
      <c r="DX22" s="467" t="inlineStr">
        <is>
          <t>service</t>
        </is>
      </c>
      <c r="DY22" s="467" t="n"/>
      <c r="DZ22" s="467" t="n"/>
      <c r="EA22" s="467" t="n"/>
      <c r="EB22" s="467" t="n"/>
      <c r="EC22" s="467" t="n"/>
      <c r="ED22" s="467" t="n"/>
      <c r="EE22" s="467" t="n"/>
      <c r="EF22" s="467" t="n"/>
      <c r="EG22" s="467" t="n"/>
      <c r="EH22" s="467" t="inlineStr">
        <is>
          <t>Others</t>
        </is>
      </c>
      <c r="EI22" s="467" t="n"/>
      <c r="EJ22" s="467" t="n"/>
      <c r="EK22" s="467" t="inlineStr">
        <is>
          <t>Sales</t>
        </is>
      </c>
      <c r="EL22" s="467" t="n"/>
      <c r="EM22" s="467" t="inlineStr">
        <is>
          <t>Taxable</t>
        </is>
      </c>
      <c r="EN22" s="467" t="inlineStr">
        <is>
          <t>2297152000000031111</t>
        </is>
      </c>
      <c r="EO22" s="467" t="inlineStr">
        <is>
          <t>IGST18</t>
        </is>
      </c>
      <c r="EP22" s="467" t="inlineStr">
        <is>
          <t>18.00</t>
        </is>
      </c>
      <c r="EQ22" s="467" t="n">
        <v>3050.85</v>
      </c>
      <c r="ER22" s="467" t="inlineStr">
        <is>
          <t>ItemAmount</t>
        </is>
      </c>
      <c r="ES22" s="467" t="n"/>
      <c r="ET22" s="467" t="n"/>
    </row>
    <row r="23" ht="26.85" customHeight="1" s="253">
      <c r="A23" s="466" t="n">
        <v>45758</v>
      </c>
      <c r="B23" s="467" t="inlineStr">
        <is>
          <t>2297152000000068144</t>
        </is>
      </c>
      <c r="C23" s="467" t="inlineStr">
        <is>
          <t>INV-25-26-000023</t>
        </is>
      </c>
      <c r="D23" s="467" t="inlineStr">
        <is>
          <t>Closed</t>
        </is>
      </c>
      <c r="E23" s="467" t="inlineStr">
        <is>
          <t>2297152000000068128</t>
        </is>
      </c>
      <c r="F23" s="467" t="inlineStr">
        <is>
          <t>Miglani Varma &amp; Co.</t>
        </is>
      </c>
      <c r="G23" s="467" t="inlineStr">
        <is>
          <t>DL</t>
        </is>
      </c>
      <c r="H23" s="467" t="inlineStr">
        <is>
          <t>07-Delhi</t>
        </is>
      </c>
      <c r="I23" s="467" t="inlineStr">
        <is>
          <t>business_none</t>
        </is>
      </c>
      <c r="J23" s="467" t="inlineStr">
        <is>
          <t>false</t>
        </is>
      </c>
      <c r="K23" s="466" t="n">
        <v>45758</v>
      </c>
      <c r="L23" s="467" t="n"/>
      <c r="M23" s="467" t="inlineStr">
        <is>
          <t>INR</t>
        </is>
      </c>
      <c r="N23" s="467" t="n">
        <v>1</v>
      </c>
      <c r="O23" s="467" t="inlineStr">
        <is>
          <t>item_level</t>
        </is>
      </c>
      <c r="P23" s="467" t="inlineStr">
        <is>
          <t>true</t>
        </is>
      </c>
      <c r="Q23" s="467" t="inlineStr">
        <is>
          <t>Tax Invoice</t>
        </is>
      </c>
      <c r="R23" s="467" t="inlineStr">
        <is>
          <t>0.00</t>
        </is>
      </c>
      <c r="S23" s="467" t="n"/>
      <c r="T23" s="467" t="n"/>
      <c r="U23" s="467" t="inlineStr">
        <is>
          <t>item_level</t>
        </is>
      </c>
      <c r="V23" s="467" t="n"/>
      <c r="W23" s="467" t="inlineStr">
        <is>
          <t>0.00</t>
        </is>
      </c>
      <c r="X23" s="467" t="n"/>
      <c r="Y23" s="467" t="n"/>
      <c r="Z23" s="467" t="inlineStr">
        <is>
          <t>0.000</t>
        </is>
      </c>
      <c r="AA23" s="467" t="n">
        <v>15000</v>
      </c>
      <c r="AB23" s="467" t="n">
        <v>17700</v>
      </c>
      <c r="AC23" s="467" t="n">
        <v>0</v>
      </c>
      <c r="AD23" s="467" t="n">
        <v>0</v>
      </c>
      <c r="AE23" s="467" t="inlineStr">
        <is>
          <t>Adjustment</t>
        </is>
      </c>
      <c r="AF23" s="467" t="n"/>
      <c r="AG23" s="466" t="n">
        <v>45761</v>
      </c>
      <c r="AH23" s="467" t="inlineStr">
        <is>
          <t>0</t>
        </is>
      </c>
      <c r="AI23" s="467" t="inlineStr">
        <is>
          <t>Due On Receipt</t>
        </is>
      </c>
      <c r="AJ23" s="467" t="inlineStr">
        <is>
          <t>Thanks for your business.</t>
        </is>
      </c>
      <c r="AK23" s="467" t="n"/>
      <c r="AL23" s="467" t="n"/>
      <c r="AM23" s="467" t="n"/>
      <c r="AN23" s="467" t="n"/>
      <c r="AO23" s="467" t="n"/>
      <c r="AP23" s="467" t="n"/>
      <c r="AQ23" s="467" t="n"/>
      <c r="AR23" s="467" t="n"/>
      <c r="AS23" s="467" t="n"/>
      <c r="AT23" s="467" t="inlineStr">
        <is>
          <t>Invoice</t>
        </is>
      </c>
      <c r="AU23" s="467" t="inlineStr">
        <is>
          <t>0.0</t>
        </is>
      </c>
      <c r="AV23" s="467" t="n">
        <v>0</v>
      </c>
      <c r="AW23" s="467" t="n"/>
      <c r="AX23" s="467" t="n"/>
      <c r="AY23" s="467" t="n"/>
      <c r="AZ23" s="467" t="n"/>
      <c r="BA23" s="467" t="n"/>
      <c r="BB23" s="467" t="n"/>
      <c r="BC23" s="467" t="n"/>
      <c r="BD23" s="467" t="inlineStr">
        <is>
          <t>Jurisphere Enterprise Subscription</t>
        </is>
      </c>
      <c r="BE23" s="468" t="inlineStr">
        <is>
          <t>Subscription Period- 2 months
Description- Pilot Project for 2 months, unlimited usage.</t>
        </is>
      </c>
      <c r="BF23" s="467" t="n">
        <v>1</v>
      </c>
      <c r="BG23" s="467" t="inlineStr">
        <is>
          <t>0.00</t>
        </is>
      </c>
      <c r="BH23" s="467" t="inlineStr">
        <is>
          <t>0.00</t>
        </is>
      </c>
      <c r="BI23" s="467" t="n">
        <v>15000</v>
      </c>
      <c r="BJ23" s="467" t="inlineStr">
        <is>
          <t>pcs</t>
        </is>
      </c>
      <c r="BK23" s="467" t="n">
        <v>15000</v>
      </c>
      <c r="BL23" s="467" t="inlineStr">
        <is>
          <t>2297152000000039748</t>
        </is>
      </c>
      <c r="BM23" s="467" t="n"/>
      <c r="BN23" s="467" t="n"/>
      <c r="BO23" s="467" t="n"/>
      <c r="BP23" s="467" t="n"/>
      <c r="BQ23" s="467" t="n"/>
      <c r="BR23" s="467" t="inlineStr">
        <is>
          <t>D - 11 (LGF),</t>
        </is>
      </c>
      <c r="BS23" s="467" t="inlineStr">
        <is>
          <t>Gulmohar Park,</t>
        </is>
      </c>
      <c r="BT23" s="467" t="inlineStr">
        <is>
          <t>New Delhi</t>
        </is>
      </c>
      <c r="BU23" s="467" t="inlineStr">
        <is>
          <t>Delhi</t>
        </is>
      </c>
      <c r="BV23" s="467" t="inlineStr">
        <is>
          <t>India</t>
        </is>
      </c>
      <c r="BW23" s="467" t="inlineStr">
        <is>
          <t>110049</t>
        </is>
      </c>
      <c r="BX23" s="467" t="n"/>
      <c r="BY23" s="467" t="n"/>
      <c r="BZ23" s="467" t="n"/>
      <c r="CA23" s="467" t="inlineStr">
        <is>
          <t>D - 11 (LGF),</t>
        </is>
      </c>
      <c r="CB23" s="467" t="inlineStr">
        <is>
          <t>Gulmohar Park,</t>
        </is>
      </c>
      <c r="CC23" s="467" t="inlineStr">
        <is>
          <t>New Delhi</t>
        </is>
      </c>
      <c r="CD23" s="467" t="inlineStr">
        <is>
          <t>Delhi</t>
        </is>
      </c>
      <c r="CE23" s="467" t="inlineStr">
        <is>
          <t>India</t>
        </is>
      </c>
      <c r="CF23" s="467" t="inlineStr">
        <is>
          <t>110049</t>
        </is>
      </c>
      <c r="CG23" s="467" t="n"/>
      <c r="CH23" s="467" t="n"/>
      <c r="CI23" s="467" t="inlineStr">
        <is>
          <t>Coresphere100 Technologies Pvt. Ltd.</t>
        </is>
      </c>
      <c r="CJ23" s="467" t="inlineStr">
        <is>
          <t>09AALCC7037K1Z7</t>
        </is>
      </c>
      <c r="CK23" s="467" t="inlineStr">
        <is>
          <t>16026, 16th Floor, Tower Oakwood,</t>
        </is>
      </c>
      <c r="CL23" s="467" t="inlineStr">
        <is>
          <t>Greater Noida,</t>
        </is>
      </c>
      <c r="CM23" s="467" t="inlineStr">
        <is>
          <t>Uttar Pradesh</t>
        </is>
      </c>
      <c r="CN23" s="467" t="inlineStr">
        <is>
          <t>India</t>
        </is>
      </c>
      <c r="CO23" s="467" t="inlineStr">
        <is>
          <t>201306</t>
        </is>
      </c>
      <c r="CP23" s="467" t="inlineStr">
        <is>
          <t>8928163657</t>
        </is>
      </c>
      <c r="CQ23" s="467" t="inlineStr">
        <is>
          <t>manas@jurisphere.ai</t>
        </is>
      </c>
      <c r="CR23" s="467" t="inlineStr">
        <is>
          <t>0.00</t>
        </is>
      </c>
      <c r="CS23" s="467" t="inlineStr">
        <is>
          <t>0.00</t>
        </is>
      </c>
      <c r="CT23" s="467" t="inlineStr">
        <is>
          <t>18.00</t>
        </is>
      </c>
      <c r="CU23" s="467" t="inlineStr">
        <is>
          <t>0.00</t>
        </is>
      </c>
      <c r="CV23" s="467" t="inlineStr">
        <is>
          <t>0.00</t>
        </is>
      </c>
      <c r="CW23" s="467" t="inlineStr">
        <is>
          <t>0.00</t>
        </is>
      </c>
      <c r="CX23" s="467" t="inlineStr">
        <is>
          <t>2700.00</t>
        </is>
      </c>
      <c r="CY23" s="467" t="inlineStr">
        <is>
          <t>0.00</t>
        </is>
      </c>
      <c r="CZ23" s="467" t="inlineStr">
        <is>
          <t>0.00</t>
        </is>
      </c>
      <c r="DA23" s="467" t="inlineStr">
        <is>
          <t>0.00</t>
        </is>
      </c>
      <c r="DB23" s="467" t="inlineStr">
        <is>
          <t>2700.00</t>
        </is>
      </c>
      <c r="DC23" s="467" t="inlineStr">
        <is>
          <t>0.00</t>
        </is>
      </c>
      <c r="DD23" s="467" t="n"/>
      <c r="DE23" s="467" t="n"/>
      <c r="DF23" s="467" t="n"/>
      <c r="DG23" s="467" t="n"/>
      <c r="DH23" s="467" t="n"/>
      <c r="DI23" s="467" t="inlineStr">
        <is>
          <t>0.000</t>
        </is>
      </c>
      <c r="DJ23" s="467" t="n"/>
      <c r="DK23" s="467" t="n"/>
      <c r="DL23" s="467" t="n"/>
      <c r="DM23" s="467" t="n"/>
      <c r="DN23" s="467" t="n"/>
      <c r="DO23" s="467" t="n"/>
      <c r="DP23" s="467" t="inlineStr">
        <is>
          <t>998313</t>
        </is>
      </c>
      <c r="DQ23" s="467" t="n">
        <v>0</v>
      </c>
      <c r="DR23" s="467" t="n"/>
      <c r="DS23" s="467" t="n"/>
      <c r="DT23" s="467" t="n"/>
      <c r="DU23" s="467" t="n"/>
      <c r="DV23" s="467" t="n"/>
      <c r="DW23" s="467" t="n"/>
      <c r="DX23" s="467" t="inlineStr">
        <is>
          <t>service</t>
        </is>
      </c>
      <c r="DY23" s="467" t="n"/>
      <c r="DZ23" s="467" t="n"/>
      <c r="EA23" s="467" t="n"/>
      <c r="EB23" s="467" t="n"/>
      <c r="EC23" s="467" t="n"/>
      <c r="ED23" s="467" t="n"/>
      <c r="EE23" s="467" t="n"/>
      <c r="EF23" s="467" t="n"/>
      <c r="EG23" s="467" t="n"/>
      <c r="EH23" s="467" t="inlineStr">
        <is>
          <t>Others</t>
        </is>
      </c>
      <c r="EI23" s="467" t="n"/>
      <c r="EJ23" s="467" t="n"/>
      <c r="EK23" s="467" t="inlineStr">
        <is>
          <t>Sales</t>
        </is>
      </c>
      <c r="EL23" s="467" t="n"/>
      <c r="EM23" s="467" t="inlineStr">
        <is>
          <t>Taxable</t>
        </is>
      </c>
      <c r="EN23" s="467" t="inlineStr">
        <is>
          <t>2297152000000031111</t>
        </is>
      </c>
      <c r="EO23" s="467" t="inlineStr">
        <is>
          <t>IGST18</t>
        </is>
      </c>
      <c r="EP23" s="467" t="inlineStr">
        <is>
          <t>18.00</t>
        </is>
      </c>
      <c r="EQ23" s="467" t="n">
        <v>2700</v>
      </c>
      <c r="ER23" s="467" t="inlineStr">
        <is>
          <t>ItemAmount</t>
        </is>
      </c>
      <c r="ES23" s="467" t="n"/>
      <c r="ET23" s="467" t="n"/>
    </row>
    <row r="24" ht="26.85" customHeight="1" s="253">
      <c r="A24" s="466" t="n">
        <v>45759</v>
      </c>
      <c r="B24" s="467" t="inlineStr">
        <is>
          <t>2297152000000068206</t>
        </is>
      </c>
      <c r="C24" s="467" t="inlineStr">
        <is>
          <t>INV-25-26-000024</t>
        </is>
      </c>
      <c r="D24" s="467" t="inlineStr">
        <is>
          <t>Closed</t>
        </is>
      </c>
      <c r="E24" s="467" t="inlineStr">
        <is>
          <t>2297152000000068190</t>
        </is>
      </c>
      <c r="F24" s="467" t="inlineStr">
        <is>
          <t>Venkatesh Mohanraj</t>
        </is>
      </c>
      <c r="G24" s="467" t="inlineStr">
        <is>
          <t>TN</t>
        </is>
      </c>
      <c r="H24" s="467" t="inlineStr">
        <is>
          <t>33-Tamil Nadu</t>
        </is>
      </c>
      <c r="I24" s="467" t="inlineStr">
        <is>
          <t>business_none</t>
        </is>
      </c>
      <c r="J24" s="467" t="inlineStr">
        <is>
          <t>false</t>
        </is>
      </c>
      <c r="K24" s="466" t="n">
        <v>45759</v>
      </c>
      <c r="L24" s="467" t="n"/>
      <c r="M24" s="467" t="inlineStr">
        <is>
          <t>INR</t>
        </is>
      </c>
      <c r="N24" s="467" t="n">
        <v>1</v>
      </c>
      <c r="O24" s="467" t="inlineStr">
        <is>
          <t>item_level</t>
        </is>
      </c>
      <c r="P24" s="467" t="inlineStr">
        <is>
          <t>true</t>
        </is>
      </c>
      <c r="Q24" s="467" t="inlineStr">
        <is>
          <t>Tax Invoice</t>
        </is>
      </c>
      <c r="R24" s="467" t="inlineStr">
        <is>
          <t>0.00</t>
        </is>
      </c>
      <c r="S24" s="467" t="n"/>
      <c r="T24" s="467" t="n"/>
      <c r="U24" s="467" t="inlineStr">
        <is>
          <t>item_level</t>
        </is>
      </c>
      <c r="V24" s="467" t="n"/>
      <c r="W24" s="467" t="inlineStr">
        <is>
          <t>0.00</t>
        </is>
      </c>
      <c r="X24" s="467" t="n"/>
      <c r="Y24" s="467" t="n"/>
      <c r="Z24" s="467" t="inlineStr">
        <is>
          <t>0.000</t>
        </is>
      </c>
      <c r="AA24" s="467" t="n">
        <v>5000</v>
      </c>
      <c r="AB24" s="467" t="n">
        <v>5900</v>
      </c>
      <c r="AC24" s="467" t="n">
        <v>0</v>
      </c>
      <c r="AD24" s="467" t="n">
        <v>0</v>
      </c>
      <c r="AE24" s="467" t="inlineStr">
        <is>
          <t>Adjustment</t>
        </is>
      </c>
      <c r="AF24" s="467" t="n"/>
      <c r="AG24" s="466" t="n">
        <v>45760</v>
      </c>
      <c r="AH24" s="467" t="inlineStr">
        <is>
          <t>0</t>
        </is>
      </c>
      <c r="AI24" s="467" t="inlineStr">
        <is>
          <t>Due On Receipt</t>
        </is>
      </c>
      <c r="AJ24" s="467" t="inlineStr">
        <is>
          <t>Thanks for your business.</t>
        </is>
      </c>
      <c r="AK24" s="467" t="n"/>
      <c r="AL24" s="467" t="n"/>
      <c r="AM24" s="467" t="n"/>
      <c r="AN24" s="467" t="n"/>
      <c r="AO24" s="467" t="n"/>
      <c r="AP24" s="467" t="n"/>
      <c r="AQ24" s="467" t="n"/>
      <c r="AR24" s="467" t="n"/>
      <c r="AS24" s="467" t="n"/>
      <c r="AT24" s="467" t="inlineStr">
        <is>
          <t>Invoice</t>
        </is>
      </c>
      <c r="AU24" s="467" t="inlineStr">
        <is>
          <t>0.0</t>
        </is>
      </c>
      <c r="AV24" s="467" t="n">
        <v>0</v>
      </c>
      <c r="AW24" s="467" t="n"/>
      <c r="AX24" s="467" t="n"/>
      <c r="AY24" s="467" t="n"/>
      <c r="AZ24" s="467" t="n"/>
      <c r="BA24" s="467" t="n"/>
      <c r="BB24" s="467" t="n"/>
      <c r="BC24" s="467" t="n"/>
      <c r="BD24" s="467" t="inlineStr">
        <is>
          <t>Jurisphere Enterprise Subscription</t>
        </is>
      </c>
      <c r="BE24" s="468" t="inlineStr">
        <is>
          <t>Subscription Period- 1 month
Description- 1 license for 1 month of Rs. 5,000</t>
        </is>
      </c>
      <c r="BF24" s="467" t="n">
        <v>1</v>
      </c>
      <c r="BG24" s="467" t="inlineStr">
        <is>
          <t>0.00</t>
        </is>
      </c>
      <c r="BH24" s="467" t="inlineStr">
        <is>
          <t>0.00</t>
        </is>
      </c>
      <c r="BI24" s="467" t="n">
        <v>5000</v>
      </c>
      <c r="BJ24" s="467" t="inlineStr">
        <is>
          <t>pcs</t>
        </is>
      </c>
      <c r="BK24" s="467" t="n">
        <v>5000</v>
      </c>
      <c r="BL24" s="467" t="inlineStr">
        <is>
          <t>2297152000000039748</t>
        </is>
      </c>
      <c r="BM24" s="467" t="n"/>
      <c r="BN24" s="467" t="n"/>
      <c r="BO24" s="467" t="n"/>
      <c r="BP24" s="467" t="n"/>
      <c r="BQ24" s="467" t="n"/>
      <c r="BR24" s="468" t="inlineStr">
        <is>
          <t>H 6/12, Coastal Road,
Aishwarya Apartments,</t>
        </is>
      </c>
      <c r="BS24" s="468" t="inlineStr">
        <is>
          <t>Kalashetra Colony,
Besant Nagar,</t>
        </is>
      </c>
      <c r="BT24" s="467" t="inlineStr">
        <is>
          <t>Chennai</t>
        </is>
      </c>
      <c r="BU24" s="467" t="inlineStr">
        <is>
          <t>Tamil Nadu</t>
        </is>
      </c>
      <c r="BV24" s="467" t="inlineStr">
        <is>
          <t>India</t>
        </is>
      </c>
      <c r="BW24" s="467" t="inlineStr">
        <is>
          <t>600090</t>
        </is>
      </c>
      <c r="BX24" s="467" t="n"/>
      <c r="BY24" s="467" t="n"/>
      <c r="BZ24" s="467" t="n"/>
      <c r="CA24" s="468" t="inlineStr">
        <is>
          <t>H 6/12, Coastal Road,
Aishwarya Apartments,</t>
        </is>
      </c>
      <c r="CB24" s="468" t="inlineStr">
        <is>
          <t>Kalashetra Colony,
Besant Nagar,</t>
        </is>
      </c>
      <c r="CC24" s="467" t="inlineStr">
        <is>
          <t>Chennai</t>
        </is>
      </c>
      <c r="CD24" s="467" t="inlineStr">
        <is>
          <t>Tamil Nadu</t>
        </is>
      </c>
      <c r="CE24" s="467" t="inlineStr">
        <is>
          <t>India</t>
        </is>
      </c>
      <c r="CF24" s="467" t="inlineStr">
        <is>
          <t>600090</t>
        </is>
      </c>
      <c r="CG24" s="467" t="n"/>
      <c r="CH24" s="467" t="n"/>
      <c r="CI24" s="467" t="inlineStr">
        <is>
          <t>Coresphere100 Technologies Pvt. Ltd.</t>
        </is>
      </c>
      <c r="CJ24" s="467" t="inlineStr">
        <is>
          <t>09AALCC7037K1Z7</t>
        </is>
      </c>
      <c r="CK24" s="467" t="inlineStr">
        <is>
          <t>16026, 16th Floor, Tower Oakwood,</t>
        </is>
      </c>
      <c r="CL24" s="467" t="inlineStr">
        <is>
          <t>Greater Noida,</t>
        </is>
      </c>
      <c r="CM24" s="467" t="inlineStr">
        <is>
          <t>Uttar Pradesh</t>
        </is>
      </c>
      <c r="CN24" s="467" t="inlineStr">
        <is>
          <t>India</t>
        </is>
      </c>
      <c r="CO24" s="467" t="inlineStr">
        <is>
          <t>201306</t>
        </is>
      </c>
      <c r="CP24" s="467" t="inlineStr">
        <is>
          <t>8928163657</t>
        </is>
      </c>
      <c r="CQ24" s="467" t="inlineStr">
        <is>
          <t>manas@jurisphere.ai</t>
        </is>
      </c>
      <c r="CR24" s="467" t="inlineStr">
        <is>
          <t>0.00</t>
        </is>
      </c>
      <c r="CS24" s="467" t="inlineStr">
        <is>
          <t>0.00</t>
        </is>
      </c>
      <c r="CT24" s="467" t="inlineStr">
        <is>
          <t>18.00</t>
        </is>
      </c>
      <c r="CU24" s="467" t="inlineStr">
        <is>
          <t>0.00</t>
        </is>
      </c>
      <c r="CV24" s="467" t="inlineStr">
        <is>
          <t>0.00</t>
        </is>
      </c>
      <c r="CW24" s="467" t="inlineStr">
        <is>
          <t>0.00</t>
        </is>
      </c>
      <c r="CX24" s="467" t="inlineStr">
        <is>
          <t>900.00</t>
        </is>
      </c>
      <c r="CY24" s="467" t="inlineStr">
        <is>
          <t>0.00</t>
        </is>
      </c>
      <c r="CZ24" s="467" t="inlineStr">
        <is>
          <t>0.00</t>
        </is>
      </c>
      <c r="DA24" s="467" t="inlineStr">
        <is>
          <t>0.00</t>
        </is>
      </c>
      <c r="DB24" s="467" t="inlineStr">
        <is>
          <t>900.00</t>
        </is>
      </c>
      <c r="DC24" s="467" t="inlineStr">
        <is>
          <t>0.00</t>
        </is>
      </c>
      <c r="DD24" s="467" t="n"/>
      <c r="DE24" s="467" t="n"/>
      <c r="DF24" s="467" t="n"/>
      <c r="DG24" s="467" t="n"/>
      <c r="DH24" s="467" t="n"/>
      <c r="DI24" s="467" t="inlineStr">
        <is>
          <t>0.000</t>
        </is>
      </c>
      <c r="DJ24" s="467" t="n"/>
      <c r="DK24" s="467" t="n"/>
      <c r="DL24" s="467" t="n"/>
      <c r="DM24" s="467" t="n"/>
      <c r="DN24" s="467" t="n"/>
      <c r="DO24" s="467" t="n"/>
      <c r="DP24" s="467" t="inlineStr">
        <is>
          <t>998313</t>
        </is>
      </c>
      <c r="DQ24" s="467" t="n">
        <v>0</v>
      </c>
      <c r="DR24" s="467" t="n"/>
      <c r="DS24" s="467" t="n"/>
      <c r="DT24" s="467" t="n"/>
      <c r="DU24" s="467" t="n"/>
      <c r="DV24" s="467" t="n"/>
      <c r="DW24" s="467" t="n"/>
      <c r="DX24" s="467" t="inlineStr">
        <is>
          <t>service</t>
        </is>
      </c>
      <c r="DY24" s="467" t="n"/>
      <c r="DZ24" s="467" t="n"/>
      <c r="EA24" s="467" t="n"/>
      <c r="EB24" s="467" t="n"/>
      <c r="EC24" s="467" t="n"/>
      <c r="ED24" s="467" t="n"/>
      <c r="EE24" s="467" t="n"/>
      <c r="EF24" s="467" t="n"/>
      <c r="EG24" s="467" t="n"/>
      <c r="EH24" s="467" t="inlineStr">
        <is>
          <t>Others</t>
        </is>
      </c>
      <c r="EI24" s="467" t="n"/>
      <c r="EJ24" s="467" t="n"/>
      <c r="EK24" s="467" t="inlineStr">
        <is>
          <t>Sales</t>
        </is>
      </c>
      <c r="EL24" s="467" t="n"/>
      <c r="EM24" s="467" t="inlineStr">
        <is>
          <t>Taxable</t>
        </is>
      </c>
      <c r="EN24" s="467" t="inlineStr">
        <is>
          <t>2297152000000031111</t>
        </is>
      </c>
      <c r="EO24" s="467" t="inlineStr">
        <is>
          <t>IGST18</t>
        </is>
      </c>
      <c r="EP24" s="467" t="inlineStr">
        <is>
          <t>18.00</t>
        </is>
      </c>
      <c r="EQ24" s="467" t="n">
        <v>900</v>
      </c>
      <c r="ER24" s="467" t="inlineStr">
        <is>
          <t>ItemAmount</t>
        </is>
      </c>
      <c r="ES24" s="467" t="n"/>
      <c r="ET24" s="467" t="n"/>
    </row>
    <row r="25" ht="26.85" customHeight="1" s="253">
      <c r="A25" s="466" t="n">
        <v>45759</v>
      </c>
      <c r="B25" s="467" t="inlineStr">
        <is>
          <t>2297152000000068376</t>
        </is>
      </c>
      <c r="C25" s="467" t="inlineStr">
        <is>
          <t>INV-25-26-000025</t>
        </is>
      </c>
      <c r="D25" s="467" t="inlineStr">
        <is>
          <t>Closed</t>
        </is>
      </c>
      <c r="E25" s="467" t="inlineStr">
        <is>
          <t>2297152000000068360</t>
        </is>
      </c>
      <c r="F25" s="467" t="inlineStr">
        <is>
          <t>Jade Lex Partners</t>
        </is>
      </c>
      <c r="G25" s="467" t="inlineStr">
        <is>
          <t>DL</t>
        </is>
      </c>
      <c r="H25" s="467" t="inlineStr">
        <is>
          <t>07-Delhi</t>
        </is>
      </c>
      <c r="I25" s="467" t="inlineStr">
        <is>
          <t>business_none</t>
        </is>
      </c>
      <c r="J25" s="467" t="inlineStr">
        <is>
          <t>false</t>
        </is>
      </c>
      <c r="K25" s="466" t="n">
        <v>45759</v>
      </c>
      <c r="L25" s="467" t="n"/>
      <c r="M25" s="467" t="inlineStr">
        <is>
          <t>INR</t>
        </is>
      </c>
      <c r="N25" s="467" t="n">
        <v>1</v>
      </c>
      <c r="O25" s="467" t="inlineStr">
        <is>
          <t>item_level</t>
        </is>
      </c>
      <c r="P25" s="467" t="inlineStr">
        <is>
          <t>true</t>
        </is>
      </c>
      <c r="Q25" s="467" t="inlineStr">
        <is>
          <t>Tax Invoice</t>
        </is>
      </c>
      <c r="R25" s="467" t="inlineStr">
        <is>
          <t>0.00</t>
        </is>
      </c>
      <c r="S25" s="467" t="n"/>
      <c r="T25" s="467" t="n"/>
      <c r="U25" s="467" t="inlineStr">
        <is>
          <t>item_level</t>
        </is>
      </c>
      <c r="V25" s="467" t="n"/>
      <c r="W25" s="467" t="inlineStr">
        <is>
          <t>0.00</t>
        </is>
      </c>
      <c r="X25" s="467" t="n"/>
      <c r="Y25" s="467" t="n"/>
      <c r="Z25" s="467" t="inlineStr">
        <is>
          <t>0.000</t>
        </is>
      </c>
      <c r="AA25" s="467" t="n">
        <v>6000</v>
      </c>
      <c r="AB25" s="467" t="n">
        <v>7080</v>
      </c>
      <c r="AC25" s="467" t="n">
        <v>0</v>
      </c>
      <c r="AD25" s="467" t="n">
        <v>0</v>
      </c>
      <c r="AE25" s="467" t="inlineStr">
        <is>
          <t>Adjustment</t>
        </is>
      </c>
      <c r="AF25" s="467" t="n"/>
      <c r="AG25" s="466" t="n">
        <v>45763</v>
      </c>
      <c r="AH25" s="467" t="inlineStr">
        <is>
          <t>0</t>
        </is>
      </c>
      <c r="AI25" s="467" t="inlineStr">
        <is>
          <t>Due On Receipt</t>
        </is>
      </c>
      <c r="AJ25" s="467" t="inlineStr">
        <is>
          <t>Thanks for your business.</t>
        </is>
      </c>
      <c r="AK25" s="467" t="n"/>
      <c r="AL25" s="467" t="n"/>
      <c r="AM25" s="467" t="n"/>
      <c r="AN25" s="467" t="n"/>
      <c r="AO25" s="467" t="n"/>
      <c r="AP25" s="467" t="n"/>
      <c r="AQ25" s="467" t="n"/>
      <c r="AR25" s="467" t="n"/>
      <c r="AS25" s="467" t="n"/>
      <c r="AT25" s="467" t="inlineStr">
        <is>
          <t>Invoice</t>
        </is>
      </c>
      <c r="AU25" s="467" t="inlineStr">
        <is>
          <t>0.0</t>
        </is>
      </c>
      <c r="AV25" s="467" t="n">
        <v>0</v>
      </c>
      <c r="AW25" s="467" t="n"/>
      <c r="AX25" s="467" t="n"/>
      <c r="AY25" s="467" t="n"/>
      <c r="AZ25" s="467" t="n"/>
      <c r="BA25" s="467" t="n"/>
      <c r="BB25" s="467" t="n"/>
      <c r="BC25" s="467" t="n"/>
      <c r="BD25" s="467" t="inlineStr">
        <is>
          <t>Jurisphere Enterprise Subscription</t>
        </is>
      </c>
      <c r="BE25" s="468" t="inlineStr">
        <is>
          <t>Subscription Period - 1 month
Description - 1 month subscription of Rs. 6000</t>
        </is>
      </c>
      <c r="BF25" s="467" t="n">
        <v>1</v>
      </c>
      <c r="BG25" s="467" t="inlineStr">
        <is>
          <t>0.00</t>
        </is>
      </c>
      <c r="BH25" s="467" t="inlineStr">
        <is>
          <t>0.00</t>
        </is>
      </c>
      <c r="BI25" s="467" t="n">
        <v>6000</v>
      </c>
      <c r="BJ25" s="467" t="inlineStr">
        <is>
          <t>pcs</t>
        </is>
      </c>
      <c r="BK25" s="467" t="n">
        <v>6000</v>
      </c>
      <c r="BL25" s="467" t="inlineStr">
        <is>
          <t>2297152000000039748</t>
        </is>
      </c>
      <c r="BM25" s="467" t="n"/>
      <c r="BN25" s="467" t="n"/>
      <c r="BO25" s="467" t="n"/>
      <c r="BP25" s="467" t="n"/>
      <c r="BQ25" s="467" t="n"/>
      <c r="BR25" s="467" t="inlineStr">
        <is>
          <t>E 378, LGF,</t>
        </is>
      </c>
      <c r="BS25" s="467" t="inlineStr">
        <is>
          <t>GK-1,</t>
        </is>
      </c>
      <c r="BT25" s="467" t="inlineStr">
        <is>
          <t>New Delhi</t>
        </is>
      </c>
      <c r="BU25" s="467" t="inlineStr">
        <is>
          <t>Delhi</t>
        </is>
      </c>
      <c r="BV25" s="467" t="inlineStr">
        <is>
          <t>India</t>
        </is>
      </c>
      <c r="BW25" s="467" t="inlineStr">
        <is>
          <t>110048</t>
        </is>
      </c>
      <c r="BX25" s="467" t="n"/>
      <c r="BY25" s="467" t="n"/>
      <c r="BZ25" s="467" t="n"/>
      <c r="CA25" s="467" t="inlineStr">
        <is>
          <t>E 378, LGF,</t>
        </is>
      </c>
      <c r="CB25" s="467" t="inlineStr">
        <is>
          <t>GK-1,</t>
        </is>
      </c>
      <c r="CC25" s="467" t="inlineStr">
        <is>
          <t>New Delhi</t>
        </is>
      </c>
      <c r="CD25" s="467" t="inlineStr">
        <is>
          <t>Delhi</t>
        </is>
      </c>
      <c r="CE25" s="467" t="inlineStr">
        <is>
          <t>India</t>
        </is>
      </c>
      <c r="CF25" s="467" t="inlineStr">
        <is>
          <t>110048</t>
        </is>
      </c>
      <c r="CG25" s="467" t="n"/>
      <c r="CH25" s="467" t="n"/>
      <c r="CI25" s="467" t="inlineStr">
        <is>
          <t>Coresphere100 Technologies Pvt. Ltd.</t>
        </is>
      </c>
      <c r="CJ25" s="467" t="inlineStr">
        <is>
          <t>09AALCC7037K1Z7</t>
        </is>
      </c>
      <c r="CK25" s="467" t="inlineStr">
        <is>
          <t>16026, 16th Floor, Tower Oakwood,</t>
        </is>
      </c>
      <c r="CL25" s="467" t="inlineStr">
        <is>
          <t>Greater Noida,</t>
        </is>
      </c>
      <c r="CM25" s="467" t="inlineStr">
        <is>
          <t>Uttar Pradesh</t>
        </is>
      </c>
      <c r="CN25" s="467" t="inlineStr">
        <is>
          <t>India</t>
        </is>
      </c>
      <c r="CO25" s="467" t="inlineStr">
        <is>
          <t>201306</t>
        </is>
      </c>
      <c r="CP25" s="467" t="inlineStr">
        <is>
          <t>8928163657</t>
        </is>
      </c>
      <c r="CQ25" s="467" t="inlineStr">
        <is>
          <t>manas@jurisphere.ai</t>
        </is>
      </c>
      <c r="CR25" s="467" t="inlineStr">
        <is>
          <t>0.00</t>
        </is>
      </c>
      <c r="CS25" s="467" t="inlineStr">
        <is>
          <t>0.00</t>
        </is>
      </c>
      <c r="CT25" s="467" t="inlineStr">
        <is>
          <t>18.00</t>
        </is>
      </c>
      <c r="CU25" s="467" t="inlineStr">
        <is>
          <t>0.00</t>
        </is>
      </c>
      <c r="CV25" s="467" t="inlineStr">
        <is>
          <t>0.00</t>
        </is>
      </c>
      <c r="CW25" s="467" t="inlineStr">
        <is>
          <t>0.00</t>
        </is>
      </c>
      <c r="CX25" s="467" t="inlineStr">
        <is>
          <t>1080.00</t>
        </is>
      </c>
      <c r="CY25" s="467" t="inlineStr">
        <is>
          <t>0.00</t>
        </is>
      </c>
      <c r="CZ25" s="467" t="inlineStr">
        <is>
          <t>0.00</t>
        </is>
      </c>
      <c r="DA25" s="467" t="inlineStr">
        <is>
          <t>0.00</t>
        </is>
      </c>
      <c r="DB25" s="467" t="inlineStr">
        <is>
          <t>1080.00</t>
        </is>
      </c>
      <c r="DC25" s="467" t="inlineStr">
        <is>
          <t>0.00</t>
        </is>
      </c>
      <c r="DD25" s="467" t="n"/>
      <c r="DE25" s="467" t="n"/>
      <c r="DF25" s="467" t="n"/>
      <c r="DG25" s="467" t="n"/>
      <c r="DH25" s="467" t="n"/>
      <c r="DI25" s="467" t="inlineStr">
        <is>
          <t>0.000</t>
        </is>
      </c>
      <c r="DJ25" s="467" t="n"/>
      <c r="DK25" s="467" t="n"/>
      <c r="DL25" s="467" t="n"/>
      <c r="DM25" s="467" t="n"/>
      <c r="DN25" s="467" t="n"/>
      <c r="DO25" s="467" t="n"/>
      <c r="DP25" s="467" t="inlineStr">
        <is>
          <t>998313</t>
        </is>
      </c>
      <c r="DQ25" s="467" t="n">
        <v>0</v>
      </c>
      <c r="DR25" s="467" t="n"/>
      <c r="DS25" s="467" t="n"/>
      <c r="DT25" s="467" t="n"/>
      <c r="DU25" s="467" t="n"/>
      <c r="DV25" s="467" t="n"/>
      <c r="DW25" s="467" t="n"/>
      <c r="DX25" s="467" t="inlineStr">
        <is>
          <t>service</t>
        </is>
      </c>
      <c r="DY25" s="467" t="n"/>
      <c r="DZ25" s="467" t="n"/>
      <c r="EA25" s="467" t="n"/>
      <c r="EB25" s="467" t="n"/>
      <c r="EC25" s="467" t="n"/>
      <c r="ED25" s="467" t="n"/>
      <c r="EE25" s="467" t="n"/>
      <c r="EF25" s="467" t="n"/>
      <c r="EG25" s="467" t="n"/>
      <c r="EH25" s="467" t="inlineStr">
        <is>
          <t>Others</t>
        </is>
      </c>
      <c r="EI25" s="467" t="n"/>
      <c r="EJ25" s="467" t="n"/>
      <c r="EK25" s="467" t="inlineStr">
        <is>
          <t>Sales</t>
        </is>
      </c>
      <c r="EL25" s="467" t="n"/>
      <c r="EM25" s="467" t="inlineStr">
        <is>
          <t>Taxable</t>
        </is>
      </c>
      <c r="EN25" s="467" t="inlineStr">
        <is>
          <t>2297152000000031111</t>
        </is>
      </c>
      <c r="EO25" s="467" t="inlineStr">
        <is>
          <t>IGST18</t>
        </is>
      </c>
      <c r="EP25" s="467" t="inlineStr">
        <is>
          <t>18.00</t>
        </is>
      </c>
      <c r="EQ25" s="467" t="n">
        <v>1080</v>
      </c>
      <c r="ER25" s="467" t="inlineStr">
        <is>
          <t>ItemAmount</t>
        </is>
      </c>
      <c r="ES25" s="467" t="n"/>
      <c r="ET25" s="467" t="n"/>
    </row>
    <row r="26" ht="13.5" customHeight="1" s="253">
      <c r="A26" s="466" t="n">
        <v>45759</v>
      </c>
      <c r="B26" s="467" t="inlineStr">
        <is>
          <t>2297152000000068406</t>
        </is>
      </c>
      <c r="C26" s="467" t="inlineStr">
        <is>
          <t>INV-25-26-000026</t>
        </is>
      </c>
      <c r="D26" s="467" t="inlineStr">
        <is>
          <t>Closed</t>
        </is>
      </c>
      <c r="E26" s="467" t="inlineStr">
        <is>
          <t>2297152000000068388</t>
        </is>
      </c>
      <c r="F26" s="467" t="inlineStr">
        <is>
          <t>Alankrit Bajpai</t>
        </is>
      </c>
      <c r="G26" s="467" t="inlineStr">
        <is>
          <t>HR</t>
        </is>
      </c>
      <c r="H26" s="467" t="inlineStr">
        <is>
          <t>06-Haryana</t>
        </is>
      </c>
      <c r="I26" s="467" t="inlineStr">
        <is>
          <t>business_none</t>
        </is>
      </c>
      <c r="J26" s="467" t="inlineStr">
        <is>
          <t>false</t>
        </is>
      </c>
      <c r="K26" s="466" t="n">
        <v>45759</v>
      </c>
      <c r="L26" s="467" t="n"/>
      <c r="M26" s="467" t="inlineStr">
        <is>
          <t>INR</t>
        </is>
      </c>
      <c r="N26" s="467" t="n">
        <v>1</v>
      </c>
      <c r="O26" s="467" t="inlineStr">
        <is>
          <t>item_level</t>
        </is>
      </c>
      <c r="P26" s="467" t="inlineStr">
        <is>
          <t>true</t>
        </is>
      </c>
      <c r="Q26" s="467" t="inlineStr">
        <is>
          <t>Tax Invoice</t>
        </is>
      </c>
      <c r="R26" s="467" t="inlineStr">
        <is>
          <t>0.00</t>
        </is>
      </c>
      <c r="S26" s="467" t="n"/>
      <c r="T26" s="467" t="n"/>
      <c r="U26" s="467" t="inlineStr">
        <is>
          <t>item_level</t>
        </is>
      </c>
      <c r="V26" s="467" t="n"/>
      <c r="W26" s="467" t="inlineStr">
        <is>
          <t>0.00</t>
        </is>
      </c>
      <c r="X26" s="467" t="n"/>
      <c r="Y26" s="467" t="n"/>
      <c r="Z26" s="467" t="inlineStr">
        <is>
          <t>0.000</t>
        </is>
      </c>
      <c r="AA26" s="467" t="n">
        <v>5000</v>
      </c>
      <c r="AB26" s="467" t="n">
        <v>5900</v>
      </c>
      <c r="AC26" s="467" t="n">
        <v>0</v>
      </c>
      <c r="AD26" s="467" t="n">
        <v>0</v>
      </c>
      <c r="AE26" s="467" t="inlineStr">
        <is>
          <t>Adjustment</t>
        </is>
      </c>
      <c r="AF26" s="467" t="n"/>
      <c r="AG26" s="466" t="n">
        <v>45759</v>
      </c>
      <c r="AH26" s="467" t="inlineStr">
        <is>
          <t>0</t>
        </is>
      </c>
      <c r="AI26" s="467" t="inlineStr">
        <is>
          <t>Due On Receipt</t>
        </is>
      </c>
      <c r="AJ26" s="467" t="inlineStr">
        <is>
          <t>Thanks for your business.</t>
        </is>
      </c>
      <c r="AK26" s="467" t="n"/>
      <c r="AL26" s="467" t="n"/>
      <c r="AM26" s="467" t="n"/>
      <c r="AN26" s="467" t="n"/>
      <c r="AO26" s="467" t="n"/>
      <c r="AP26" s="467" t="n"/>
      <c r="AQ26" s="467" t="n"/>
      <c r="AR26" s="467" t="n"/>
      <c r="AS26" s="467" t="n"/>
      <c r="AT26" s="467" t="inlineStr">
        <is>
          <t>Invoice</t>
        </is>
      </c>
      <c r="AU26" s="467" t="inlineStr">
        <is>
          <t>0.0</t>
        </is>
      </c>
      <c r="AV26" s="467" t="n">
        <v>0</v>
      </c>
      <c r="AW26" s="467" t="n"/>
      <c r="AX26" s="467" t="n"/>
      <c r="AY26" s="467" t="n"/>
      <c r="AZ26" s="467" t="n"/>
      <c r="BA26" s="467" t="n"/>
      <c r="BB26" s="467" t="n"/>
      <c r="BC26" s="467" t="n"/>
      <c r="BD26" s="467" t="inlineStr">
        <is>
          <t>Jurisphere Enterprise Subscription</t>
        </is>
      </c>
      <c r="BE26" s="467" t="inlineStr">
        <is>
          <t>Subscription Period- 1 month</t>
        </is>
      </c>
      <c r="BF26" s="467" t="n">
        <v>1</v>
      </c>
      <c r="BG26" s="467" t="inlineStr">
        <is>
          <t>0.00</t>
        </is>
      </c>
      <c r="BH26" s="467" t="inlineStr">
        <is>
          <t>0.00</t>
        </is>
      </c>
      <c r="BI26" s="467" t="n">
        <v>5000</v>
      </c>
      <c r="BJ26" s="467" t="inlineStr">
        <is>
          <t>pcs</t>
        </is>
      </c>
      <c r="BK26" s="467" t="n">
        <v>5000</v>
      </c>
      <c r="BL26" s="467" t="inlineStr">
        <is>
          <t>2297152000000039748</t>
        </is>
      </c>
      <c r="BM26" s="467" t="n"/>
      <c r="BN26" s="467" t="n"/>
      <c r="BO26" s="467" t="n"/>
      <c r="BP26" s="467" t="n"/>
      <c r="BQ26" s="467" t="n"/>
      <c r="BR26" s="467" t="inlineStr">
        <is>
          <t>C-67/A, Sushant Lok-3,</t>
        </is>
      </c>
      <c r="BS26" s="467" t="inlineStr">
        <is>
          <t>Sector 57,</t>
        </is>
      </c>
      <c r="BT26" s="467" t="inlineStr">
        <is>
          <t>Gurugram</t>
        </is>
      </c>
      <c r="BU26" s="467" t="inlineStr">
        <is>
          <t>Haryana</t>
        </is>
      </c>
      <c r="BV26" s="467" t="inlineStr">
        <is>
          <t>India</t>
        </is>
      </c>
      <c r="BW26" s="467" t="n"/>
      <c r="BX26" s="467" t="n"/>
      <c r="BY26" s="467" t="n"/>
      <c r="BZ26" s="467" t="n"/>
      <c r="CA26" s="467" t="inlineStr">
        <is>
          <t>C-67/A, Sushant Lok-3,</t>
        </is>
      </c>
      <c r="CB26" s="467" t="inlineStr">
        <is>
          <t>Sector 57,</t>
        </is>
      </c>
      <c r="CC26" s="467" t="inlineStr">
        <is>
          <t>Gurugram</t>
        </is>
      </c>
      <c r="CD26" s="467" t="inlineStr">
        <is>
          <t>Haryana</t>
        </is>
      </c>
      <c r="CE26" s="467" t="inlineStr">
        <is>
          <t>India</t>
        </is>
      </c>
      <c r="CF26" s="467" t="n"/>
      <c r="CG26" s="467" t="n"/>
      <c r="CH26" s="467" t="n"/>
      <c r="CI26" s="467" t="inlineStr">
        <is>
          <t>Coresphere100 Technologies Pvt. Ltd.</t>
        </is>
      </c>
      <c r="CJ26" s="467" t="inlineStr">
        <is>
          <t>09AALCC7037K1Z7</t>
        </is>
      </c>
      <c r="CK26" s="467" t="inlineStr">
        <is>
          <t>16026, 16th Floor, Tower Oakwood,</t>
        </is>
      </c>
      <c r="CL26" s="467" t="inlineStr">
        <is>
          <t>Greater Noida,</t>
        </is>
      </c>
      <c r="CM26" s="467" t="inlineStr">
        <is>
          <t>Uttar Pradesh</t>
        </is>
      </c>
      <c r="CN26" s="467" t="inlineStr">
        <is>
          <t>India</t>
        </is>
      </c>
      <c r="CO26" s="467" t="inlineStr">
        <is>
          <t>201306</t>
        </is>
      </c>
      <c r="CP26" s="467" t="inlineStr">
        <is>
          <t>8928163657</t>
        </is>
      </c>
      <c r="CQ26" s="467" t="inlineStr">
        <is>
          <t>manas@jurisphere.ai</t>
        </is>
      </c>
      <c r="CR26" s="467" t="inlineStr">
        <is>
          <t>0.00</t>
        </is>
      </c>
      <c r="CS26" s="467" t="inlineStr">
        <is>
          <t>0.00</t>
        </is>
      </c>
      <c r="CT26" s="467" t="inlineStr">
        <is>
          <t>18.00</t>
        </is>
      </c>
      <c r="CU26" s="467" t="inlineStr">
        <is>
          <t>0.00</t>
        </is>
      </c>
      <c r="CV26" s="467" t="inlineStr">
        <is>
          <t>0.00</t>
        </is>
      </c>
      <c r="CW26" s="467" t="inlineStr">
        <is>
          <t>0.00</t>
        </is>
      </c>
      <c r="CX26" s="467" t="inlineStr">
        <is>
          <t>900.00</t>
        </is>
      </c>
      <c r="CY26" s="467" t="inlineStr">
        <is>
          <t>0.00</t>
        </is>
      </c>
      <c r="CZ26" s="467" t="inlineStr">
        <is>
          <t>0.00</t>
        </is>
      </c>
      <c r="DA26" s="467" t="inlineStr">
        <is>
          <t>0.00</t>
        </is>
      </c>
      <c r="DB26" s="467" t="inlineStr">
        <is>
          <t>900.00</t>
        </is>
      </c>
      <c r="DC26" s="467" t="inlineStr">
        <is>
          <t>0.00</t>
        </is>
      </c>
      <c r="DD26" s="467" t="n"/>
      <c r="DE26" s="467" t="n"/>
      <c r="DF26" s="467" t="n"/>
      <c r="DG26" s="467" t="n"/>
      <c r="DH26" s="467" t="n"/>
      <c r="DI26" s="467" t="inlineStr">
        <is>
          <t>0.000</t>
        </is>
      </c>
      <c r="DJ26" s="467" t="n"/>
      <c r="DK26" s="467" t="n"/>
      <c r="DL26" s="467" t="n"/>
      <c r="DM26" s="467" t="n"/>
      <c r="DN26" s="467" t="n"/>
      <c r="DO26" s="467" t="n"/>
      <c r="DP26" s="467" t="inlineStr">
        <is>
          <t>998313</t>
        </is>
      </c>
      <c r="DQ26" s="467" t="n">
        <v>0</v>
      </c>
      <c r="DR26" s="467" t="n"/>
      <c r="DS26" s="467" t="n"/>
      <c r="DT26" s="467" t="n"/>
      <c r="DU26" s="467" t="n"/>
      <c r="DV26" s="467" t="n"/>
      <c r="DW26" s="467" t="n"/>
      <c r="DX26" s="467" t="inlineStr">
        <is>
          <t>service</t>
        </is>
      </c>
      <c r="DY26" s="467" t="n"/>
      <c r="DZ26" s="467" t="n"/>
      <c r="EA26" s="467" t="n"/>
      <c r="EB26" s="467" t="n"/>
      <c r="EC26" s="467" t="n"/>
      <c r="ED26" s="467" t="n"/>
      <c r="EE26" s="467" t="n"/>
      <c r="EF26" s="467" t="n"/>
      <c r="EG26" s="467" t="n"/>
      <c r="EH26" s="467" t="inlineStr">
        <is>
          <t>Others</t>
        </is>
      </c>
      <c r="EI26" s="467" t="n"/>
      <c r="EJ26" s="467" t="n"/>
      <c r="EK26" s="467" t="inlineStr">
        <is>
          <t>Sales</t>
        </is>
      </c>
      <c r="EL26" s="467" t="n"/>
      <c r="EM26" s="467" t="inlineStr">
        <is>
          <t>Taxable</t>
        </is>
      </c>
      <c r="EN26" s="467" t="inlineStr">
        <is>
          <t>2297152000000031111</t>
        </is>
      </c>
      <c r="EO26" s="467" t="inlineStr">
        <is>
          <t>IGST18</t>
        </is>
      </c>
      <c r="EP26" s="467" t="inlineStr">
        <is>
          <t>18.00</t>
        </is>
      </c>
      <c r="EQ26" s="467" t="n">
        <v>900</v>
      </c>
      <c r="ER26" s="467" t="inlineStr">
        <is>
          <t>ItemAmount</t>
        </is>
      </c>
      <c r="ES26" s="467" t="n"/>
      <c r="ET26" s="467" t="n"/>
    </row>
    <row r="27" ht="26.85" customHeight="1" s="253">
      <c r="A27" s="466" t="n">
        <v>45760</v>
      </c>
      <c r="B27" s="467" t="inlineStr">
        <is>
          <t>2297152000000069079</t>
        </is>
      </c>
      <c r="C27" s="467" t="inlineStr">
        <is>
          <t>INV-25-26-000028</t>
        </is>
      </c>
      <c r="D27" s="467" t="inlineStr">
        <is>
          <t>Overdue</t>
        </is>
      </c>
      <c r="E27" s="467" t="inlineStr">
        <is>
          <t>2297152000000069063</t>
        </is>
      </c>
      <c r="F27" s="467" t="inlineStr">
        <is>
          <t>Badar Durrez</t>
        </is>
      </c>
      <c r="G27" s="467" t="inlineStr">
        <is>
          <t>DL</t>
        </is>
      </c>
      <c r="H27" s="467" t="inlineStr">
        <is>
          <t>07-Delhi</t>
        </is>
      </c>
      <c r="I27" s="467" t="inlineStr">
        <is>
          <t>business_none</t>
        </is>
      </c>
      <c r="J27" s="467" t="inlineStr">
        <is>
          <t>false</t>
        </is>
      </c>
      <c r="K27" s="466" t="n">
        <v>45760</v>
      </c>
      <c r="L27" s="467" t="n"/>
      <c r="M27" s="467" t="inlineStr">
        <is>
          <t>INR</t>
        </is>
      </c>
      <c r="N27" s="467" t="n">
        <v>1</v>
      </c>
      <c r="O27" s="467" t="inlineStr">
        <is>
          <t>item_level</t>
        </is>
      </c>
      <c r="P27" s="467" t="inlineStr">
        <is>
          <t>true</t>
        </is>
      </c>
      <c r="Q27" s="467" t="inlineStr">
        <is>
          <t>Tax Invoice</t>
        </is>
      </c>
      <c r="R27" s="467" t="inlineStr">
        <is>
          <t>0.00</t>
        </is>
      </c>
      <c r="S27" s="467" t="n"/>
      <c r="T27" s="467" t="n"/>
      <c r="U27" s="467" t="inlineStr">
        <is>
          <t>item_level</t>
        </is>
      </c>
      <c r="V27" s="467" t="n"/>
      <c r="W27" s="467" t="inlineStr">
        <is>
          <t>0.00</t>
        </is>
      </c>
      <c r="X27" s="467" t="n"/>
      <c r="Y27" s="467" t="n"/>
      <c r="Z27" s="467" t="inlineStr">
        <is>
          <t>0.000</t>
        </is>
      </c>
      <c r="AA27" s="467" t="n">
        <v>5000</v>
      </c>
      <c r="AB27" s="467" t="n">
        <v>5900</v>
      </c>
      <c r="AC27" s="467" t="n">
        <v>5900</v>
      </c>
      <c r="AD27" s="467" t="n">
        <v>0</v>
      </c>
      <c r="AE27" s="467" t="inlineStr">
        <is>
          <t>Adjustment</t>
        </is>
      </c>
      <c r="AF27" s="467" t="n"/>
      <c r="AG27" s="467" t="n"/>
      <c r="AH27" s="467" t="inlineStr">
        <is>
          <t>0</t>
        </is>
      </c>
      <c r="AI27" s="467" t="inlineStr">
        <is>
          <t>Due On Receipt</t>
        </is>
      </c>
      <c r="AJ27" s="467" t="inlineStr">
        <is>
          <t>Thanks for your business.</t>
        </is>
      </c>
      <c r="AK27" s="467" t="n"/>
      <c r="AL27" s="467" t="n"/>
      <c r="AM27" s="467" t="n"/>
      <c r="AN27" s="467" t="n"/>
      <c r="AO27" s="467" t="n"/>
      <c r="AP27" s="467" t="n"/>
      <c r="AQ27" s="467" t="n"/>
      <c r="AR27" s="467" t="n"/>
      <c r="AS27" s="467" t="n"/>
      <c r="AT27" s="467" t="inlineStr">
        <is>
          <t>Invoice</t>
        </is>
      </c>
      <c r="AU27" s="467" t="inlineStr">
        <is>
          <t>0.0</t>
        </is>
      </c>
      <c r="AV27" s="467" t="n">
        <v>0</v>
      </c>
      <c r="AW27" s="467" t="n"/>
      <c r="AX27" s="467" t="n"/>
      <c r="AY27" s="467" t="n"/>
      <c r="AZ27" s="467" t="n"/>
      <c r="BA27" s="467" t="n"/>
      <c r="BB27" s="467" t="n"/>
      <c r="BC27" s="467" t="n"/>
      <c r="BD27" s="467" t="inlineStr">
        <is>
          <t>Jurisphere Enterprise Subscription</t>
        </is>
      </c>
      <c r="BE27" s="468" t="inlineStr">
        <is>
          <t>Subscription Period- 1 month
Description- One month pilot unlimited usage</t>
        </is>
      </c>
      <c r="BF27" s="467" t="n">
        <v>1</v>
      </c>
      <c r="BG27" s="467" t="inlineStr">
        <is>
          <t>0.00</t>
        </is>
      </c>
      <c r="BH27" s="467" t="inlineStr">
        <is>
          <t>0.00</t>
        </is>
      </c>
      <c r="BI27" s="467" t="n">
        <v>5000</v>
      </c>
      <c r="BJ27" s="467" t="inlineStr">
        <is>
          <t>pcs</t>
        </is>
      </c>
      <c r="BK27" s="467" t="n">
        <v>5000</v>
      </c>
      <c r="BL27" s="467" t="inlineStr">
        <is>
          <t>2297152000000039748</t>
        </is>
      </c>
      <c r="BM27" s="467" t="n"/>
      <c r="BN27" s="467" t="n"/>
      <c r="BO27" s="467" t="n"/>
      <c r="BP27" s="467" t="n"/>
      <c r="BQ27" s="467" t="n"/>
      <c r="BR27" s="467" t="n"/>
      <c r="BS27" s="467" t="n"/>
      <c r="BT27" s="467" t="n"/>
      <c r="BU27" s="467" t="inlineStr">
        <is>
          <t>Delhi</t>
        </is>
      </c>
      <c r="BV27" s="467" t="inlineStr">
        <is>
          <t>India</t>
        </is>
      </c>
      <c r="BW27" s="467" t="n"/>
      <c r="BX27" s="467" t="n"/>
      <c r="BY27" s="467" t="n"/>
      <c r="BZ27" s="467" t="n"/>
      <c r="CA27" s="467" t="n"/>
      <c r="CB27" s="467" t="n"/>
      <c r="CC27" s="467" t="n"/>
      <c r="CD27" s="467" t="inlineStr">
        <is>
          <t>Delhi</t>
        </is>
      </c>
      <c r="CE27" s="467" t="inlineStr">
        <is>
          <t>India</t>
        </is>
      </c>
      <c r="CF27" s="467" t="n"/>
      <c r="CG27" s="467" t="n"/>
      <c r="CH27" s="467" t="n"/>
      <c r="CI27" s="467" t="inlineStr">
        <is>
          <t>Coresphere100 Technologies Pvt. Ltd.</t>
        </is>
      </c>
      <c r="CJ27" s="467" t="inlineStr">
        <is>
          <t>09AALCC7037K1Z7</t>
        </is>
      </c>
      <c r="CK27" s="467" t="inlineStr">
        <is>
          <t>16026, 16th Floor, Tower Oakwood,</t>
        </is>
      </c>
      <c r="CL27" s="467" t="inlineStr">
        <is>
          <t>Greater Noida,</t>
        </is>
      </c>
      <c r="CM27" s="467" t="inlineStr">
        <is>
          <t>Uttar Pradesh</t>
        </is>
      </c>
      <c r="CN27" s="467" t="inlineStr">
        <is>
          <t>India</t>
        </is>
      </c>
      <c r="CO27" s="467" t="inlineStr">
        <is>
          <t>201306</t>
        </is>
      </c>
      <c r="CP27" s="467" t="inlineStr">
        <is>
          <t>8928163657</t>
        </is>
      </c>
      <c r="CQ27" s="467" t="inlineStr">
        <is>
          <t>manas@jurisphere.ai</t>
        </is>
      </c>
      <c r="CR27" s="467" t="inlineStr">
        <is>
          <t>0.00</t>
        </is>
      </c>
      <c r="CS27" s="467" t="inlineStr">
        <is>
          <t>0.00</t>
        </is>
      </c>
      <c r="CT27" s="467" t="inlineStr">
        <is>
          <t>18.00</t>
        </is>
      </c>
      <c r="CU27" s="467" t="inlineStr">
        <is>
          <t>0.00</t>
        </is>
      </c>
      <c r="CV27" s="467" t="inlineStr">
        <is>
          <t>0.00</t>
        </is>
      </c>
      <c r="CW27" s="467" t="inlineStr">
        <is>
          <t>0.00</t>
        </is>
      </c>
      <c r="CX27" s="467" t="inlineStr">
        <is>
          <t>900.00</t>
        </is>
      </c>
      <c r="CY27" s="467" t="inlineStr">
        <is>
          <t>0.00</t>
        </is>
      </c>
      <c r="CZ27" s="467" t="inlineStr">
        <is>
          <t>0.00</t>
        </is>
      </c>
      <c r="DA27" s="467" t="inlineStr">
        <is>
          <t>0.00</t>
        </is>
      </c>
      <c r="DB27" s="467" t="inlineStr">
        <is>
          <t>900.00</t>
        </is>
      </c>
      <c r="DC27" s="467" t="inlineStr">
        <is>
          <t>0.00</t>
        </is>
      </c>
      <c r="DD27" s="467" t="n"/>
      <c r="DE27" s="467" t="n"/>
      <c r="DF27" s="467" t="n"/>
      <c r="DG27" s="467" t="n"/>
      <c r="DH27" s="467" t="n"/>
      <c r="DI27" s="467" t="inlineStr">
        <is>
          <t>0.000</t>
        </is>
      </c>
      <c r="DJ27" s="467" t="n"/>
      <c r="DK27" s="467" t="n"/>
      <c r="DL27" s="467" t="n"/>
      <c r="DM27" s="467" t="n"/>
      <c r="DN27" s="467" t="n"/>
      <c r="DO27" s="467" t="n"/>
      <c r="DP27" s="467" t="inlineStr">
        <is>
          <t>998313</t>
        </is>
      </c>
      <c r="DQ27" s="467" t="n">
        <v>0</v>
      </c>
      <c r="DR27" s="467" t="n"/>
      <c r="DS27" s="467" t="n"/>
      <c r="DT27" s="467" t="n"/>
      <c r="DU27" s="467" t="n"/>
      <c r="DV27" s="467" t="n"/>
      <c r="DW27" s="467" t="n"/>
      <c r="DX27" s="467" t="inlineStr">
        <is>
          <t>service</t>
        </is>
      </c>
      <c r="DY27" s="467" t="n"/>
      <c r="DZ27" s="467" t="n"/>
      <c r="EA27" s="467" t="n"/>
      <c r="EB27" s="467" t="n"/>
      <c r="EC27" s="467" t="n"/>
      <c r="ED27" s="467" t="n"/>
      <c r="EE27" s="467" t="n"/>
      <c r="EF27" s="467" t="n"/>
      <c r="EG27" s="467" t="n"/>
      <c r="EH27" s="467" t="inlineStr">
        <is>
          <t>Others</t>
        </is>
      </c>
      <c r="EI27" s="467" t="n"/>
      <c r="EJ27" s="467" t="n"/>
      <c r="EK27" s="467" t="inlineStr">
        <is>
          <t>Sales</t>
        </is>
      </c>
      <c r="EL27" s="467" t="n"/>
      <c r="EM27" s="467" t="inlineStr">
        <is>
          <t>Taxable</t>
        </is>
      </c>
      <c r="EN27" s="467" t="inlineStr">
        <is>
          <t>2297152000000031111</t>
        </is>
      </c>
      <c r="EO27" s="467" t="inlineStr">
        <is>
          <t>IGST18</t>
        </is>
      </c>
      <c r="EP27" s="467" t="inlineStr">
        <is>
          <t>18.00</t>
        </is>
      </c>
      <c r="EQ27" s="467" t="n">
        <v>900</v>
      </c>
      <c r="ER27" s="467" t="inlineStr">
        <is>
          <t>ItemAmount</t>
        </is>
      </c>
      <c r="ES27" s="467" t="n"/>
      <c r="ET27" s="467" t="n"/>
    </row>
    <row r="28" ht="77.59999999999999" customHeight="1" s="253">
      <c r="A28" s="466" t="n">
        <v>45761</v>
      </c>
      <c r="B28" s="467" t="inlineStr">
        <is>
          <t>2297152000000074017</t>
        </is>
      </c>
      <c r="C28" s="467" t="inlineStr">
        <is>
          <t>INV-25-26-000029</t>
        </is>
      </c>
      <c r="D28" s="467" t="inlineStr">
        <is>
          <t>Closed</t>
        </is>
      </c>
      <c r="E28" s="467" t="inlineStr">
        <is>
          <t>2297152000000074001</t>
        </is>
      </c>
      <c r="F28" s="467" t="inlineStr">
        <is>
          <t>Rashmikant and Partners</t>
        </is>
      </c>
      <c r="G28" s="467" t="inlineStr">
        <is>
          <t>MH</t>
        </is>
      </c>
      <c r="H28" s="467" t="inlineStr">
        <is>
          <t>27-Maharashtra</t>
        </is>
      </c>
      <c r="I28" s="467" t="inlineStr">
        <is>
          <t>business_none</t>
        </is>
      </c>
      <c r="J28" s="467" t="inlineStr">
        <is>
          <t>false</t>
        </is>
      </c>
      <c r="K28" s="466" t="n">
        <v>45761</v>
      </c>
      <c r="L28" s="467" t="n"/>
      <c r="M28" s="467" t="inlineStr">
        <is>
          <t>INR</t>
        </is>
      </c>
      <c r="N28" s="467" t="n">
        <v>1</v>
      </c>
      <c r="O28" s="467" t="inlineStr">
        <is>
          <t>item_level</t>
        </is>
      </c>
      <c r="P28" s="467" t="inlineStr">
        <is>
          <t>true</t>
        </is>
      </c>
      <c r="Q28" s="467" t="inlineStr">
        <is>
          <t>Tax Invoice</t>
        </is>
      </c>
      <c r="R28" s="467" t="inlineStr">
        <is>
          <t>0.00</t>
        </is>
      </c>
      <c r="S28" s="467" t="n"/>
      <c r="T28" s="467" t="n"/>
      <c r="U28" s="467" t="inlineStr">
        <is>
          <t>entity_level</t>
        </is>
      </c>
      <c r="V28" s="467" t="inlineStr">
        <is>
          <t>Technical Fees (2%)</t>
        </is>
      </c>
      <c r="W28" s="467" t="inlineStr">
        <is>
          <t>2.00</t>
        </is>
      </c>
      <c r="X28" s="467" t="inlineStr">
        <is>
          <t>194J</t>
        </is>
      </c>
      <c r="Y28" s="467" t="inlineStr">
        <is>
          <t>Section 194 J</t>
        </is>
      </c>
      <c r="Z28" s="467" t="inlineStr">
        <is>
          <t>4400.020</t>
        </is>
      </c>
      <c r="AA28" s="467" t="n">
        <v>220000.96</v>
      </c>
      <c r="AB28" s="467" t="n">
        <v>255201.11</v>
      </c>
      <c r="AC28" s="467" t="n">
        <v>0</v>
      </c>
      <c r="AD28" s="467" t="n">
        <v>0</v>
      </c>
      <c r="AE28" s="467" t="inlineStr">
        <is>
          <t>Adjustment</t>
        </is>
      </c>
      <c r="AF28" s="467" t="n"/>
      <c r="AG28" s="466" t="n">
        <v>45770</v>
      </c>
      <c r="AH28" s="467" t="inlineStr">
        <is>
          <t>0</t>
        </is>
      </c>
      <c r="AI28" s="467" t="inlineStr">
        <is>
          <t>Due On Receipt</t>
        </is>
      </c>
      <c r="AJ28" s="467" t="inlineStr">
        <is>
          <t>Thanks for your business.</t>
        </is>
      </c>
      <c r="AK28" s="467" t="n"/>
      <c r="AL28" s="467" t="n"/>
      <c r="AM28" s="467" t="n"/>
      <c r="AN28" s="467" t="n"/>
      <c r="AO28" s="467" t="n"/>
      <c r="AP28" s="467" t="n"/>
      <c r="AQ28" s="467" t="n"/>
      <c r="AR28" s="467" t="n"/>
      <c r="AS28" s="467" t="n"/>
      <c r="AT28" s="467" t="inlineStr">
        <is>
          <t>Invoice</t>
        </is>
      </c>
      <c r="AU28" s="467" t="inlineStr">
        <is>
          <t>0.0</t>
        </is>
      </c>
      <c r="AV28" s="467" t="n">
        <v>0</v>
      </c>
      <c r="AW28" s="467" t="n"/>
      <c r="AX28" s="467" t="n"/>
      <c r="AY28" s="467" t="n"/>
      <c r="AZ28" s="467" t="n"/>
      <c r="BA28" s="467" t="n"/>
      <c r="BB28" s="467" t="n"/>
      <c r="BC28" s="467" t="n"/>
      <c r="BD28" s="467" t="inlineStr">
        <is>
          <t>Jurisphere Enterprise Subscription</t>
        </is>
      </c>
      <c r="BE28" s="468" t="inlineStr">
        <is>
          <t>Subscription Period- Annual 
Description-  
Translation- 800
List of Downloads- 120
Redline-20
MCA Downloads- 200</t>
        </is>
      </c>
      <c r="BF28" s="467" t="n">
        <v>1</v>
      </c>
      <c r="BG28" s="467" t="inlineStr">
        <is>
          <t>37.20</t>
        </is>
      </c>
      <c r="BH28" s="467" t="inlineStr">
        <is>
          <t>41039.040</t>
        </is>
      </c>
      <c r="BI28" s="467" t="n">
        <v>69280.96000000001</v>
      </c>
      <c r="BJ28" s="467" t="inlineStr">
        <is>
          <t>pcs</t>
        </is>
      </c>
      <c r="BK28" s="467" t="n">
        <v>110320</v>
      </c>
      <c r="BL28" s="467" t="inlineStr">
        <is>
          <t>2297152000000039748</t>
        </is>
      </c>
      <c r="BM28" s="467" t="n"/>
      <c r="BN28" s="467" t="n"/>
      <c r="BO28" s="467" t="n"/>
      <c r="BP28" s="467" t="n"/>
      <c r="BQ28" s="467" t="n"/>
      <c r="BR28" s="467" t="inlineStr">
        <is>
          <t>1st Floor, Kalpataru Heritage, 1-1, 127,</t>
        </is>
      </c>
      <c r="BS28" s="467" t="inlineStr">
        <is>
          <t>Mahatma Gandhi Road</t>
        </is>
      </c>
      <c r="BT28" s="467" t="inlineStr">
        <is>
          <t>Mumbai</t>
        </is>
      </c>
      <c r="BU28" s="467" t="inlineStr">
        <is>
          <t>Maharashtra</t>
        </is>
      </c>
      <c r="BV28" s="467" t="inlineStr">
        <is>
          <t>India</t>
        </is>
      </c>
      <c r="BW28" s="467" t="inlineStr">
        <is>
          <t>400001</t>
        </is>
      </c>
      <c r="BX28" s="467" t="n"/>
      <c r="BY28" s="467" t="n"/>
      <c r="BZ28" s="467" t="n"/>
      <c r="CA28" s="467" t="inlineStr">
        <is>
          <t>1st Floor, Kalpataru Heritage, 1-1, 127,</t>
        </is>
      </c>
      <c r="CB28" s="467" t="inlineStr">
        <is>
          <t>Mahatma Gandhi Road</t>
        </is>
      </c>
      <c r="CC28" s="467" t="inlineStr">
        <is>
          <t>Mumbai</t>
        </is>
      </c>
      <c r="CD28" s="467" t="inlineStr">
        <is>
          <t>Maharashtra</t>
        </is>
      </c>
      <c r="CE28" s="467" t="inlineStr">
        <is>
          <t>India</t>
        </is>
      </c>
      <c r="CF28" s="467" t="inlineStr">
        <is>
          <t>400001</t>
        </is>
      </c>
      <c r="CG28" s="467" t="n"/>
      <c r="CH28" s="467" t="n"/>
      <c r="CI28" s="467" t="inlineStr">
        <is>
          <t>Coresphere100 Technologies Pvt. Ltd.</t>
        </is>
      </c>
      <c r="CJ28" s="467" t="inlineStr">
        <is>
          <t>09AALCC7037K1Z7</t>
        </is>
      </c>
      <c r="CK28" s="467" t="inlineStr">
        <is>
          <t>16026, 16th Floor, Tower Oakwood,</t>
        </is>
      </c>
      <c r="CL28" s="467" t="inlineStr">
        <is>
          <t>Greater Noida,</t>
        </is>
      </c>
      <c r="CM28" s="467" t="inlineStr">
        <is>
          <t>Uttar Pradesh</t>
        </is>
      </c>
      <c r="CN28" s="467" t="inlineStr">
        <is>
          <t>India</t>
        </is>
      </c>
      <c r="CO28" s="467" t="inlineStr">
        <is>
          <t>201306</t>
        </is>
      </c>
      <c r="CP28" s="467" t="inlineStr">
        <is>
          <t>8928163657</t>
        </is>
      </c>
      <c r="CQ28" s="467" t="inlineStr">
        <is>
          <t>manas@jurisphere.ai</t>
        </is>
      </c>
      <c r="CR28" s="467" t="inlineStr">
        <is>
          <t>0.00</t>
        </is>
      </c>
      <c r="CS28" s="467" t="inlineStr">
        <is>
          <t>0.00</t>
        </is>
      </c>
      <c r="CT28" s="467" t="inlineStr">
        <is>
          <t>18.00</t>
        </is>
      </c>
      <c r="CU28" s="467" t="inlineStr">
        <is>
          <t>0.00</t>
        </is>
      </c>
      <c r="CV28" s="467" t="inlineStr">
        <is>
          <t>0.00</t>
        </is>
      </c>
      <c r="CW28" s="467" t="inlineStr">
        <is>
          <t>0.00</t>
        </is>
      </c>
      <c r="CX28" s="467" t="inlineStr">
        <is>
          <t>12470.57</t>
        </is>
      </c>
      <c r="CY28" s="467" t="inlineStr">
        <is>
          <t>0.00</t>
        </is>
      </c>
      <c r="CZ28" s="467" t="inlineStr">
        <is>
          <t>0.00</t>
        </is>
      </c>
      <c r="DA28" s="467" t="inlineStr">
        <is>
          <t>0.00</t>
        </is>
      </c>
      <c r="DB28" s="467" t="inlineStr">
        <is>
          <t>12470.57</t>
        </is>
      </c>
      <c r="DC28" s="467" t="inlineStr">
        <is>
          <t>0.00</t>
        </is>
      </c>
      <c r="DD28" s="467" t="n"/>
      <c r="DE28" s="467" t="n"/>
      <c r="DF28" s="467" t="n"/>
      <c r="DG28" s="467" t="n"/>
      <c r="DH28" s="467" t="n"/>
      <c r="DI28" s="467" t="n"/>
      <c r="DJ28" s="467" t="n"/>
      <c r="DK28" s="467" t="n"/>
      <c r="DL28" s="467" t="n"/>
      <c r="DM28" s="467" t="n"/>
      <c r="DN28" s="467" t="n"/>
      <c r="DO28" s="467" t="n"/>
      <c r="DP28" s="467" t="inlineStr">
        <is>
          <t>998313</t>
        </is>
      </c>
      <c r="DQ28" s="467" t="n">
        <v>0</v>
      </c>
      <c r="DR28" s="467" t="n"/>
      <c r="DS28" s="467" t="n"/>
      <c r="DT28" s="467" t="n"/>
      <c r="DU28" s="467" t="n"/>
      <c r="DV28" s="467" t="n"/>
      <c r="DW28" s="467" t="n"/>
      <c r="DX28" s="467" t="inlineStr">
        <is>
          <t>service</t>
        </is>
      </c>
      <c r="DY28" s="467" t="n"/>
      <c r="DZ28" s="467" t="n"/>
      <c r="EA28" s="467" t="n"/>
      <c r="EB28" s="467" t="n"/>
      <c r="EC28" s="467" t="n"/>
      <c r="ED28" s="467" t="n"/>
      <c r="EE28" s="467" t="n"/>
      <c r="EF28" s="467" t="n"/>
      <c r="EG28" s="467" t="n"/>
      <c r="EH28" s="467" t="inlineStr">
        <is>
          <t>Others</t>
        </is>
      </c>
      <c r="EI28" s="467" t="n"/>
      <c r="EJ28" s="467" t="n"/>
      <c r="EK28" s="467" t="inlineStr">
        <is>
          <t>Sales</t>
        </is>
      </c>
      <c r="EL28" s="467" t="n"/>
      <c r="EM28" s="467" t="inlineStr">
        <is>
          <t>Taxable</t>
        </is>
      </c>
      <c r="EN28" s="467" t="inlineStr">
        <is>
          <t>2297152000000031111</t>
        </is>
      </c>
      <c r="EO28" s="467" t="inlineStr">
        <is>
          <t>IGST18</t>
        </is>
      </c>
      <c r="EP28" s="467" t="inlineStr">
        <is>
          <t>18.00</t>
        </is>
      </c>
      <c r="EQ28" s="467" t="n">
        <v>12470.57</v>
      </c>
      <c r="ER28" s="467" t="inlineStr">
        <is>
          <t>ItemAmount</t>
        </is>
      </c>
      <c r="ES28" s="467" t="n"/>
      <c r="ET28" s="467" t="n"/>
    </row>
    <row r="29" ht="39.55" customHeight="1" s="253">
      <c r="A29" s="466" t="n">
        <v>45762</v>
      </c>
      <c r="B29" s="467" t="inlineStr">
        <is>
          <t>2297152000000074075</t>
        </is>
      </c>
      <c r="C29" s="467" t="inlineStr">
        <is>
          <t>INV-25-26-000030</t>
        </is>
      </c>
      <c r="D29" s="467" t="inlineStr">
        <is>
          <t>Overdue</t>
        </is>
      </c>
      <c r="E29" s="467" t="inlineStr">
        <is>
          <t>2297152000000074043</t>
        </is>
      </c>
      <c r="F29" s="467" t="inlineStr">
        <is>
          <t>Tatva Legal Hyderabad</t>
        </is>
      </c>
      <c r="G29" s="467" t="inlineStr">
        <is>
          <t>TS</t>
        </is>
      </c>
      <c r="H29" s="467" t="inlineStr">
        <is>
          <t>36-Telangana</t>
        </is>
      </c>
      <c r="I29" s="467" t="inlineStr">
        <is>
          <t>business_registered_composition</t>
        </is>
      </c>
      <c r="J29" s="467" t="inlineStr">
        <is>
          <t>false</t>
        </is>
      </c>
      <c r="K29" s="466" t="n">
        <v>45762</v>
      </c>
      <c r="L29" s="467" t="n"/>
      <c r="M29" s="467" t="inlineStr">
        <is>
          <t>INR</t>
        </is>
      </c>
      <c r="N29" s="467" t="n">
        <v>1</v>
      </c>
      <c r="O29" s="467" t="inlineStr">
        <is>
          <t>item_level</t>
        </is>
      </c>
      <c r="P29" s="467" t="inlineStr">
        <is>
          <t>true</t>
        </is>
      </c>
      <c r="Q29" s="467" t="inlineStr">
        <is>
          <t>Tax Invoice</t>
        </is>
      </c>
      <c r="R29" s="467" t="inlineStr">
        <is>
          <t>0.00</t>
        </is>
      </c>
      <c r="S29" s="467" t="n"/>
      <c r="T29" s="467" t="n"/>
      <c r="U29" s="467" t="inlineStr">
        <is>
          <t>entity_level</t>
        </is>
      </c>
      <c r="V29" s="467" t="inlineStr">
        <is>
          <t>Technical Fees (2%)</t>
        </is>
      </c>
      <c r="W29" s="467" t="inlineStr">
        <is>
          <t>2.00</t>
        </is>
      </c>
      <c r="X29" s="467" t="inlineStr">
        <is>
          <t>194J</t>
        </is>
      </c>
      <c r="Y29" s="467" t="inlineStr">
        <is>
          <t>Section 194 J</t>
        </is>
      </c>
      <c r="Z29" s="467" t="inlineStr">
        <is>
          <t>3000.000</t>
        </is>
      </c>
      <c r="AA29" s="467" t="n">
        <v>150000</v>
      </c>
      <c r="AB29" s="467" t="n">
        <v>174000</v>
      </c>
      <c r="AC29" s="467" t="n">
        <v>174000</v>
      </c>
      <c r="AD29" s="467" t="n">
        <v>0</v>
      </c>
      <c r="AE29" s="467" t="inlineStr">
        <is>
          <t>Adjustment</t>
        </is>
      </c>
      <c r="AF29" s="467" t="n"/>
      <c r="AG29" s="467" t="n"/>
      <c r="AH29" s="467" t="inlineStr">
        <is>
          <t>0</t>
        </is>
      </c>
      <c r="AI29" s="467" t="inlineStr">
        <is>
          <t>Due On Receipt</t>
        </is>
      </c>
      <c r="AJ29" s="467" t="inlineStr">
        <is>
          <t>Thanks for your business.</t>
        </is>
      </c>
      <c r="AK29" s="467" t="n"/>
      <c r="AL29" s="467" t="n"/>
      <c r="AM29" s="467" t="n"/>
      <c r="AN29" s="467" t="n"/>
      <c r="AO29" s="467" t="n"/>
      <c r="AP29" s="467" t="n"/>
      <c r="AQ29" s="467" t="n"/>
      <c r="AR29" s="467" t="n"/>
      <c r="AS29" s="467" t="n"/>
      <c r="AT29" s="467" t="inlineStr">
        <is>
          <t>Invoice</t>
        </is>
      </c>
      <c r="AU29" s="467" t="inlineStr">
        <is>
          <t>0.0</t>
        </is>
      </c>
      <c r="AV29" s="467" t="n">
        <v>0</v>
      </c>
      <c r="AW29" s="467" t="n"/>
      <c r="AX29" s="467" t="n"/>
      <c r="AY29" s="467" t="n"/>
      <c r="AZ29" s="467" t="n"/>
      <c r="BA29" s="467" t="n"/>
      <c r="BB29" s="467" t="n"/>
      <c r="BC29" s="467" t="n"/>
      <c r="BD29" s="467" t="inlineStr">
        <is>
          <t>Jurisphere Enterprise Subscription</t>
        </is>
      </c>
      <c r="BE29" s="468" t="inlineStr">
        <is>
          <t>Subscription Period- Monthly invoicing for period started from 15th April,2025
Description- Number of Licenses  50 of Rs 150000</t>
        </is>
      </c>
      <c r="BF29" s="467" t="n">
        <v>1</v>
      </c>
      <c r="BG29" s="467" t="inlineStr">
        <is>
          <t>0.00</t>
        </is>
      </c>
      <c r="BH29" s="467" t="inlineStr">
        <is>
          <t>0.00</t>
        </is>
      </c>
      <c r="BI29" s="467" t="n">
        <v>150000</v>
      </c>
      <c r="BJ29" s="467" t="inlineStr">
        <is>
          <t>pcs</t>
        </is>
      </c>
      <c r="BK29" s="467" t="n">
        <v>150000</v>
      </c>
      <c r="BL29" s="467" t="inlineStr">
        <is>
          <t>2297152000000039748</t>
        </is>
      </c>
      <c r="BM29" s="467" t="n"/>
      <c r="BN29" s="467" t="n"/>
      <c r="BO29" s="467" t="n"/>
      <c r="BP29" s="467" t="inlineStr">
        <is>
          <t>Tatva Legal Hyderabad- 15th april 2025</t>
        </is>
      </c>
      <c r="BQ29" s="467" t="n"/>
      <c r="BR29" s="467" t="inlineStr">
        <is>
          <t>Plot No.107A, Tatva House, Road No.72,</t>
        </is>
      </c>
      <c r="BS29" s="467" t="inlineStr">
        <is>
          <t>Jubilee Hills</t>
        </is>
      </c>
      <c r="BT29" s="467" t="inlineStr">
        <is>
          <t>Hyderabad</t>
        </is>
      </c>
      <c r="BU29" s="467" t="inlineStr">
        <is>
          <t>Telangana</t>
        </is>
      </c>
      <c r="BV29" s="467" t="inlineStr">
        <is>
          <t>India</t>
        </is>
      </c>
      <c r="BW29" s="467" t="inlineStr">
        <is>
          <t>500033</t>
        </is>
      </c>
      <c r="BX29" s="467" t="n"/>
      <c r="BY29" s="467" t="n"/>
      <c r="BZ29" s="467" t="n"/>
      <c r="CA29" s="467" t="inlineStr">
        <is>
          <t>Plot No.107A, Tatva House, Road No.72,</t>
        </is>
      </c>
      <c r="CB29" s="467" t="inlineStr">
        <is>
          <t>Jubilee Hills</t>
        </is>
      </c>
      <c r="CC29" s="467" t="inlineStr">
        <is>
          <t>Hyderabad</t>
        </is>
      </c>
      <c r="CD29" s="467" t="inlineStr">
        <is>
          <t>Telangana</t>
        </is>
      </c>
      <c r="CE29" s="467" t="inlineStr">
        <is>
          <t>India</t>
        </is>
      </c>
      <c r="CF29" s="467" t="inlineStr">
        <is>
          <t>500033</t>
        </is>
      </c>
      <c r="CG29" s="467" t="n"/>
      <c r="CH29" s="467" t="n"/>
      <c r="CI29" s="467" t="inlineStr">
        <is>
          <t>Coresphere100 Technologies Pvt. Ltd.</t>
        </is>
      </c>
      <c r="CJ29" s="467" t="inlineStr">
        <is>
          <t>09AALCC7037K1Z7</t>
        </is>
      </c>
      <c r="CK29" s="467" t="inlineStr">
        <is>
          <t>16026, 16th Floor, Tower Oakwood,</t>
        </is>
      </c>
      <c r="CL29" s="467" t="inlineStr">
        <is>
          <t>Greater Noida,</t>
        </is>
      </c>
      <c r="CM29" s="467" t="inlineStr">
        <is>
          <t>Uttar Pradesh</t>
        </is>
      </c>
      <c r="CN29" s="467" t="inlineStr">
        <is>
          <t>India</t>
        </is>
      </c>
      <c r="CO29" s="467" t="inlineStr">
        <is>
          <t>201306</t>
        </is>
      </c>
      <c r="CP29" s="467" t="inlineStr">
        <is>
          <t>8928163657</t>
        </is>
      </c>
      <c r="CQ29" s="467" t="inlineStr">
        <is>
          <t>manas@jurisphere.ai</t>
        </is>
      </c>
      <c r="CR29" s="467" t="inlineStr">
        <is>
          <t>0.00</t>
        </is>
      </c>
      <c r="CS29" s="467" t="inlineStr">
        <is>
          <t>0.00</t>
        </is>
      </c>
      <c r="CT29" s="467" t="inlineStr">
        <is>
          <t>18.00</t>
        </is>
      </c>
      <c r="CU29" s="467" t="inlineStr">
        <is>
          <t>0.00</t>
        </is>
      </c>
      <c r="CV29" s="467" t="inlineStr">
        <is>
          <t>0.00</t>
        </is>
      </c>
      <c r="CW29" s="467" t="inlineStr">
        <is>
          <t>0.00</t>
        </is>
      </c>
      <c r="CX29" s="467" t="inlineStr">
        <is>
          <t>27000.00</t>
        </is>
      </c>
      <c r="CY29" s="467" t="inlineStr">
        <is>
          <t>0.00</t>
        </is>
      </c>
      <c r="CZ29" s="467" t="inlineStr">
        <is>
          <t>0.00</t>
        </is>
      </c>
      <c r="DA29" s="467" t="inlineStr">
        <is>
          <t>0.00</t>
        </is>
      </c>
      <c r="DB29" s="467" t="inlineStr">
        <is>
          <t>27000.00</t>
        </is>
      </c>
      <c r="DC29" s="467" t="inlineStr">
        <is>
          <t>0.00</t>
        </is>
      </c>
      <c r="DD29" s="467" t="n"/>
      <c r="DE29" s="467" t="n"/>
      <c r="DF29" s="467" t="n"/>
      <c r="DG29" s="467" t="n"/>
      <c r="DH29" s="467" t="n"/>
      <c r="DI29" s="467" t="n"/>
      <c r="DJ29" s="467" t="n"/>
      <c r="DK29" s="467" t="n"/>
      <c r="DL29" s="467" t="inlineStr">
        <is>
          <t>36AAIFT2572Q1ZG</t>
        </is>
      </c>
      <c r="DM29" s="467" t="n"/>
      <c r="DN29" s="467" t="n"/>
      <c r="DO29" s="467" t="n"/>
      <c r="DP29" s="467" t="inlineStr">
        <is>
          <t>998313</t>
        </is>
      </c>
      <c r="DQ29" s="467" t="n">
        <v>0</v>
      </c>
      <c r="DR29" s="467" t="n"/>
      <c r="DS29" s="467" t="n"/>
      <c r="DT29" s="467" t="n"/>
      <c r="DU29" s="467" t="n"/>
      <c r="DV29" s="467" t="n"/>
      <c r="DW29" s="467" t="n"/>
      <c r="DX29" s="467" t="inlineStr">
        <is>
          <t>service</t>
        </is>
      </c>
      <c r="DY29" s="467" t="n"/>
      <c r="DZ29" s="467" t="n"/>
      <c r="EA29" s="467" t="n"/>
      <c r="EB29" s="467" t="n"/>
      <c r="EC29" s="467" t="n"/>
      <c r="ED29" s="467" t="n"/>
      <c r="EE29" s="467" t="n"/>
      <c r="EF29" s="467" t="n"/>
      <c r="EG29" s="467" t="n"/>
      <c r="EH29" s="467" t="inlineStr">
        <is>
          <t>Others</t>
        </is>
      </c>
      <c r="EI29" s="467" t="n"/>
      <c r="EJ29" s="467" t="n"/>
      <c r="EK29" s="467" t="inlineStr">
        <is>
          <t>Sales</t>
        </is>
      </c>
      <c r="EL29" s="467" t="n"/>
      <c r="EM29" s="467" t="inlineStr">
        <is>
          <t>Taxable</t>
        </is>
      </c>
      <c r="EN29" s="467" t="inlineStr">
        <is>
          <t>2297152000000031111</t>
        </is>
      </c>
      <c r="EO29" s="467" t="inlineStr">
        <is>
          <t>IGST18</t>
        </is>
      </c>
      <c r="EP29" s="467" t="inlineStr">
        <is>
          <t>18.00</t>
        </is>
      </c>
      <c r="EQ29" s="467" t="n">
        <v>27000</v>
      </c>
      <c r="ER29" s="467" t="inlineStr">
        <is>
          <t>ItemAmount</t>
        </is>
      </c>
      <c r="ES29" s="467" t="n"/>
      <c r="ET29" s="467" t="n"/>
    </row>
    <row r="30" ht="13.5" customHeight="1" s="253">
      <c r="A30" s="466" t="n">
        <v>45762</v>
      </c>
      <c r="B30" s="467" t="inlineStr">
        <is>
          <t>2297152000000076001</t>
        </is>
      </c>
      <c r="C30" s="467" t="inlineStr">
        <is>
          <t>INV-25-26-000031</t>
        </is>
      </c>
      <c r="D30" s="467" t="inlineStr">
        <is>
          <t>Closed</t>
        </is>
      </c>
      <c r="E30" s="467" t="inlineStr">
        <is>
          <t>2297152000000061001</t>
        </is>
      </c>
      <c r="F30" s="467" t="inlineStr">
        <is>
          <t>B2C</t>
        </is>
      </c>
      <c r="G30" s="467" t="inlineStr">
        <is>
          <t>UP</t>
        </is>
      </c>
      <c r="H30" s="467" t="inlineStr">
        <is>
          <t>09-Uttar Pradesh</t>
        </is>
      </c>
      <c r="I30" s="467" t="inlineStr">
        <is>
          <t>business_none</t>
        </is>
      </c>
      <c r="J30" s="467" t="inlineStr">
        <is>
          <t>false</t>
        </is>
      </c>
      <c r="K30" s="466" t="n">
        <v>45762</v>
      </c>
      <c r="L30" s="467" t="n"/>
      <c r="M30" s="467" t="inlineStr">
        <is>
          <t>INR</t>
        </is>
      </c>
      <c r="N30" s="467" t="n">
        <v>1</v>
      </c>
      <c r="O30" s="467" t="inlineStr">
        <is>
          <t>item_level</t>
        </is>
      </c>
      <c r="P30" s="467" t="inlineStr">
        <is>
          <t>true</t>
        </is>
      </c>
      <c r="Q30" s="467" t="inlineStr">
        <is>
          <t>Tax Invoice</t>
        </is>
      </c>
      <c r="R30" s="467" t="inlineStr">
        <is>
          <t>0.00</t>
        </is>
      </c>
      <c r="S30" s="467" t="n"/>
      <c r="T30" s="467" t="n"/>
      <c r="U30" s="467" t="inlineStr">
        <is>
          <t>item_level</t>
        </is>
      </c>
      <c r="V30" s="467" t="n"/>
      <c r="W30" s="467" t="inlineStr">
        <is>
          <t>0.00</t>
        </is>
      </c>
      <c r="X30" s="467" t="n"/>
      <c r="Y30" s="467" t="n"/>
      <c r="Z30" s="467" t="inlineStr">
        <is>
          <t>0.000</t>
        </is>
      </c>
      <c r="AA30" s="467" t="n">
        <v>4651.7</v>
      </c>
      <c r="AB30" s="469" t="n">
        <v>5489</v>
      </c>
      <c r="AC30" s="467" t="n">
        <v>0</v>
      </c>
      <c r="AD30" s="467" t="n">
        <v>0</v>
      </c>
      <c r="AE30" s="467" t="inlineStr">
        <is>
          <t>Adjustment</t>
        </is>
      </c>
      <c r="AF30" s="467" t="n"/>
      <c r="AG30" s="466" t="n">
        <v>45762</v>
      </c>
      <c r="AH30" s="467" t="inlineStr">
        <is>
          <t>0</t>
        </is>
      </c>
      <c r="AI30" s="467" t="inlineStr">
        <is>
          <t>Due On Receipt</t>
        </is>
      </c>
      <c r="AJ30" s="467" t="inlineStr">
        <is>
          <t>Thanks for your business.</t>
        </is>
      </c>
      <c r="AK30" s="467" t="n"/>
      <c r="AL30" s="467" t="n"/>
      <c r="AM30" s="467" t="n"/>
      <c r="AN30" s="467" t="n"/>
      <c r="AO30" s="467" t="n"/>
      <c r="AP30" s="467" t="n"/>
      <c r="AQ30" s="467" t="n"/>
      <c r="AR30" s="467" t="n"/>
      <c r="AS30" s="467" t="n"/>
      <c r="AT30" s="467" t="inlineStr">
        <is>
          <t>Invoice</t>
        </is>
      </c>
      <c r="AU30" s="467" t="inlineStr">
        <is>
          <t>0.0</t>
        </is>
      </c>
      <c r="AV30" s="467" t="n">
        <v>0</v>
      </c>
      <c r="AW30" s="467" t="n"/>
      <c r="AX30" s="467" t="n"/>
      <c r="AY30" s="467" t="n"/>
      <c r="AZ30" s="467" t="n"/>
      <c r="BA30" s="467" t="n"/>
      <c r="BB30" s="467" t="n"/>
      <c r="BC30" s="467" t="n"/>
      <c r="BD30" s="467" t="inlineStr">
        <is>
          <t>Jurisphere Enterprise Subscription</t>
        </is>
      </c>
      <c r="BE30" s="467" t="inlineStr">
        <is>
          <t>Razorpay B2C invoices from 8 Apr to 14 Apr 25</t>
        </is>
      </c>
      <c r="BF30" s="467" t="n">
        <v>1</v>
      </c>
      <c r="BG30" s="467" t="inlineStr">
        <is>
          <t>0.00</t>
        </is>
      </c>
      <c r="BH30" s="467" t="inlineStr">
        <is>
          <t>0.000</t>
        </is>
      </c>
      <c r="BI30" s="467" t="n">
        <v>4651.7</v>
      </c>
      <c r="BJ30" s="467" t="inlineStr">
        <is>
          <t>pcs</t>
        </is>
      </c>
      <c r="BK30" s="467" t="n">
        <v>4651.7</v>
      </c>
      <c r="BL30" s="467" t="inlineStr">
        <is>
          <t>2297152000000039748</t>
        </is>
      </c>
      <c r="BM30" s="467" t="n"/>
      <c r="BN30" s="467" t="n"/>
      <c r="BO30" s="467" t="n"/>
      <c r="BP30" s="467" t="inlineStr">
        <is>
          <t>Tatva Legal Hyderabad- 15th april 2025</t>
        </is>
      </c>
      <c r="BQ30" s="467" t="n"/>
      <c r="BR30" s="467" t="n"/>
      <c r="BS30" s="467" t="n"/>
      <c r="BT30" s="467" t="n"/>
      <c r="BU30" s="467" t="n"/>
      <c r="BV30" s="467" t="n"/>
      <c r="BW30" s="467" t="n"/>
      <c r="BX30" s="467" t="n"/>
      <c r="BY30" s="467" t="n"/>
      <c r="BZ30" s="467" t="n"/>
      <c r="CA30" s="467" t="n"/>
      <c r="CB30" s="467" t="n"/>
      <c r="CC30" s="467" t="n"/>
      <c r="CD30" s="467" t="n"/>
      <c r="CE30" s="467" t="n"/>
      <c r="CF30" s="467" t="n"/>
      <c r="CG30" s="467" t="n"/>
      <c r="CH30" s="467" t="n"/>
      <c r="CI30" s="467" t="inlineStr">
        <is>
          <t>Coresphere100 Technologies Pvt. Ltd.</t>
        </is>
      </c>
      <c r="CJ30" s="467" t="inlineStr">
        <is>
          <t>09AALCC7037K1Z7</t>
        </is>
      </c>
      <c r="CK30" s="467" t="inlineStr">
        <is>
          <t>16026, 16th Floor, Tower Oakwood,</t>
        </is>
      </c>
      <c r="CL30" s="467" t="inlineStr">
        <is>
          <t>Greater Noida,</t>
        </is>
      </c>
      <c r="CM30" s="467" t="inlineStr">
        <is>
          <t>Uttar Pradesh</t>
        </is>
      </c>
      <c r="CN30" s="467" t="inlineStr">
        <is>
          <t>India</t>
        </is>
      </c>
      <c r="CO30" s="467" t="inlineStr">
        <is>
          <t>201306</t>
        </is>
      </c>
      <c r="CP30" s="467" t="inlineStr">
        <is>
          <t>8928163657</t>
        </is>
      </c>
      <c r="CQ30" s="467" t="inlineStr">
        <is>
          <t>manas@jurisphere.ai</t>
        </is>
      </c>
      <c r="CR30" s="467" t="inlineStr">
        <is>
          <t>9.00</t>
        </is>
      </c>
      <c r="CS30" s="467" t="inlineStr">
        <is>
          <t>9.00</t>
        </is>
      </c>
      <c r="CT30" s="467" t="inlineStr">
        <is>
          <t>0.00</t>
        </is>
      </c>
      <c r="CU30" s="467" t="inlineStr">
        <is>
          <t>0.00</t>
        </is>
      </c>
      <c r="CV30" s="467" t="inlineStr">
        <is>
          <t>418.65</t>
        </is>
      </c>
      <c r="CW30" s="467" t="inlineStr">
        <is>
          <t>418.65</t>
        </is>
      </c>
      <c r="CX30" s="467" t="inlineStr">
        <is>
          <t>0.00</t>
        </is>
      </c>
      <c r="CY30" s="467" t="inlineStr">
        <is>
          <t>0.00</t>
        </is>
      </c>
      <c r="CZ30" s="467" t="inlineStr">
        <is>
          <t>418.65</t>
        </is>
      </c>
      <c r="DA30" s="467" t="inlineStr">
        <is>
          <t>418.65</t>
        </is>
      </c>
      <c r="DB30" s="467" t="inlineStr">
        <is>
          <t>0.00</t>
        </is>
      </c>
      <c r="DC30" s="467" t="inlineStr">
        <is>
          <t>0.00</t>
        </is>
      </c>
      <c r="DD30" s="467" t="n"/>
      <c r="DE30" s="467" t="n"/>
      <c r="DF30" s="467" t="n"/>
      <c r="DG30" s="467" t="n"/>
      <c r="DH30" s="467" t="n"/>
      <c r="DI30" s="467" t="inlineStr">
        <is>
          <t>0.000</t>
        </is>
      </c>
      <c r="DJ30" s="467" t="n"/>
      <c r="DK30" s="467" t="n"/>
      <c r="DL30" s="467" t="n"/>
      <c r="DM30" s="467" t="n"/>
      <c r="DN30" s="467" t="n"/>
      <c r="DO30" s="467" t="n"/>
      <c r="DP30" s="467" t="inlineStr">
        <is>
          <t>998313</t>
        </is>
      </c>
      <c r="DQ30" s="467" t="n">
        <v>0</v>
      </c>
      <c r="DR30" s="467" t="n"/>
      <c r="DS30" s="467" t="n"/>
      <c r="DT30" s="467" t="n"/>
      <c r="DU30" s="467" t="n"/>
      <c r="DV30" s="467" t="n"/>
      <c r="DW30" s="467" t="n"/>
      <c r="DX30" s="467" t="inlineStr">
        <is>
          <t>service</t>
        </is>
      </c>
      <c r="DY30" s="467" t="n"/>
      <c r="DZ30" s="467" t="n"/>
      <c r="EA30" s="467" t="n"/>
      <c r="EB30" s="467" t="n"/>
      <c r="EC30" s="467" t="n"/>
      <c r="ED30" s="467" t="n"/>
      <c r="EE30" s="467" t="n"/>
      <c r="EF30" s="467" t="n"/>
      <c r="EG30" s="467" t="n"/>
      <c r="EH30" s="467" t="inlineStr">
        <is>
          <t>Others</t>
        </is>
      </c>
      <c r="EI30" s="467" t="n"/>
      <c r="EJ30" s="467" t="n"/>
      <c r="EK30" s="467" t="inlineStr">
        <is>
          <t>Sales</t>
        </is>
      </c>
      <c r="EL30" s="467" t="n"/>
      <c r="EM30" s="467" t="inlineStr">
        <is>
          <t>Taxable</t>
        </is>
      </c>
      <c r="EN30" s="467" t="inlineStr">
        <is>
          <t>2297152000000031213</t>
        </is>
      </c>
      <c r="EO30" s="467" t="inlineStr">
        <is>
          <t>GST18</t>
        </is>
      </c>
      <c r="EP30" s="467" t="inlineStr">
        <is>
          <t>18.00</t>
        </is>
      </c>
      <c r="EQ30" s="467" t="n">
        <v>837.3</v>
      </c>
      <c r="ER30" s="467" t="inlineStr">
        <is>
          <t>Tax Group</t>
        </is>
      </c>
      <c r="ES30" s="467" t="n"/>
      <c r="ET30" s="467" t="n"/>
    </row>
    <row r="31" ht="39.55" customHeight="1" s="253">
      <c r="A31" s="466" t="n">
        <v>45762</v>
      </c>
      <c r="B31" s="467" t="inlineStr">
        <is>
          <t>2297152000000077017</t>
        </is>
      </c>
      <c r="C31" s="467" t="inlineStr">
        <is>
          <t>INV-25-26-000032</t>
        </is>
      </c>
      <c r="D31" s="467" t="inlineStr">
        <is>
          <t>Closed</t>
        </is>
      </c>
      <c r="E31" s="467" t="inlineStr">
        <is>
          <t>2297152000000077001</t>
        </is>
      </c>
      <c r="F31" s="467" t="inlineStr">
        <is>
          <t>Shreeyash Lalit</t>
        </is>
      </c>
      <c r="G31" s="467" t="inlineStr">
        <is>
          <t>DL</t>
        </is>
      </c>
      <c r="H31" s="467" t="inlineStr">
        <is>
          <t>07-Delhi</t>
        </is>
      </c>
      <c r="I31" s="467" t="inlineStr">
        <is>
          <t>business_none</t>
        </is>
      </c>
      <c r="J31" s="467" t="inlineStr">
        <is>
          <t>false</t>
        </is>
      </c>
      <c r="K31" s="466" t="n">
        <v>45762</v>
      </c>
      <c r="L31" s="467" t="n"/>
      <c r="M31" s="467" t="inlineStr">
        <is>
          <t>INR</t>
        </is>
      </c>
      <c r="N31" s="467" t="n">
        <v>1</v>
      </c>
      <c r="O31" s="467" t="inlineStr">
        <is>
          <t>item_level</t>
        </is>
      </c>
      <c r="P31" s="467" t="inlineStr">
        <is>
          <t>true</t>
        </is>
      </c>
      <c r="Q31" s="467" t="inlineStr">
        <is>
          <t>Tax Invoice</t>
        </is>
      </c>
      <c r="R31" s="467" t="inlineStr">
        <is>
          <t>0.00</t>
        </is>
      </c>
      <c r="S31" s="467" t="n"/>
      <c r="T31" s="467" t="n"/>
      <c r="U31" s="467" t="inlineStr">
        <is>
          <t>item_level</t>
        </is>
      </c>
      <c r="V31" s="467" t="n"/>
      <c r="W31" s="467" t="inlineStr">
        <is>
          <t>0.00</t>
        </is>
      </c>
      <c r="X31" s="467" t="n"/>
      <c r="Y31" s="467" t="n"/>
      <c r="Z31" s="467" t="inlineStr">
        <is>
          <t>0.000</t>
        </is>
      </c>
      <c r="AA31" s="467" t="n">
        <v>36000</v>
      </c>
      <c r="AB31" s="467" t="n">
        <v>42480</v>
      </c>
      <c r="AC31" s="467" t="n">
        <v>0</v>
      </c>
      <c r="AD31" s="467" t="n">
        <v>0</v>
      </c>
      <c r="AE31" s="467" t="inlineStr">
        <is>
          <t>Adjustment</t>
        </is>
      </c>
      <c r="AF31" s="467" t="n"/>
      <c r="AG31" s="466" t="n">
        <v>45769</v>
      </c>
      <c r="AH31" s="467" t="inlineStr">
        <is>
          <t>0</t>
        </is>
      </c>
      <c r="AI31" s="467" t="inlineStr">
        <is>
          <t>Due On Receipt</t>
        </is>
      </c>
      <c r="AJ31" s="467" t="inlineStr">
        <is>
          <t>Thanks for your business.</t>
        </is>
      </c>
      <c r="AK31" s="467" t="n"/>
      <c r="AL31" s="467" t="n"/>
      <c r="AM31" s="467" t="n"/>
      <c r="AN31" s="467" t="n"/>
      <c r="AO31" s="467" t="n"/>
      <c r="AP31" s="467" t="n"/>
      <c r="AQ31" s="467" t="n"/>
      <c r="AR31" s="467" t="n"/>
      <c r="AS31" s="467" t="n"/>
      <c r="AT31" s="467" t="inlineStr">
        <is>
          <t>Invoice</t>
        </is>
      </c>
      <c r="AU31" s="467" t="inlineStr">
        <is>
          <t>0.0</t>
        </is>
      </c>
      <c r="AV31" s="467" t="n">
        <v>0</v>
      </c>
      <c r="AW31" s="467" t="n"/>
      <c r="AX31" s="467" t="n"/>
      <c r="AY31" s="467" t="n"/>
      <c r="AZ31" s="467" t="n"/>
      <c r="BA31" s="467" t="n"/>
      <c r="BB31" s="467" t="n"/>
      <c r="BC31" s="467" t="n"/>
      <c r="BD31" s="467" t="inlineStr">
        <is>
          <t>Jurisphere Enterprise Subscription</t>
        </is>
      </c>
      <c r="BE31" s="468" t="inlineStr">
        <is>
          <t xml:space="preserve">Subscription Period- 6 months
Description- Single license for unlimited usage (litigation) for 6 months. </t>
        </is>
      </c>
      <c r="BF31" s="467" t="n">
        <v>1</v>
      </c>
      <c r="BG31" s="467" t="inlineStr">
        <is>
          <t>40.00</t>
        </is>
      </c>
      <c r="BH31" s="467" t="inlineStr">
        <is>
          <t>24000.000</t>
        </is>
      </c>
      <c r="BI31" s="467" t="n">
        <v>36000</v>
      </c>
      <c r="BJ31" s="467" t="inlineStr">
        <is>
          <t>pcs</t>
        </is>
      </c>
      <c r="BK31" s="467" t="n">
        <v>60000</v>
      </c>
      <c r="BL31" s="467" t="inlineStr">
        <is>
          <t>2297152000000039748</t>
        </is>
      </c>
      <c r="BM31" s="467" t="n"/>
      <c r="BN31" s="467" t="n"/>
      <c r="BO31" s="467" t="n"/>
      <c r="BP31" s="467" t="n"/>
      <c r="BQ31" s="467" t="n"/>
      <c r="BR31" s="467" t="n"/>
      <c r="BS31" s="467" t="n"/>
      <c r="BT31" s="467" t="n"/>
      <c r="BU31" s="467" t="inlineStr">
        <is>
          <t>Delhi</t>
        </is>
      </c>
      <c r="BV31" s="467" t="inlineStr">
        <is>
          <t>India</t>
        </is>
      </c>
      <c r="BW31" s="467" t="n"/>
      <c r="BX31" s="467" t="n"/>
      <c r="BY31" s="467" t="n"/>
      <c r="BZ31" s="467" t="n"/>
      <c r="CA31" s="467" t="n"/>
      <c r="CB31" s="467" t="n"/>
      <c r="CC31" s="467" t="n"/>
      <c r="CD31" s="467" t="inlineStr">
        <is>
          <t>Delhi</t>
        </is>
      </c>
      <c r="CE31" s="467" t="inlineStr">
        <is>
          <t>India</t>
        </is>
      </c>
      <c r="CF31" s="467" t="n"/>
      <c r="CG31" s="467" t="n"/>
      <c r="CH31" s="467" t="n"/>
      <c r="CI31" s="467" t="inlineStr">
        <is>
          <t>Coresphere100 Technologies Pvt. Ltd.</t>
        </is>
      </c>
      <c r="CJ31" s="467" t="inlineStr">
        <is>
          <t>09AALCC7037K1Z7</t>
        </is>
      </c>
      <c r="CK31" s="467" t="inlineStr">
        <is>
          <t>16026, 16th Floor, Tower Oakwood,</t>
        </is>
      </c>
      <c r="CL31" s="467" t="inlineStr">
        <is>
          <t>Greater Noida,</t>
        </is>
      </c>
      <c r="CM31" s="467" t="inlineStr">
        <is>
          <t>Uttar Pradesh</t>
        </is>
      </c>
      <c r="CN31" s="467" t="inlineStr">
        <is>
          <t>India</t>
        </is>
      </c>
      <c r="CO31" s="467" t="inlineStr">
        <is>
          <t>201306</t>
        </is>
      </c>
      <c r="CP31" s="467" t="inlineStr">
        <is>
          <t>8928163657</t>
        </is>
      </c>
      <c r="CQ31" s="467" t="inlineStr">
        <is>
          <t>manas@jurisphere.ai</t>
        </is>
      </c>
      <c r="CR31" s="467" t="inlineStr">
        <is>
          <t>0.00</t>
        </is>
      </c>
      <c r="CS31" s="467" t="inlineStr">
        <is>
          <t>0.00</t>
        </is>
      </c>
      <c r="CT31" s="467" t="inlineStr">
        <is>
          <t>18.00</t>
        </is>
      </c>
      <c r="CU31" s="467" t="inlineStr">
        <is>
          <t>0.00</t>
        </is>
      </c>
      <c r="CV31" s="467" t="inlineStr">
        <is>
          <t>0.00</t>
        </is>
      </c>
      <c r="CW31" s="467" t="inlineStr">
        <is>
          <t>0.00</t>
        </is>
      </c>
      <c r="CX31" s="467" t="inlineStr">
        <is>
          <t>6480.00</t>
        </is>
      </c>
      <c r="CY31" s="467" t="inlineStr">
        <is>
          <t>0.00</t>
        </is>
      </c>
      <c r="CZ31" s="467" t="inlineStr">
        <is>
          <t>0.00</t>
        </is>
      </c>
      <c r="DA31" s="467" t="inlineStr">
        <is>
          <t>0.00</t>
        </is>
      </c>
      <c r="DB31" s="467" t="inlineStr">
        <is>
          <t>6480.00</t>
        </is>
      </c>
      <c r="DC31" s="467" t="inlineStr">
        <is>
          <t>0.00</t>
        </is>
      </c>
      <c r="DD31" s="467" t="n"/>
      <c r="DE31" s="467" t="n"/>
      <c r="DF31" s="467" t="n"/>
      <c r="DG31" s="467" t="n"/>
      <c r="DH31" s="467" t="n"/>
      <c r="DI31" s="467" t="inlineStr">
        <is>
          <t>0.000</t>
        </is>
      </c>
      <c r="DJ31" s="467" t="n"/>
      <c r="DK31" s="467" t="n"/>
      <c r="DL31" s="467" t="n"/>
      <c r="DM31" s="467" t="n"/>
      <c r="DN31" s="467" t="n"/>
      <c r="DO31" s="467" t="n"/>
      <c r="DP31" s="467" t="inlineStr">
        <is>
          <t>998313</t>
        </is>
      </c>
      <c r="DQ31" s="467" t="n">
        <v>0</v>
      </c>
      <c r="DR31" s="467" t="n"/>
      <c r="DS31" s="467" t="n"/>
      <c r="DT31" s="467" t="n"/>
      <c r="DU31" s="467" t="n"/>
      <c r="DV31" s="467" t="n"/>
      <c r="DW31" s="467" t="n"/>
      <c r="DX31" s="467" t="inlineStr">
        <is>
          <t>service</t>
        </is>
      </c>
      <c r="DY31" s="467" t="n"/>
      <c r="DZ31" s="467" t="n"/>
      <c r="EA31" s="467" t="n"/>
      <c r="EB31" s="467" t="n"/>
      <c r="EC31" s="467" t="n"/>
      <c r="ED31" s="467" t="n"/>
      <c r="EE31" s="467" t="n"/>
      <c r="EF31" s="467" t="n"/>
      <c r="EG31" s="467" t="n"/>
      <c r="EH31" s="467" t="inlineStr">
        <is>
          <t>Others</t>
        </is>
      </c>
      <c r="EI31" s="467" t="n"/>
      <c r="EJ31" s="467" t="n"/>
      <c r="EK31" s="467" t="inlineStr">
        <is>
          <t>Sales</t>
        </is>
      </c>
      <c r="EL31" s="467" t="n"/>
      <c r="EM31" s="467" t="inlineStr">
        <is>
          <t>Taxable</t>
        </is>
      </c>
      <c r="EN31" s="467" t="inlineStr">
        <is>
          <t>2297152000000031111</t>
        </is>
      </c>
      <c r="EO31" s="467" t="inlineStr">
        <is>
          <t>IGST18</t>
        </is>
      </c>
      <c r="EP31" s="467" t="inlineStr">
        <is>
          <t>18.00</t>
        </is>
      </c>
      <c r="EQ31" s="467" t="n">
        <v>6480</v>
      </c>
      <c r="ER31" s="467" t="inlineStr">
        <is>
          <t>ItemAmount</t>
        </is>
      </c>
      <c r="ES31" s="467" t="n"/>
      <c r="ET31" s="467" t="n"/>
    </row>
    <row r="32" ht="39.55" customHeight="1" s="253">
      <c r="A32" s="466" t="n">
        <v>45762</v>
      </c>
      <c r="B32" s="467" t="inlineStr">
        <is>
          <t>2297152000000077357</t>
        </is>
      </c>
      <c r="C32" s="467" t="inlineStr">
        <is>
          <t>INV-25-26-000033</t>
        </is>
      </c>
      <c r="D32" s="467" t="inlineStr">
        <is>
          <t>Closed</t>
        </is>
      </c>
      <c r="E32" s="467" t="inlineStr">
        <is>
          <t>2297152000000077341</t>
        </is>
      </c>
      <c r="F32" s="467" t="inlineStr">
        <is>
          <t>Dewani Associates</t>
        </is>
      </c>
      <c r="G32" s="467" t="inlineStr">
        <is>
          <t>MH</t>
        </is>
      </c>
      <c r="H32" s="467" t="inlineStr">
        <is>
          <t>27-Maharashtra</t>
        </is>
      </c>
      <c r="I32" s="467" t="inlineStr">
        <is>
          <t>business_none</t>
        </is>
      </c>
      <c r="J32" s="467" t="inlineStr">
        <is>
          <t>false</t>
        </is>
      </c>
      <c r="K32" s="466" t="n">
        <v>45762</v>
      </c>
      <c r="L32" s="467" t="n"/>
      <c r="M32" s="467" t="inlineStr">
        <is>
          <t>INR</t>
        </is>
      </c>
      <c r="N32" s="467" t="n">
        <v>1</v>
      </c>
      <c r="O32" s="467" t="inlineStr">
        <is>
          <t>item_level</t>
        </is>
      </c>
      <c r="P32" s="467" t="inlineStr">
        <is>
          <t>true</t>
        </is>
      </c>
      <c r="Q32" s="467" t="inlineStr">
        <is>
          <t>Tax Invoice</t>
        </is>
      </c>
      <c r="R32" s="467" t="inlineStr">
        <is>
          <t>0.00</t>
        </is>
      </c>
      <c r="S32" s="467" t="n"/>
      <c r="T32" s="467" t="n"/>
      <c r="U32" s="467" t="inlineStr">
        <is>
          <t>item_level</t>
        </is>
      </c>
      <c r="V32" s="467" t="n"/>
      <c r="W32" s="467" t="inlineStr">
        <is>
          <t>0.00</t>
        </is>
      </c>
      <c r="X32" s="467" t="n"/>
      <c r="Y32" s="467" t="n"/>
      <c r="Z32" s="467" t="inlineStr">
        <is>
          <t>0.000</t>
        </is>
      </c>
      <c r="AA32" s="467" t="n">
        <v>20000</v>
      </c>
      <c r="AB32" s="467" t="n">
        <v>23600</v>
      </c>
      <c r="AC32" s="467" t="n">
        <v>0</v>
      </c>
      <c r="AD32" s="467" t="n">
        <v>0</v>
      </c>
      <c r="AE32" s="467" t="inlineStr">
        <is>
          <t>Adjustment</t>
        </is>
      </c>
      <c r="AF32" s="467" t="n"/>
      <c r="AG32" s="466" t="n">
        <v>45762</v>
      </c>
      <c r="AH32" s="467" t="inlineStr">
        <is>
          <t>0</t>
        </is>
      </c>
      <c r="AI32" s="467" t="inlineStr">
        <is>
          <t>Due On Receipt</t>
        </is>
      </c>
      <c r="AJ32" s="467" t="inlineStr">
        <is>
          <t>Thanks for your business.</t>
        </is>
      </c>
      <c r="AK32" s="467" t="n"/>
      <c r="AL32" s="467" t="n"/>
      <c r="AM32" s="467" t="n"/>
      <c r="AN32" s="467" t="n"/>
      <c r="AO32" s="467" t="n"/>
      <c r="AP32" s="467" t="n"/>
      <c r="AQ32" s="467" t="n"/>
      <c r="AR32" s="467" t="n"/>
      <c r="AS32" s="467" t="n"/>
      <c r="AT32" s="467" t="inlineStr">
        <is>
          <t>Invoice</t>
        </is>
      </c>
      <c r="AU32" s="467" t="inlineStr">
        <is>
          <t>0.0</t>
        </is>
      </c>
      <c r="AV32" s="467" t="n">
        <v>0</v>
      </c>
      <c r="AW32" s="467" t="n"/>
      <c r="AX32" s="467" t="n"/>
      <c r="AY32" s="467" t="n"/>
      <c r="AZ32" s="467" t="n"/>
      <c r="BA32" s="467" t="n"/>
      <c r="BB32" s="467" t="n"/>
      <c r="BC32" s="467" t="n"/>
      <c r="BD32" s="467" t="inlineStr">
        <is>
          <t>Jurisphere Enterprise Subscription</t>
        </is>
      </c>
      <c r="BE32" s="468" t="inlineStr">
        <is>
          <t>Subscription Period- 2 months
Description- Pilot Project for 2 months for unlimited usage for up to 3 users</t>
        </is>
      </c>
      <c r="BF32" s="467" t="n">
        <v>1</v>
      </c>
      <c r="BG32" s="467" t="inlineStr">
        <is>
          <t>0.00</t>
        </is>
      </c>
      <c r="BH32" s="467" t="inlineStr">
        <is>
          <t>0.00</t>
        </is>
      </c>
      <c r="BI32" s="467" t="n">
        <v>20000</v>
      </c>
      <c r="BJ32" s="467" t="inlineStr">
        <is>
          <t>pcs</t>
        </is>
      </c>
      <c r="BK32" s="467" t="n">
        <v>20000</v>
      </c>
      <c r="BL32" s="467" t="inlineStr">
        <is>
          <t>2297152000000039748</t>
        </is>
      </c>
      <c r="BM32" s="467" t="n"/>
      <c r="BN32" s="467" t="n"/>
      <c r="BO32" s="467" t="n"/>
      <c r="BP32" s="467" t="n"/>
      <c r="BQ32" s="467" t="n"/>
      <c r="BR32" s="467" t="inlineStr">
        <is>
          <t>83 - B, Mittal Court Opp Vidhan Bhawan,</t>
        </is>
      </c>
      <c r="BS32" s="467" t="inlineStr">
        <is>
          <t>Nariman Point,</t>
        </is>
      </c>
      <c r="BT32" s="467" t="inlineStr">
        <is>
          <t>Mumbai</t>
        </is>
      </c>
      <c r="BU32" s="467" t="inlineStr">
        <is>
          <t>Maharashtra</t>
        </is>
      </c>
      <c r="BV32" s="467" t="inlineStr">
        <is>
          <t>India</t>
        </is>
      </c>
      <c r="BW32" s="467" t="inlineStr">
        <is>
          <t>400021</t>
        </is>
      </c>
      <c r="BX32" s="467" t="n"/>
      <c r="BY32" s="467" t="n"/>
      <c r="BZ32" s="467" t="n"/>
      <c r="CA32" s="467" t="inlineStr">
        <is>
          <t>83 - B, Mittal Court Opp Vidhan Bhawan,</t>
        </is>
      </c>
      <c r="CB32" s="467" t="inlineStr">
        <is>
          <t>Nariman Point,</t>
        </is>
      </c>
      <c r="CC32" s="467" t="inlineStr">
        <is>
          <t>Mumbai</t>
        </is>
      </c>
      <c r="CD32" s="467" t="inlineStr">
        <is>
          <t>Maharashtra</t>
        </is>
      </c>
      <c r="CE32" s="467" t="inlineStr">
        <is>
          <t>India</t>
        </is>
      </c>
      <c r="CF32" s="467" t="inlineStr">
        <is>
          <t>400021</t>
        </is>
      </c>
      <c r="CG32" s="467" t="n"/>
      <c r="CH32" s="467" t="n"/>
      <c r="CI32" s="467" t="inlineStr">
        <is>
          <t>Coresphere100 Technologies Pvt. Ltd.</t>
        </is>
      </c>
      <c r="CJ32" s="467" t="inlineStr">
        <is>
          <t>09AALCC7037K1Z7</t>
        </is>
      </c>
      <c r="CK32" s="467" t="inlineStr">
        <is>
          <t>16026, 16th Floor, Tower Oakwood,</t>
        </is>
      </c>
      <c r="CL32" s="467" t="inlineStr">
        <is>
          <t>Greater Noida,</t>
        </is>
      </c>
      <c r="CM32" s="467" t="inlineStr">
        <is>
          <t>Uttar Pradesh</t>
        </is>
      </c>
      <c r="CN32" s="467" t="inlineStr">
        <is>
          <t>India</t>
        </is>
      </c>
      <c r="CO32" s="467" t="inlineStr">
        <is>
          <t>201306</t>
        </is>
      </c>
      <c r="CP32" s="467" t="inlineStr">
        <is>
          <t>8928163657</t>
        </is>
      </c>
      <c r="CQ32" s="467" t="inlineStr">
        <is>
          <t>manas@jurisphere.ai</t>
        </is>
      </c>
      <c r="CR32" s="467" t="inlineStr">
        <is>
          <t>0.00</t>
        </is>
      </c>
      <c r="CS32" s="467" t="inlineStr">
        <is>
          <t>0.00</t>
        </is>
      </c>
      <c r="CT32" s="467" t="inlineStr">
        <is>
          <t>18.00</t>
        </is>
      </c>
      <c r="CU32" s="467" t="inlineStr">
        <is>
          <t>0.00</t>
        </is>
      </c>
      <c r="CV32" s="467" t="inlineStr">
        <is>
          <t>0.00</t>
        </is>
      </c>
      <c r="CW32" s="467" t="inlineStr">
        <is>
          <t>0.00</t>
        </is>
      </c>
      <c r="CX32" s="467" t="inlineStr">
        <is>
          <t>3600.00</t>
        </is>
      </c>
      <c r="CY32" s="467" t="inlineStr">
        <is>
          <t>0.00</t>
        </is>
      </c>
      <c r="CZ32" s="467" t="inlineStr">
        <is>
          <t>0.00</t>
        </is>
      </c>
      <c r="DA32" s="467" t="inlineStr">
        <is>
          <t>0.00</t>
        </is>
      </c>
      <c r="DB32" s="467" t="inlineStr">
        <is>
          <t>3600.00</t>
        </is>
      </c>
      <c r="DC32" s="467" t="inlineStr">
        <is>
          <t>0.00</t>
        </is>
      </c>
      <c r="DD32" s="467" t="n"/>
      <c r="DE32" s="467" t="n"/>
      <c r="DF32" s="467" t="n"/>
      <c r="DG32" s="467" t="n"/>
      <c r="DH32" s="467" t="n"/>
      <c r="DI32" s="467" t="inlineStr">
        <is>
          <t>0.000</t>
        </is>
      </c>
      <c r="DJ32" s="467" t="n"/>
      <c r="DK32" s="467" t="n"/>
      <c r="DL32" s="467" t="n"/>
      <c r="DM32" s="467" t="n"/>
      <c r="DN32" s="467" t="n"/>
      <c r="DO32" s="467" t="n"/>
      <c r="DP32" s="467" t="inlineStr">
        <is>
          <t>998313</t>
        </is>
      </c>
      <c r="DQ32" s="467" t="n">
        <v>0</v>
      </c>
      <c r="DR32" s="467" t="n"/>
      <c r="DS32" s="467" t="n"/>
      <c r="DT32" s="467" t="n"/>
      <c r="DU32" s="467" t="n"/>
      <c r="DV32" s="467" t="n"/>
      <c r="DW32" s="467" t="n"/>
      <c r="DX32" s="467" t="inlineStr">
        <is>
          <t>service</t>
        </is>
      </c>
      <c r="DY32" s="467" t="n"/>
      <c r="DZ32" s="467" t="n"/>
      <c r="EA32" s="467" t="n"/>
      <c r="EB32" s="467" t="n"/>
      <c r="EC32" s="467" t="n"/>
      <c r="ED32" s="467" t="n"/>
      <c r="EE32" s="467" t="n"/>
      <c r="EF32" s="467" t="n"/>
      <c r="EG32" s="467" t="n"/>
      <c r="EH32" s="467" t="inlineStr">
        <is>
          <t>Others</t>
        </is>
      </c>
      <c r="EI32" s="467" t="n"/>
      <c r="EJ32" s="467" t="n"/>
      <c r="EK32" s="467" t="inlineStr">
        <is>
          <t>Sales</t>
        </is>
      </c>
      <c r="EL32" s="467" t="n"/>
      <c r="EM32" s="467" t="inlineStr">
        <is>
          <t>Taxable</t>
        </is>
      </c>
      <c r="EN32" s="467" t="inlineStr">
        <is>
          <t>2297152000000031111</t>
        </is>
      </c>
      <c r="EO32" s="467" t="inlineStr">
        <is>
          <t>IGST18</t>
        </is>
      </c>
      <c r="EP32" s="467" t="inlineStr">
        <is>
          <t>18.00</t>
        </is>
      </c>
      <c r="EQ32" s="467" t="n">
        <v>3600</v>
      </c>
      <c r="ER32" s="467" t="inlineStr">
        <is>
          <t>ItemAmount</t>
        </is>
      </c>
      <c r="ES32" s="467" t="n"/>
      <c r="ET32" s="467" t="n"/>
    </row>
    <row r="33" ht="39.55" customHeight="1" s="253">
      <c r="A33" s="466" t="n">
        <v>45762</v>
      </c>
      <c r="B33" s="467" t="inlineStr">
        <is>
          <t>2297152000000077399</t>
        </is>
      </c>
      <c r="C33" s="467" t="inlineStr">
        <is>
          <t>INV-25-26-000034</t>
        </is>
      </c>
      <c r="D33" s="467" t="inlineStr">
        <is>
          <t>Closed</t>
        </is>
      </c>
      <c r="E33" s="467" t="inlineStr">
        <is>
          <t>2297152000000077369</t>
        </is>
      </c>
      <c r="F33" s="467" t="inlineStr">
        <is>
          <t>R. Vishnu Kumar, Advocate</t>
        </is>
      </c>
      <c r="G33" s="467" t="inlineStr">
        <is>
          <t>DL</t>
        </is>
      </c>
      <c r="H33" s="467" t="inlineStr">
        <is>
          <t>07-Delhi</t>
        </is>
      </c>
      <c r="I33" s="467" t="inlineStr">
        <is>
          <t>business_none</t>
        </is>
      </c>
      <c r="J33" s="467" t="inlineStr">
        <is>
          <t>false</t>
        </is>
      </c>
      <c r="K33" s="466" t="n">
        <v>45762</v>
      </c>
      <c r="L33" s="467" t="n"/>
      <c r="M33" s="467" t="inlineStr">
        <is>
          <t>INR</t>
        </is>
      </c>
      <c r="N33" s="467" t="n">
        <v>1</v>
      </c>
      <c r="O33" s="467" t="inlineStr">
        <is>
          <t>item_level</t>
        </is>
      </c>
      <c r="P33" s="467" t="inlineStr">
        <is>
          <t>true</t>
        </is>
      </c>
      <c r="Q33" s="467" t="inlineStr">
        <is>
          <t>Tax Invoice</t>
        </is>
      </c>
      <c r="R33" s="467" t="inlineStr">
        <is>
          <t>0.00</t>
        </is>
      </c>
      <c r="S33" s="467" t="n"/>
      <c r="T33" s="467" t="n"/>
      <c r="U33" s="467" t="inlineStr">
        <is>
          <t>item_level</t>
        </is>
      </c>
      <c r="V33" s="467" t="n"/>
      <c r="W33" s="467" t="inlineStr">
        <is>
          <t>0.00</t>
        </is>
      </c>
      <c r="X33" s="467" t="n"/>
      <c r="Y33" s="467" t="n"/>
      <c r="Z33" s="467" t="inlineStr">
        <is>
          <t>0.000</t>
        </is>
      </c>
      <c r="AA33" s="467" t="n">
        <v>16950</v>
      </c>
      <c r="AB33" s="467" t="n">
        <v>20000</v>
      </c>
      <c r="AC33" s="467" t="n">
        <v>0</v>
      </c>
      <c r="AD33" s="467" t="n">
        <v>-1</v>
      </c>
      <c r="AE33" s="467" t="inlineStr">
        <is>
          <t>Adjustment</t>
        </is>
      </c>
      <c r="AF33" s="467" t="n"/>
      <c r="AG33" s="466" t="n">
        <v>45762</v>
      </c>
      <c r="AH33" s="467" t="inlineStr">
        <is>
          <t>0</t>
        </is>
      </c>
      <c r="AI33" s="467" t="inlineStr">
        <is>
          <t>Due On Receipt</t>
        </is>
      </c>
      <c r="AJ33" s="467" t="inlineStr">
        <is>
          <t>Thanks for your business.</t>
        </is>
      </c>
      <c r="AK33" s="467" t="n"/>
      <c r="AL33" s="467" t="n"/>
      <c r="AM33" s="467" t="n"/>
      <c r="AN33" s="467" t="n"/>
      <c r="AO33" s="467" t="n"/>
      <c r="AP33" s="467" t="n"/>
      <c r="AQ33" s="467" t="n"/>
      <c r="AR33" s="467" t="n"/>
      <c r="AS33" s="467" t="n"/>
      <c r="AT33" s="467" t="inlineStr">
        <is>
          <t>Invoice</t>
        </is>
      </c>
      <c r="AU33" s="467" t="inlineStr">
        <is>
          <t>0.0</t>
        </is>
      </c>
      <c r="AV33" s="467" t="n">
        <v>0</v>
      </c>
      <c r="AW33" s="467" t="n"/>
      <c r="AX33" s="467" t="n"/>
      <c r="AY33" s="467" t="n"/>
      <c r="AZ33" s="467" t="n"/>
      <c r="BA33" s="467" t="n"/>
      <c r="BB33" s="467" t="n"/>
      <c r="BC33" s="467" t="n"/>
      <c r="BD33" s="467" t="inlineStr">
        <is>
          <t>Jurisphere Enterprise Subscription</t>
        </is>
      </c>
      <c r="BE33" s="468" t="inlineStr">
        <is>
          <t>Subscription Period- Annual Contract
Description- 6 licenses for unlimited usage (litigation) of Rs. 20,000/- per month</t>
        </is>
      </c>
      <c r="BF33" s="467" t="n">
        <v>1</v>
      </c>
      <c r="BG33" s="467" t="inlineStr">
        <is>
          <t>0.00</t>
        </is>
      </c>
      <c r="BH33" s="467" t="inlineStr">
        <is>
          <t>0.000</t>
        </is>
      </c>
      <c r="BI33" s="467" t="n">
        <v>16950</v>
      </c>
      <c r="BJ33" s="467" t="inlineStr">
        <is>
          <t>pcs</t>
        </is>
      </c>
      <c r="BK33" s="467" t="n">
        <v>16950</v>
      </c>
      <c r="BL33" s="467" t="inlineStr">
        <is>
          <t>2297152000000039748</t>
        </is>
      </c>
      <c r="BM33" s="467" t="n"/>
      <c r="BN33" s="467" t="n"/>
      <c r="BO33" s="467" t="n"/>
      <c r="BP33" s="467" t="inlineStr">
        <is>
          <t>R. Vishnu Kumar, Advocate,</t>
        </is>
      </c>
      <c r="BQ33" s="467" t="n"/>
      <c r="BR33" s="467" t="inlineStr">
        <is>
          <t>R Block, 159, Lower Ground Floor,</t>
        </is>
      </c>
      <c r="BS33" s="467" t="inlineStr">
        <is>
          <t>Greater Kailash, Part 1,</t>
        </is>
      </c>
      <c r="BT33" s="467" t="inlineStr">
        <is>
          <t>New Delhi</t>
        </is>
      </c>
      <c r="BU33" s="467" t="inlineStr">
        <is>
          <t>Delhi</t>
        </is>
      </c>
      <c r="BV33" s="467" t="inlineStr">
        <is>
          <t>India</t>
        </is>
      </c>
      <c r="BW33" s="467" t="inlineStr">
        <is>
          <t>110048</t>
        </is>
      </c>
      <c r="BX33" s="467" t="n"/>
      <c r="BY33" s="467" t="n"/>
      <c r="BZ33" s="467" t="n"/>
      <c r="CA33" s="467" t="inlineStr">
        <is>
          <t>R Block, 159, Lower Ground Floor,</t>
        </is>
      </c>
      <c r="CB33" s="467" t="inlineStr">
        <is>
          <t>Greater Kailash, Part 1,</t>
        </is>
      </c>
      <c r="CC33" s="467" t="inlineStr">
        <is>
          <t>New Delhi</t>
        </is>
      </c>
      <c r="CD33" s="467" t="inlineStr">
        <is>
          <t>Delhi</t>
        </is>
      </c>
      <c r="CE33" s="467" t="inlineStr">
        <is>
          <t>India</t>
        </is>
      </c>
      <c r="CF33" s="467" t="inlineStr">
        <is>
          <t>110048</t>
        </is>
      </c>
      <c r="CG33" s="467" t="n"/>
      <c r="CH33" s="467" t="n"/>
      <c r="CI33" s="467" t="inlineStr">
        <is>
          <t>Coresphere100 Technologies Pvt. Ltd.</t>
        </is>
      </c>
      <c r="CJ33" s="467" t="inlineStr">
        <is>
          <t>09AALCC7037K1Z7</t>
        </is>
      </c>
      <c r="CK33" s="467" t="inlineStr">
        <is>
          <t>16026, 16th Floor, Tower Oakwood,</t>
        </is>
      </c>
      <c r="CL33" s="467" t="inlineStr">
        <is>
          <t>Greater Noida,</t>
        </is>
      </c>
      <c r="CM33" s="467" t="inlineStr">
        <is>
          <t>Uttar Pradesh</t>
        </is>
      </c>
      <c r="CN33" s="467" t="inlineStr">
        <is>
          <t>India</t>
        </is>
      </c>
      <c r="CO33" s="467" t="inlineStr">
        <is>
          <t>201306</t>
        </is>
      </c>
      <c r="CP33" s="467" t="inlineStr">
        <is>
          <t>8928163657</t>
        </is>
      </c>
      <c r="CQ33" s="467" t="inlineStr">
        <is>
          <t>manas@jurisphere.ai</t>
        </is>
      </c>
      <c r="CR33" s="467" t="inlineStr">
        <is>
          <t>0.00</t>
        </is>
      </c>
      <c r="CS33" s="467" t="inlineStr">
        <is>
          <t>0.00</t>
        </is>
      </c>
      <c r="CT33" s="467" t="inlineStr">
        <is>
          <t>18.00</t>
        </is>
      </c>
      <c r="CU33" s="467" t="inlineStr">
        <is>
          <t>0.00</t>
        </is>
      </c>
      <c r="CV33" s="467" t="inlineStr">
        <is>
          <t>0.00</t>
        </is>
      </c>
      <c r="CW33" s="467" t="inlineStr">
        <is>
          <t>0.00</t>
        </is>
      </c>
      <c r="CX33" s="467" t="inlineStr">
        <is>
          <t>3051.00</t>
        </is>
      </c>
      <c r="CY33" s="467" t="inlineStr">
        <is>
          <t>0.00</t>
        </is>
      </c>
      <c r="CZ33" s="467" t="inlineStr">
        <is>
          <t>0.00</t>
        </is>
      </c>
      <c r="DA33" s="467" t="inlineStr">
        <is>
          <t>0.00</t>
        </is>
      </c>
      <c r="DB33" s="467" t="inlineStr">
        <is>
          <t>3051.00</t>
        </is>
      </c>
      <c r="DC33" s="467" t="inlineStr">
        <is>
          <t>0.00</t>
        </is>
      </c>
      <c r="DD33" s="467" t="n"/>
      <c r="DE33" s="467" t="n"/>
      <c r="DF33" s="467" t="n"/>
      <c r="DG33" s="467" t="n"/>
      <c r="DH33" s="467" t="n"/>
      <c r="DI33" s="467" t="inlineStr">
        <is>
          <t>0.000</t>
        </is>
      </c>
      <c r="DJ33" s="467" t="n"/>
      <c r="DK33" s="467" t="n"/>
      <c r="DL33" s="467" t="n"/>
      <c r="DM33" s="467" t="n"/>
      <c r="DN33" s="467" t="n"/>
      <c r="DO33" s="467" t="n"/>
      <c r="DP33" s="467" t="inlineStr">
        <is>
          <t>998313</t>
        </is>
      </c>
      <c r="DQ33" s="467" t="n">
        <v>0</v>
      </c>
      <c r="DR33" s="467" t="n"/>
      <c r="DS33" s="467" t="n"/>
      <c r="DT33" s="467" t="n"/>
      <c r="DU33" s="467" t="n"/>
      <c r="DV33" s="467" t="n"/>
      <c r="DW33" s="467" t="n"/>
      <c r="DX33" s="467" t="inlineStr">
        <is>
          <t>service</t>
        </is>
      </c>
      <c r="DY33" s="467" t="n"/>
      <c r="DZ33" s="467" t="n"/>
      <c r="EA33" s="467" t="n"/>
      <c r="EB33" s="467" t="n"/>
      <c r="EC33" s="467" t="n"/>
      <c r="ED33" s="467" t="n"/>
      <c r="EE33" s="467" t="n"/>
      <c r="EF33" s="467" t="n"/>
      <c r="EG33" s="467" t="n"/>
      <c r="EH33" s="467" t="inlineStr">
        <is>
          <t>Others</t>
        </is>
      </c>
      <c r="EI33" s="467" t="n"/>
      <c r="EJ33" s="467" t="n"/>
      <c r="EK33" s="467" t="inlineStr">
        <is>
          <t>Sales</t>
        </is>
      </c>
      <c r="EL33" s="467" t="n"/>
      <c r="EM33" s="467" t="inlineStr">
        <is>
          <t>Taxable</t>
        </is>
      </c>
      <c r="EN33" s="467" t="inlineStr">
        <is>
          <t>2297152000000031111</t>
        </is>
      </c>
      <c r="EO33" s="467" t="inlineStr">
        <is>
          <t>IGST18</t>
        </is>
      </c>
      <c r="EP33" s="467" t="inlineStr">
        <is>
          <t>18.00</t>
        </is>
      </c>
      <c r="EQ33" s="467" t="n">
        <v>3051</v>
      </c>
      <c r="ER33" s="467" t="inlineStr">
        <is>
          <t>ItemAmount</t>
        </is>
      </c>
      <c r="ES33" s="467" t="n"/>
      <c r="ET33" s="467" t="n"/>
    </row>
    <row r="34" ht="26.85" customHeight="1" s="253">
      <c r="A34" s="466" t="n">
        <v>45763</v>
      </c>
      <c r="B34" s="467" t="inlineStr">
        <is>
          <t>2297152000000079651</t>
        </is>
      </c>
      <c r="C34" s="467" t="inlineStr">
        <is>
          <t>INV-25-26-000035</t>
        </is>
      </c>
      <c r="D34" s="467" t="inlineStr">
        <is>
          <t>Closed</t>
        </is>
      </c>
      <c r="E34" s="467" t="inlineStr">
        <is>
          <t>2297152000000079621</t>
        </is>
      </c>
      <c r="F34" s="467" t="inlineStr">
        <is>
          <t>Yash Momaya</t>
        </is>
      </c>
      <c r="G34" s="467" t="inlineStr">
        <is>
          <t>MH</t>
        </is>
      </c>
      <c r="H34" s="467" t="inlineStr">
        <is>
          <t>27-Maharashtra</t>
        </is>
      </c>
      <c r="I34" s="467" t="inlineStr">
        <is>
          <t>business_none</t>
        </is>
      </c>
      <c r="J34" s="467" t="inlineStr">
        <is>
          <t>false</t>
        </is>
      </c>
      <c r="K34" s="466" t="n">
        <v>45763</v>
      </c>
      <c r="L34" s="467" t="n"/>
      <c r="M34" s="467" t="inlineStr">
        <is>
          <t>INR</t>
        </is>
      </c>
      <c r="N34" s="467" t="n">
        <v>1</v>
      </c>
      <c r="O34" s="467" t="inlineStr">
        <is>
          <t>item_level</t>
        </is>
      </c>
      <c r="P34" s="467" t="inlineStr">
        <is>
          <t>true</t>
        </is>
      </c>
      <c r="Q34" s="467" t="inlineStr">
        <is>
          <t>Tax Invoice</t>
        </is>
      </c>
      <c r="R34" s="467" t="inlineStr">
        <is>
          <t>0.00</t>
        </is>
      </c>
      <c r="S34" s="467" t="n"/>
      <c r="T34" s="467" t="n"/>
      <c r="U34" s="467" t="inlineStr">
        <is>
          <t>item_level</t>
        </is>
      </c>
      <c r="V34" s="467" t="n"/>
      <c r="W34" s="467" t="inlineStr">
        <is>
          <t>0.00</t>
        </is>
      </c>
      <c r="X34" s="467" t="n"/>
      <c r="Y34" s="467" t="n"/>
      <c r="Z34" s="467" t="inlineStr">
        <is>
          <t>0.000</t>
        </is>
      </c>
      <c r="AA34" s="467" t="n">
        <v>10000</v>
      </c>
      <c r="AB34" s="467" t="n">
        <v>11800</v>
      </c>
      <c r="AC34" s="467" t="n">
        <v>0</v>
      </c>
      <c r="AD34" s="467" t="n">
        <v>0</v>
      </c>
      <c r="AE34" s="467" t="inlineStr">
        <is>
          <t>Adjustment</t>
        </is>
      </c>
      <c r="AF34" s="467" t="n"/>
      <c r="AG34" s="466" t="n">
        <v>45774</v>
      </c>
      <c r="AH34" s="467" t="inlineStr">
        <is>
          <t>0</t>
        </is>
      </c>
      <c r="AI34" s="467" t="inlineStr">
        <is>
          <t>Due On Receipt</t>
        </is>
      </c>
      <c r="AJ34" s="467" t="inlineStr">
        <is>
          <t>Thanks for your business.</t>
        </is>
      </c>
      <c r="AK34" s="467" t="n"/>
      <c r="AL34" s="467" t="n"/>
      <c r="AM34" s="467" t="n"/>
      <c r="AN34" s="467" t="n"/>
      <c r="AO34" s="467" t="n"/>
      <c r="AP34" s="467" t="n"/>
      <c r="AQ34" s="467" t="n"/>
      <c r="AR34" s="467" t="n"/>
      <c r="AS34" s="467" t="n"/>
      <c r="AT34" s="467" t="inlineStr">
        <is>
          <t>Invoice</t>
        </is>
      </c>
      <c r="AU34" s="467" t="inlineStr">
        <is>
          <t>0.0</t>
        </is>
      </c>
      <c r="AV34" s="467" t="n">
        <v>0</v>
      </c>
      <c r="AW34" s="467" t="n"/>
      <c r="AX34" s="467" t="n"/>
      <c r="AY34" s="467" t="n"/>
      <c r="AZ34" s="467" t="n"/>
      <c r="BA34" s="467" t="n"/>
      <c r="BB34" s="467" t="n"/>
      <c r="BC34" s="467" t="n"/>
      <c r="BD34" s="467" t="inlineStr">
        <is>
          <t>Jurisphere Enterprise Subscription</t>
        </is>
      </c>
      <c r="BE34" s="468" t="inlineStr">
        <is>
          <t>Subscription Period- Monthly invoicing for Annual contract
Description- Single license for unlimited usage (litigation)</t>
        </is>
      </c>
      <c r="BF34" s="467" t="n">
        <v>1</v>
      </c>
      <c r="BG34" s="467" t="inlineStr">
        <is>
          <t>0.00</t>
        </is>
      </c>
      <c r="BH34" s="467" t="inlineStr">
        <is>
          <t>0.000</t>
        </is>
      </c>
      <c r="BI34" s="467" t="n">
        <v>10000</v>
      </c>
      <c r="BJ34" s="467" t="inlineStr">
        <is>
          <t>pcs</t>
        </is>
      </c>
      <c r="BK34" s="467" t="n">
        <v>10000</v>
      </c>
      <c r="BL34" s="467" t="inlineStr">
        <is>
          <t>2297152000000039748</t>
        </is>
      </c>
      <c r="BM34" s="467" t="n"/>
      <c r="BN34" s="467" t="n"/>
      <c r="BO34" s="467" t="n"/>
      <c r="BP34" s="467" t="inlineStr">
        <is>
          <t>Yash Momaya</t>
        </is>
      </c>
      <c r="BQ34" s="467" t="n"/>
      <c r="BR34" s="467" t="n"/>
      <c r="BS34" s="467" t="n"/>
      <c r="BT34" s="467" t="inlineStr">
        <is>
          <t>Mumbai</t>
        </is>
      </c>
      <c r="BU34" s="467" t="n"/>
      <c r="BV34" s="467" t="inlineStr">
        <is>
          <t>India</t>
        </is>
      </c>
      <c r="BW34" s="467" t="n"/>
      <c r="BX34" s="467" t="n"/>
      <c r="BY34" s="467" t="n"/>
      <c r="BZ34" s="467" t="n"/>
      <c r="CA34" s="467" t="n"/>
      <c r="CB34" s="467" t="n"/>
      <c r="CC34" s="467" t="inlineStr">
        <is>
          <t>Mumbai</t>
        </is>
      </c>
      <c r="CD34" s="467" t="n"/>
      <c r="CE34" s="467" t="inlineStr">
        <is>
          <t>India</t>
        </is>
      </c>
      <c r="CF34" s="467" t="n"/>
      <c r="CG34" s="467" t="n"/>
      <c r="CH34" s="467" t="n"/>
      <c r="CI34" s="467" t="inlineStr">
        <is>
          <t>Coresphere100 Technologies Pvt. Ltd.</t>
        </is>
      </c>
      <c r="CJ34" s="467" t="inlineStr">
        <is>
          <t>09AALCC7037K1Z7</t>
        </is>
      </c>
      <c r="CK34" s="467" t="inlineStr">
        <is>
          <t>16026, 16th Floor, Tower Oakwood,</t>
        </is>
      </c>
      <c r="CL34" s="467" t="inlineStr">
        <is>
          <t>Greater Noida,</t>
        </is>
      </c>
      <c r="CM34" s="467" t="inlineStr">
        <is>
          <t>Uttar Pradesh</t>
        </is>
      </c>
      <c r="CN34" s="467" t="inlineStr">
        <is>
          <t>India</t>
        </is>
      </c>
      <c r="CO34" s="467" t="inlineStr">
        <is>
          <t>201306</t>
        </is>
      </c>
      <c r="CP34" s="467" t="inlineStr">
        <is>
          <t>8928163657</t>
        </is>
      </c>
      <c r="CQ34" s="467" t="inlineStr">
        <is>
          <t>manas@jurisphere.ai</t>
        </is>
      </c>
      <c r="CR34" s="467" t="inlineStr">
        <is>
          <t>0.00</t>
        </is>
      </c>
      <c r="CS34" s="467" t="inlineStr">
        <is>
          <t>0.00</t>
        </is>
      </c>
      <c r="CT34" s="467" t="inlineStr">
        <is>
          <t>18.00</t>
        </is>
      </c>
      <c r="CU34" s="467" t="inlineStr">
        <is>
          <t>0.00</t>
        </is>
      </c>
      <c r="CV34" s="467" t="inlineStr">
        <is>
          <t>0.00</t>
        </is>
      </c>
      <c r="CW34" s="467" t="inlineStr">
        <is>
          <t>0.00</t>
        </is>
      </c>
      <c r="CX34" s="467" t="inlineStr">
        <is>
          <t>1800.00</t>
        </is>
      </c>
      <c r="CY34" s="467" t="inlineStr">
        <is>
          <t>0.00</t>
        </is>
      </c>
      <c r="CZ34" s="467" t="inlineStr">
        <is>
          <t>0.00</t>
        </is>
      </c>
      <c r="DA34" s="467" t="inlineStr">
        <is>
          <t>0.00</t>
        </is>
      </c>
      <c r="DB34" s="467" t="inlineStr">
        <is>
          <t>1800.00</t>
        </is>
      </c>
      <c r="DC34" s="467" t="inlineStr">
        <is>
          <t>0.00</t>
        </is>
      </c>
      <c r="DD34" s="467" t="n"/>
      <c r="DE34" s="467" t="n"/>
      <c r="DF34" s="467" t="n"/>
      <c r="DG34" s="467" t="n"/>
      <c r="DH34" s="467" t="n"/>
      <c r="DI34" s="467" t="inlineStr">
        <is>
          <t>0.000</t>
        </is>
      </c>
      <c r="DJ34" s="467" t="n"/>
      <c r="DK34" s="467" t="n"/>
      <c r="DL34" s="467" t="n"/>
      <c r="DM34" s="467" t="n"/>
      <c r="DN34" s="467" t="n"/>
      <c r="DO34" s="467" t="n"/>
      <c r="DP34" s="467" t="inlineStr">
        <is>
          <t>998313</t>
        </is>
      </c>
      <c r="DQ34" s="467" t="n">
        <v>0</v>
      </c>
      <c r="DR34" s="467" t="n"/>
      <c r="DS34" s="467" t="n"/>
      <c r="DT34" s="467" t="n"/>
      <c r="DU34" s="467" t="n"/>
      <c r="DV34" s="467" t="n"/>
      <c r="DW34" s="467" t="n"/>
      <c r="DX34" s="467" t="inlineStr">
        <is>
          <t>service</t>
        </is>
      </c>
      <c r="DY34" s="467" t="n"/>
      <c r="DZ34" s="467" t="n"/>
      <c r="EA34" s="467" t="n"/>
      <c r="EB34" s="467" t="n"/>
      <c r="EC34" s="467" t="n"/>
      <c r="ED34" s="467" t="n"/>
      <c r="EE34" s="467" t="n"/>
      <c r="EF34" s="467" t="n"/>
      <c r="EG34" s="467" t="n"/>
      <c r="EH34" s="467" t="inlineStr">
        <is>
          <t>Others</t>
        </is>
      </c>
      <c r="EI34" s="467" t="n"/>
      <c r="EJ34" s="467" t="n"/>
      <c r="EK34" s="467" t="inlineStr">
        <is>
          <t>Sales</t>
        </is>
      </c>
      <c r="EL34" s="467" t="n"/>
      <c r="EM34" s="467" t="inlineStr">
        <is>
          <t>Taxable</t>
        </is>
      </c>
      <c r="EN34" s="467" t="inlineStr">
        <is>
          <t>2297152000000031111</t>
        </is>
      </c>
      <c r="EO34" s="467" t="inlineStr">
        <is>
          <t>IGST18</t>
        </is>
      </c>
      <c r="EP34" s="467" t="inlineStr">
        <is>
          <t>18.00</t>
        </is>
      </c>
      <c r="EQ34" s="467" t="n">
        <v>1800</v>
      </c>
      <c r="ER34" s="467" t="inlineStr">
        <is>
          <t>ItemAmount</t>
        </is>
      </c>
      <c r="ES34" s="467" t="n"/>
      <c r="ET34" s="467" t="n"/>
    </row>
    <row r="35" ht="39.55" customHeight="1" s="253">
      <c r="A35" s="466" t="n">
        <v>45763</v>
      </c>
      <c r="B35" s="467" t="inlineStr">
        <is>
          <t>2297152000000079688</t>
        </is>
      </c>
      <c r="C35" s="467" t="inlineStr">
        <is>
          <t>INV-25-26-000036</t>
        </is>
      </c>
      <c r="D35" s="467" t="inlineStr">
        <is>
          <t>Closed</t>
        </is>
      </c>
      <c r="E35" s="467" t="inlineStr">
        <is>
          <t>2297152000000079672</t>
        </is>
      </c>
      <c r="F35" s="467" t="inlineStr">
        <is>
          <t>Chetan Dedhia</t>
        </is>
      </c>
      <c r="G35" s="467" t="inlineStr">
        <is>
          <t>MH</t>
        </is>
      </c>
      <c r="H35" s="467" t="inlineStr">
        <is>
          <t>27-Maharashtra</t>
        </is>
      </c>
      <c r="I35" s="467" t="inlineStr">
        <is>
          <t>business_none</t>
        </is>
      </c>
      <c r="J35" s="467" t="inlineStr">
        <is>
          <t>false</t>
        </is>
      </c>
      <c r="K35" s="466" t="n">
        <v>45763</v>
      </c>
      <c r="L35" s="467" t="n"/>
      <c r="M35" s="467" t="inlineStr">
        <is>
          <t>INR</t>
        </is>
      </c>
      <c r="N35" s="467" t="n">
        <v>1</v>
      </c>
      <c r="O35" s="467" t="inlineStr">
        <is>
          <t>item_level</t>
        </is>
      </c>
      <c r="P35" s="467" t="inlineStr">
        <is>
          <t>true</t>
        </is>
      </c>
      <c r="Q35" s="467" t="inlineStr">
        <is>
          <t>Tax Invoice</t>
        </is>
      </c>
      <c r="R35" s="467" t="inlineStr">
        <is>
          <t>0.00</t>
        </is>
      </c>
      <c r="S35" s="467" t="n"/>
      <c r="T35" s="467" t="n"/>
      <c r="U35" s="467" t="inlineStr">
        <is>
          <t>item_level</t>
        </is>
      </c>
      <c r="V35" s="467" t="n"/>
      <c r="W35" s="467" t="inlineStr">
        <is>
          <t>0.00</t>
        </is>
      </c>
      <c r="X35" s="467" t="n"/>
      <c r="Y35" s="467" t="n"/>
      <c r="Z35" s="467" t="inlineStr">
        <is>
          <t>0.000</t>
        </is>
      </c>
      <c r="AA35" s="467" t="n">
        <v>15000</v>
      </c>
      <c r="AB35" s="467" t="n">
        <v>17700</v>
      </c>
      <c r="AC35" s="467" t="n">
        <v>0</v>
      </c>
      <c r="AD35" s="467" t="n">
        <v>0</v>
      </c>
      <c r="AE35" s="467" t="inlineStr">
        <is>
          <t>Adjustment</t>
        </is>
      </c>
      <c r="AF35" s="467" t="n"/>
      <c r="AG35" s="466" t="n">
        <v>45763</v>
      </c>
      <c r="AH35" s="467" t="inlineStr">
        <is>
          <t>0</t>
        </is>
      </c>
      <c r="AI35" s="467" t="inlineStr">
        <is>
          <t>Due On Receipt</t>
        </is>
      </c>
      <c r="AJ35" s="467" t="inlineStr">
        <is>
          <t>Thanks for your business.</t>
        </is>
      </c>
      <c r="AK35" s="467" t="n"/>
      <c r="AL35" s="467" t="n"/>
      <c r="AM35" s="467" t="n"/>
      <c r="AN35" s="467" t="n"/>
      <c r="AO35" s="467" t="n"/>
      <c r="AP35" s="467" t="n"/>
      <c r="AQ35" s="467" t="n"/>
      <c r="AR35" s="467" t="n"/>
      <c r="AS35" s="467" t="n"/>
      <c r="AT35" s="467" t="inlineStr">
        <is>
          <t>Invoice</t>
        </is>
      </c>
      <c r="AU35" s="467" t="inlineStr">
        <is>
          <t>0.0</t>
        </is>
      </c>
      <c r="AV35" s="467" t="n">
        <v>0</v>
      </c>
      <c r="AW35" s="467" t="n"/>
      <c r="AX35" s="467" t="n"/>
      <c r="AY35" s="467" t="n"/>
      <c r="AZ35" s="467" t="n"/>
      <c r="BA35" s="467" t="n"/>
      <c r="BB35" s="467" t="n"/>
      <c r="BC35" s="467" t="n"/>
      <c r="BD35" s="467" t="inlineStr">
        <is>
          <t>Jurisphere Enterprise Subscription</t>
        </is>
      </c>
      <c r="BE35" s="468" t="inlineStr">
        <is>
          <t xml:space="preserve">Subscription Period- 1 month
Description- 1 month access of 4 licenses for unlimited usage (litigation) </t>
        </is>
      </c>
      <c r="BF35" s="467" t="n">
        <v>1</v>
      </c>
      <c r="BG35" s="467" t="inlineStr">
        <is>
          <t>0.00</t>
        </is>
      </c>
      <c r="BH35" s="467" t="inlineStr">
        <is>
          <t>0.00</t>
        </is>
      </c>
      <c r="BI35" s="467" t="n">
        <v>15000</v>
      </c>
      <c r="BJ35" s="467" t="inlineStr">
        <is>
          <t>pcs</t>
        </is>
      </c>
      <c r="BK35" s="467" t="n">
        <v>15000</v>
      </c>
      <c r="BL35" s="467" t="inlineStr">
        <is>
          <t>2297152000000039748</t>
        </is>
      </c>
      <c r="BM35" s="467" t="n"/>
      <c r="BN35" s="467" t="n"/>
      <c r="BO35" s="467" t="n"/>
      <c r="BP35" s="467" t="n"/>
      <c r="BQ35" s="467" t="n"/>
      <c r="BR35" s="467" t="n"/>
      <c r="BS35" s="467" t="n"/>
      <c r="BT35" s="467" t="inlineStr">
        <is>
          <t>Mumbai</t>
        </is>
      </c>
      <c r="BU35" s="467" t="inlineStr">
        <is>
          <t>Maharashtra</t>
        </is>
      </c>
      <c r="BV35" s="467" t="inlineStr">
        <is>
          <t>India</t>
        </is>
      </c>
      <c r="BW35" s="467" t="n"/>
      <c r="BX35" s="467" t="n"/>
      <c r="BY35" s="467" t="n"/>
      <c r="BZ35" s="467" t="n"/>
      <c r="CA35" s="467" t="n"/>
      <c r="CB35" s="467" t="n"/>
      <c r="CC35" s="467" t="inlineStr">
        <is>
          <t>Mumbai</t>
        </is>
      </c>
      <c r="CD35" s="467" t="inlineStr">
        <is>
          <t>Maharashtra</t>
        </is>
      </c>
      <c r="CE35" s="467" t="inlineStr">
        <is>
          <t>India</t>
        </is>
      </c>
      <c r="CF35" s="467" t="n"/>
      <c r="CG35" s="467" t="n"/>
      <c r="CH35" s="467" t="n"/>
      <c r="CI35" s="467" t="inlineStr">
        <is>
          <t>Coresphere100 Technologies Pvt. Ltd.</t>
        </is>
      </c>
      <c r="CJ35" s="467" t="inlineStr">
        <is>
          <t>09AALCC7037K1Z7</t>
        </is>
      </c>
      <c r="CK35" s="467" t="inlineStr">
        <is>
          <t>16026, 16th Floor, Tower Oakwood,</t>
        </is>
      </c>
      <c r="CL35" s="467" t="inlineStr">
        <is>
          <t>Greater Noida,</t>
        </is>
      </c>
      <c r="CM35" s="467" t="inlineStr">
        <is>
          <t>Uttar Pradesh</t>
        </is>
      </c>
      <c r="CN35" s="467" t="inlineStr">
        <is>
          <t>India</t>
        </is>
      </c>
      <c r="CO35" s="467" t="inlineStr">
        <is>
          <t>201306</t>
        </is>
      </c>
      <c r="CP35" s="467" t="inlineStr">
        <is>
          <t>8928163657</t>
        </is>
      </c>
      <c r="CQ35" s="467" t="inlineStr">
        <is>
          <t>manas@jurisphere.ai</t>
        </is>
      </c>
      <c r="CR35" s="467" t="inlineStr">
        <is>
          <t>0.00</t>
        </is>
      </c>
      <c r="CS35" s="467" t="inlineStr">
        <is>
          <t>0.00</t>
        </is>
      </c>
      <c r="CT35" s="467" t="inlineStr">
        <is>
          <t>18.00</t>
        </is>
      </c>
      <c r="CU35" s="467" t="inlineStr">
        <is>
          <t>0.00</t>
        </is>
      </c>
      <c r="CV35" s="467" t="inlineStr">
        <is>
          <t>0.00</t>
        </is>
      </c>
      <c r="CW35" s="467" t="inlineStr">
        <is>
          <t>0.00</t>
        </is>
      </c>
      <c r="CX35" s="467" t="inlineStr">
        <is>
          <t>2700.00</t>
        </is>
      </c>
      <c r="CY35" s="467" t="inlineStr">
        <is>
          <t>0.00</t>
        </is>
      </c>
      <c r="CZ35" s="467" t="inlineStr">
        <is>
          <t>0.00</t>
        </is>
      </c>
      <c r="DA35" s="467" t="inlineStr">
        <is>
          <t>0.00</t>
        </is>
      </c>
      <c r="DB35" s="467" t="inlineStr">
        <is>
          <t>2700.00</t>
        </is>
      </c>
      <c r="DC35" s="467" t="inlineStr">
        <is>
          <t>0.00</t>
        </is>
      </c>
      <c r="DD35" s="467" t="n"/>
      <c r="DE35" s="467" t="n"/>
      <c r="DF35" s="467" t="n"/>
      <c r="DG35" s="467" t="n"/>
      <c r="DH35" s="467" t="n"/>
      <c r="DI35" s="467" t="inlineStr">
        <is>
          <t>0.000</t>
        </is>
      </c>
      <c r="DJ35" s="467" t="n"/>
      <c r="DK35" s="467" t="n"/>
      <c r="DL35" s="467" t="n"/>
      <c r="DM35" s="467" t="n"/>
      <c r="DN35" s="467" t="n"/>
      <c r="DO35" s="467" t="n"/>
      <c r="DP35" s="467" t="inlineStr">
        <is>
          <t>998313</t>
        </is>
      </c>
      <c r="DQ35" s="467" t="n">
        <v>0</v>
      </c>
      <c r="DR35" s="467" t="n"/>
      <c r="DS35" s="467" t="n"/>
      <c r="DT35" s="467" t="n"/>
      <c r="DU35" s="467" t="n"/>
      <c r="DV35" s="467" t="n"/>
      <c r="DW35" s="467" t="n"/>
      <c r="DX35" s="467" t="inlineStr">
        <is>
          <t>service</t>
        </is>
      </c>
      <c r="DY35" s="467" t="n"/>
      <c r="DZ35" s="467" t="n"/>
      <c r="EA35" s="467" t="n"/>
      <c r="EB35" s="467" t="n"/>
      <c r="EC35" s="467" t="n"/>
      <c r="ED35" s="467" t="n"/>
      <c r="EE35" s="467" t="n"/>
      <c r="EF35" s="467" t="n"/>
      <c r="EG35" s="467" t="n"/>
      <c r="EH35" s="467" t="inlineStr">
        <is>
          <t>Others</t>
        </is>
      </c>
      <c r="EI35" s="467" t="n"/>
      <c r="EJ35" s="467" t="n"/>
      <c r="EK35" s="467" t="inlineStr">
        <is>
          <t>Sales</t>
        </is>
      </c>
      <c r="EL35" s="467" t="n"/>
      <c r="EM35" s="467" t="inlineStr">
        <is>
          <t>Taxable</t>
        </is>
      </c>
      <c r="EN35" s="467" t="inlineStr">
        <is>
          <t>2297152000000031111</t>
        </is>
      </c>
      <c r="EO35" s="467" t="inlineStr">
        <is>
          <t>IGST18</t>
        </is>
      </c>
      <c r="EP35" s="467" t="inlineStr">
        <is>
          <t>18.00</t>
        </is>
      </c>
      <c r="EQ35" s="467" t="n">
        <v>2700</v>
      </c>
      <c r="ER35" s="467" t="inlineStr">
        <is>
          <t>ItemAmount</t>
        </is>
      </c>
      <c r="ES35" s="467" t="n"/>
      <c r="ET35" s="467" t="n"/>
    </row>
    <row r="36" ht="39.55" customHeight="1" s="253">
      <c r="A36" s="466" t="n">
        <v>45763</v>
      </c>
      <c r="B36" s="467" t="inlineStr">
        <is>
          <t>2297152000000079806</t>
        </is>
      </c>
      <c r="C36" s="467" t="inlineStr">
        <is>
          <t>INV-25-26-000037</t>
        </is>
      </c>
      <c r="D36" s="467" t="inlineStr">
        <is>
          <t>Closed</t>
        </is>
      </c>
      <c r="E36" s="467" t="inlineStr">
        <is>
          <t>2297152000000079790</t>
        </is>
      </c>
      <c r="F36" s="467" t="inlineStr">
        <is>
          <t>NC Legal</t>
        </is>
      </c>
      <c r="G36" s="467" t="inlineStr">
        <is>
          <t>DL</t>
        </is>
      </c>
      <c r="H36" s="467" t="inlineStr">
        <is>
          <t>07-Delhi</t>
        </is>
      </c>
      <c r="I36" s="467" t="inlineStr">
        <is>
          <t>business_none</t>
        </is>
      </c>
      <c r="J36" s="467" t="inlineStr">
        <is>
          <t>false</t>
        </is>
      </c>
      <c r="K36" s="466" t="n">
        <v>45763</v>
      </c>
      <c r="L36" s="467" t="n"/>
      <c r="M36" s="467" t="inlineStr">
        <is>
          <t>INR</t>
        </is>
      </c>
      <c r="N36" s="467" t="n">
        <v>1</v>
      </c>
      <c r="O36" s="467" t="inlineStr">
        <is>
          <t>item_level</t>
        </is>
      </c>
      <c r="P36" s="467" t="inlineStr">
        <is>
          <t>true</t>
        </is>
      </c>
      <c r="Q36" s="467" t="inlineStr">
        <is>
          <t>Tax Invoice</t>
        </is>
      </c>
      <c r="R36" s="467" t="inlineStr">
        <is>
          <t>0.00</t>
        </is>
      </c>
      <c r="S36" s="467" t="n"/>
      <c r="T36" s="467" t="n"/>
      <c r="U36" s="467" t="inlineStr">
        <is>
          <t>item_level</t>
        </is>
      </c>
      <c r="V36" s="467" t="n"/>
      <c r="W36" s="467" t="inlineStr">
        <is>
          <t>0.00</t>
        </is>
      </c>
      <c r="X36" s="467" t="n"/>
      <c r="Y36" s="467" t="n"/>
      <c r="Z36" s="467" t="inlineStr">
        <is>
          <t>0.000</t>
        </is>
      </c>
      <c r="AA36" s="467" t="n">
        <v>68000</v>
      </c>
      <c r="AB36" s="467" t="n">
        <v>80240</v>
      </c>
      <c r="AC36" s="467" t="n">
        <v>0</v>
      </c>
      <c r="AD36" s="467" t="n">
        <v>0</v>
      </c>
      <c r="AE36" s="467" t="inlineStr">
        <is>
          <t>Adjustment</t>
        </is>
      </c>
      <c r="AF36" s="467" t="n"/>
      <c r="AG36" s="466" t="n">
        <v>45764</v>
      </c>
      <c r="AH36" s="467" t="inlineStr">
        <is>
          <t>0</t>
        </is>
      </c>
      <c r="AI36" s="467" t="inlineStr">
        <is>
          <t>Due On Receipt</t>
        </is>
      </c>
      <c r="AJ36" s="467" t="inlineStr">
        <is>
          <t>Thanks for your business.</t>
        </is>
      </c>
      <c r="AK36" s="467" t="n"/>
      <c r="AL36" s="467" t="n"/>
      <c r="AM36" s="467" t="n"/>
      <c r="AN36" s="467" t="n"/>
      <c r="AO36" s="467" t="n"/>
      <c r="AP36" s="467" t="n"/>
      <c r="AQ36" s="467" t="n"/>
      <c r="AR36" s="467" t="n"/>
      <c r="AS36" s="467" t="n"/>
      <c r="AT36" s="467" t="inlineStr">
        <is>
          <t>Invoice</t>
        </is>
      </c>
      <c r="AU36" s="467" t="inlineStr">
        <is>
          <t>0.0</t>
        </is>
      </c>
      <c r="AV36" s="467" t="n">
        <v>0</v>
      </c>
      <c r="AW36" s="467" t="n"/>
      <c r="AX36" s="467" t="n"/>
      <c r="AY36" s="467" t="n"/>
      <c r="AZ36" s="467" t="n"/>
      <c r="BA36" s="467" t="n"/>
      <c r="BB36" s="467" t="n"/>
      <c r="BC36" s="467" t="n"/>
      <c r="BD36" s="467" t="inlineStr">
        <is>
          <t>Jurisphere Enterprise Subscription</t>
        </is>
      </c>
      <c r="BE36" s="468" t="inlineStr">
        <is>
          <t>Subscription Period- from 1st May 25 to 30th Apr 26
Description- One license for one year with Unlimited tool- No MCA No Doc Table.</t>
        </is>
      </c>
      <c r="BF36" s="467" t="n">
        <v>1</v>
      </c>
      <c r="BG36" s="467" t="inlineStr">
        <is>
          <t>0.00</t>
        </is>
      </c>
      <c r="BH36" s="467" t="inlineStr">
        <is>
          <t>0.00</t>
        </is>
      </c>
      <c r="BI36" s="467" t="n">
        <v>68000</v>
      </c>
      <c r="BJ36" s="467" t="inlineStr">
        <is>
          <t>pcs</t>
        </is>
      </c>
      <c r="BK36" s="467" t="n">
        <v>68000</v>
      </c>
      <c r="BL36" s="467" t="inlineStr">
        <is>
          <t>2297152000000039748</t>
        </is>
      </c>
      <c r="BM36" s="467" t="n"/>
      <c r="BN36" s="467" t="n"/>
      <c r="BO36" s="467" t="n"/>
      <c r="BP36" s="467" t="n"/>
      <c r="BQ36" s="467" t="n"/>
      <c r="BR36" s="467" t="inlineStr">
        <is>
          <t>B-22, Ground Floor,</t>
        </is>
      </c>
      <c r="BS36" s="467" t="inlineStr">
        <is>
          <t>Jungpura Extension,</t>
        </is>
      </c>
      <c r="BT36" s="467" t="inlineStr">
        <is>
          <t>New Delhi</t>
        </is>
      </c>
      <c r="BU36" s="467" t="inlineStr">
        <is>
          <t>Delhi</t>
        </is>
      </c>
      <c r="BV36" s="467" t="inlineStr">
        <is>
          <t>India</t>
        </is>
      </c>
      <c r="BW36" s="467" t="inlineStr">
        <is>
          <t>110014</t>
        </is>
      </c>
      <c r="BX36" s="467" t="n"/>
      <c r="BY36" s="467" t="n"/>
      <c r="BZ36" s="467" t="n"/>
      <c r="CA36" s="467" t="inlineStr">
        <is>
          <t>B-22, Ground Floor,</t>
        </is>
      </c>
      <c r="CB36" s="467" t="inlineStr">
        <is>
          <t>Jungpura Extension,</t>
        </is>
      </c>
      <c r="CC36" s="467" t="inlineStr">
        <is>
          <t>New Delhi</t>
        </is>
      </c>
      <c r="CD36" s="467" t="inlineStr">
        <is>
          <t>Delhi</t>
        </is>
      </c>
      <c r="CE36" s="467" t="inlineStr">
        <is>
          <t>India</t>
        </is>
      </c>
      <c r="CF36" s="467" t="inlineStr">
        <is>
          <t>110014</t>
        </is>
      </c>
      <c r="CG36" s="467" t="n"/>
      <c r="CH36" s="467" t="n"/>
      <c r="CI36" s="467" t="inlineStr">
        <is>
          <t>Coresphere100 Technologies Pvt. Ltd.</t>
        </is>
      </c>
      <c r="CJ36" s="467" t="inlineStr">
        <is>
          <t>09AALCC7037K1Z7</t>
        </is>
      </c>
      <c r="CK36" s="467" t="inlineStr">
        <is>
          <t>16026, 16th Floor, Tower Oakwood,</t>
        </is>
      </c>
      <c r="CL36" s="467" t="inlineStr">
        <is>
          <t>Greater Noida,</t>
        </is>
      </c>
      <c r="CM36" s="467" t="inlineStr">
        <is>
          <t>Uttar Pradesh</t>
        </is>
      </c>
      <c r="CN36" s="467" t="inlineStr">
        <is>
          <t>India</t>
        </is>
      </c>
      <c r="CO36" s="467" t="inlineStr">
        <is>
          <t>201306</t>
        </is>
      </c>
      <c r="CP36" s="467" t="inlineStr">
        <is>
          <t>8928163657</t>
        </is>
      </c>
      <c r="CQ36" s="467" t="inlineStr">
        <is>
          <t>manas@jurisphere.ai</t>
        </is>
      </c>
      <c r="CR36" s="467" t="inlineStr">
        <is>
          <t>0.00</t>
        </is>
      </c>
      <c r="CS36" s="467" t="inlineStr">
        <is>
          <t>0.00</t>
        </is>
      </c>
      <c r="CT36" s="467" t="inlineStr">
        <is>
          <t>18.00</t>
        </is>
      </c>
      <c r="CU36" s="467" t="inlineStr">
        <is>
          <t>0.00</t>
        </is>
      </c>
      <c r="CV36" s="467" t="inlineStr">
        <is>
          <t>0.00</t>
        </is>
      </c>
      <c r="CW36" s="467" t="inlineStr">
        <is>
          <t>0.00</t>
        </is>
      </c>
      <c r="CX36" s="467" t="inlineStr">
        <is>
          <t>12240.00</t>
        </is>
      </c>
      <c r="CY36" s="467" t="inlineStr">
        <is>
          <t>0.00</t>
        </is>
      </c>
      <c r="CZ36" s="467" t="inlineStr">
        <is>
          <t>0.00</t>
        </is>
      </c>
      <c r="DA36" s="467" t="inlineStr">
        <is>
          <t>0.00</t>
        </is>
      </c>
      <c r="DB36" s="467" t="inlineStr">
        <is>
          <t>12240.00</t>
        </is>
      </c>
      <c r="DC36" s="467" t="inlineStr">
        <is>
          <t>0.00</t>
        </is>
      </c>
      <c r="DD36" s="467" t="n"/>
      <c r="DE36" s="467" t="n"/>
      <c r="DF36" s="467" t="n"/>
      <c r="DG36" s="467" t="n"/>
      <c r="DH36" s="467" t="n"/>
      <c r="DI36" s="467" t="inlineStr">
        <is>
          <t>0.000</t>
        </is>
      </c>
      <c r="DJ36" s="467" t="n"/>
      <c r="DK36" s="467" t="n"/>
      <c r="DL36" s="467" t="n"/>
      <c r="DM36" s="467" t="n"/>
      <c r="DN36" s="467" t="n"/>
      <c r="DO36" s="467" t="n"/>
      <c r="DP36" s="467" t="inlineStr">
        <is>
          <t>998313</t>
        </is>
      </c>
      <c r="DQ36" s="467" t="n">
        <v>0</v>
      </c>
      <c r="DR36" s="467" t="n"/>
      <c r="DS36" s="467" t="n"/>
      <c r="DT36" s="467" t="inlineStr">
        <is>
          <t>admin@nclegal.co</t>
        </is>
      </c>
      <c r="DU36" s="467" t="n"/>
      <c r="DV36" s="467" t="n"/>
      <c r="DW36" s="467" t="n"/>
      <c r="DX36" s="467" t="inlineStr">
        <is>
          <t>service</t>
        </is>
      </c>
      <c r="DY36" s="467" t="n"/>
      <c r="DZ36" s="467" t="n"/>
      <c r="EA36" s="467" t="n"/>
      <c r="EB36" s="467" t="n"/>
      <c r="EC36" s="467" t="n"/>
      <c r="ED36" s="467" t="n"/>
      <c r="EE36" s="467" t="n"/>
      <c r="EF36" s="467" t="n"/>
      <c r="EG36" s="467" t="n"/>
      <c r="EH36" s="467" t="inlineStr">
        <is>
          <t>Others</t>
        </is>
      </c>
      <c r="EI36" s="467" t="n"/>
      <c r="EJ36" s="467" t="n"/>
      <c r="EK36" s="467" t="inlineStr">
        <is>
          <t>Sales</t>
        </is>
      </c>
      <c r="EL36" s="467" t="n"/>
      <c r="EM36" s="467" t="inlineStr">
        <is>
          <t>Taxable</t>
        </is>
      </c>
      <c r="EN36" s="467" t="inlineStr">
        <is>
          <t>2297152000000031111</t>
        </is>
      </c>
      <c r="EO36" s="467" t="inlineStr">
        <is>
          <t>IGST18</t>
        </is>
      </c>
      <c r="EP36" s="467" t="inlineStr">
        <is>
          <t>18.00</t>
        </is>
      </c>
      <c r="EQ36" s="467" t="n">
        <v>12240</v>
      </c>
      <c r="ER36" s="467" t="inlineStr">
        <is>
          <t>ItemAmount</t>
        </is>
      </c>
      <c r="ES36" s="467" t="n"/>
      <c r="ET36" s="467" t="n"/>
    </row>
    <row r="37" ht="39.55" customHeight="1" s="253">
      <c r="A37" s="466" t="n">
        <v>45765</v>
      </c>
      <c r="B37" s="467" t="inlineStr">
        <is>
          <t>2297152000000087017</t>
        </is>
      </c>
      <c r="C37" s="467" t="inlineStr">
        <is>
          <t>INV-25-26-000038</t>
        </is>
      </c>
      <c r="D37" s="467" t="inlineStr">
        <is>
          <t>Closed</t>
        </is>
      </c>
      <c r="E37" s="467" t="inlineStr">
        <is>
          <t>2297152000000087001</t>
        </is>
      </c>
      <c r="F37" s="467" t="inlineStr">
        <is>
          <t>Aakash Sharma</t>
        </is>
      </c>
      <c r="G37" s="467" t="inlineStr">
        <is>
          <t>UP</t>
        </is>
      </c>
      <c r="H37" s="467" t="inlineStr">
        <is>
          <t>09-Uttar Pradesh</t>
        </is>
      </c>
      <c r="I37" s="467" t="inlineStr">
        <is>
          <t>business_none</t>
        </is>
      </c>
      <c r="J37" s="467" t="inlineStr">
        <is>
          <t>false</t>
        </is>
      </c>
      <c r="K37" s="466" t="n">
        <v>45765</v>
      </c>
      <c r="L37" s="467" t="n"/>
      <c r="M37" s="467" t="inlineStr">
        <is>
          <t>INR</t>
        </is>
      </c>
      <c r="N37" s="467" t="n">
        <v>1</v>
      </c>
      <c r="O37" s="467" t="inlineStr">
        <is>
          <t>item_level</t>
        </is>
      </c>
      <c r="P37" s="467" t="inlineStr">
        <is>
          <t>true</t>
        </is>
      </c>
      <c r="Q37" s="467" t="inlineStr">
        <is>
          <t>Tax Invoice</t>
        </is>
      </c>
      <c r="R37" s="467" t="inlineStr">
        <is>
          <t>0.00</t>
        </is>
      </c>
      <c r="S37" s="467" t="n"/>
      <c r="T37" s="467" t="n"/>
      <c r="U37" s="467" t="inlineStr">
        <is>
          <t>item_level</t>
        </is>
      </c>
      <c r="V37" s="467" t="n"/>
      <c r="W37" s="467" t="inlineStr">
        <is>
          <t>0.00</t>
        </is>
      </c>
      <c r="X37" s="467" t="n"/>
      <c r="Y37" s="467" t="n"/>
      <c r="Z37" s="467" t="inlineStr">
        <is>
          <t>0.000</t>
        </is>
      </c>
      <c r="AA37" s="467" t="n">
        <v>5000</v>
      </c>
      <c r="AB37" s="467" t="n">
        <v>5900</v>
      </c>
      <c r="AC37" s="467" t="n">
        <v>0</v>
      </c>
      <c r="AD37" s="467" t="n">
        <v>0</v>
      </c>
      <c r="AE37" s="467" t="inlineStr">
        <is>
          <t>Adjustment</t>
        </is>
      </c>
      <c r="AF37" s="467" t="n"/>
      <c r="AG37" s="466" t="n">
        <v>45765</v>
      </c>
      <c r="AH37" s="467" t="inlineStr">
        <is>
          <t>0</t>
        </is>
      </c>
      <c r="AI37" s="467" t="inlineStr">
        <is>
          <t>Due On Receipt</t>
        </is>
      </c>
      <c r="AJ37" s="467" t="inlineStr">
        <is>
          <t>Thanks for your business.</t>
        </is>
      </c>
      <c r="AK37" s="467" t="n"/>
      <c r="AL37" s="467" t="n"/>
      <c r="AM37" s="467" t="n"/>
      <c r="AN37" s="467" t="n"/>
      <c r="AO37" s="467" t="n"/>
      <c r="AP37" s="467" t="n"/>
      <c r="AQ37" s="467" t="n"/>
      <c r="AR37" s="467" t="n"/>
      <c r="AS37" s="467" t="n"/>
      <c r="AT37" s="467" t="inlineStr">
        <is>
          <t>Invoice</t>
        </is>
      </c>
      <c r="AU37" s="467" t="inlineStr">
        <is>
          <t>0.0</t>
        </is>
      </c>
      <c r="AV37" s="467" t="n">
        <v>0</v>
      </c>
      <c r="AW37" s="467" t="n"/>
      <c r="AX37" s="467" t="n"/>
      <c r="AY37" s="467" t="n"/>
      <c r="AZ37" s="467" t="n"/>
      <c r="BA37" s="467" t="n"/>
      <c r="BB37" s="467" t="n"/>
      <c r="BC37" s="467" t="n"/>
      <c r="BD37" s="467" t="inlineStr">
        <is>
          <t>Jurisphere Enterprise Subscription</t>
        </is>
      </c>
      <c r="BE37" s="468" t="inlineStr">
        <is>
          <t>Subscription Period- 1 month
Description- 1 month access for 1 licens for unlimited usage for Research, DocReview, Translation and List of Dates</t>
        </is>
      </c>
      <c r="BF37" s="467" t="n">
        <v>1</v>
      </c>
      <c r="BG37" s="467" t="inlineStr">
        <is>
          <t>0.00</t>
        </is>
      </c>
      <c r="BH37" s="467" t="inlineStr">
        <is>
          <t>0.00</t>
        </is>
      </c>
      <c r="BI37" s="467" t="n">
        <v>5000</v>
      </c>
      <c r="BJ37" s="467" t="inlineStr">
        <is>
          <t>pcs</t>
        </is>
      </c>
      <c r="BK37" s="467" t="n">
        <v>5000</v>
      </c>
      <c r="BL37" s="467" t="inlineStr">
        <is>
          <t>2297152000000039748</t>
        </is>
      </c>
      <c r="BM37" s="467" t="n"/>
      <c r="BN37" s="467" t="n"/>
      <c r="BO37" s="467" t="n"/>
      <c r="BP37" s="467" t="n"/>
      <c r="BQ37" s="467" t="n"/>
      <c r="BR37" s="467" t="inlineStr">
        <is>
          <t>VR Legal Advocates and Consultants to be precise</t>
        </is>
      </c>
      <c r="BS37" s="467" t="n"/>
      <c r="BT37" s="467" t="inlineStr">
        <is>
          <t>Allahabad</t>
        </is>
      </c>
      <c r="BU37" s="467" t="inlineStr">
        <is>
          <t>Uttar Pradesh</t>
        </is>
      </c>
      <c r="BV37" s="467" t="inlineStr">
        <is>
          <t>India</t>
        </is>
      </c>
      <c r="BW37" s="467" t="n"/>
      <c r="BX37" s="467" t="n"/>
      <c r="BY37" s="467" t="n"/>
      <c r="BZ37" s="467" t="n"/>
      <c r="CA37" s="467" t="inlineStr">
        <is>
          <t>VR Legal Advocates and Consultants to be precise</t>
        </is>
      </c>
      <c r="CB37" s="467" t="n"/>
      <c r="CC37" s="467" t="inlineStr">
        <is>
          <t>Allahabad</t>
        </is>
      </c>
      <c r="CD37" s="467" t="inlineStr">
        <is>
          <t>Uttar Pradesh</t>
        </is>
      </c>
      <c r="CE37" s="467" t="inlineStr">
        <is>
          <t>India</t>
        </is>
      </c>
      <c r="CF37" s="467" t="n"/>
      <c r="CG37" s="467" t="n"/>
      <c r="CH37" s="467" t="n"/>
      <c r="CI37" s="467" t="inlineStr">
        <is>
          <t>Coresphere100 Technologies Pvt. Ltd.</t>
        </is>
      </c>
      <c r="CJ37" s="467" t="inlineStr">
        <is>
          <t>09AALCC7037K1Z7</t>
        </is>
      </c>
      <c r="CK37" s="467" t="inlineStr">
        <is>
          <t>16026, 16th Floor, Tower Oakwood,</t>
        </is>
      </c>
      <c r="CL37" s="467" t="inlineStr">
        <is>
          <t>Greater Noida,</t>
        </is>
      </c>
      <c r="CM37" s="467" t="inlineStr">
        <is>
          <t>Uttar Pradesh</t>
        </is>
      </c>
      <c r="CN37" s="467" t="inlineStr">
        <is>
          <t>India</t>
        </is>
      </c>
      <c r="CO37" s="467" t="inlineStr">
        <is>
          <t>201306</t>
        </is>
      </c>
      <c r="CP37" s="467" t="inlineStr">
        <is>
          <t>8928163657</t>
        </is>
      </c>
      <c r="CQ37" s="467" t="inlineStr">
        <is>
          <t>manas@jurisphere.ai</t>
        </is>
      </c>
      <c r="CR37" s="467" t="inlineStr">
        <is>
          <t>9.00</t>
        </is>
      </c>
      <c r="CS37" s="467" t="inlineStr">
        <is>
          <t>9.00</t>
        </is>
      </c>
      <c r="CT37" s="467" t="inlineStr">
        <is>
          <t>0.00</t>
        </is>
      </c>
      <c r="CU37" s="467" t="inlineStr">
        <is>
          <t>0.00</t>
        </is>
      </c>
      <c r="CV37" s="467" t="inlineStr">
        <is>
          <t>450.00</t>
        </is>
      </c>
      <c r="CW37" s="467" t="inlineStr">
        <is>
          <t>450.00</t>
        </is>
      </c>
      <c r="CX37" s="467" t="inlineStr">
        <is>
          <t>0.00</t>
        </is>
      </c>
      <c r="CY37" s="467" t="inlineStr">
        <is>
          <t>0.00</t>
        </is>
      </c>
      <c r="CZ37" s="467" t="inlineStr">
        <is>
          <t>450.00</t>
        </is>
      </c>
      <c r="DA37" s="467" t="inlineStr">
        <is>
          <t>450.00</t>
        </is>
      </c>
      <c r="DB37" s="467" t="inlineStr">
        <is>
          <t>0.00</t>
        </is>
      </c>
      <c r="DC37" s="467" t="inlineStr">
        <is>
          <t>0.00</t>
        </is>
      </c>
      <c r="DD37" s="467" t="n"/>
      <c r="DE37" s="467" t="n"/>
      <c r="DF37" s="467" t="n"/>
      <c r="DG37" s="467" t="n"/>
      <c r="DH37" s="467" t="n"/>
      <c r="DI37" s="467" t="inlineStr">
        <is>
          <t>0.000</t>
        </is>
      </c>
      <c r="DJ37" s="467" t="n"/>
      <c r="DK37" s="467" t="n"/>
      <c r="DL37" s="467" t="n"/>
      <c r="DM37" s="467" t="n"/>
      <c r="DN37" s="467" t="n"/>
      <c r="DO37" s="467" t="n"/>
      <c r="DP37" s="467" t="inlineStr">
        <is>
          <t>998313</t>
        </is>
      </c>
      <c r="DQ37" s="467" t="n">
        <v>0</v>
      </c>
      <c r="DR37" s="467" t="n"/>
      <c r="DS37" s="467" t="n"/>
      <c r="DT37" s="467" t="n"/>
      <c r="DU37" s="467" t="n"/>
      <c r="DV37" s="467" t="n"/>
      <c r="DW37" s="467" t="n"/>
      <c r="DX37" s="467" t="inlineStr">
        <is>
          <t>service</t>
        </is>
      </c>
      <c r="DY37" s="467" t="n"/>
      <c r="DZ37" s="467" t="n"/>
      <c r="EA37" s="467" t="n"/>
      <c r="EB37" s="467" t="n"/>
      <c r="EC37" s="467" t="n"/>
      <c r="ED37" s="467" t="n"/>
      <c r="EE37" s="467" t="n"/>
      <c r="EF37" s="467" t="n"/>
      <c r="EG37" s="467" t="n"/>
      <c r="EH37" s="467" t="inlineStr">
        <is>
          <t>Others</t>
        </is>
      </c>
      <c r="EI37" s="467" t="n"/>
      <c r="EJ37" s="467" t="n"/>
      <c r="EK37" s="467" t="inlineStr">
        <is>
          <t>Sales</t>
        </is>
      </c>
      <c r="EL37" s="467" t="n"/>
      <c r="EM37" s="467" t="inlineStr">
        <is>
          <t>Taxable</t>
        </is>
      </c>
      <c r="EN37" s="467" t="inlineStr">
        <is>
          <t>2297152000000031213</t>
        </is>
      </c>
      <c r="EO37" s="467" t="inlineStr">
        <is>
          <t>GST18</t>
        </is>
      </c>
      <c r="EP37" s="467" t="inlineStr">
        <is>
          <t>18.00</t>
        </is>
      </c>
      <c r="EQ37" s="467" t="n">
        <v>900</v>
      </c>
      <c r="ER37" s="467" t="inlineStr">
        <is>
          <t>Tax Group</t>
        </is>
      </c>
      <c r="ES37" s="467" t="n"/>
      <c r="ET37" s="467" t="n"/>
    </row>
    <row r="38" ht="39.55" customHeight="1" s="253">
      <c r="A38" s="466" t="n">
        <v>45768</v>
      </c>
      <c r="B38" s="467" t="inlineStr">
        <is>
          <t>2297152000000096021</t>
        </is>
      </c>
      <c r="C38" s="467" t="inlineStr">
        <is>
          <t>INV-25-26-000039</t>
        </is>
      </c>
      <c r="D38" s="467" t="inlineStr">
        <is>
          <t>Closed</t>
        </is>
      </c>
      <c r="E38" s="467" t="inlineStr">
        <is>
          <t>2297152000000096003</t>
        </is>
      </c>
      <c r="F38" s="467" t="inlineStr">
        <is>
          <t>SAGA LEGAL</t>
        </is>
      </c>
      <c r="G38" s="467" t="inlineStr">
        <is>
          <t>DL</t>
        </is>
      </c>
      <c r="H38" s="467" t="inlineStr">
        <is>
          <t>07-Delhi</t>
        </is>
      </c>
      <c r="I38" s="467" t="inlineStr">
        <is>
          <t>business_gst</t>
        </is>
      </c>
      <c r="J38" s="467" t="inlineStr">
        <is>
          <t>false</t>
        </is>
      </c>
      <c r="K38" s="466" t="n">
        <v>45768</v>
      </c>
      <c r="L38" s="467" t="n"/>
      <c r="M38" s="467" t="inlineStr">
        <is>
          <t>INR</t>
        </is>
      </c>
      <c r="N38" s="467" t="n">
        <v>1</v>
      </c>
      <c r="O38" s="467" t="inlineStr">
        <is>
          <t>item_level</t>
        </is>
      </c>
      <c r="P38" s="467" t="inlineStr">
        <is>
          <t>true</t>
        </is>
      </c>
      <c r="Q38" s="467" t="inlineStr">
        <is>
          <t>Tax Invoice</t>
        </is>
      </c>
      <c r="R38" s="467" t="inlineStr">
        <is>
          <t>0.00</t>
        </is>
      </c>
      <c r="S38" s="467" t="n"/>
      <c r="T38" s="467" t="n"/>
      <c r="U38" s="467" t="inlineStr">
        <is>
          <t>item_level</t>
        </is>
      </c>
      <c r="V38" s="467" t="n"/>
      <c r="W38" s="467" t="inlineStr">
        <is>
          <t>0.00</t>
        </is>
      </c>
      <c r="X38" s="467" t="n"/>
      <c r="Y38" s="467" t="n"/>
      <c r="Z38" s="467" t="inlineStr">
        <is>
          <t>0.000</t>
        </is>
      </c>
      <c r="AA38" s="467" t="n">
        <v>20000</v>
      </c>
      <c r="AB38" s="467" t="n">
        <v>23600</v>
      </c>
      <c r="AC38" s="467" t="n">
        <v>0</v>
      </c>
      <c r="AD38" s="467" t="n">
        <v>0</v>
      </c>
      <c r="AE38" s="467" t="inlineStr">
        <is>
          <t>Adjustment</t>
        </is>
      </c>
      <c r="AF38" s="467" t="n"/>
      <c r="AG38" s="466" t="n">
        <v>45768</v>
      </c>
      <c r="AH38" s="467" t="inlineStr">
        <is>
          <t>0</t>
        </is>
      </c>
      <c r="AI38" s="467" t="inlineStr">
        <is>
          <t>Due On Receipt</t>
        </is>
      </c>
      <c r="AJ38" s="467" t="inlineStr">
        <is>
          <t>Thanks for your business.</t>
        </is>
      </c>
      <c r="AK38" s="467" t="n"/>
      <c r="AL38" s="467" t="n"/>
      <c r="AM38" s="467" t="n"/>
      <c r="AN38" s="467" t="n"/>
      <c r="AO38" s="467" t="n"/>
      <c r="AP38" s="467" t="n"/>
      <c r="AQ38" s="467" t="n"/>
      <c r="AR38" s="467" t="n"/>
      <c r="AS38" s="467" t="n"/>
      <c r="AT38" s="467" t="inlineStr">
        <is>
          <t>Invoice</t>
        </is>
      </c>
      <c r="AU38" s="467" t="inlineStr">
        <is>
          <t>0.0</t>
        </is>
      </c>
      <c r="AV38" s="467" t="n">
        <v>0</v>
      </c>
      <c r="AW38" s="467" t="n"/>
      <c r="AX38" s="467" t="n"/>
      <c r="AY38" s="467" t="n"/>
      <c r="AZ38" s="467" t="n"/>
      <c r="BA38" s="467" t="n"/>
      <c r="BB38" s="467" t="n"/>
      <c r="BC38" s="467" t="n"/>
      <c r="BD38" s="467" t="inlineStr">
        <is>
          <t>Jurisphere Enterprise Subscription</t>
        </is>
      </c>
      <c r="BE38" s="468" t="inlineStr">
        <is>
          <t>Subscription Period- Start from 14  April to 14 May 25
Description- 15 license trial for Unlimited Doc Review, Research, Translation, LOD for Doc table 200 Cells</t>
        </is>
      </c>
      <c r="BF38" s="467" t="n">
        <v>1</v>
      </c>
      <c r="BG38" s="467" t="inlineStr">
        <is>
          <t>0.00</t>
        </is>
      </c>
      <c r="BH38" s="467" t="inlineStr">
        <is>
          <t>0.00</t>
        </is>
      </c>
      <c r="BI38" s="467" t="n">
        <v>20000</v>
      </c>
      <c r="BJ38" s="467" t="inlineStr">
        <is>
          <t>pcs</t>
        </is>
      </c>
      <c r="BK38" s="467" t="n">
        <v>20000</v>
      </c>
      <c r="BL38" s="467" t="inlineStr">
        <is>
          <t>2297152000000039748</t>
        </is>
      </c>
      <c r="BM38" s="467" t="n"/>
      <c r="BN38" s="467" t="n"/>
      <c r="BO38" s="467" t="n"/>
      <c r="BP38" s="467" t="n"/>
      <c r="BQ38" s="467" t="n"/>
      <c r="BR38" s="467" t="inlineStr">
        <is>
          <t>03rd Floor, 248,</t>
        </is>
      </c>
      <c r="BS38" s="468" t="inlineStr">
        <is>
          <t>Okhla Industrial Area,
Phase -3,</t>
        </is>
      </c>
      <c r="BT38" s="467" t="inlineStr">
        <is>
          <t>New Delhi</t>
        </is>
      </c>
      <c r="BU38" s="467" t="inlineStr">
        <is>
          <t>Delhi</t>
        </is>
      </c>
      <c r="BV38" s="467" t="inlineStr">
        <is>
          <t>India</t>
        </is>
      </c>
      <c r="BW38" s="467" t="inlineStr">
        <is>
          <t>110020</t>
        </is>
      </c>
      <c r="BX38" s="467" t="n"/>
      <c r="BY38" s="467" t="n"/>
      <c r="BZ38" s="467" t="n"/>
      <c r="CA38" s="467" t="inlineStr">
        <is>
          <t>03rd Floor, 248,</t>
        </is>
      </c>
      <c r="CB38" s="468" t="inlineStr">
        <is>
          <t>Okhla Industrial Area,
Phase -3,</t>
        </is>
      </c>
      <c r="CC38" s="467" t="inlineStr">
        <is>
          <t>New Delhi</t>
        </is>
      </c>
      <c r="CD38" s="467" t="inlineStr">
        <is>
          <t>Delhi</t>
        </is>
      </c>
      <c r="CE38" s="467" t="inlineStr">
        <is>
          <t>India</t>
        </is>
      </c>
      <c r="CF38" s="467" t="inlineStr">
        <is>
          <t>110020</t>
        </is>
      </c>
      <c r="CG38" s="467" t="n"/>
      <c r="CH38" s="467" t="n"/>
      <c r="CI38" s="467" t="inlineStr">
        <is>
          <t>Coresphere100 Technologies Pvt. Ltd.</t>
        </is>
      </c>
      <c r="CJ38" s="467" t="inlineStr">
        <is>
          <t>09AALCC7037K1Z7</t>
        </is>
      </c>
      <c r="CK38" s="467" t="inlineStr">
        <is>
          <t>16026, 16th Floor, Tower Oakwood,</t>
        </is>
      </c>
      <c r="CL38" s="467" t="inlineStr">
        <is>
          <t>Greater Noida,</t>
        </is>
      </c>
      <c r="CM38" s="467" t="inlineStr">
        <is>
          <t>Uttar Pradesh</t>
        </is>
      </c>
      <c r="CN38" s="467" t="inlineStr">
        <is>
          <t>India</t>
        </is>
      </c>
      <c r="CO38" s="467" t="inlineStr">
        <is>
          <t>201306</t>
        </is>
      </c>
      <c r="CP38" s="467" t="inlineStr">
        <is>
          <t>8928163657</t>
        </is>
      </c>
      <c r="CQ38" s="467" t="inlineStr">
        <is>
          <t>manas@jurisphere.ai</t>
        </is>
      </c>
      <c r="CR38" s="467" t="inlineStr">
        <is>
          <t>0.00</t>
        </is>
      </c>
      <c r="CS38" s="467" t="inlineStr">
        <is>
          <t>0.00</t>
        </is>
      </c>
      <c r="CT38" s="467" t="inlineStr">
        <is>
          <t>18.00</t>
        </is>
      </c>
      <c r="CU38" s="467" t="inlineStr">
        <is>
          <t>0.00</t>
        </is>
      </c>
      <c r="CV38" s="467" t="inlineStr">
        <is>
          <t>0.00</t>
        </is>
      </c>
      <c r="CW38" s="467" t="inlineStr">
        <is>
          <t>0.00</t>
        </is>
      </c>
      <c r="CX38" s="467" t="inlineStr">
        <is>
          <t>3600.00</t>
        </is>
      </c>
      <c r="CY38" s="467" t="inlineStr">
        <is>
          <t>0.00</t>
        </is>
      </c>
      <c r="CZ38" s="467" t="inlineStr">
        <is>
          <t>0.00</t>
        </is>
      </c>
      <c r="DA38" s="467" t="inlineStr">
        <is>
          <t>0.00</t>
        </is>
      </c>
      <c r="DB38" s="467" t="inlineStr">
        <is>
          <t>3600.00</t>
        </is>
      </c>
      <c r="DC38" s="467" t="inlineStr">
        <is>
          <t>0.00</t>
        </is>
      </c>
      <c r="DD38" s="467" t="n"/>
      <c r="DE38" s="467" t="n"/>
      <c r="DF38" s="467" t="n"/>
      <c r="DG38" s="467" t="n"/>
      <c r="DH38" s="467" t="n"/>
      <c r="DI38" s="467" t="inlineStr">
        <is>
          <t>0.000</t>
        </is>
      </c>
      <c r="DJ38" s="467" t="n"/>
      <c r="DK38" s="467" t="n"/>
      <c r="DL38" s="467" t="inlineStr">
        <is>
          <t>07AFCFS2249L1ZQ</t>
        </is>
      </c>
      <c r="DM38" s="467" t="n"/>
      <c r="DN38" s="467" t="n"/>
      <c r="DO38" s="467" t="n"/>
      <c r="DP38" s="467" t="inlineStr">
        <is>
          <t>998313</t>
        </is>
      </c>
      <c r="DQ38" s="467" t="n">
        <v>0</v>
      </c>
      <c r="DR38" s="467" t="n"/>
      <c r="DS38" s="467" t="n"/>
      <c r="DT38" s="467" t="n"/>
      <c r="DU38" s="467" t="n"/>
      <c r="DV38" s="467" t="n"/>
      <c r="DW38" s="467" t="n"/>
      <c r="DX38" s="467" t="inlineStr">
        <is>
          <t>service</t>
        </is>
      </c>
      <c r="DY38" s="467" t="n"/>
      <c r="DZ38" s="467" t="n"/>
      <c r="EA38" s="467" t="n"/>
      <c r="EB38" s="467" t="n"/>
      <c r="EC38" s="467" t="n"/>
      <c r="ED38" s="467" t="n"/>
      <c r="EE38" s="467" t="n"/>
      <c r="EF38" s="467" t="n"/>
      <c r="EG38" s="467" t="n"/>
      <c r="EH38" s="467" t="inlineStr">
        <is>
          <t>Others</t>
        </is>
      </c>
      <c r="EI38" s="467" t="n"/>
      <c r="EJ38" s="467" t="n"/>
      <c r="EK38" s="467" t="inlineStr">
        <is>
          <t>Sales</t>
        </is>
      </c>
      <c r="EL38" s="467" t="n"/>
      <c r="EM38" s="467" t="inlineStr">
        <is>
          <t>Taxable</t>
        </is>
      </c>
      <c r="EN38" s="467" t="inlineStr">
        <is>
          <t>2297152000000031111</t>
        </is>
      </c>
      <c r="EO38" s="467" t="inlineStr">
        <is>
          <t>IGST18</t>
        </is>
      </c>
      <c r="EP38" s="467" t="inlineStr">
        <is>
          <t>18.00</t>
        </is>
      </c>
      <c r="EQ38" s="467" t="n">
        <v>3600</v>
      </c>
      <c r="ER38" s="467" t="inlineStr">
        <is>
          <t>ItemAmount</t>
        </is>
      </c>
      <c r="ES38" s="467" t="n"/>
      <c r="ET38" s="467" t="n"/>
    </row>
    <row r="39" ht="39.55" customHeight="1" s="253">
      <c r="A39" s="466" t="n">
        <v>45769</v>
      </c>
      <c r="B39" s="467" t="inlineStr">
        <is>
          <t>2297152000000099973</t>
        </is>
      </c>
      <c r="C39" s="467" t="inlineStr">
        <is>
          <t>INV-25-26-000040</t>
        </is>
      </c>
      <c r="D39" s="467" t="inlineStr">
        <is>
          <t>Closed</t>
        </is>
      </c>
      <c r="E39" s="467" t="inlineStr">
        <is>
          <t>2297152000000099957</t>
        </is>
      </c>
      <c r="F39" s="467" t="inlineStr">
        <is>
          <t>RPV LEGAL</t>
        </is>
      </c>
      <c r="G39" s="467" t="inlineStr">
        <is>
          <t>DL</t>
        </is>
      </c>
      <c r="H39" s="467" t="inlineStr">
        <is>
          <t>07-Delhi</t>
        </is>
      </c>
      <c r="I39" s="467" t="inlineStr">
        <is>
          <t>business_none</t>
        </is>
      </c>
      <c r="J39" s="467" t="inlineStr">
        <is>
          <t>false</t>
        </is>
      </c>
      <c r="K39" s="466" t="n">
        <v>45769</v>
      </c>
      <c r="L39" s="467" t="n"/>
      <c r="M39" s="467" t="inlineStr">
        <is>
          <t>INR</t>
        </is>
      </c>
      <c r="N39" s="467" t="n">
        <v>1</v>
      </c>
      <c r="O39" s="467" t="inlineStr">
        <is>
          <t>item_level</t>
        </is>
      </c>
      <c r="P39" s="467" t="inlineStr">
        <is>
          <t>true</t>
        </is>
      </c>
      <c r="Q39" s="467" t="inlineStr">
        <is>
          <t>Tax Invoice</t>
        </is>
      </c>
      <c r="R39" s="467" t="inlineStr">
        <is>
          <t>0.00</t>
        </is>
      </c>
      <c r="S39" s="467" t="n"/>
      <c r="T39" s="467" t="n"/>
      <c r="U39" s="467" t="inlineStr">
        <is>
          <t>entity_level</t>
        </is>
      </c>
      <c r="V39" s="467" t="inlineStr">
        <is>
          <t>Technical Fees (2%)</t>
        </is>
      </c>
      <c r="W39" s="467" t="inlineStr">
        <is>
          <t>2.00</t>
        </is>
      </c>
      <c r="X39" s="467" t="inlineStr">
        <is>
          <t>194J</t>
        </is>
      </c>
      <c r="Y39" s="467" t="inlineStr">
        <is>
          <t>Section 194 J</t>
        </is>
      </c>
      <c r="Z39" s="467" t="inlineStr">
        <is>
          <t>2966.100</t>
        </is>
      </c>
      <c r="AA39" s="467" t="n">
        <v>148305</v>
      </c>
      <c r="AB39" s="467" t="n">
        <v>172034</v>
      </c>
      <c r="AC39" s="467" t="n">
        <v>0</v>
      </c>
      <c r="AD39" s="467" t="n">
        <v>0.2</v>
      </c>
      <c r="AE39" s="467" t="inlineStr">
        <is>
          <t>Adjustment</t>
        </is>
      </c>
      <c r="AF39" s="467" t="n"/>
      <c r="AG39" s="466" t="n">
        <v>45778</v>
      </c>
      <c r="AH39" s="467" t="inlineStr">
        <is>
          <t>0</t>
        </is>
      </c>
      <c r="AI39" s="467" t="inlineStr">
        <is>
          <t>Due On Receipt</t>
        </is>
      </c>
      <c r="AJ39" s="467" t="inlineStr">
        <is>
          <t>Thanks for your business.</t>
        </is>
      </c>
      <c r="AK39" s="467" t="n"/>
      <c r="AL39" s="467" t="n"/>
      <c r="AM39" s="467" t="n"/>
      <c r="AN39" s="467" t="n"/>
      <c r="AO39" s="467" t="n"/>
      <c r="AP39" s="467" t="n"/>
      <c r="AQ39" s="467" t="n"/>
      <c r="AR39" s="467" t="n"/>
      <c r="AS39" s="467" t="n"/>
      <c r="AT39" s="467" t="inlineStr">
        <is>
          <t>Invoice</t>
        </is>
      </c>
      <c r="AU39" s="467" t="inlineStr">
        <is>
          <t>0.0</t>
        </is>
      </c>
      <c r="AV39" s="467" t="n">
        <v>0</v>
      </c>
      <c r="AW39" s="467" t="n"/>
      <c r="AX39" s="467" t="n"/>
      <c r="AY39" s="467" t="n"/>
      <c r="AZ39" s="467" t="n"/>
      <c r="BA39" s="467" t="n"/>
      <c r="BB39" s="467" t="n"/>
      <c r="BC39" s="467" t="n"/>
      <c r="BD39" s="467" t="inlineStr">
        <is>
          <t>Jurisphere Enterprise Subscription</t>
        </is>
      </c>
      <c r="BE39" s="468" t="inlineStr">
        <is>
          <t>Subscription Period- 22 Apr 2025 to 21 Apr 2026
Description- Annual payment for 6 licenses of Litigation</t>
        </is>
      </c>
      <c r="BF39" s="467" t="n">
        <v>1</v>
      </c>
      <c r="BG39" s="467" t="inlineStr">
        <is>
          <t>0.00</t>
        </is>
      </c>
      <c r="BH39" s="467" t="inlineStr">
        <is>
          <t>0.00</t>
        </is>
      </c>
      <c r="BI39" s="467" t="n">
        <v>148305</v>
      </c>
      <c r="BJ39" s="467" t="inlineStr">
        <is>
          <t>pcs</t>
        </is>
      </c>
      <c r="BK39" s="467" t="n">
        <v>148305</v>
      </c>
      <c r="BL39" s="467" t="inlineStr">
        <is>
          <t>2297152000000039748</t>
        </is>
      </c>
      <c r="BM39" s="467" t="n"/>
      <c r="BN39" s="467" t="n"/>
      <c r="BO39" s="467" t="n"/>
      <c r="BP39" s="467" t="n"/>
      <c r="BQ39" s="467" t="n"/>
      <c r="BR39" s="468" t="inlineStr">
        <is>
          <t>D-19, 2ND FLOOR,
GEETANJALI ENCLAVE,</t>
        </is>
      </c>
      <c r="BS39" s="467" t="inlineStr">
        <is>
          <t>MALVIYA NAGAR,</t>
        </is>
      </c>
      <c r="BT39" s="467" t="inlineStr">
        <is>
          <t>New Delhi</t>
        </is>
      </c>
      <c r="BU39" s="467" t="inlineStr">
        <is>
          <t>Delhi</t>
        </is>
      </c>
      <c r="BV39" s="467" t="inlineStr">
        <is>
          <t>India</t>
        </is>
      </c>
      <c r="BW39" s="467" t="inlineStr">
        <is>
          <t>110017</t>
        </is>
      </c>
      <c r="BX39" s="467" t="n"/>
      <c r="BY39" s="467" t="n"/>
      <c r="BZ39" s="467" t="n"/>
      <c r="CA39" s="468" t="inlineStr">
        <is>
          <t>D-19, 2ND FLOOR,
GEETANJALI ENCLAVE,</t>
        </is>
      </c>
      <c r="CB39" s="467" t="inlineStr">
        <is>
          <t>MALVIYA NAGAR,</t>
        </is>
      </c>
      <c r="CC39" s="467" t="inlineStr">
        <is>
          <t>New Delhi</t>
        </is>
      </c>
      <c r="CD39" s="467" t="inlineStr">
        <is>
          <t>Delhi</t>
        </is>
      </c>
      <c r="CE39" s="467" t="inlineStr">
        <is>
          <t>India</t>
        </is>
      </c>
      <c r="CF39" s="467" t="inlineStr">
        <is>
          <t>110017</t>
        </is>
      </c>
      <c r="CG39" s="467" t="n"/>
      <c r="CH39" s="467" t="n"/>
      <c r="CI39" s="467" t="inlineStr">
        <is>
          <t>Coresphere100 Technologies Pvt. Ltd.</t>
        </is>
      </c>
      <c r="CJ39" s="467" t="inlineStr">
        <is>
          <t>09AALCC7037K1Z7</t>
        </is>
      </c>
      <c r="CK39" s="467" t="inlineStr">
        <is>
          <t>16026, 16th Floor, Tower Oakwood,</t>
        </is>
      </c>
      <c r="CL39" s="467" t="inlineStr">
        <is>
          <t>Greater Noida,</t>
        </is>
      </c>
      <c r="CM39" s="467" t="inlineStr">
        <is>
          <t>Uttar Pradesh</t>
        </is>
      </c>
      <c r="CN39" s="467" t="inlineStr">
        <is>
          <t>India</t>
        </is>
      </c>
      <c r="CO39" s="467" t="inlineStr">
        <is>
          <t>201306</t>
        </is>
      </c>
      <c r="CP39" s="467" t="inlineStr">
        <is>
          <t>8928163657</t>
        </is>
      </c>
      <c r="CQ39" s="467" t="inlineStr">
        <is>
          <t>manas@jurisphere.ai</t>
        </is>
      </c>
      <c r="CR39" s="467" t="inlineStr">
        <is>
          <t>0.00</t>
        </is>
      </c>
      <c r="CS39" s="467" t="inlineStr">
        <is>
          <t>0.00</t>
        </is>
      </c>
      <c r="CT39" s="467" t="inlineStr">
        <is>
          <t>18.00</t>
        </is>
      </c>
      <c r="CU39" s="467" t="inlineStr">
        <is>
          <t>0.00</t>
        </is>
      </c>
      <c r="CV39" s="467" t="inlineStr">
        <is>
          <t>0.00</t>
        </is>
      </c>
      <c r="CW39" s="467" t="inlineStr">
        <is>
          <t>0.00</t>
        </is>
      </c>
      <c r="CX39" s="467" t="inlineStr">
        <is>
          <t>26694.90</t>
        </is>
      </c>
      <c r="CY39" s="467" t="inlineStr">
        <is>
          <t>0.00</t>
        </is>
      </c>
      <c r="CZ39" s="467" t="inlineStr">
        <is>
          <t>0.00</t>
        </is>
      </c>
      <c r="DA39" s="467" t="inlineStr">
        <is>
          <t>0.00</t>
        </is>
      </c>
      <c r="DB39" s="467" t="inlineStr">
        <is>
          <t>26694.90</t>
        </is>
      </c>
      <c r="DC39" s="467" t="inlineStr">
        <is>
          <t>0.00</t>
        </is>
      </c>
      <c r="DD39" s="467" t="n"/>
      <c r="DE39" s="467" t="n"/>
      <c r="DF39" s="467" t="n"/>
      <c r="DG39" s="467" t="n"/>
      <c r="DH39" s="467" t="n"/>
      <c r="DI39" s="467" t="n"/>
      <c r="DJ39" s="467" t="n"/>
      <c r="DK39" s="467" t="n"/>
      <c r="DL39" s="467" t="n"/>
      <c r="DM39" s="467" t="n"/>
      <c r="DN39" s="467" t="n"/>
      <c r="DO39" s="467" t="n"/>
      <c r="DP39" s="467" t="inlineStr">
        <is>
          <t>998313</t>
        </is>
      </c>
      <c r="DQ39" s="467" t="n">
        <v>0</v>
      </c>
      <c r="DR39" s="467" t="n"/>
      <c r="DS39" s="467" t="n"/>
      <c r="DT39" s="467" t="n"/>
      <c r="DU39" s="467" t="n"/>
      <c r="DV39" s="467" t="n"/>
      <c r="DW39" s="467" t="n"/>
      <c r="DX39" s="467" t="inlineStr">
        <is>
          <t>service</t>
        </is>
      </c>
      <c r="DY39" s="467" t="n"/>
      <c r="DZ39" s="467" t="n"/>
      <c r="EA39" s="467" t="n"/>
      <c r="EB39" s="467" t="n"/>
      <c r="EC39" s="467" t="n"/>
      <c r="ED39" s="467" t="n"/>
      <c r="EE39" s="467" t="n"/>
      <c r="EF39" s="467" t="n"/>
      <c r="EG39" s="467" t="n"/>
      <c r="EH39" s="467" t="inlineStr">
        <is>
          <t>Others</t>
        </is>
      </c>
      <c r="EI39" s="467" t="n"/>
      <c r="EJ39" s="467" t="n"/>
      <c r="EK39" s="467" t="inlineStr">
        <is>
          <t>Sales</t>
        </is>
      </c>
      <c r="EL39" s="467" t="n"/>
      <c r="EM39" s="467" t="inlineStr">
        <is>
          <t>Taxable</t>
        </is>
      </c>
      <c r="EN39" s="467" t="inlineStr">
        <is>
          <t>2297152000000031111</t>
        </is>
      </c>
      <c r="EO39" s="467" t="inlineStr">
        <is>
          <t>IGST18</t>
        </is>
      </c>
      <c r="EP39" s="467" t="inlineStr">
        <is>
          <t>18.00</t>
        </is>
      </c>
      <c r="EQ39" s="467" t="n">
        <v>26694.9</v>
      </c>
      <c r="ER39" s="467" t="inlineStr">
        <is>
          <t>ItemAmount</t>
        </is>
      </c>
      <c r="ES39" s="467" t="n"/>
      <c r="ET39" s="467" t="n"/>
    </row>
    <row r="40" ht="102.95" customHeight="1" s="253">
      <c r="A40" s="466" t="n">
        <v>45770</v>
      </c>
      <c r="B40" s="467" t="inlineStr">
        <is>
          <t>2297152000000107021</t>
        </is>
      </c>
      <c r="C40" s="467" t="inlineStr">
        <is>
          <t>INV-25-26-000041</t>
        </is>
      </c>
      <c r="D40" s="467" t="inlineStr">
        <is>
          <t>Overdue</t>
        </is>
      </c>
      <c r="E40" s="467" t="inlineStr">
        <is>
          <t>2297152000000107003</t>
        </is>
      </c>
      <c r="F40" s="467" t="inlineStr">
        <is>
          <t>AP &amp; Partners, Advocates</t>
        </is>
      </c>
      <c r="G40" s="467" t="inlineStr">
        <is>
          <t>DL</t>
        </is>
      </c>
      <c r="H40" s="467" t="inlineStr">
        <is>
          <t>07-Delhi</t>
        </is>
      </c>
      <c r="I40" s="467" t="inlineStr">
        <is>
          <t>business_gst</t>
        </is>
      </c>
      <c r="J40" s="467" t="inlineStr">
        <is>
          <t>false</t>
        </is>
      </c>
      <c r="K40" s="466" t="n">
        <v>45770</v>
      </c>
      <c r="L40" s="467" t="n"/>
      <c r="M40" s="467" t="inlineStr">
        <is>
          <t>INR</t>
        </is>
      </c>
      <c r="N40" s="467" t="n">
        <v>1</v>
      </c>
      <c r="O40" s="467" t="inlineStr">
        <is>
          <t>item_level</t>
        </is>
      </c>
      <c r="P40" s="467" t="inlineStr">
        <is>
          <t>true</t>
        </is>
      </c>
      <c r="Q40" s="467" t="inlineStr">
        <is>
          <t>Tax Invoice</t>
        </is>
      </c>
      <c r="R40" s="467" t="inlineStr">
        <is>
          <t>0.00</t>
        </is>
      </c>
      <c r="S40" s="467" t="n"/>
      <c r="T40" s="467" t="n"/>
      <c r="U40" s="467" t="inlineStr">
        <is>
          <t>item_level</t>
        </is>
      </c>
      <c r="V40" s="467" t="n"/>
      <c r="W40" s="467" t="inlineStr">
        <is>
          <t>0.00</t>
        </is>
      </c>
      <c r="X40" s="467" t="n"/>
      <c r="Y40" s="467" t="n"/>
      <c r="Z40" s="467" t="inlineStr">
        <is>
          <t>0.000</t>
        </is>
      </c>
      <c r="AA40" s="467" t="n">
        <v>24000</v>
      </c>
      <c r="AB40" s="467" t="n">
        <v>28320</v>
      </c>
      <c r="AC40" s="467" t="n">
        <v>28320</v>
      </c>
      <c r="AD40" s="467" t="n">
        <v>0</v>
      </c>
      <c r="AE40" s="467" t="inlineStr">
        <is>
          <t>Adjustment</t>
        </is>
      </c>
      <c r="AF40" s="467" t="n"/>
      <c r="AG40" s="467" t="n"/>
      <c r="AH40" s="467" t="inlineStr">
        <is>
          <t>0</t>
        </is>
      </c>
      <c r="AI40" s="467" t="inlineStr">
        <is>
          <t>Due On Receipt</t>
        </is>
      </c>
      <c r="AJ40" s="467" t="inlineStr">
        <is>
          <t>Thanks for your business.</t>
        </is>
      </c>
      <c r="AK40" s="467" t="n"/>
      <c r="AL40" s="467" t="n"/>
      <c r="AM40" s="467" t="n"/>
      <c r="AN40" s="467" t="n"/>
      <c r="AO40" s="467" t="n"/>
      <c r="AP40" s="467" t="n"/>
      <c r="AQ40" s="467" t="n"/>
      <c r="AR40" s="467" t="n"/>
      <c r="AS40" s="467" t="n"/>
      <c r="AT40" s="467" t="inlineStr">
        <is>
          <t>Invoice</t>
        </is>
      </c>
      <c r="AU40" s="467" t="inlineStr">
        <is>
          <t>0.0</t>
        </is>
      </c>
      <c r="AV40" s="467" t="n">
        <v>0</v>
      </c>
      <c r="AW40" s="467" t="n"/>
      <c r="AX40" s="467" t="n"/>
      <c r="AY40" s="467" t="n"/>
      <c r="AZ40" s="467" t="n"/>
      <c r="BA40" s="467" t="n"/>
      <c r="BB40" s="467" t="n"/>
      <c r="BC40" s="467" t="n"/>
      <c r="BD40" s="467" t="inlineStr">
        <is>
          <t>Jurisphere Enterprise Subscription</t>
        </is>
      </c>
      <c r="BE40" s="468" t="inlineStr">
        <is>
          <t>Subscription Period- 90 days from 24 Apr to 22 July 25
Description- The 90-day pilot run. This pilot includes unlimited access to the following features:
Document Review
List of Dates
Legal Research
Redline Analysis
Translation</t>
        </is>
      </c>
      <c r="BF40" s="467" t="n">
        <v>1</v>
      </c>
      <c r="BG40" s="467" t="inlineStr">
        <is>
          <t>0.00</t>
        </is>
      </c>
      <c r="BH40" s="467" t="inlineStr">
        <is>
          <t>0.00</t>
        </is>
      </c>
      <c r="BI40" s="467" t="n">
        <v>24000</v>
      </c>
      <c r="BJ40" s="467" t="inlineStr">
        <is>
          <t>pcs</t>
        </is>
      </c>
      <c r="BK40" s="467" t="n">
        <v>24000</v>
      </c>
      <c r="BL40" s="467" t="inlineStr">
        <is>
          <t>2297152000000039748</t>
        </is>
      </c>
      <c r="BM40" s="467" t="n"/>
      <c r="BN40" s="467" t="n"/>
      <c r="BO40" s="467" t="n"/>
      <c r="BP40" s="467" t="n"/>
      <c r="BQ40" s="467" t="n"/>
      <c r="BR40" s="467" t="inlineStr">
        <is>
          <t>B-62, Paschimi Marg,</t>
        </is>
      </c>
      <c r="BS40" s="467" t="inlineStr">
        <is>
          <t>Vasant Vihar,</t>
        </is>
      </c>
      <c r="BT40" s="467" t="inlineStr">
        <is>
          <t>New Delhi</t>
        </is>
      </c>
      <c r="BU40" s="467" t="inlineStr">
        <is>
          <t>Delhi</t>
        </is>
      </c>
      <c r="BV40" s="467" t="inlineStr">
        <is>
          <t>India</t>
        </is>
      </c>
      <c r="BW40" s="467" t="inlineStr">
        <is>
          <t>110057</t>
        </is>
      </c>
      <c r="BX40" s="467" t="n"/>
      <c r="BY40" s="467" t="n"/>
      <c r="BZ40" s="467" t="n"/>
      <c r="CA40" s="467" t="inlineStr">
        <is>
          <t>B-62, Paschimi Marg,</t>
        </is>
      </c>
      <c r="CB40" s="467" t="inlineStr">
        <is>
          <t>Vasant Vihar,</t>
        </is>
      </c>
      <c r="CC40" s="467" t="inlineStr">
        <is>
          <t>New Delhi</t>
        </is>
      </c>
      <c r="CD40" s="467" t="inlineStr">
        <is>
          <t>Delhi</t>
        </is>
      </c>
      <c r="CE40" s="467" t="inlineStr">
        <is>
          <t>India</t>
        </is>
      </c>
      <c r="CF40" s="467" t="inlineStr">
        <is>
          <t>110057</t>
        </is>
      </c>
      <c r="CG40" s="467" t="n"/>
      <c r="CH40" s="467" t="n"/>
      <c r="CI40" s="467" t="inlineStr">
        <is>
          <t>Coresphere100 Technologies Pvt. Ltd.</t>
        </is>
      </c>
      <c r="CJ40" s="467" t="inlineStr">
        <is>
          <t>09AALCC7037K1Z7</t>
        </is>
      </c>
      <c r="CK40" s="467" t="inlineStr">
        <is>
          <t>16026, 16th Floor, Tower Oakwood,</t>
        </is>
      </c>
      <c r="CL40" s="467" t="inlineStr">
        <is>
          <t>Greater Noida,</t>
        </is>
      </c>
      <c r="CM40" s="467" t="inlineStr">
        <is>
          <t>Uttar Pradesh</t>
        </is>
      </c>
      <c r="CN40" s="467" t="inlineStr">
        <is>
          <t>India</t>
        </is>
      </c>
      <c r="CO40" s="467" t="inlineStr">
        <is>
          <t>201306</t>
        </is>
      </c>
      <c r="CP40" s="467" t="inlineStr">
        <is>
          <t>8928163657</t>
        </is>
      </c>
      <c r="CQ40" s="467" t="inlineStr">
        <is>
          <t>manas@jurisphere.ai</t>
        </is>
      </c>
      <c r="CR40" s="467" t="inlineStr">
        <is>
          <t>0.00</t>
        </is>
      </c>
      <c r="CS40" s="467" t="inlineStr">
        <is>
          <t>0.00</t>
        </is>
      </c>
      <c r="CT40" s="467" t="inlineStr">
        <is>
          <t>18.00</t>
        </is>
      </c>
      <c r="CU40" s="467" t="inlineStr">
        <is>
          <t>0.00</t>
        </is>
      </c>
      <c r="CV40" s="467" t="inlineStr">
        <is>
          <t>0.00</t>
        </is>
      </c>
      <c r="CW40" s="467" t="inlineStr">
        <is>
          <t>0.00</t>
        </is>
      </c>
      <c r="CX40" s="467" t="inlineStr">
        <is>
          <t>4320.00</t>
        </is>
      </c>
      <c r="CY40" s="467" t="inlineStr">
        <is>
          <t>0.00</t>
        </is>
      </c>
      <c r="CZ40" s="467" t="inlineStr">
        <is>
          <t>0.00</t>
        </is>
      </c>
      <c r="DA40" s="467" t="inlineStr">
        <is>
          <t>0.00</t>
        </is>
      </c>
      <c r="DB40" s="467" t="inlineStr">
        <is>
          <t>4320.00</t>
        </is>
      </c>
      <c r="DC40" s="467" t="inlineStr">
        <is>
          <t>0.00</t>
        </is>
      </c>
      <c r="DD40" s="467" t="n"/>
      <c r="DE40" s="467" t="n"/>
      <c r="DF40" s="467" t="n"/>
      <c r="DG40" s="467" t="n"/>
      <c r="DH40" s="467" t="n"/>
      <c r="DI40" s="467" t="inlineStr">
        <is>
          <t>0.000</t>
        </is>
      </c>
      <c r="DJ40" s="467" t="n"/>
      <c r="DK40" s="467" t="n"/>
      <c r="DL40" s="467" t="inlineStr">
        <is>
          <t>07ABPFA8851M1ZP</t>
        </is>
      </c>
      <c r="DM40" s="467" t="n"/>
      <c r="DN40" s="467" t="n"/>
      <c r="DO40" s="467" t="n"/>
      <c r="DP40" s="467" t="inlineStr">
        <is>
          <t>998313</t>
        </is>
      </c>
      <c r="DQ40" s="467" t="n">
        <v>0</v>
      </c>
      <c r="DR40" s="467" t="n"/>
      <c r="DS40" s="467" t="n"/>
      <c r="DT40" s="467" t="n"/>
      <c r="DU40" s="467" t="n"/>
      <c r="DV40" s="467" t="n"/>
      <c r="DW40" s="467" t="n"/>
      <c r="DX40" s="467" t="inlineStr">
        <is>
          <t>service</t>
        </is>
      </c>
      <c r="DY40" s="467" t="n"/>
      <c r="DZ40" s="467" t="n"/>
      <c r="EA40" s="467" t="n"/>
      <c r="EB40" s="467" t="n"/>
      <c r="EC40" s="467" t="n"/>
      <c r="ED40" s="467" t="n"/>
      <c r="EE40" s="467" t="n"/>
      <c r="EF40" s="467" t="n"/>
      <c r="EG40" s="467" t="n"/>
      <c r="EH40" s="467" t="inlineStr">
        <is>
          <t>Others</t>
        </is>
      </c>
      <c r="EI40" s="467" t="n"/>
      <c r="EJ40" s="467" t="n"/>
      <c r="EK40" s="467" t="inlineStr">
        <is>
          <t>Sales</t>
        </is>
      </c>
      <c r="EL40" s="467" t="n"/>
      <c r="EM40" s="467" t="inlineStr">
        <is>
          <t>Taxable</t>
        </is>
      </c>
      <c r="EN40" s="467" t="inlineStr">
        <is>
          <t>2297152000000031111</t>
        </is>
      </c>
      <c r="EO40" s="467" t="inlineStr">
        <is>
          <t>IGST18</t>
        </is>
      </c>
      <c r="EP40" s="467" t="inlineStr">
        <is>
          <t>18.00</t>
        </is>
      </c>
      <c r="EQ40" s="467" t="n">
        <v>4320</v>
      </c>
      <c r="ER40" s="467" t="inlineStr">
        <is>
          <t>ItemAmount</t>
        </is>
      </c>
      <c r="ES40" s="467" t="n"/>
      <c r="ET40" s="467" t="n"/>
    </row>
    <row r="41" ht="52.2" customHeight="1" s="253">
      <c r="A41" s="466" t="n">
        <v>45770</v>
      </c>
      <c r="B41" s="467" t="inlineStr">
        <is>
          <t>2297152000000107049</t>
        </is>
      </c>
      <c r="C41" s="467" t="inlineStr">
        <is>
          <t>INV-25-26-000042</t>
        </is>
      </c>
      <c r="D41" s="467" t="inlineStr">
        <is>
          <t>Closed</t>
        </is>
      </c>
      <c r="E41" s="467" t="inlineStr">
        <is>
          <t>2297152000000107033</t>
        </is>
      </c>
      <c r="F41" s="467" t="inlineStr">
        <is>
          <t>Pranay Chitale</t>
        </is>
      </c>
      <c r="G41" s="467" t="inlineStr">
        <is>
          <t>DL</t>
        </is>
      </c>
      <c r="H41" s="467" t="inlineStr">
        <is>
          <t>07-Delhi</t>
        </is>
      </c>
      <c r="I41" s="467" t="inlineStr">
        <is>
          <t>business_none</t>
        </is>
      </c>
      <c r="J41" s="467" t="inlineStr">
        <is>
          <t>false</t>
        </is>
      </c>
      <c r="K41" s="466" t="n">
        <v>45770</v>
      </c>
      <c r="L41" s="467" t="n"/>
      <c r="M41" s="467" t="inlineStr">
        <is>
          <t>INR</t>
        </is>
      </c>
      <c r="N41" s="467" t="n">
        <v>1</v>
      </c>
      <c r="O41" s="467" t="inlineStr">
        <is>
          <t>item_level</t>
        </is>
      </c>
      <c r="P41" s="467" t="inlineStr">
        <is>
          <t>true</t>
        </is>
      </c>
      <c r="Q41" s="467" t="inlineStr">
        <is>
          <t>Tax Invoice</t>
        </is>
      </c>
      <c r="R41" s="467" t="inlineStr">
        <is>
          <t>0.00</t>
        </is>
      </c>
      <c r="S41" s="467" t="n"/>
      <c r="T41" s="467" t="n"/>
      <c r="U41" s="467" t="inlineStr">
        <is>
          <t>item_level</t>
        </is>
      </c>
      <c r="V41" s="467" t="n"/>
      <c r="W41" s="467" t="inlineStr">
        <is>
          <t>0.00</t>
        </is>
      </c>
      <c r="X41" s="467" t="n"/>
      <c r="Y41" s="467" t="n"/>
      <c r="Z41" s="467" t="inlineStr">
        <is>
          <t>0.000</t>
        </is>
      </c>
      <c r="AA41" s="467" t="n">
        <v>15000</v>
      </c>
      <c r="AB41" s="467" t="n">
        <v>17700</v>
      </c>
      <c r="AC41" s="467" t="n">
        <v>0</v>
      </c>
      <c r="AD41" s="467" t="n">
        <v>0</v>
      </c>
      <c r="AE41" s="467" t="inlineStr">
        <is>
          <t>Adjustment</t>
        </is>
      </c>
      <c r="AF41" s="467" t="n"/>
      <c r="AG41" s="466" t="n">
        <v>45774</v>
      </c>
      <c r="AH41" s="467" t="inlineStr">
        <is>
          <t>0</t>
        </is>
      </c>
      <c r="AI41" s="467" t="inlineStr">
        <is>
          <t>Due On Receipt</t>
        </is>
      </c>
      <c r="AJ41" s="467" t="inlineStr">
        <is>
          <t>Thanks for your business.</t>
        </is>
      </c>
      <c r="AK41" s="467" t="n"/>
      <c r="AL41" s="467" t="n"/>
      <c r="AM41" s="467" t="n"/>
      <c r="AN41" s="467" t="n"/>
      <c r="AO41" s="467" t="n"/>
      <c r="AP41" s="467" t="n"/>
      <c r="AQ41" s="467" t="n"/>
      <c r="AR41" s="467" t="n"/>
      <c r="AS41" s="467" t="n"/>
      <c r="AT41" s="467" t="inlineStr">
        <is>
          <t>Invoice</t>
        </is>
      </c>
      <c r="AU41" s="467" t="inlineStr">
        <is>
          <t>0.0</t>
        </is>
      </c>
      <c r="AV41" s="467" t="n">
        <v>0</v>
      </c>
      <c r="AW41" s="467" t="n"/>
      <c r="AX41" s="467" t="n"/>
      <c r="AY41" s="467" t="n"/>
      <c r="AZ41" s="467" t="n"/>
      <c r="BA41" s="467" t="n"/>
      <c r="BB41" s="467" t="n"/>
      <c r="BC41" s="467" t="n"/>
      <c r="BD41" s="467" t="inlineStr">
        <is>
          <t>Jurisphere Enterprise Subscription</t>
        </is>
      </c>
      <c r="BE41" s="468" t="inlineStr">
        <is>
          <t>Subscription Period- Monthly Invoicing for the period from 23 Apr 25 to 22 Apr 26
Description- Monthly subscription of 5 licenses for unlimited usage (litigation)</t>
        </is>
      </c>
      <c r="BF41" s="467" t="n">
        <v>1</v>
      </c>
      <c r="BG41" s="467" t="inlineStr">
        <is>
          <t>0.00</t>
        </is>
      </c>
      <c r="BH41" s="467" t="inlineStr">
        <is>
          <t>0.00</t>
        </is>
      </c>
      <c r="BI41" s="467" t="n">
        <v>15000</v>
      </c>
      <c r="BJ41" s="467" t="inlineStr">
        <is>
          <t>pcs</t>
        </is>
      </c>
      <c r="BK41" s="467" t="n">
        <v>15000</v>
      </c>
      <c r="BL41" s="467" t="inlineStr">
        <is>
          <t>2297152000000039748</t>
        </is>
      </c>
      <c r="BM41" s="467" t="n"/>
      <c r="BN41" s="467" t="n"/>
      <c r="BO41" s="467" t="n"/>
      <c r="BP41" s="467" t="n"/>
      <c r="BQ41" s="467" t="n"/>
      <c r="BR41" s="467" t="inlineStr">
        <is>
          <t>B-111, Lower Ground Floor,</t>
        </is>
      </c>
      <c r="BS41" s="468" t="inlineStr">
        <is>
          <t>Neeti Bagh,
August Kranti Marg,</t>
        </is>
      </c>
      <c r="BT41" s="467" t="inlineStr">
        <is>
          <t>New Delhi</t>
        </is>
      </c>
      <c r="BU41" s="467" t="inlineStr">
        <is>
          <t>Delhi</t>
        </is>
      </c>
      <c r="BV41" s="467" t="inlineStr">
        <is>
          <t>India</t>
        </is>
      </c>
      <c r="BW41" s="467" t="inlineStr">
        <is>
          <t>110049</t>
        </is>
      </c>
      <c r="BX41" s="467" t="n"/>
      <c r="BY41" s="467" t="n"/>
      <c r="BZ41" s="467" t="n"/>
      <c r="CA41" s="467" t="inlineStr">
        <is>
          <t>B-111, Lower Ground Floor,</t>
        </is>
      </c>
      <c r="CB41" s="468" t="inlineStr">
        <is>
          <t>Neeti Bagh,
August Kranti Marg,</t>
        </is>
      </c>
      <c r="CC41" s="467" t="inlineStr">
        <is>
          <t>New Delhi</t>
        </is>
      </c>
      <c r="CD41" s="467" t="inlineStr">
        <is>
          <t>Delhi</t>
        </is>
      </c>
      <c r="CE41" s="467" t="inlineStr">
        <is>
          <t>India</t>
        </is>
      </c>
      <c r="CF41" s="467" t="inlineStr">
        <is>
          <t>110049</t>
        </is>
      </c>
      <c r="CG41" s="467" t="n"/>
      <c r="CH41" s="467" t="n"/>
      <c r="CI41" s="467" t="inlineStr">
        <is>
          <t>Coresphere100 Technologies Pvt. Ltd.</t>
        </is>
      </c>
      <c r="CJ41" s="467" t="inlineStr">
        <is>
          <t>09AALCC7037K1Z7</t>
        </is>
      </c>
      <c r="CK41" s="467" t="inlineStr">
        <is>
          <t>16026, 16th Floor, Tower Oakwood,</t>
        </is>
      </c>
      <c r="CL41" s="467" t="inlineStr">
        <is>
          <t>Greater Noida,</t>
        </is>
      </c>
      <c r="CM41" s="467" t="inlineStr">
        <is>
          <t>Uttar Pradesh</t>
        </is>
      </c>
      <c r="CN41" s="467" t="inlineStr">
        <is>
          <t>India</t>
        </is>
      </c>
      <c r="CO41" s="467" t="inlineStr">
        <is>
          <t>201306</t>
        </is>
      </c>
      <c r="CP41" s="467" t="inlineStr">
        <is>
          <t>8928163657</t>
        </is>
      </c>
      <c r="CQ41" s="467" t="inlineStr">
        <is>
          <t>manas@jurisphere.ai</t>
        </is>
      </c>
      <c r="CR41" s="467" t="inlineStr">
        <is>
          <t>0.00</t>
        </is>
      </c>
      <c r="CS41" s="467" t="inlineStr">
        <is>
          <t>0.00</t>
        </is>
      </c>
      <c r="CT41" s="467" t="inlineStr">
        <is>
          <t>18.00</t>
        </is>
      </c>
      <c r="CU41" s="467" t="inlineStr">
        <is>
          <t>0.00</t>
        </is>
      </c>
      <c r="CV41" s="467" t="inlineStr">
        <is>
          <t>0.00</t>
        </is>
      </c>
      <c r="CW41" s="467" t="inlineStr">
        <is>
          <t>0.00</t>
        </is>
      </c>
      <c r="CX41" s="467" t="inlineStr">
        <is>
          <t>2700.00</t>
        </is>
      </c>
      <c r="CY41" s="467" t="inlineStr">
        <is>
          <t>0.00</t>
        </is>
      </c>
      <c r="CZ41" s="467" t="inlineStr">
        <is>
          <t>0.00</t>
        </is>
      </c>
      <c r="DA41" s="467" t="inlineStr">
        <is>
          <t>0.00</t>
        </is>
      </c>
      <c r="DB41" s="467" t="inlineStr">
        <is>
          <t>2700.00</t>
        </is>
      </c>
      <c r="DC41" s="467" t="inlineStr">
        <is>
          <t>0.00</t>
        </is>
      </c>
      <c r="DD41" s="467" t="n"/>
      <c r="DE41" s="467" t="n"/>
      <c r="DF41" s="467" t="n"/>
      <c r="DG41" s="467" t="n"/>
      <c r="DH41" s="467" t="n"/>
      <c r="DI41" s="467" t="inlineStr">
        <is>
          <t>0.000</t>
        </is>
      </c>
      <c r="DJ41" s="467" t="n"/>
      <c r="DK41" s="467" t="n"/>
      <c r="DL41" s="467" t="n"/>
      <c r="DM41" s="467" t="n"/>
      <c r="DN41" s="467" t="n"/>
      <c r="DO41" s="467" t="n"/>
      <c r="DP41" s="467" t="inlineStr">
        <is>
          <t>998313</t>
        </is>
      </c>
      <c r="DQ41" s="467" t="n">
        <v>0</v>
      </c>
      <c r="DR41" s="467" t="n"/>
      <c r="DS41" s="467" t="n"/>
      <c r="DT41" s="467" t="inlineStr">
        <is>
          <t>pranaychitale@cvassociates.in</t>
        </is>
      </c>
      <c r="DU41" s="467" t="n"/>
      <c r="DV41" s="467" t="n"/>
      <c r="DW41" s="467" t="n"/>
      <c r="DX41" s="467" t="inlineStr">
        <is>
          <t>service</t>
        </is>
      </c>
      <c r="DY41" s="467" t="n"/>
      <c r="DZ41" s="467" t="n"/>
      <c r="EA41" s="467" t="n"/>
      <c r="EB41" s="467" t="n"/>
      <c r="EC41" s="467" t="n"/>
      <c r="ED41" s="467" t="n"/>
      <c r="EE41" s="467" t="n"/>
      <c r="EF41" s="467" t="n"/>
      <c r="EG41" s="467" t="n"/>
      <c r="EH41" s="467" t="inlineStr">
        <is>
          <t>Others</t>
        </is>
      </c>
      <c r="EI41" s="467" t="n"/>
      <c r="EJ41" s="467" t="n"/>
      <c r="EK41" s="467" t="inlineStr">
        <is>
          <t>Sales</t>
        </is>
      </c>
      <c r="EL41" s="467" t="n"/>
      <c r="EM41" s="467" t="inlineStr">
        <is>
          <t>Taxable</t>
        </is>
      </c>
      <c r="EN41" s="467" t="inlineStr">
        <is>
          <t>2297152000000031111</t>
        </is>
      </c>
      <c r="EO41" s="467" t="inlineStr">
        <is>
          <t>IGST18</t>
        </is>
      </c>
      <c r="EP41" s="467" t="inlineStr">
        <is>
          <t>18.00</t>
        </is>
      </c>
      <c r="EQ41" s="467" t="n">
        <v>2700</v>
      </c>
      <c r="ER41" s="467" t="inlineStr">
        <is>
          <t>ItemAmount</t>
        </is>
      </c>
      <c r="ES41" s="467" t="n"/>
      <c r="ET41" s="467" t="n"/>
    </row>
    <row r="42" ht="39.55" customHeight="1" s="253">
      <c r="A42" s="466" t="n">
        <v>45771</v>
      </c>
      <c r="B42" s="467" t="inlineStr">
        <is>
          <t>2297152000000107135</t>
        </is>
      </c>
      <c r="C42" s="467" t="inlineStr">
        <is>
          <t>INV-25-26-000043</t>
        </is>
      </c>
      <c r="D42" s="467" t="inlineStr">
        <is>
          <t>Overdue</t>
        </is>
      </c>
      <c r="E42" s="467" t="inlineStr">
        <is>
          <t>2297152000000107067</t>
        </is>
      </c>
      <c r="F42" s="467" t="inlineStr">
        <is>
          <t>Spark Legal</t>
        </is>
      </c>
      <c r="G42" s="467" t="inlineStr">
        <is>
          <t>MH</t>
        </is>
      </c>
      <c r="H42" s="467" t="inlineStr">
        <is>
          <t>27-Maharashtra</t>
        </is>
      </c>
      <c r="I42" s="467" t="inlineStr">
        <is>
          <t>business_none</t>
        </is>
      </c>
      <c r="J42" s="467" t="inlineStr">
        <is>
          <t>false</t>
        </is>
      </c>
      <c r="K42" s="466" t="n">
        <v>45771</v>
      </c>
      <c r="L42" s="467" t="n"/>
      <c r="M42" s="467" t="inlineStr">
        <is>
          <t>INR</t>
        </is>
      </c>
      <c r="N42" s="467" t="n">
        <v>1</v>
      </c>
      <c r="O42" s="467" t="inlineStr">
        <is>
          <t>item_level</t>
        </is>
      </c>
      <c r="P42" s="467" t="inlineStr">
        <is>
          <t>true</t>
        </is>
      </c>
      <c r="Q42" s="467" t="inlineStr">
        <is>
          <t>Tax Invoice</t>
        </is>
      </c>
      <c r="R42" s="467" t="inlineStr">
        <is>
          <t>0.00</t>
        </is>
      </c>
      <c r="S42" s="467" t="n"/>
      <c r="T42" s="467" t="n"/>
      <c r="U42" s="467" t="inlineStr">
        <is>
          <t>item_level</t>
        </is>
      </c>
      <c r="V42" s="467" t="n"/>
      <c r="W42" s="467" t="inlineStr">
        <is>
          <t>0.00</t>
        </is>
      </c>
      <c r="X42" s="467" t="n"/>
      <c r="Y42" s="467" t="n"/>
      <c r="Z42" s="467" t="inlineStr">
        <is>
          <t>0.000</t>
        </is>
      </c>
      <c r="AA42" s="467" t="n">
        <v>10000</v>
      </c>
      <c r="AB42" s="467" t="n">
        <v>11800</v>
      </c>
      <c r="AC42" s="467" t="n">
        <v>11800</v>
      </c>
      <c r="AD42" s="467" t="n">
        <v>0</v>
      </c>
      <c r="AE42" s="467" t="inlineStr">
        <is>
          <t>Adjustment</t>
        </is>
      </c>
      <c r="AF42" s="467" t="n"/>
      <c r="AG42" s="467" t="n"/>
      <c r="AH42" s="467" t="inlineStr">
        <is>
          <t>0</t>
        </is>
      </c>
      <c r="AI42" s="467" t="inlineStr">
        <is>
          <t>Due On Receipt</t>
        </is>
      </c>
      <c r="AJ42" s="467" t="inlineStr">
        <is>
          <t>Thanks for your business.</t>
        </is>
      </c>
      <c r="AK42" s="467" t="n"/>
      <c r="AL42" s="467" t="n"/>
      <c r="AM42" s="467" t="n"/>
      <c r="AN42" s="467" t="n"/>
      <c r="AO42" s="467" t="n"/>
      <c r="AP42" s="467" t="n"/>
      <c r="AQ42" s="467" t="n"/>
      <c r="AR42" s="467" t="n"/>
      <c r="AS42" s="467" t="n"/>
      <c r="AT42" s="467" t="inlineStr">
        <is>
          <t>Invoice</t>
        </is>
      </c>
      <c r="AU42" s="467" t="inlineStr">
        <is>
          <t>0.0</t>
        </is>
      </c>
      <c r="AV42" s="467" t="n">
        <v>0</v>
      </c>
      <c r="AW42" s="467" t="n"/>
      <c r="AX42" s="467" t="n"/>
      <c r="AY42" s="467" t="n"/>
      <c r="AZ42" s="467" t="n"/>
      <c r="BA42" s="467" t="n"/>
      <c r="BB42" s="467" t="n"/>
      <c r="BC42" s="467" t="n"/>
      <c r="BD42" s="467" t="inlineStr">
        <is>
          <t>Jurisphere Enterprise Subscription</t>
        </is>
      </c>
      <c r="BE42" s="468" t="inlineStr">
        <is>
          <t>Subscription Period- 1 month Subscription started from 24-4-2025
Description- 3 licenses for 1 month</t>
        </is>
      </c>
      <c r="BF42" s="467" t="n">
        <v>1</v>
      </c>
      <c r="BG42" s="467" t="inlineStr">
        <is>
          <t>0.00</t>
        </is>
      </c>
      <c r="BH42" s="467" t="inlineStr">
        <is>
          <t>0.00</t>
        </is>
      </c>
      <c r="BI42" s="467" t="n">
        <v>10000</v>
      </c>
      <c r="BJ42" s="467" t="inlineStr">
        <is>
          <t>pcs</t>
        </is>
      </c>
      <c r="BK42" s="467" t="n">
        <v>10000</v>
      </c>
      <c r="BL42" s="467" t="inlineStr">
        <is>
          <t>2297152000000039748</t>
        </is>
      </c>
      <c r="BM42" s="467" t="n"/>
      <c r="BN42" s="467" t="n"/>
      <c r="BO42" s="467" t="n"/>
      <c r="BP42" s="467" t="n"/>
      <c r="BQ42" s="467" t="n"/>
      <c r="BR42" s="468" t="inlineStr">
        <is>
          <t>WeWork C – 20, G Block,
Bandra Kurla Complex,</t>
        </is>
      </c>
      <c r="BS42" s="467" t="inlineStr">
        <is>
          <t>Bandra East,</t>
        </is>
      </c>
      <c r="BT42" s="467" t="inlineStr">
        <is>
          <t>Mumbai</t>
        </is>
      </c>
      <c r="BU42" s="467" t="inlineStr">
        <is>
          <t>Maharashtra</t>
        </is>
      </c>
      <c r="BV42" s="467" t="inlineStr">
        <is>
          <t>India</t>
        </is>
      </c>
      <c r="BW42" s="467" t="inlineStr">
        <is>
          <t>400051</t>
        </is>
      </c>
      <c r="BX42" s="467" t="n"/>
      <c r="BY42" s="467" t="n"/>
      <c r="BZ42" s="467" t="n"/>
      <c r="CA42" s="468" t="inlineStr">
        <is>
          <t>WeWork C – 20, G Block,
Bandra Kurla Complex,</t>
        </is>
      </c>
      <c r="CB42" s="467" t="inlineStr">
        <is>
          <t>Bandra East,</t>
        </is>
      </c>
      <c r="CC42" s="467" t="inlineStr">
        <is>
          <t>Mumbai</t>
        </is>
      </c>
      <c r="CD42" s="467" t="inlineStr">
        <is>
          <t>Maharashtra</t>
        </is>
      </c>
      <c r="CE42" s="467" t="inlineStr">
        <is>
          <t>India</t>
        </is>
      </c>
      <c r="CF42" s="467" t="inlineStr">
        <is>
          <t>400051</t>
        </is>
      </c>
      <c r="CG42" s="467" t="n"/>
      <c r="CH42" s="467" t="n"/>
      <c r="CI42" s="467" t="inlineStr">
        <is>
          <t>Coresphere100 Technologies Pvt. Ltd.</t>
        </is>
      </c>
      <c r="CJ42" s="467" t="inlineStr">
        <is>
          <t>09AALCC7037K1Z7</t>
        </is>
      </c>
      <c r="CK42" s="467" t="inlineStr">
        <is>
          <t>16026, 16th Floor, Tower Oakwood,</t>
        </is>
      </c>
      <c r="CL42" s="467" t="inlineStr">
        <is>
          <t>Greater Noida,</t>
        </is>
      </c>
      <c r="CM42" s="467" t="inlineStr">
        <is>
          <t>Uttar Pradesh</t>
        </is>
      </c>
      <c r="CN42" s="467" t="inlineStr">
        <is>
          <t>India</t>
        </is>
      </c>
      <c r="CO42" s="467" t="inlineStr">
        <is>
          <t>201306</t>
        </is>
      </c>
      <c r="CP42" s="467" t="inlineStr">
        <is>
          <t>8928163657</t>
        </is>
      </c>
      <c r="CQ42" s="467" t="inlineStr">
        <is>
          <t>manas@jurisphere.ai</t>
        </is>
      </c>
      <c r="CR42" s="467" t="inlineStr">
        <is>
          <t>0.00</t>
        </is>
      </c>
      <c r="CS42" s="467" t="inlineStr">
        <is>
          <t>0.00</t>
        </is>
      </c>
      <c r="CT42" s="467" t="inlineStr">
        <is>
          <t>18.00</t>
        </is>
      </c>
      <c r="CU42" s="467" t="inlineStr">
        <is>
          <t>0.00</t>
        </is>
      </c>
      <c r="CV42" s="467" t="inlineStr">
        <is>
          <t>0.00</t>
        </is>
      </c>
      <c r="CW42" s="467" t="inlineStr">
        <is>
          <t>0.00</t>
        </is>
      </c>
      <c r="CX42" s="467" t="inlineStr">
        <is>
          <t>1800.00</t>
        </is>
      </c>
      <c r="CY42" s="467" t="inlineStr">
        <is>
          <t>0.00</t>
        </is>
      </c>
      <c r="CZ42" s="467" t="inlineStr">
        <is>
          <t>0.00</t>
        </is>
      </c>
      <c r="DA42" s="467" t="inlineStr">
        <is>
          <t>0.00</t>
        </is>
      </c>
      <c r="DB42" s="467" t="inlineStr">
        <is>
          <t>1800.00</t>
        </is>
      </c>
      <c r="DC42" s="467" t="inlineStr">
        <is>
          <t>0.00</t>
        </is>
      </c>
      <c r="DD42" s="467" t="n"/>
      <c r="DE42" s="467" t="n"/>
      <c r="DF42" s="467" t="n"/>
      <c r="DG42" s="467" t="n"/>
      <c r="DH42" s="467" t="n"/>
      <c r="DI42" s="467" t="inlineStr">
        <is>
          <t>0.000</t>
        </is>
      </c>
      <c r="DJ42" s="467" t="n"/>
      <c r="DK42" s="467" t="n"/>
      <c r="DL42" s="467" t="n"/>
      <c r="DM42" s="467" t="n"/>
      <c r="DN42" s="467" t="n"/>
      <c r="DO42" s="467" t="n"/>
      <c r="DP42" s="467" t="inlineStr">
        <is>
          <t>998313</t>
        </is>
      </c>
      <c r="DQ42" s="467" t="n">
        <v>0</v>
      </c>
      <c r="DR42" s="467" t="n"/>
      <c r="DS42" s="467" t="n"/>
      <c r="DT42" s="467" t="n"/>
      <c r="DU42" s="467" t="n"/>
      <c r="DV42" s="467" t="n"/>
      <c r="DW42" s="467" t="n"/>
      <c r="DX42" s="467" t="inlineStr">
        <is>
          <t>service</t>
        </is>
      </c>
      <c r="DY42" s="467" t="n"/>
      <c r="DZ42" s="467" t="n"/>
      <c r="EA42" s="467" t="n"/>
      <c r="EB42" s="467" t="n"/>
      <c r="EC42" s="467" t="n"/>
      <c r="ED42" s="467" t="n"/>
      <c r="EE42" s="467" t="n"/>
      <c r="EF42" s="467" t="n"/>
      <c r="EG42" s="467" t="n"/>
      <c r="EH42" s="467" t="inlineStr">
        <is>
          <t>Others</t>
        </is>
      </c>
      <c r="EI42" s="467" t="n"/>
      <c r="EJ42" s="467" t="n"/>
      <c r="EK42" s="467" t="inlineStr">
        <is>
          <t>Sales</t>
        </is>
      </c>
      <c r="EL42" s="467" t="n"/>
      <c r="EM42" s="467" t="inlineStr">
        <is>
          <t>Taxable</t>
        </is>
      </c>
      <c r="EN42" s="467" t="inlineStr">
        <is>
          <t>2297152000000031111</t>
        </is>
      </c>
      <c r="EO42" s="467" t="inlineStr">
        <is>
          <t>IGST18</t>
        </is>
      </c>
      <c r="EP42" s="467" t="inlineStr">
        <is>
          <t>18.00</t>
        </is>
      </c>
      <c r="EQ42" s="467" t="n">
        <v>1800</v>
      </c>
      <c r="ER42" s="467" t="inlineStr">
        <is>
          <t>ItemAmount</t>
        </is>
      </c>
      <c r="ES42" s="467" t="n"/>
      <c r="ET42" s="467" t="n"/>
    </row>
    <row r="43" ht="64.90000000000001" customHeight="1" s="253">
      <c r="A43" s="466" t="n">
        <v>45771</v>
      </c>
      <c r="B43" s="467" t="inlineStr">
        <is>
          <t>2297152000000111017</t>
        </is>
      </c>
      <c r="C43" s="467" t="inlineStr">
        <is>
          <t>INV-25-26-000044</t>
        </is>
      </c>
      <c r="D43" s="467" t="inlineStr">
        <is>
          <t>Overdue</t>
        </is>
      </c>
      <c r="E43" s="467" t="inlineStr">
        <is>
          <t>2297152000000111001</t>
        </is>
      </c>
      <c r="F43" s="467" t="inlineStr">
        <is>
          <t>Bathiya Legal</t>
        </is>
      </c>
      <c r="G43" s="467" t="inlineStr">
        <is>
          <t>MH</t>
        </is>
      </c>
      <c r="H43" s="467" t="inlineStr">
        <is>
          <t>27-Maharashtra</t>
        </is>
      </c>
      <c r="I43" s="467" t="inlineStr">
        <is>
          <t>business_none</t>
        </is>
      </c>
      <c r="J43" s="467" t="inlineStr">
        <is>
          <t>false</t>
        </is>
      </c>
      <c r="K43" s="466" t="n">
        <v>45771</v>
      </c>
      <c r="L43" s="467" t="n"/>
      <c r="M43" s="467" t="inlineStr">
        <is>
          <t>INR</t>
        </is>
      </c>
      <c r="N43" s="467" t="n">
        <v>1</v>
      </c>
      <c r="O43" s="467" t="inlineStr">
        <is>
          <t>item_level</t>
        </is>
      </c>
      <c r="P43" s="467" t="inlineStr">
        <is>
          <t>true</t>
        </is>
      </c>
      <c r="Q43" s="467" t="inlineStr">
        <is>
          <t>Tax Invoice</t>
        </is>
      </c>
      <c r="R43" s="467" t="inlineStr">
        <is>
          <t>0.00</t>
        </is>
      </c>
      <c r="S43" s="467" t="n"/>
      <c r="T43" s="467" t="n"/>
      <c r="U43" s="467" t="inlineStr">
        <is>
          <t>item_level</t>
        </is>
      </c>
      <c r="V43" s="467" t="n"/>
      <c r="W43" s="467" t="inlineStr">
        <is>
          <t>0.00</t>
        </is>
      </c>
      <c r="X43" s="467" t="n"/>
      <c r="Y43" s="467" t="n"/>
      <c r="Z43" s="467" t="inlineStr">
        <is>
          <t>0.000</t>
        </is>
      </c>
      <c r="AA43" s="467" t="n">
        <v>30000</v>
      </c>
      <c r="AB43" s="467" t="n">
        <v>35400</v>
      </c>
      <c r="AC43" s="467" t="n">
        <v>35400</v>
      </c>
      <c r="AD43" s="467" t="n">
        <v>0</v>
      </c>
      <c r="AE43" s="467" t="inlineStr">
        <is>
          <t>Adjustment</t>
        </is>
      </c>
      <c r="AF43" s="467" t="n"/>
      <c r="AG43" s="467" t="n"/>
      <c r="AH43" s="467" t="inlineStr">
        <is>
          <t>0</t>
        </is>
      </c>
      <c r="AI43" s="467" t="inlineStr">
        <is>
          <t>Due on Receipt</t>
        </is>
      </c>
      <c r="AJ43" s="467" t="inlineStr">
        <is>
          <t>Thanks for your business.</t>
        </is>
      </c>
      <c r="AK43" s="467" t="n"/>
      <c r="AL43" s="467" t="n"/>
      <c r="AM43" s="467" t="n"/>
      <c r="AN43" s="467" t="n"/>
      <c r="AO43" s="467" t="n"/>
      <c r="AP43" s="467" t="n"/>
      <c r="AQ43" s="467" t="n"/>
      <c r="AR43" s="467" t="n"/>
      <c r="AS43" s="467" t="n"/>
      <c r="AT43" s="467" t="inlineStr">
        <is>
          <t>Invoice</t>
        </is>
      </c>
      <c r="AU43" s="467" t="inlineStr">
        <is>
          <t>0.0</t>
        </is>
      </c>
      <c r="AV43" s="467" t="n">
        <v>0</v>
      </c>
      <c r="AW43" s="467" t="n"/>
      <c r="AX43" s="467" t="n"/>
      <c r="AY43" s="467" t="n"/>
      <c r="AZ43" s="467" t="n"/>
      <c r="BA43" s="467" t="n"/>
      <c r="BB43" s="467" t="n"/>
      <c r="BC43" s="467" t="n"/>
      <c r="BD43" s="467" t="inlineStr">
        <is>
          <t>Jurisphere Enterprise Subscription</t>
        </is>
      </c>
      <c r="BE43" s="468" t="inlineStr">
        <is>
          <t xml:space="preserve">Subscription Period- 3 month contract
Description- 5 Logins for Unlimited research, Docreview, translation, redline analysis, list of dates. 1000 DocTable Cells, 10 MCA downloads 
</t>
        </is>
      </c>
      <c r="BF43" s="467" t="n">
        <v>1</v>
      </c>
      <c r="BG43" s="467" t="inlineStr">
        <is>
          <t>0.00</t>
        </is>
      </c>
      <c r="BH43" s="467" t="inlineStr">
        <is>
          <t>0.00</t>
        </is>
      </c>
      <c r="BI43" s="467" t="n">
        <v>30000</v>
      </c>
      <c r="BJ43" s="467" t="inlineStr">
        <is>
          <t>pcs</t>
        </is>
      </c>
      <c r="BK43" s="467" t="n">
        <v>30000</v>
      </c>
      <c r="BL43" s="467" t="inlineStr">
        <is>
          <t>2297152000000039748</t>
        </is>
      </c>
      <c r="BM43" s="467" t="n"/>
      <c r="BN43" s="467" t="n"/>
      <c r="BO43" s="467" t="n"/>
      <c r="BP43" s="467" t="n"/>
      <c r="BQ43" s="467" t="n"/>
      <c r="BR43" s="467" t="inlineStr">
        <is>
          <t>909, Solaris One, Professor NS Phadke Rd,</t>
        </is>
      </c>
      <c r="BS43" s="467" t="inlineStr">
        <is>
          <t>Vijay Nagar, Andheri East,</t>
        </is>
      </c>
      <c r="BT43" s="467" t="inlineStr">
        <is>
          <t>Mumbai</t>
        </is>
      </c>
      <c r="BU43" s="467" t="inlineStr">
        <is>
          <t>Maharashtra</t>
        </is>
      </c>
      <c r="BV43" s="467" t="inlineStr">
        <is>
          <t>India</t>
        </is>
      </c>
      <c r="BW43" s="467" t="inlineStr">
        <is>
          <t>400069</t>
        </is>
      </c>
      <c r="BX43" s="467" t="n"/>
      <c r="BY43" s="467" t="n"/>
      <c r="BZ43" s="467" t="n"/>
      <c r="CA43" s="467" t="inlineStr">
        <is>
          <t>909, Solaris One, Professor NS Phadke Rd,</t>
        </is>
      </c>
      <c r="CB43" s="467" t="inlineStr">
        <is>
          <t>Vijay Nagar, Andheri East,</t>
        </is>
      </c>
      <c r="CC43" s="467" t="inlineStr">
        <is>
          <t>Mumbai</t>
        </is>
      </c>
      <c r="CD43" s="467" t="inlineStr">
        <is>
          <t>Maharashtra</t>
        </is>
      </c>
      <c r="CE43" s="467" t="inlineStr">
        <is>
          <t>India</t>
        </is>
      </c>
      <c r="CF43" s="467" t="inlineStr">
        <is>
          <t>400069</t>
        </is>
      </c>
      <c r="CG43" s="467" t="n"/>
      <c r="CH43" s="467" t="n"/>
      <c r="CI43" s="467" t="inlineStr">
        <is>
          <t>Coresphere100 Technologies Pvt. Ltd.</t>
        </is>
      </c>
      <c r="CJ43" s="467" t="inlineStr">
        <is>
          <t>09AALCC7037K1Z7</t>
        </is>
      </c>
      <c r="CK43" s="467" t="inlineStr">
        <is>
          <t>16026, 16th Floor, Tower Oakwood,</t>
        </is>
      </c>
      <c r="CL43" s="467" t="inlineStr">
        <is>
          <t>Greater Noida,</t>
        </is>
      </c>
      <c r="CM43" s="467" t="inlineStr">
        <is>
          <t>Uttar Pradesh</t>
        </is>
      </c>
      <c r="CN43" s="467" t="inlineStr">
        <is>
          <t>India</t>
        </is>
      </c>
      <c r="CO43" s="467" t="inlineStr">
        <is>
          <t>201306</t>
        </is>
      </c>
      <c r="CP43" s="467" t="inlineStr">
        <is>
          <t>8928163657</t>
        </is>
      </c>
      <c r="CQ43" s="467" t="inlineStr">
        <is>
          <t>manas@jurisphere.ai</t>
        </is>
      </c>
      <c r="CR43" s="467" t="inlineStr">
        <is>
          <t>0.00</t>
        </is>
      </c>
      <c r="CS43" s="467" t="inlineStr">
        <is>
          <t>0.00</t>
        </is>
      </c>
      <c r="CT43" s="467" t="inlineStr">
        <is>
          <t>18.00</t>
        </is>
      </c>
      <c r="CU43" s="467" t="inlineStr">
        <is>
          <t>0.00</t>
        </is>
      </c>
      <c r="CV43" s="467" t="inlineStr">
        <is>
          <t>0.00</t>
        </is>
      </c>
      <c r="CW43" s="467" t="inlineStr">
        <is>
          <t>0.00</t>
        </is>
      </c>
      <c r="CX43" s="467" t="inlineStr">
        <is>
          <t>5400.00</t>
        </is>
      </c>
      <c r="CY43" s="467" t="inlineStr">
        <is>
          <t>0.00</t>
        </is>
      </c>
      <c r="CZ43" s="467" t="inlineStr">
        <is>
          <t>0.00</t>
        </is>
      </c>
      <c r="DA43" s="467" t="inlineStr">
        <is>
          <t>0.00</t>
        </is>
      </c>
      <c r="DB43" s="467" t="inlineStr">
        <is>
          <t>5400.00</t>
        </is>
      </c>
      <c r="DC43" s="467" t="inlineStr">
        <is>
          <t>0.00</t>
        </is>
      </c>
      <c r="DD43" s="467" t="n"/>
      <c r="DE43" s="467" t="n"/>
      <c r="DF43" s="467" t="n"/>
      <c r="DG43" s="467" t="n"/>
      <c r="DH43" s="467" t="n"/>
      <c r="DI43" s="467" t="inlineStr">
        <is>
          <t>0.000</t>
        </is>
      </c>
      <c r="DJ43" s="467" t="n"/>
      <c r="DK43" s="467" t="n"/>
      <c r="DL43" s="467" t="n"/>
      <c r="DM43" s="467" t="n"/>
      <c r="DN43" s="467" t="n"/>
      <c r="DO43" s="467" t="n"/>
      <c r="DP43" s="467" t="inlineStr">
        <is>
          <t>998313</t>
        </is>
      </c>
      <c r="DQ43" s="467" t="n">
        <v>0</v>
      </c>
      <c r="DR43" s="467" t="n"/>
      <c r="DS43" s="467" t="n"/>
      <c r="DT43" s="467" t="n"/>
      <c r="DU43" s="467" t="n"/>
      <c r="DV43" s="467" t="n"/>
      <c r="DW43" s="467" t="n"/>
      <c r="DX43" s="467" t="inlineStr">
        <is>
          <t>service</t>
        </is>
      </c>
      <c r="DY43" s="467" t="n"/>
      <c r="DZ43" s="467" t="n"/>
      <c r="EA43" s="467" t="n"/>
      <c r="EB43" s="467" t="n"/>
      <c r="EC43" s="467" t="n"/>
      <c r="ED43" s="467" t="n"/>
      <c r="EE43" s="467" t="n"/>
      <c r="EF43" s="467" t="n"/>
      <c r="EG43" s="467" t="n"/>
      <c r="EH43" s="467" t="inlineStr">
        <is>
          <t>Others</t>
        </is>
      </c>
      <c r="EI43" s="467" t="n"/>
      <c r="EJ43" s="467" t="n"/>
      <c r="EK43" s="467" t="inlineStr">
        <is>
          <t>Sales</t>
        </is>
      </c>
      <c r="EL43" s="467" t="n"/>
      <c r="EM43" s="467" t="inlineStr">
        <is>
          <t>Taxable</t>
        </is>
      </c>
      <c r="EN43" s="467" t="inlineStr">
        <is>
          <t>2297152000000031111</t>
        </is>
      </c>
      <c r="EO43" s="467" t="inlineStr">
        <is>
          <t>IGST18</t>
        </is>
      </c>
      <c r="EP43" s="467" t="inlineStr">
        <is>
          <t>18.00</t>
        </is>
      </c>
      <c r="EQ43" s="467" t="n">
        <v>5400</v>
      </c>
      <c r="ER43" s="467" t="inlineStr">
        <is>
          <t>ItemAmount</t>
        </is>
      </c>
      <c r="ES43" s="467" t="n"/>
      <c r="ET43" s="467" t="n"/>
    </row>
    <row r="44" ht="52.2" customHeight="1" s="253">
      <c r="A44" s="466" t="n">
        <v>45771</v>
      </c>
      <c r="B44" s="467" t="inlineStr">
        <is>
          <t>2297152000000111045</t>
        </is>
      </c>
      <c r="C44" s="467" t="inlineStr">
        <is>
          <t>INV-25-26-000045</t>
        </is>
      </c>
      <c r="D44" s="467" t="inlineStr">
        <is>
          <t>Closed</t>
        </is>
      </c>
      <c r="E44" s="467" t="inlineStr">
        <is>
          <t>2297152000000100673</t>
        </is>
      </c>
      <c r="F44" s="467" t="inlineStr">
        <is>
          <t>Justice (Retd.) Kurian Joseph</t>
        </is>
      </c>
      <c r="G44" s="467" t="inlineStr">
        <is>
          <t>DL</t>
        </is>
      </c>
      <c r="H44" s="467" t="inlineStr">
        <is>
          <t>07-Delhi</t>
        </is>
      </c>
      <c r="I44" s="467" t="inlineStr">
        <is>
          <t>business_none</t>
        </is>
      </c>
      <c r="J44" s="467" t="inlineStr">
        <is>
          <t>false</t>
        </is>
      </c>
      <c r="K44" s="466" t="n">
        <v>45771</v>
      </c>
      <c r="L44" s="467" t="n"/>
      <c r="M44" s="467" t="inlineStr">
        <is>
          <t>INR</t>
        </is>
      </c>
      <c r="N44" s="467" t="n">
        <v>1</v>
      </c>
      <c r="O44" s="467" t="inlineStr">
        <is>
          <t>item_level</t>
        </is>
      </c>
      <c r="P44" s="467" t="inlineStr">
        <is>
          <t>true</t>
        </is>
      </c>
      <c r="Q44" s="467" t="inlineStr">
        <is>
          <t>Tax Invoice</t>
        </is>
      </c>
      <c r="R44" s="467" t="inlineStr">
        <is>
          <t>0.00</t>
        </is>
      </c>
      <c r="S44" s="467" t="n"/>
      <c r="T44" s="467" t="n"/>
      <c r="U44" s="467" t="inlineStr">
        <is>
          <t>item_level</t>
        </is>
      </c>
      <c r="V44" s="467" t="n"/>
      <c r="W44" s="467" t="inlineStr">
        <is>
          <t>0.00</t>
        </is>
      </c>
      <c r="X44" s="467" t="n"/>
      <c r="Y44" s="467" t="n"/>
      <c r="Z44" s="467" t="inlineStr">
        <is>
          <t>0.000</t>
        </is>
      </c>
      <c r="AA44" s="467" t="n">
        <v>150000</v>
      </c>
      <c r="AB44" s="467" t="n">
        <v>177000</v>
      </c>
      <c r="AC44" s="467" t="n">
        <v>0</v>
      </c>
      <c r="AD44" s="467" t="n">
        <v>0</v>
      </c>
      <c r="AE44" s="467" t="inlineStr">
        <is>
          <t>Adjustment</t>
        </is>
      </c>
      <c r="AF44" s="467" t="n"/>
      <c r="AG44" s="466" t="n">
        <v>45776</v>
      </c>
      <c r="AH44" s="467" t="inlineStr">
        <is>
          <t>0</t>
        </is>
      </c>
      <c r="AI44" s="467" t="inlineStr">
        <is>
          <t>Due on Receipt</t>
        </is>
      </c>
      <c r="AJ44" s="467" t="inlineStr">
        <is>
          <t>Thanks for your business.</t>
        </is>
      </c>
      <c r="AK44" s="467" t="n"/>
      <c r="AL44" s="467" t="n"/>
      <c r="AM44" s="467" t="n"/>
      <c r="AN44" s="467" t="n"/>
      <c r="AO44" s="467" t="n"/>
      <c r="AP44" s="467" t="n"/>
      <c r="AQ44" s="467" t="n"/>
      <c r="AR44" s="467" t="n"/>
      <c r="AS44" s="467" t="n"/>
      <c r="AT44" s="467" t="inlineStr">
        <is>
          <t>Invoice</t>
        </is>
      </c>
      <c r="AU44" s="467" t="inlineStr">
        <is>
          <t>0.0</t>
        </is>
      </c>
      <c r="AV44" s="467" t="n">
        <v>0</v>
      </c>
      <c r="AW44" s="467" t="n"/>
      <c r="AX44" s="467" t="n"/>
      <c r="AY44" s="467" t="n"/>
      <c r="AZ44" s="467" t="n"/>
      <c r="BA44" s="467" t="n"/>
      <c r="BB44" s="467" t="n"/>
      <c r="BC44" s="467" t="n"/>
      <c r="BD44" s="467" t="inlineStr">
        <is>
          <t>Jurisphere Enterprise Subscription</t>
        </is>
      </c>
      <c r="BE44" s="468" t="inlineStr">
        <is>
          <t>Subscription Period- Annual Subscription Started from 27th Apr 2025 to 26th Apr 2026
Description- chamber subscription for unlimited usage (litigation)</t>
        </is>
      </c>
      <c r="BF44" s="467" t="n">
        <v>1</v>
      </c>
      <c r="BG44" s="467" t="inlineStr">
        <is>
          <t>50.00</t>
        </is>
      </c>
      <c r="BH44" s="467" t="inlineStr">
        <is>
          <t>150000.000</t>
        </is>
      </c>
      <c r="BI44" s="467" t="n">
        <v>150000</v>
      </c>
      <c r="BJ44" s="467" t="inlineStr">
        <is>
          <t>pcs</t>
        </is>
      </c>
      <c r="BK44" s="467" t="n">
        <v>300000</v>
      </c>
      <c r="BL44" s="467" t="inlineStr">
        <is>
          <t>2297152000000039748</t>
        </is>
      </c>
      <c r="BM44" s="467" t="n"/>
      <c r="BN44" s="467" t="n"/>
      <c r="BO44" s="467" t="n"/>
      <c r="BP44" s="467" t="n"/>
      <c r="BQ44" s="467" t="n"/>
      <c r="BR44" s="467" t="inlineStr">
        <is>
          <t>50, Poorvi Marg,</t>
        </is>
      </c>
      <c r="BS44" s="467" t="inlineStr">
        <is>
          <t>Vasant Vihar,</t>
        </is>
      </c>
      <c r="BT44" s="467" t="inlineStr">
        <is>
          <t>New Delhi</t>
        </is>
      </c>
      <c r="BU44" s="467" t="inlineStr">
        <is>
          <t>Delhi</t>
        </is>
      </c>
      <c r="BV44" s="467" t="inlineStr">
        <is>
          <t>India</t>
        </is>
      </c>
      <c r="BW44" s="467" t="inlineStr">
        <is>
          <t>110057</t>
        </is>
      </c>
      <c r="BX44" s="467" t="n"/>
      <c r="BY44" s="467" t="n"/>
      <c r="BZ44" s="467" t="n"/>
      <c r="CA44" s="467" t="inlineStr">
        <is>
          <t>50, Poorvi Marg,</t>
        </is>
      </c>
      <c r="CB44" s="467" t="inlineStr">
        <is>
          <t>Vasant Vihar,</t>
        </is>
      </c>
      <c r="CC44" s="467" t="inlineStr">
        <is>
          <t>New Delhi</t>
        </is>
      </c>
      <c r="CD44" s="467" t="inlineStr">
        <is>
          <t>Delhi</t>
        </is>
      </c>
      <c r="CE44" s="467" t="inlineStr">
        <is>
          <t>India</t>
        </is>
      </c>
      <c r="CF44" s="467" t="inlineStr">
        <is>
          <t>110057</t>
        </is>
      </c>
      <c r="CG44" s="467" t="n"/>
      <c r="CH44" s="467" t="n"/>
      <c r="CI44" s="467" t="inlineStr">
        <is>
          <t>Coresphere100 Technologies Pvt. Ltd.</t>
        </is>
      </c>
      <c r="CJ44" s="467" t="inlineStr">
        <is>
          <t>09AALCC7037K1Z7</t>
        </is>
      </c>
      <c r="CK44" s="467" t="inlineStr">
        <is>
          <t>16026, 16th Floor, Tower Oakwood,</t>
        </is>
      </c>
      <c r="CL44" s="467" t="inlineStr">
        <is>
          <t>Greater Noida,</t>
        </is>
      </c>
      <c r="CM44" s="467" t="inlineStr">
        <is>
          <t>Uttar Pradesh</t>
        </is>
      </c>
      <c r="CN44" s="467" t="inlineStr">
        <is>
          <t>India</t>
        </is>
      </c>
      <c r="CO44" s="467" t="inlineStr">
        <is>
          <t>201306</t>
        </is>
      </c>
      <c r="CP44" s="467" t="inlineStr">
        <is>
          <t>8928163657</t>
        </is>
      </c>
      <c r="CQ44" s="467" t="inlineStr">
        <is>
          <t>manas@jurisphere.ai</t>
        </is>
      </c>
      <c r="CR44" s="467" t="inlineStr">
        <is>
          <t>0.00</t>
        </is>
      </c>
      <c r="CS44" s="467" t="inlineStr">
        <is>
          <t>0.00</t>
        </is>
      </c>
      <c r="CT44" s="467" t="inlineStr">
        <is>
          <t>18.00</t>
        </is>
      </c>
      <c r="CU44" s="467" t="inlineStr">
        <is>
          <t>0.00</t>
        </is>
      </c>
      <c r="CV44" s="467" t="inlineStr">
        <is>
          <t>0.00</t>
        </is>
      </c>
      <c r="CW44" s="467" t="inlineStr">
        <is>
          <t>0.00</t>
        </is>
      </c>
      <c r="CX44" s="467" t="inlineStr">
        <is>
          <t>27000.00</t>
        </is>
      </c>
      <c r="CY44" s="467" t="inlineStr">
        <is>
          <t>0.00</t>
        </is>
      </c>
      <c r="CZ44" s="467" t="inlineStr">
        <is>
          <t>0.00</t>
        </is>
      </c>
      <c r="DA44" s="467" t="inlineStr">
        <is>
          <t>0.00</t>
        </is>
      </c>
      <c r="DB44" s="467" t="inlineStr">
        <is>
          <t>27000.00</t>
        </is>
      </c>
      <c r="DC44" s="467" t="inlineStr">
        <is>
          <t>0.00</t>
        </is>
      </c>
      <c r="DD44" s="467" t="n"/>
      <c r="DE44" s="467" t="n"/>
      <c r="DF44" s="467" t="n"/>
      <c r="DG44" s="467" t="n"/>
      <c r="DH44" s="467" t="n"/>
      <c r="DI44" s="467" t="inlineStr">
        <is>
          <t>0.000</t>
        </is>
      </c>
      <c r="DJ44" s="467" t="n"/>
      <c r="DK44" s="467" t="n"/>
      <c r="DL44" s="467" t="n"/>
      <c r="DM44" s="467" t="n"/>
      <c r="DN44" s="467" t="n"/>
      <c r="DO44" s="467" t="n"/>
      <c r="DP44" s="467" t="inlineStr">
        <is>
          <t>998313</t>
        </is>
      </c>
      <c r="DQ44" s="467" t="n">
        <v>0</v>
      </c>
      <c r="DR44" s="467" t="n"/>
      <c r="DS44" s="467" t="n"/>
      <c r="DT44" s="467" t="n"/>
      <c r="DU44" s="467" t="n"/>
      <c r="DV44" s="467" t="n"/>
      <c r="DW44" s="467" t="n"/>
      <c r="DX44" s="467" t="inlineStr">
        <is>
          <t>service</t>
        </is>
      </c>
      <c r="DY44" s="467" t="n"/>
      <c r="DZ44" s="467" t="n"/>
      <c r="EA44" s="467" t="n"/>
      <c r="EB44" s="467" t="n"/>
      <c r="EC44" s="467" t="n"/>
      <c r="ED44" s="467" t="n"/>
      <c r="EE44" s="467" t="n"/>
      <c r="EF44" s="467" t="n"/>
      <c r="EG44" s="467" t="n"/>
      <c r="EH44" s="467" t="inlineStr">
        <is>
          <t>Others</t>
        </is>
      </c>
      <c r="EI44" s="467" t="n"/>
      <c r="EJ44" s="467" t="n"/>
      <c r="EK44" s="467" t="inlineStr">
        <is>
          <t>Sales</t>
        </is>
      </c>
      <c r="EL44" s="467" t="n"/>
      <c r="EM44" s="467" t="inlineStr">
        <is>
          <t>Taxable</t>
        </is>
      </c>
      <c r="EN44" s="467" t="inlineStr">
        <is>
          <t>2297152000000031111</t>
        </is>
      </c>
      <c r="EO44" s="467" t="inlineStr">
        <is>
          <t>IGST18</t>
        </is>
      </c>
      <c r="EP44" s="467" t="inlineStr">
        <is>
          <t>18.00</t>
        </is>
      </c>
      <c r="EQ44" s="467" t="n">
        <v>27000</v>
      </c>
      <c r="ER44" s="467" t="inlineStr">
        <is>
          <t>ItemAmount</t>
        </is>
      </c>
      <c r="ES44" s="467" t="n"/>
      <c r="ET44" s="467" t="n"/>
    </row>
    <row r="45" ht="64.90000000000001" customHeight="1" s="253">
      <c r="A45" s="466" t="n">
        <v>45771</v>
      </c>
      <c r="B45" s="467" t="inlineStr">
        <is>
          <t>2297152000000112017</t>
        </is>
      </c>
      <c r="C45" s="467" t="inlineStr">
        <is>
          <t>INV-25-26-000046</t>
        </is>
      </c>
      <c r="D45" s="467" t="inlineStr">
        <is>
          <t>Closed</t>
        </is>
      </c>
      <c r="E45" s="467" t="inlineStr">
        <is>
          <t>2297152000000112001</t>
        </is>
      </c>
      <c r="F45" s="467" t="inlineStr">
        <is>
          <t>SINHA &amp; COMPANY</t>
        </is>
      </c>
      <c r="G45" s="467" t="inlineStr">
        <is>
          <t>WB</t>
        </is>
      </c>
      <c r="H45" s="467" t="inlineStr">
        <is>
          <t>19-West Bengal</t>
        </is>
      </c>
      <c r="I45" s="467" t="inlineStr">
        <is>
          <t>business_none</t>
        </is>
      </c>
      <c r="J45" s="467" t="inlineStr">
        <is>
          <t>false</t>
        </is>
      </c>
      <c r="K45" s="466" t="n">
        <v>45771</v>
      </c>
      <c r="L45" s="467" t="n"/>
      <c r="M45" s="467" t="inlineStr">
        <is>
          <t>INR</t>
        </is>
      </c>
      <c r="N45" s="467" t="n">
        <v>1</v>
      </c>
      <c r="O45" s="467" t="inlineStr">
        <is>
          <t>item_level</t>
        </is>
      </c>
      <c r="P45" s="467" t="inlineStr">
        <is>
          <t>true</t>
        </is>
      </c>
      <c r="Q45" s="467" t="inlineStr">
        <is>
          <t>Tax Invoice</t>
        </is>
      </c>
      <c r="R45" s="467" t="inlineStr">
        <is>
          <t>0.00</t>
        </is>
      </c>
      <c r="S45" s="467" t="n"/>
      <c r="T45" s="467" t="n"/>
      <c r="U45" s="467" t="inlineStr">
        <is>
          <t>entity_level</t>
        </is>
      </c>
      <c r="V45" s="467" t="inlineStr">
        <is>
          <t>Technical Fees (2%)</t>
        </is>
      </c>
      <c r="W45" s="467" t="inlineStr">
        <is>
          <t>2.00</t>
        </is>
      </c>
      <c r="X45" s="467" t="inlineStr">
        <is>
          <t>194J</t>
        </is>
      </c>
      <c r="Y45" s="467" t="inlineStr">
        <is>
          <t>Section 194 J</t>
        </is>
      </c>
      <c r="Z45" s="467" t="inlineStr">
        <is>
          <t>3456.000</t>
        </is>
      </c>
      <c r="AA45" s="467" t="n">
        <v>172800</v>
      </c>
      <c r="AB45" s="467" t="n">
        <v>200448</v>
      </c>
      <c r="AC45" s="467" t="n">
        <v>0</v>
      </c>
      <c r="AD45" s="467" t="n">
        <v>0</v>
      </c>
      <c r="AE45" s="467" t="inlineStr">
        <is>
          <t>Adjustment</t>
        </is>
      </c>
      <c r="AF45" s="467" t="n"/>
      <c r="AG45" s="466" t="n">
        <v>45777</v>
      </c>
      <c r="AH45" s="467" t="inlineStr">
        <is>
          <t>0</t>
        </is>
      </c>
      <c r="AI45" s="467" t="inlineStr">
        <is>
          <t>Due on Receipt</t>
        </is>
      </c>
      <c r="AJ45" s="467" t="inlineStr">
        <is>
          <t>Thanks for your business.</t>
        </is>
      </c>
      <c r="AK45" s="467" t="n"/>
      <c r="AL45" s="467" t="n"/>
      <c r="AM45" s="467" t="n"/>
      <c r="AN45" s="467" t="n"/>
      <c r="AO45" s="467" t="n"/>
      <c r="AP45" s="467" t="n"/>
      <c r="AQ45" s="467" t="n"/>
      <c r="AR45" s="467" t="n"/>
      <c r="AS45" s="467" t="n"/>
      <c r="AT45" s="467" t="inlineStr">
        <is>
          <t>Invoice</t>
        </is>
      </c>
      <c r="AU45" s="467" t="inlineStr">
        <is>
          <t>0.0</t>
        </is>
      </c>
      <c r="AV45" s="467" t="n">
        <v>0</v>
      </c>
      <c r="AW45" s="467" t="n"/>
      <c r="AX45" s="467" t="n"/>
      <c r="AY45" s="467" t="n"/>
      <c r="AZ45" s="467" t="n"/>
      <c r="BA45" s="467" t="n"/>
      <c r="BB45" s="467" t="n"/>
      <c r="BC45" s="467" t="n"/>
      <c r="BD45" s="467" t="inlineStr">
        <is>
          <t>Jurisphere Enterprise Subscription</t>
        </is>
      </c>
      <c r="BE45" s="468" t="inlineStr">
        <is>
          <t xml:space="preserve">Contract Period- Annual Subscription from 25-4-2025 to 24-4-2026
Description- The pricing includes unlimited access to Document Review, Legal Research, Translation, Redlines, File Library, and List of Dates of 5 License. </t>
        </is>
      </c>
      <c r="BF45" s="467" t="n">
        <v>1</v>
      </c>
      <c r="BG45" s="467" t="inlineStr">
        <is>
          <t>0.00</t>
        </is>
      </c>
      <c r="BH45" s="467" t="inlineStr">
        <is>
          <t>0.00</t>
        </is>
      </c>
      <c r="BI45" s="467" t="n">
        <v>172800</v>
      </c>
      <c r="BJ45" s="467" t="inlineStr">
        <is>
          <t>pcs</t>
        </is>
      </c>
      <c r="BK45" s="467" t="n">
        <v>172800</v>
      </c>
      <c r="BL45" s="467" t="inlineStr">
        <is>
          <t>2297152000000039748</t>
        </is>
      </c>
      <c r="BM45" s="467" t="n"/>
      <c r="BN45" s="467" t="n"/>
      <c r="BO45" s="467" t="n"/>
      <c r="BP45" s="467" t="n"/>
      <c r="BQ45" s="467" t="n"/>
      <c r="BR45" s="467" t="inlineStr">
        <is>
          <t>5, KIRAN SHANKAR ROY ROAD,</t>
        </is>
      </c>
      <c r="BS45" s="467" t="inlineStr">
        <is>
          <t>1ST FLOOR,</t>
        </is>
      </c>
      <c r="BT45" s="467" t="inlineStr">
        <is>
          <t>KOLKATA</t>
        </is>
      </c>
      <c r="BU45" s="467" t="inlineStr">
        <is>
          <t>West Bengal</t>
        </is>
      </c>
      <c r="BV45" s="467" t="inlineStr">
        <is>
          <t>India</t>
        </is>
      </c>
      <c r="BW45" s="467" t="inlineStr">
        <is>
          <t>700001</t>
        </is>
      </c>
      <c r="BX45" s="467" t="n"/>
      <c r="BY45" s="467" t="n"/>
      <c r="BZ45" s="467" t="n"/>
      <c r="CA45" s="467" t="inlineStr">
        <is>
          <t>5, KIRAN SHANKAR ROY ROAD,</t>
        </is>
      </c>
      <c r="CB45" s="467" t="inlineStr">
        <is>
          <t>1ST FLOOR,</t>
        </is>
      </c>
      <c r="CC45" s="467" t="inlineStr">
        <is>
          <t>KOLKATA</t>
        </is>
      </c>
      <c r="CD45" s="467" t="inlineStr">
        <is>
          <t>West Bengal</t>
        </is>
      </c>
      <c r="CE45" s="467" t="inlineStr">
        <is>
          <t>India</t>
        </is>
      </c>
      <c r="CF45" s="467" t="inlineStr">
        <is>
          <t>700001</t>
        </is>
      </c>
      <c r="CG45" s="467" t="n"/>
      <c r="CH45" s="467" t="n"/>
      <c r="CI45" s="467" t="inlineStr">
        <is>
          <t>Coresphere100 Technologies Pvt. Ltd.</t>
        </is>
      </c>
      <c r="CJ45" s="467" t="inlineStr">
        <is>
          <t>09AALCC7037K1Z7</t>
        </is>
      </c>
      <c r="CK45" s="467" t="inlineStr">
        <is>
          <t>16026, 16th Floor, Tower Oakwood,</t>
        </is>
      </c>
      <c r="CL45" s="467" t="inlineStr">
        <is>
          <t>Greater Noida,</t>
        </is>
      </c>
      <c r="CM45" s="467" t="inlineStr">
        <is>
          <t>Uttar Pradesh</t>
        </is>
      </c>
      <c r="CN45" s="467" t="inlineStr">
        <is>
          <t>India</t>
        </is>
      </c>
      <c r="CO45" s="467" t="inlineStr">
        <is>
          <t>201306</t>
        </is>
      </c>
      <c r="CP45" s="467" t="inlineStr">
        <is>
          <t>8928163657</t>
        </is>
      </c>
      <c r="CQ45" s="467" t="inlineStr">
        <is>
          <t>manas@jurisphere.ai</t>
        </is>
      </c>
      <c r="CR45" s="467" t="inlineStr">
        <is>
          <t>0.00</t>
        </is>
      </c>
      <c r="CS45" s="467" t="inlineStr">
        <is>
          <t>0.00</t>
        </is>
      </c>
      <c r="CT45" s="467" t="inlineStr">
        <is>
          <t>18.00</t>
        </is>
      </c>
      <c r="CU45" s="467" t="inlineStr">
        <is>
          <t>0.00</t>
        </is>
      </c>
      <c r="CV45" s="467" t="inlineStr">
        <is>
          <t>0.00</t>
        </is>
      </c>
      <c r="CW45" s="467" t="inlineStr">
        <is>
          <t>0.00</t>
        </is>
      </c>
      <c r="CX45" s="467" t="inlineStr">
        <is>
          <t>31104.00</t>
        </is>
      </c>
      <c r="CY45" s="467" t="inlineStr">
        <is>
          <t>0.00</t>
        </is>
      </c>
      <c r="CZ45" s="467" t="inlineStr">
        <is>
          <t>0.00</t>
        </is>
      </c>
      <c r="DA45" s="467" t="inlineStr">
        <is>
          <t>0.00</t>
        </is>
      </c>
      <c r="DB45" s="467" t="inlineStr">
        <is>
          <t>31104.00</t>
        </is>
      </c>
      <c r="DC45" s="467" t="inlineStr">
        <is>
          <t>0.00</t>
        </is>
      </c>
      <c r="DD45" s="467" t="n"/>
      <c r="DE45" s="467" t="n"/>
      <c r="DF45" s="467" t="n"/>
      <c r="DG45" s="467" t="n"/>
      <c r="DH45" s="467" t="n"/>
      <c r="DI45" s="467" t="n"/>
      <c r="DJ45" s="467" t="n"/>
      <c r="DK45" s="467" t="n"/>
      <c r="DL45" s="467" t="n"/>
      <c r="DM45" s="467" t="n"/>
      <c r="DN45" s="467" t="n"/>
      <c r="DO45" s="467" t="n"/>
      <c r="DP45" s="467" t="inlineStr">
        <is>
          <t>998313</t>
        </is>
      </c>
      <c r="DQ45" s="467" t="n">
        <v>0</v>
      </c>
      <c r="DR45" s="467" t="n"/>
      <c r="DS45" s="467" t="n"/>
      <c r="DT45" s="467" t="n"/>
      <c r="DU45" s="467" t="n"/>
      <c r="DV45" s="467" t="n"/>
      <c r="DW45" s="467" t="n"/>
      <c r="DX45" s="467" t="inlineStr">
        <is>
          <t>service</t>
        </is>
      </c>
      <c r="DY45" s="467" t="n"/>
      <c r="DZ45" s="467" t="n"/>
      <c r="EA45" s="467" t="n"/>
      <c r="EB45" s="467" t="n"/>
      <c r="EC45" s="467" t="n"/>
      <c r="ED45" s="467" t="n"/>
      <c r="EE45" s="467" t="n"/>
      <c r="EF45" s="467" t="n"/>
      <c r="EG45" s="467" t="n"/>
      <c r="EH45" s="467" t="inlineStr">
        <is>
          <t>Others</t>
        </is>
      </c>
      <c r="EI45" s="467" t="n"/>
      <c r="EJ45" s="467" t="n"/>
      <c r="EK45" s="467" t="inlineStr">
        <is>
          <t>Sales</t>
        </is>
      </c>
      <c r="EL45" s="467" t="n"/>
      <c r="EM45" s="467" t="inlineStr">
        <is>
          <t>Taxable</t>
        </is>
      </c>
      <c r="EN45" s="467" t="inlineStr">
        <is>
          <t>2297152000000031111</t>
        </is>
      </c>
      <c r="EO45" s="467" t="inlineStr">
        <is>
          <t>IGST18</t>
        </is>
      </c>
      <c r="EP45" s="467" t="inlineStr">
        <is>
          <t>18.00</t>
        </is>
      </c>
      <c r="EQ45" s="467" t="n">
        <v>31104</v>
      </c>
      <c r="ER45" s="467" t="inlineStr">
        <is>
          <t>ItemAmount</t>
        </is>
      </c>
      <c r="ES45" s="467" t="n"/>
      <c r="ET45" s="467" t="n"/>
    </row>
    <row r="46" ht="39.55" customHeight="1" s="253">
      <c r="A46" s="466" t="n">
        <v>45772</v>
      </c>
      <c r="B46" s="467" t="inlineStr">
        <is>
          <t>2297152000000115623</t>
        </is>
      </c>
      <c r="C46" s="467" t="inlineStr">
        <is>
          <t>INV-25-26-000047</t>
        </is>
      </c>
      <c r="D46" s="467" t="inlineStr">
        <is>
          <t>Closed</t>
        </is>
      </c>
      <c r="E46" s="467" t="inlineStr">
        <is>
          <t>2297152000000115449</t>
        </is>
      </c>
      <c r="F46" s="467" t="inlineStr">
        <is>
          <t>Darshit Jain</t>
        </is>
      </c>
      <c r="G46" s="467" t="inlineStr">
        <is>
          <t>MH</t>
        </is>
      </c>
      <c r="H46" s="467" t="inlineStr">
        <is>
          <t>27-Maharashtra</t>
        </is>
      </c>
      <c r="I46" s="467" t="inlineStr">
        <is>
          <t>business_none</t>
        </is>
      </c>
      <c r="J46" s="467" t="inlineStr">
        <is>
          <t>false</t>
        </is>
      </c>
      <c r="K46" s="466" t="n">
        <v>45772</v>
      </c>
      <c r="L46" s="467" t="n"/>
      <c r="M46" s="467" t="inlineStr">
        <is>
          <t>INR</t>
        </is>
      </c>
      <c r="N46" s="467" t="n">
        <v>1</v>
      </c>
      <c r="O46" s="467" t="inlineStr">
        <is>
          <t>item_level</t>
        </is>
      </c>
      <c r="P46" s="467" t="inlineStr">
        <is>
          <t>true</t>
        </is>
      </c>
      <c r="Q46" s="467" t="inlineStr">
        <is>
          <t>Tax Invoice</t>
        </is>
      </c>
      <c r="R46" s="467" t="inlineStr">
        <is>
          <t>0.00</t>
        </is>
      </c>
      <c r="S46" s="467" t="n"/>
      <c r="T46" s="467" t="n"/>
      <c r="U46" s="467" t="inlineStr">
        <is>
          <t>item_level</t>
        </is>
      </c>
      <c r="V46" s="467" t="n"/>
      <c r="W46" s="467" t="inlineStr">
        <is>
          <t>0.00</t>
        </is>
      </c>
      <c r="X46" s="467" t="n"/>
      <c r="Y46" s="467" t="n"/>
      <c r="Z46" s="467" t="inlineStr">
        <is>
          <t>0.000</t>
        </is>
      </c>
      <c r="AA46" s="467" t="n">
        <v>21600</v>
      </c>
      <c r="AB46" s="467" t="n">
        <v>25488</v>
      </c>
      <c r="AC46" s="467" t="n">
        <v>0</v>
      </c>
      <c r="AD46" s="467" t="n">
        <v>0</v>
      </c>
      <c r="AE46" s="467" t="inlineStr">
        <is>
          <t>Adjustment</t>
        </is>
      </c>
      <c r="AF46" s="467" t="n"/>
      <c r="AG46" s="466" t="n">
        <v>45772</v>
      </c>
      <c r="AH46" s="467" t="inlineStr">
        <is>
          <t>0</t>
        </is>
      </c>
      <c r="AI46" s="467" t="inlineStr">
        <is>
          <t>Due on Receipt</t>
        </is>
      </c>
      <c r="AJ46" s="467" t="inlineStr">
        <is>
          <t>Thanks for your business.</t>
        </is>
      </c>
      <c r="AK46" s="467" t="n"/>
      <c r="AL46" s="467" t="n"/>
      <c r="AM46" s="467" t="n"/>
      <c r="AN46" s="467" t="n"/>
      <c r="AO46" s="467" t="n"/>
      <c r="AP46" s="467" t="n"/>
      <c r="AQ46" s="467" t="n"/>
      <c r="AR46" s="467" t="n"/>
      <c r="AS46" s="467" t="n"/>
      <c r="AT46" s="467" t="inlineStr">
        <is>
          <t>Invoice</t>
        </is>
      </c>
      <c r="AU46" s="467" t="inlineStr">
        <is>
          <t>0.0</t>
        </is>
      </c>
      <c r="AV46" s="467" t="n">
        <v>0</v>
      </c>
      <c r="AW46" s="467" t="n"/>
      <c r="AX46" s="467" t="n"/>
      <c r="AY46" s="467" t="n"/>
      <c r="AZ46" s="467" t="n"/>
      <c r="BA46" s="467" t="n"/>
      <c r="BB46" s="467" t="n"/>
      <c r="BC46" s="467" t="n"/>
      <c r="BD46" s="467" t="inlineStr">
        <is>
          <t>Jurisphere Enterprise Subscription</t>
        </is>
      </c>
      <c r="BE46" s="468" t="inlineStr">
        <is>
          <t xml:space="preserve">Subscription Period- Annual Subscription started from 25th Apr 25 to 24th Apr 26
Description- Single license for unlimited usage (litigation) </t>
        </is>
      </c>
      <c r="BF46" s="467" t="n">
        <v>1</v>
      </c>
      <c r="BG46" s="467" t="inlineStr">
        <is>
          <t>0.00</t>
        </is>
      </c>
      <c r="BH46" s="467" t="inlineStr">
        <is>
          <t>0.00</t>
        </is>
      </c>
      <c r="BI46" s="467" t="n">
        <v>21600</v>
      </c>
      <c r="BJ46" s="467" t="inlineStr">
        <is>
          <t>pcs</t>
        </is>
      </c>
      <c r="BK46" s="467" t="n">
        <v>21600</v>
      </c>
      <c r="BL46" s="467" t="inlineStr">
        <is>
          <t>2297152000000039748</t>
        </is>
      </c>
      <c r="BM46" s="467" t="n"/>
      <c r="BN46" s="467" t="n"/>
      <c r="BO46" s="467" t="n"/>
      <c r="BP46" s="467" t="n"/>
      <c r="BQ46" s="467" t="n"/>
      <c r="BR46" s="467" t="n"/>
      <c r="BS46" s="467" t="n"/>
      <c r="BT46" s="467" t="inlineStr">
        <is>
          <t>Mumbai</t>
        </is>
      </c>
      <c r="BU46" s="467" t="inlineStr">
        <is>
          <t>Maharashtra</t>
        </is>
      </c>
      <c r="BV46" s="467" t="inlineStr">
        <is>
          <t>India</t>
        </is>
      </c>
      <c r="BW46" s="467" t="n"/>
      <c r="BX46" s="467" t="n"/>
      <c r="BY46" s="467" t="n"/>
      <c r="BZ46" s="467" t="n"/>
      <c r="CA46" s="467" t="n"/>
      <c r="CB46" s="467" t="n"/>
      <c r="CC46" s="467" t="inlineStr">
        <is>
          <t>Mumbai</t>
        </is>
      </c>
      <c r="CD46" s="467" t="inlineStr">
        <is>
          <t>Maharashtra</t>
        </is>
      </c>
      <c r="CE46" s="467" t="inlineStr">
        <is>
          <t>India</t>
        </is>
      </c>
      <c r="CF46" s="467" t="n"/>
      <c r="CG46" s="467" t="n"/>
      <c r="CH46" s="467" t="n"/>
      <c r="CI46" s="467" t="inlineStr">
        <is>
          <t>Coresphere100 Technologies Pvt. Ltd.</t>
        </is>
      </c>
      <c r="CJ46" s="467" t="inlineStr">
        <is>
          <t>09AALCC7037K1Z7</t>
        </is>
      </c>
      <c r="CK46" s="467" t="inlineStr">
        <is>
          <t>16026, 16th Floor, Tower Oakwood,</t>
        </is>
      </c>
      <c r="CL46" s="467" t="inlineStr">
        <is>
          <t>Greater Noida,</t>
        </is>
      </c>
      <c r="CM46" s="467" t="inlineStr">
        <is>
          <t>Uttar Pradesh</t>
        </is>
      </c>
      <c r="CN46" s="467" t="inlineStr">
        <is>
          <t>India</t>
        </is>
      </c>
      <c r="CO46" s="467" t="inlineStr">
        <is>
          <t>201306</t>
        </is>
      </c>
      <c r="CP46" s="467" t="inlineStr">
        <is>
          <t>8928163657</t>
        </is>
      </c>
      <c r="CQ46" s="467" t="inlineStr">
        <is>
          <t>manas@jurisphere.ai</t>
        </is>
      </c>
      <c r="CR46" s="467" t="inlineStr">
        <is>
          <t>0.00</t>
        </is>
      </c>
      <c r="CS46" s="467" t="inlineStr">
        <is>
          <t>0.00</t>
        </is>
      </c>
      <c r="CT46" s="467" t="inlineStr">
        <is>
          <t>18.00</t>
        </is>
      </c>
      <c r="CU46" s="467" t="inlineStr">
        <is>
          <t>0.00</t>
        </is>
      </c>
      <c r="CV46" s="467" t="inlineStr">
        <is>
          <t>0.00</t>
        </is>
      </c>
      <c r="CW46" s="467" t="inlineStr">
        <is>
          <t>0.00</t>
        </is>
      </c>
      <c r="CX46" s="467" t="inlineStr">
        <is>
          <t>3888.00</t>
        </is>
      </c>
      <c r="CY46" s="467" t="inlineStr">
        <is>
          <t>0.00</t>
        </is>
      </c>
      <c r="CZ46" s="467" t="inlineStr">
        <is>
          <t>0.00</t>
        </is>
      </c>
      <c r="DA46" s="467" t="inlineStr">
        <is>
          <t>0.00</t>
        </is>
      </c>
      <c r="DB46" s="467" t="inlineStr">
        <is>
          <t>3888.00</t>
        </is>
      </c>
      <c r="DC46" s="467" t="inlineStr">
        <is>
          <t>0.00</t>
        </is>
      </c>
      <c r="DD46" s="467" t="n"/>
      <c r="DE46" s="467" t="n"/>
      <c r="DF46" s="467" t="n"/>
      <c r="DG46" s="467" t="n"/>
      <c r="DH46" s="467" t="n"/>
      <c r="DI46" s="467" t="inlineStr">
        <is>
          <t>0.000</t>
        </is>
      </c>
      <c r="DJ46" s="467" t="n"/>
      <c r="DK46" s="467" t="n"/>
      <c r="DL46" s="467" t="n"/>
      <c r="DM46" s="467" t="n"/>
      <c r="DN46" s="467" t="n"/>
      <c r="DO46" s="467" t="n"/>
      <c r="DP46" s="467" t="inlineStr">
        <is>
          <t>998313</t>
        </is>
      </c>
      <c r="DQ46" s="467" t="n">
        <v>0</v>
      </c>
      <c r="DR46" s="467" t="n"/>
      <c r="DS46" s="467" t="n"/>
      <c r="DT46" s="467" t="n"/>
      <c r="DU46" s="467" t="n"/>
      <c r="DV46" s="467" t="n"/>
      <c r="DW46" s="467" t="n"/>
      <c r="DX46" s="467" t="inlineStr">
        <is>
          <t>service</t>
        </is>
      </c>
      <c r="DY46" s="467" t="n"/>
      <c r="DZ46" s="467" t="n"/>
      <c r="EA46" s="467" t="n"/>
      <c r="EB46" s="467" t="n"/>
      <c r="EC46" s="467" t="n"/>
      <c r="ED46" s="467" t="n"/>
      <c r="EE46" s="467" t="n"/>
      <c r="EF46" s="467" t="n"/>
      <c r="EG46" s="467" t="n"/>
      <c r="EH46" s="467" t="inlineStr">
        <is>
          <t>Others</t>
        </is>
      </c>
      <c r="EI46" s="467" t="n"/>
      <c r="EJ46" s="467" t="n"/>
      <c r="EK46" s="467" t="inlineStr">
        <is>
          <t>Sales</t>
        </is>
      </c>
      <c r="EL46" s="467" t="n"/>
      <c r="EM46" s="467" t="inlineStr">
        <is>
          <t>Taxable</t>
        </is>
      </c>
      <c r="EN46" s="467" t="inlineStr">
        <is>
          <t>2297152000000031111</t>
        </is>
      </c>
      <c r="EO46" s="467" t="inlineStr">
        <is>
          <t>IGST18</t>
        </is>
      </c>
      <c r="EP46" s="467" t="inlineStr">
        <is>
          <t>18.00</t>
        </is>
      </c>
      <c r="EQ46" s="467" t="n">
        <v>3888</v>
      </c>
      <c r="ER46" s="467" t="inlineStr">
        <is>
          <t>ItemAmount</t>
        </is>
      </c>
      <c r="ES46" s="467" t="n"/>
      <c r="ET46" s="467" t="n"/>
    </row>
    <row r="47" ht="39.55" customHeight="1" s="253">
      <c r="A47" s="466" t="n">
        <v>45772</v>
      </c>
      <c r="B47" s="467" t="inlineStr">
        <is>
          <t>2297152000000115635</t>
        </is>
      </c>
      <c r="C47" s="467" t="inlineStr">
        <is>
          <t>INV-25-26-000048</t>
        </is>
      </c>
      <c r="D47" s="467" t="inlineStr">
        <is>
          <t>Closed</t>
        </is>
      </c>
      <c r="E47" s="467" t="inlineStr">
        <is>
          <t>2297152000000115465</t>
        </is>
      </c>
      <c r="F47" s="467" t="inlineStr">
        <is>
          <t>Sagar Ghogre</t>
        </is>
      </c>
      <c r="G47" s="467" t="inlineStr">
        <is>
          <t>MH</t>
        </is>
      </c>
      <c r="H47" s="467" t="inlineStr">
        <is>
          <t>27-Maharashtra</t>
        </is>
      </c>
      <c r="I47" s="467" t="inlineStr">
        <is>
          <t>business_none</t>
        </is>
      </c>
      <c r="J47" s="467" t="inlineStr">
        <is>
          <t>false</t>
        </is>
      </c>
      <c r="K47" s="466" t="n">
        <v>45772</v>
      </c>
      <c r="L47" s="467" t="n"/>
      <c r="M47" s="467" t="inlineStr">
        <is>
          <t>INR</t>
        </is>
      </c>
      <c r="N47" s="467" t="n">
        <v>1</v>
      </c>
      <c r="O47" s="467" t="inlineStr">
        <is>
          <t>item_level</t>
        </is>
      </c>
      <c r="P47" s="467" t="inlineStr">
        <is>
          <t>true</t>
        </is>
      </c>
      <c r="Q47" s="467" t="inlineStr">
        <is>
          <t>Tax Invoice</t>
        </is>
      </c>
      <c r="R47" s="467" t="inlineStr">
        <is>
          <t>0.00</t>
        </is>
      </c>
      <c r="S47" s="467" t="n"/>
      <c r="T47" s="467" t="n"/>
      <c r="U47" s="467" t="inlineStr">
        <is>
          <t>item_level</t>
        </is>
      </c>
      <c r="V47" s="467" t="n"/>
      <c r="W47" s="467" t="inlineStr">
        <is>
          <t>0.00</t>
        </is>
      </c>
      <c r="X47" s="467" t="n"/>
      <c r="Y47" s="467" t="n"/>
      <c r="Z47" s="467" t="inlineStr">
        <is>
          <t>0.000</t>
        </is>
      </c>
      <c r="AA47" s="467" t="n">
        <v>21600</v>
      </c>
      <c r="AB47" s="467" t="n">
        <v>25488</v>
      </c>
      <c r="AC47" s="467" t="n">
        <v>0</v>
      </c>
      <c r="AD47" s="467" t="n">
        <v>0</v>
      </c>
      <c r="AE47" s="467" t="inlineStr">
        <is>
          <t>Adjustment</t>
        </is>
      </c>
      <c r="AF47" s="467" t="n"/>
      <c r="AG47" s="466" t="n">
        <v>45772</v>
      </c>
      <c r="AH47" s="467" t="inlineStr">
        <is>
          <t>0</t>
        </is>
      </c>
      <c r="AI47" s="467" t="inlineStr">
        <is>
          <t>Due on Receipt</t>
        </is>
      </c>
      <c r="AJ47" s="467" t="inlineStr">
        <is>
          <t>Thanks for your business.</t>
        </is>
      </c>
      <c r="AK47" s="467" t="n"/>
      <c r="AL47" s="467" t="n"/>
      <c r="AM47" s="467" t="n"/>
      <c r="AN47" s="467" t="n"/>
      <c r="AO47" s="467" t="n"/>
      <c r="AP47" s="467" t="n"/>
      <c r="AQ47" s="467" t="n"/>
      <c r="AR47" s="467" t="n"/>
      <c r="AS47" s="467" t="n"/>
      <c r="AT47" s="467" t="inlineStr">
        <is>
          <t>Invoice</t>
        </is>
      </c>
      <c r="AU47" s="467" t="inlineStr">
        <is>
          <t>0.0</t>
        </is>
      </c>
      <c r="AV47" s="467" t="n">
        <v>0</v>
      </c>
      <c r="AW47" s="467" t="n"/>
      <c r="AX47" s="467" t="n"/>
      <c r="AY47" s="467" t="n"/>
      <c r="AZ47" s="467" t="n"/>
      <c r="BA47" s="467" t="n"/>
      <c r="BB47" s="467" t="n"/>
      <c r="BC47" s="467" t="n"/>
      <c r="BD47" s="467" t="inlineStr">
        <is>
          <t>Jurisphere Enterprise Subscription</t>
        </is>
      </c>
      <c r="BE47" s="468" t="inlineStr">
        <is>
          <t xml:space="preserve">Subscription Period- Annual Subscription started from 25th Apr 25 to 24th Apr 26
Description- Single license for unlimited usage (litigation) </t>
        </is>
      </c>
      <c r="BF47" s="467" t="n">
        <v>1</v>
      </c>
      <c r="BG47" s="467" t="inlineStr">
        <is>
          <t>0.00</t>
        </is>
      </c>
      <c r="BH47" s="467" t="inlineStr">
        <is>
          <t>0.00</t>
        </is>
      </c>
      <c r="BI47" s="467" t="n">
        <v>21600</v>
      </c>
      <c r="BJ47" s="467" t="inlineStr">
        <is>
          <t>pcs</t>
        </is>
      </c>
      <c r="BK47" s="467" t="n">
        <v>21600</v>
      </c>
      <c r="BL47" s="467" t="inlineStr">
        <is>
          <t>2297152000000039748</t>
        </is>
      </c>
      <c r="BM47" s="467" t="n"/>
      <c r="BN47" s="467" t="n"/>
      <c r="BO47" s="467" t="n"/>
      <c r="BP47" s="467" t="n"/>
      <c r="BQ47" s="467" t="n"/>
      <c r="BR47" s="467" t="n"/>
      <c r="BS47" s="467" t="n"/>
      <c r="BT47" s="467" t="inlineStr">
        <is>
          <t>Mumbai</t>
        </is>
      </c>
      <c r="BU47" s="467" t="inlineStr">
        <is>
          <t>Maharashtra</t>
        </is>
      </c>
      <c r="BV47" s="467" t="inlineStr">
        <is>
          <t>India</t>
        </is>
      </c>
      <c r="BW47" s="467" t="n"/>
      <c r="BX47" s="467" t="n"/>
      <c r="BY47" s="467" t="n"/>
      <c r="BZ47" s="467" t="n"/>
      <c r="CA47" s="467" t="n"/>
      <c r="CB47" s="467" t="n"/>
      <c r="CC47" s="467" t="inlineStr">
        <is>
          <t>Mumbai</t>
        </is>
      </c>
      <c r="CD47" s="467" t="inlineStr">
        <is>
          <t>Maharashtra</t>
        </is>
      </c>
      <c r="CE47" s="467" t="inlineStr">
        <is>
          <t>India</t>
        </is>
      </c>
      <c r="CF47" s="467" t="n"/>
      <c r="CG47" s="467" t="n"/>
      <c r="CH47" s="467" t="n"/>
      <c r="CI47" s="467" t="inlineStr">
        <is>
          <t>Coresphere100 Technologies Pvt. Ltd.</t>
        </is>
      </c>
      <c r="CJ47" s="467" t="inlineStr">
        <is>
          <t>09AALCC7037K1Z7</t>
        </is>
      </c>
      <c r="CK47" s="467" t="inlineStr">
        <is>
          <t>16026, 16th Floor, Tower Oakwood,</t>
        </is>
      </c>
      <c r="CL47" s="467" t="inlineStr">
        <is>
          <t>Greater Noida,</t>
        </is>
      </c>
      <c r="CM47" s="467" t="inlineStr">
        <is>
          <t>Uttar Pradesh</t>
        </is>
      </c>
      <c r="CN47" s="467" t="inlineStr">
        <is>
          <t>India</t>
        </is>
      </c>
      <c r="CO47" s="467" t="inlineStr">
        <is>
          <t>201306</t>
        </is>
      </c>
      <c r="CP47" s="467" t="inlineStr">
        <is>
          <t>8928163657</t>
        </is>
      </c>
      <c r="CQ47" s="467" t="inlineStr">
        <is>
          <t>manas@jurisphere.ai</t>
        </is>
      </c>
      <c r="CR47" s="467" t="inlineStr">
        <is>
          <t>0.00</t>
        </is>
      </c>
      <c r="CS47" s="467" t="inlineStr">
        <is>
          <t>0.00</t>
        </is>
      </c>
      <c r="CT47" s="467" t="inlineStr">
        <is>
          <t>18.00</t>
        </is>
      </c>
      <c r="CU47" s="467" t="inlineStr">
        <is>
          <t>0.00</t>
        </is>
      </c>
      <c r="CV47" s="467" t="inlineStr">
        <is>
          <t>0.00</t>
        </is>
      </c>
      <c r="CW47" s="467" t="inlineStr">
        <is>
          <t>0.00</t>
        </is>
      </c>
      <c r="CX47" s="467" t="inlineStr">
        <is>
          <t>3888.00</t>
        </is>
      </c>
      <c r="CY47" s="467" t="inlineStr">
        <is>
          <t>0.00</t>
        </is>
      </c>
      <c r="CZ47" s="467" t="inlineStr">
        <is>
          <t>0.00</t>
        </is>
      </c>
      <c r="DA47" s="467" t="inlineStr">
        <is>
          <t>0.00</t>
        </is>
      </c>
      <c r="DB47" s="467" t="inlineStr">
        <is>
          <t>3888.00</t>
        </is>
      </c>
      <c r="DC47" s="467" t="inlineStr">
        <is>
          <t>0.00</t>
        </is>
      </c>
      <c r="DD47" s="467" t="n"/>
      <c r="DE47" s="467" t="n"/>
      <c r="DF47" s="467" t="n"/>
      <c r="DG47" s="467" t="n"/>
      <c r="DH47" s="467" t="n"/>
      <c r="DI47" s="467" t="inlineStr">
        <is>
          <t>0.000</t>
        </is>
      </c>
      <c r="DJ47" s="467" t="n"/>
      <c r="DK47" s="467" t="n"/>
      <c r="DL47" s="467" t="n"/>
      <c r="DM47" s="467" t="n"/>
      <c r="DN47" s="467" t="n"/>
      <c r="DO47" s="467" t="n"/>
      <c r="DP47" s="467" t="inlineStr">
        <is>
          <t>998313</t>
        </is>
      </c>
      <c r="DQ47" s="467" t="n">
        <v>0</v>
      </c>
      <c r="DR47" s="467" t="n"/>
      <c r="DS47" s="467" t="n"/>
      <c r="DT47" s="467" t="n"/>
      <c r="DU47" s="467" t="n"/>
      <c r="DV47" s="467" t="n"/>
      <c r="DW47" s="467" t="n"/>
      <c r="DX47" s="467" t="inlineStr">
        <is>
          <t>service</t>
        </is>
      </c>
      <c r="DY47" s="467" t="n"/>
      <c r="DZ47" s="467" t="n"/>
      <c r="EA47" s="467" t="n"/>
      <c r="EB47" s="467" t="n"/>
      <c r="EC47" s="467" t="n"/>
      <c r="ED47" s="467" t="n"/>
      <c r="EE47" s="467" t="n"/>
      <c r="EF47" s="467" t="n"/>
      <c r="EG47" s="467" t="n"/>
      <c r="EH47" s="467" t="inlineStr">
        <is>
          <t>Others</t>
        </is>
      </c>
      <c r="EI47" s="467" t="n"/>
      <c r="EJ47" s="467" t="n"/>
      <c r="EK47" s="467" t="inlineStr">
        <is>
          <t>Sales</t>
        </is>
      </c>
      <c r="EL47" s="467" t="n"/>
      <c r="EM47" s="467" t="inlineStr">
        <is>
          <t>Taxable</t>
        </is>
      </c>
      <c r="EN47" s="467" t="inlineStr">
        <is>
          <t>2297152000000031111</t>
        </is>
      </c>
      <c r="EO47" s="467" t="inlineStr">
        <is>
          <t>IGST18</t>
        </is>
      </c>
      <c r="EP47" s="467" t="inlineStr">
        <is>
          <t>18.00</t>
        </is>
      </c>
      <c r="EQ47" s="467" t="n">
        <v>3888</v>
      </c>
      <c r="ER47" s="467" t="inlineStr">
        <is>
          <t>ItemAmount</t>
        </is>
      </c>
      <c r="ES47" s="467" t="n"/>
      <c r="ET47" s="467" t="n"/>
    </row>
    <row r="48" ht="39.55" customHeight="1" s="253">
      <c r="A48" s="466" t="n">
        <v>45772</v>
      </c>
      <c r="B48" s="467" t="inlineStr">
        <is>
          <t>2297152000000115647</t>
        </is>
      </c>
      <c r="C48" s="467" t="inlineStr">
        <is>
          <t>INV-25-26-000049</t>
        </is>
      </c>
      <c r="D48" s="467" t="inlineStr">
        <is>
          <t>Closed</t>
        </is>
      </c>
      <c r="E48" s="467" t="inlineStr">
        <is>
          <t>2297152000000115495</t>
        </is>
      </c>
      <c r="F48" s="467" t="inlineStr">
        <is>
          <t>Chetan shah</t>
        </is>
      </c>
      <c r="G48" s="467" t="inlineStr">
        <is>
          <t>MH</t>
        </is>
      </c>
      <c r="H48" s="467" t="inlineStr">
        <is>
          <t>27-Maharashtra</t>
        </is>
      </c>
      <c r="I48" s="467" t="inlineStr">
        <is>
          <t>business_none</t>
        </is>
      </c>
      <c r="J48" s="467" t="inlineStr">
        <is>
          <t>false</t>
        </is>
      </c>
      <c r="K48" s="466" t="n">
        <v>45772</v>
      </c>
      <c r="L48" s="467" t="n"/>
      <c r="M48" s="467" t="inlineStr">
        <is>
          <t>INR</t>
        </is>
      </c>
      <c r="N48" s="467" t="n">
        <v>1</v>
      </c>
      <c r="O48" s="467" t="inlineStr">
        <is>
          <t>item_level</t>
        </is>
      </c>
      <c r="P48" s="467" t="inlineStr">
        <is>
          <t>true</t>
        </is>
      </c>
      <c r="Q48" s="467" t="inlineStr">
        <is>
          <t>Tax Invoice</t>
        </is>
      </c>
      <c r="R48" s="467" t="inlineStr">
        <is>
          <t>0.00</t>
        </is>
      </c>
      <c r="S48" s="467" t="n"/>
      <c r="T48" s="467" t="n"/>
      <c r="U48" s="467" t="inlineStr">
        <is>
          <t>item_level</t>
        </is>
      </c>
      <c r="V48" s="467" t="n"/>
      <c r="W48" s="467" t="inlineStr">
        <is>
          <t>0.00</t>
        </is>
      </c>
      <c r="X48" s="467" t="n"/>
      <c r="Y48" s="467" t="n"/>
      <c r="Z48" s="467" t="inlineStr">
        <is>
          <t>0.000</t>
        </is>
      </c>
      <c r="AA48" s="467" t="n">
        <v>21600</v>
      </c>
      <c r="AB48" s="467" t="n">
        <v>25488</v>
      </c>
      <c r="AC48" s="467" t="n">
        <v>0</v>
      </c>
      <c r="AD48" s="467" t="n">
        <v>0</v>
      </c>
      <c r="AE48" s="467" t="inlineStr">
        <is>
          <t>Adjustment</t>
        </is>
      </c>
      <c r="AF48" s="467" t="n"/>
      <c r="AG48" s="466" t="n">
        <v>45772</v>
      </c>
      <c r="AH48" s="467" t="inlineStr">
        <is>
          <t>0</t>
        </is>
      </c>
      <c r="AI48" s="467" t="inlineStr">
        <is>
          <t>Due on Receipt</t>
        </is>
      </c>
      <c r="AJ48" s="467" t="inlineStr">
        <is>
          <t>Thanks for your business.</t>
        </is>
      </c>
      <c r="AK48" s="467" t="n"/>
      <c r="AL48" s="467" t="n"/>
      <c r="AM48" s="467" t="n"/>
      <c r="AN48" s="467" t="n"/>
      <c r="AO48" s="467" t="n"/>
      <c r="AP48" s="467" t="n"/>
      <c r="AQ48" s="467" t="n"/>
      <c r="AR48" s="467" t="n"/>
      <c r="AS48" s="467" t="n"/>
      <c r="AT48" s="467" t="inlineStr">
        <is>
          <t>Invoice</t>
        </is>
      </c>
      <c r="AU48" s="467" t="inlineStr">
        <is>
          <t>0.0</t>
        </is>
      </c>
      <c r="AV48" s="467" t="n">
        <v>0</v>
      </c>
      <c r="AW48" s="467" t="n"/>
      <c r="AX48" s="467" t="n"/>
      <c r="AY48" s="467" t="n"/>
      <c r="AZ48" s="467" t="n"/>
      <c r="BA48" s="467" t="n"/>
      <c r="BB48" s="467" t="n"/>
      <c r="BC48" s="467" t="n"/>
      <c r="BD48" s="467" t="inlineStr">
        <is>
          <t>Jurisphere Enterprise Subscription</t>
        </is>
      </c>
      <c r="BE48" s="468" t="inlineStr">
        <is>
          <t xml:space="preserve">Subscription Period- Annual Subscription started from 25th Apr 25 to 24th Apr 26
Description- Single license for unlimited usage (litigation) </t>
        </is>
      </c>
      <c r="BF48" s="467" t="n">
        <v>1</v>
      </c>
      <c r="BG48" s="467" t="inlineStr">
        <is>
          <t>0.00</t>
        </is>
      </c>
      <c r="BH48" s="467" t="inlineStr">
        <is>
          <t>0.00</t>
        </is>
      </c>
      <c r="BI48" s="467" t="n">
        <v>21600</v>
      </c>
      <c r="BJ48" s="467" t="inlineStr">
        <is>
          <t>pcs</t>
        </is>
      </c>
      <c r="BK48" s="467" t="n">
        <v>21600</v>
      </c>
      <c r="BL48" s="467" t="inlineStr">
        <is>
          <t>2297152000000039748</t>
        </is>
      </c>
      <c r="BM48" s="467" t="n"/>
      <c r="BN48" s="467" t="n"/>
      <c r="BO48" s="467" t="n"/>
      <c r="BP48" s="467" t="n"/>
      <c r="BQ48" s="467" t="n"/>
      <c r="BR48" s="467" t="n"/>
      <c r="BS48" s="467" t="n"/>
      <c r="BT48" s="467" t="inlineStr">
        <is>
          <t>Mumbai</t>
        </is>
      </c>
      <c r="BU48" s="467" t="inlineStr">
        <is>
          <t>Maharashtra</t>
        </is>
      </c>
      <c r="BV48" s="467" t="inlineStr">
        <is>
          <t>India</t>
        </is>
      </c>
      <c r="BW48" s="467" t="n"/>
      <c r="BX48" s="467" t="n"/>
      <c r="BY48" s="467" t="n"/>
      <c r="BZ48" s="467" t="n"/>
      <c r="CA48" s="467" t="n"/>
      <c r="CB48" s="467" t="n"/>
      <c r="CC48" s="467" t="inlineStr">
        <is>
          <t>Mumbai</t>
        </is>
      </c>
      <c r="CD48" s="467" t="inlineStr">
        <is>
          <t>Maharashtra</t>
        </is>
      </c>
      <c r="CE48" s="467" t="inlineStr">
        <is>
          <t>India</t>
        </is>
      </c>
      <c r="CF48" s="467" t="n"/>
      <c r="CG48" s="467" t="n"/>
      <c r="CH48" s="467" t="n"/>
      <c r="CI48" s="467" t="inlineStr">
        <is>
          <t>Coresphere100 Technologies Pvt. Ltd.</t>
        </is>
      </c>
      <c r="CJ48" s="467" t="inlineStr">
        <is>
          <t>09AALCC7037K1Z7</t>
        </is>
      </c>
      <c r="CK48" s="467" t="inlineStr">
        <is>
          <t>16026, 16th Floor, Tower Oakwood,</t>
        </is>
      </c>
      <c r="CL48" s="467" t="inlineStr">
        <is>
          <t>Greater Noida,</t>
        </is>
      </c>
      <c r="CM48" s="467" t="inlineStr">
        <is>
          <t>Uttar Pradesh</t>
        </is>
      </c>
      <c r="CN48" s="467" t="inlineStr">
        <is>
          <t>India</t>
        </is>
      </c>
      <c r="CO48" s="467" t="inlineStr">
        <is>
          <t>201306</t>
        </is>
      </c>
      <c r="CP48" s="467" t="inlineStr">
        <is>
          <t>8928163657</t>
        </is>
      </c>
      <c r="CQ48" s="467" t="inlineStr">
        <is>
          <t>manas@jurisphere.ai</t>
        </is>
      </c>
      <c r="CR48" s="467" t="inlineStr">
        <is>
          <t>0.00</t>
        </is>
      </c>
      <c r="CS48" s="467" t="inlineStr">
        <is>
          <t>0.00</t>
        </is>
      </c>
      <c r="CT48" s="467" t="inlineStr">
        <is>
          <t>18.00</t>
        </is>
      </c>
      <c r="CU48" s="467" t="inlineStr">
        <is>
          <t>0.00</t>
        </is>
      </c>
      <c r="CV48" s="467" t="inlineStr">
        <is>
          <t>0.00</t>
        </is>
      </c>
      <c r="CW48" s="467" t="inlineStr">
        <is>
          <t>0.00</t>
        </is>
      </c>
      <c r="CX48" s="467" t="inlineStr">
        <is>
          <t>3888.00</t>
        </is>
      </c>
      <c r="CY48" s="467" t="inlineStr">
        <is>
          <t>0.00</t>
        </is>
      </c>
      <c r="CZ48" s="467" t="inlineStr">
        <is>
          <t>0.00</t>
        </is>
      </c>
      <c r="DA48" s="467" t="inlineStr">
        <is>
          <t>0.00</t>
        </is>
      </c>
      <c r="DB48" s="467" t="inlineStr">
        <is>
          <t>3888.00</t>
        </is>
      </c>
      <c r="DC48" s="467" t="inlineStr">
        <is>
          <t>0.00</t>
        </is>
      </c>
      <c r="DD48" s="467" t="n"/>
      <c r="DE48" s="467" t="n"/>
      <c r="DF48" s="467" t="n"/>
      <c r="DG48" s="467" t="n"/>
      <c r="DH48" s="467" t="n"/>
      <c r="DI48" s="467" t="inlineStr">
        <is>
          <t>0.000</t>
        </is>
      </c>
      <c r="DJ48" s="467" t="n"/>
      <c r="DK48" s="467" t="n"/>
      <c r="DL48" s="467" t="n"/>
      <c r="DM48" s="467" t="n"/>
      <c r="DN48" s="467" t="n"/>
      <c r="DO48" s="467" t="n"/>
      <c r="DP48" s="467" t="inlineStr">
        <is>
          <t>998313</t>
        </is>
      </c>
      <c r="DQ48" s="467" t="n">
        <v>0</v>
      </c>
      <c r="DR48" s="467" t="n"/>
      <c r="DS48" s="467" t="n"/>
      <c r="DT48" s="467" t="n"/>
      <c r="DU48" s="467" t="n"/>
      <c r="DV48" s="467" t="n"/>
      <c r="DW48" s="467" t="n"/>
      <c r="DX48" s="467" t="inlineStr">
        <is>
          <t>service</t>
        </is>
      </c>
      <c r="DY48" s="467" t="n"/>
      <c r="DZ48" s="467" t="n"/>
      <c r="EA48" s="467" t="n"/>
      <c r="EB48" s="467" t="n"/>
      <c r="EC48" s="467" t="n"/>
      <c r="ED48" s="467" t="n"/>
      <c r="EE48" s="467" t="n"/>
      <c r="EF48" s="467" t="n"/>
      <c r="EG48" s="467" t="n"/>
      <c r="EH48" s="467" t="inlineStr">
        <is>
          <t>Others</t>
        </is>
      </c>
      <c r="EI48" s="467" t="n"/>
      <c r="EJ48" s="467" t="n"/>
      <c r="EK48" s="467" t="inlineStr">
        <is>
          <t>Sales</t>
        </is>
      </c>
      <c r="EL48" s="467" t="n"/>
      <c r="EM48" s="467" t="inlineStr">
        <is>
          <t>Taxable</t>
        </is>
      </c>
      <c r="EN48" s="467" t="inlineStr">
        <is>
          <t>2297152000000031111</t>
        </is>
      </c>
      <c r="EO48" s="467" t="inlineStr">
        <is>
          <t>IGST18</t>
        </is>
      </c>
      <c r="EP48" s="467" t="inlineStr">
        <is>
          <t>18.00</t>
        </is>
      </c>
      <c r="EQ48" s="467" t="n">
        <v>3888</v>
      </c>
      <c r="ER48" s="467" t="inlineStr">
        <is>
          <t>ItemAmount</t>
        </is>
      </c>
      <c r="ES48" s="467" t="n"/>
      <c r="ET48" s="467" t="n"/>
    </row>
    <row r="49" ht="39.55" customHeight="1" s="253">
      <c r="A49" s="466" t="n">
        <v>45772</v>
      </c>
      <c r="B49" s="467" t="inlineStr">
        <is>
          <t>2297152000000115659</t>
        </is>
      </c>
      <c r="C49" s="467" t="inlineStr">
        <is>
          <t>INV-25-26-000050</t>
        </is>
      </c>
      <c r="D49" s="467" t="inlineStr">
        <is>
          <t>Closed</t>
        </is>
      </c>
      <c r="E49" s="467" t="inlineStr">
        <is>
          <t>2297152000000115511</t>
        </is>
      </c>
      <c r="F49" s="467" t="inlineStr">
        <is>
          <t>Sneha Phene</t>
        </is>
      </c>
      <c r="G49" s="467" t="inlineStr">
        <is>
          <t>MH</t>
        </is>
      </c>
      <c r="H49" s="467" t="inlineStr">
        <is>
          <t>27-Maharashtra</t>
        </is>
      </c>
      <c r="I49" s="467" t="inlineStr">
        <is>
          <t>business_none</t>
        </is>
      </c>
      <c r="J49" s="467" t="inlineStr">
        <is>
          <t>false</t>
        </is>
      </c>
      <c r="K49" s="466" t="n">
        <v>45772</v>
      </c>
      <c r="L49" s="467" t="n"/>
      <c r="M49" s="467" t="inlineStr">
        <is>
          <t>INR</t>
        </is>
      </c>
      <c r="N49" s="467" t="n">
        <v>1</v>
      </c>
      <c r="O49" s="467" t="inlineStr">
        <is>
          <t>item_level</t>
        </is>
      </c>
      <c r="P49" s="467" t="inlineStr">
        <is>
          <t>true</t>
        </is>
      </c>
      <c r="Q49" s="467" t="inlineStr">
        <is>
          <t>Tax Invoice</t>
        </is>
      </c>
      <c r="R49" s="467" t="inlineStr">
        <is>
          <t>0.00</t>
        </is>
      </c>
      <c r="S49" s="467" t="n"/>
      <c r="T49" s="467" t="n"/>
      <c r="U49" s="467" t="inlineStr">
        <is>
          <t>item_level</t>
        </is>
      </c>
      <c r="V49" s="467" t="n"/>
      <c r="W49" s="467" t="inlineStr">
        <is>
          <t>0.00</t>
        </is>
      </c>
      <c r="X49" s="467" t="n"/>
      <c r="Y49" s="467" t="n"/>
      <c r="Z49" s="467" t="inlineStr">
        <is>
          <t>0.000</t>
        </is>
      </c>
      <c r="AA49" s="467" t="n">
        <v>21600</v>
      </c>
      <c r="AB49" s="467" t="n">
        <v>25488</v>
      </c>
      <c r="AC49" s="467" t="n">
        <v>0</v>
      </c>
      <c r="AD49" s="467" t="n">
        <v>0</v>
      </c>
      <c r="AE49" s="467" t="inlineStr">
        <is>
          <t>Adjustment</t>
        </is>
      </c>
      <c r="AF49" s="467" t="n"/>
      <c r="AG49" s="466" t="n">
        <v>45772</v>
      </c>
      <c r="AH49" s="467" t="inlineStr">
        <is>
          <t>0</t>
        </is>
      </c>
      <c r="AI49" s="467" t="inlineStr">
        <is>
          <t>Due on Receipt</t>
        </is>
      </c>
      <c r="AJ49" s="467" t="inlineStr">
        <is>
          <t>Thanks for your business.</t>
        </is>
      </c>
      <c r="AK49" s="467" t="n"/>
      <c r="AL49" s="467" t="n"/>
      <c r="AM49" s="467" t="n"/>
      <c r="AN49" s="467" t="n"/>
      <c r="AO49" s="467" t="n"/>
      <c r="AP49" s="467" t="n"/>
      <c r="AQ49" s="467" t="n"/>
      <c r="AR49" s="467" t="n"/>
      <c r="AS49" s="467" t="n"/>
      <c r="AT49" s="467" t="inlineStr">
        <is>
          <t>Invoice</t>
        </is>
      </c>
      <c r="AU49" s="467" t="inlineStr">
        <is>
          <t>0.0</t>
        </is>
      </c>
      <c r="AV49" s="467" t="n">
        <v>0</v>
      </c>
      <c r="AW49" s="467" t="n"/>
      <c r="AX49" s="467" t="n"/>
      <c r="AY49" s="467" t="n"/>
      <c r="AZ49" s="467" t="n"/>
      <c r="BA49" s="467" t="n"/>
      <c r="BB49" s="467" t="n"/>
      <c r="BC49" s="467" t="n"/>
      <c r="BD49" s="467" t="inlineStr">
        <is>
          <t>Jurisphere Enterprise Subscription</t>
        </is>
      </c>
      <c r="BE49" s="468" t="inlineStr">
        <is>
          <t xml:space="preserve">Subscription Period- Annual Subscription started from 25th Apr 25 to 24th Apr 26
Description- Single license for unlimited usage (litigation) </t>
        </is>
      </c>
      <c r="BF49" s="467" t="n">
        <v>1</v>
      </c>
      <c r="BG49" s="467" t="inlineStr">
        <is>
          <t>0.00</t>
        </is>
      </c>
      <c r="BH49" s="467" t="inlineStr">
        <is>
          <t>0.00</t>
        </is>
      </c>
      <c r="BI49" s="467" t="n">
        <v>21600</v>
      </c>
      <c r="BJ49" s="467" t="inlineStr">
        <is>
          <t>pcs</t>
        </is>
      </c>
      <c r="BK49" s="467" t="n">
        <v>21600</v>
      </c>
      <c r="BL49" s="467" t="inlineStr">
        <is>
          <t>2297152000000039748</t>
        </is>
      </c>
      <c r="BM49" s="467" t="n"/>
      <c r="BN49" s="467" t="n"/>
      <c r="BO49" s="467" t="n"/>
      <c r="BP49" s="467" t="n"/>
      <c r="BQ49" s="467" t="n"/>
      <c r="BR49" s="467" t="n"/>
      <c r="BS49" s="467" t="n"/>
      <c r="BT49" s="467" t="inlineStr">
        <is>
          <t>Mumbai</t>
        </is>
      </c>
      <c r="BU49" s="467" t="inlineStr">
        <is>
          <t>Maharashtra</t>
        </is>
      </c>
      <c r="BV49" s="467" t="inlineStr">
        <is>
          <t>India</t>
        </is>
      </c>
      <c r="BW49" s="467" t="n"/>
      <c r="BX49" s="467" t="n"/>
      <c r="BY49" s="467" t="n"/>
      <c r="BZ49" s="467" t="n"/>
      <c r="CA49" s="467" t="n"/>
      <c r="CB49" s="467" t="n"/>
      <c r="CC49" s="467" t="inlineStr">
        <is>
          <t>Mumbai</t>
        </is>
      </c>
      <c r="CD49" s="467" t="inlineStr">
        <is>
          <t>Maharashtra</t>
        </is>
      </c>
      <c r="CE49" s="467" t="inlineStr">
        <is>
          <t>India</t>
        </is>
      </c>
      <c r="CF49" s="467" t="n"/>
      <c r="CG49" s="467" t="n"/>
      <c r="CH49" s="467" t="n"/>
      <c r="CI49" s="467" t="inlineStr">
        <is>
          <t>Coresphere100 Technologies Pvt. Ltd.</t>
        </is>
      </c>
      <c r="CJ49" s="467" t="inlineStr">
        <is>
          <t>09AALCC7037K1Z7</t>
        </is>
      </c>
      <c r="CK49" s="467" t="inlineStr">
        <is>
          <t>16026, 16th Floor, Tower Oakwood,</t>
        </is>
      </c>
      <c r="CL49" s="467" t="inlineStr">
        <is>
          <t>Greater Noida,</t>
        </is>
      </c>
      <c r="CM49" s="467" t="inlineStr">
        <is>
          <t>Uttar Pradesh</t>
        </is>
      </c>
      <c r="CN49" s="467" t="inlineStr">
        <is>
          <t>India</t>
        </is>
      </c>
      <c r="CO49" s="467" t="inlineStr">
        <is>
          <t>201306</t>
        </is>
      </c>
      <c r="CP49" s="467" t="inlineStr">
        <is>
          <t>8928163657</t>
        </is>
      </c>
      <c r="CQ49" s="467" t="inlineStr">
        <is>
          <t>manas@jurisphere.ai</t>
        </is>
      </c>
      <c r="CR49" s="467" t="inlineStr">
        <is>
          <t>0.00</t>
        </is>
      </c>
      <c r="CS49" s="467" t="inlineStr">
        <is>
          <t>0.00</t>
        </is>
      </c>
      <c r="CT49" s="467" t="inlineStr">
        <is>
          <t>18.00</t>
        </is>
      </c>
      <c r="CU49" s="467" t="inlineStr">
        <is>
          <t>0.00</t>
        </is>
      </c>
      <c r="CV49" s="467" t="inlineStr">
        <is>
          <t>0.00</t>
        </is>
      </c>
      <c r="CW49" s="467" t="inlineStr">
        <is>
          <t>0.00</t>
        </is>
      </c>
      <c r="CX49" s="467" t="inlineStr">
        <is>
          <t>3888.00</t>
        </is>
      </c>
      <c r="CY49" s="467" t="inlineStr">
        <is>
          <t>0.00</t>
        </is>
      </c>
      <c r="CZ49" s="467" t="inlineStr">
        <is>
          <t>0.00</t>
        </is>
      </c>
      <c r="DA49" s="467" t="inlineStr">
        <is>
          <t>0.00</t>
        </is>
      </c>
      <c r="DB49" s="467" t="inlineStr">
        <is>
          <t>3888.00</t>
        </is>
      </c>
      <c r="DC49" s="467" t="inlineStr">
        <is>
          <t>0.00</t>
        </is>
      </c>
      <c r="DD49" s="467" t="n"/>
      <c r="DE49" s="467" t="n"/>
      <c r="DF49" s="467" t="n"/>
      <c r="DG49" s="467" t="n"/>
      <c r="DH49" s="467" t="n"/>
      <c r="DI49" s="467" t="inlineStr">
        <is>
          <t>0.000</t>
        </is>
      </c>
      <c r="DJ49" s="467" t="n"/>
      <c r="DK49" s="467" t="n"/>
      <c r="DL49" s="467" t="n"/>
      <c r="DM49" s="467" t="n"/>
      <c r="DN49" s="467" t="n"/>
      <c r="DO49" s="467" t="n"/>
      <c r="DP49" s="467" t="inlineStr">
        <is>
          <t>998313</t>
        </is>
      </c>
      <c r="DQ49" s="467" t="n">
        <v>0</v>
      </c>
      <c r="DR49" s="467" t="n"/>
      <c r="DS49" s="467" t="n"/>
      <c r="DT49" s="467" t="n"/>
      <c r="DU49" s="467" t="n"/>
      <c r="DV49" s="467" t="n"/>
      <c r="DW49" s="467" t="n"/>
      <c r="DX49" s="467" t="inlineStr">
        <is>
          <t>service</t>
        </is>
      </c>
      <c r="DY49" s="467" t="n"/>
      <c r="DZ49" s="467" t="n"/>
      <c r="EA49" s="467" t="n"/>
      <c r="EB49" s="467" t="n"/>
      <c r="EC49" s="467" t="n"/>
      <c r="ED49" s="467" t="n"/>
      <c r="EE49" s="467" t="n"/>
      <c r="EF49" s="467" t="n"/>
      <c r="EG49" s="467" t="n"/>
      <c r="EH49" s="467" t="inlineStr">
        <is>
          <t>Others</t>
        </is>
      </c>
      <c r="EI49" s="467" t="n"/>
      <c r="EJ49" s="467" t="n"/>
      <c r="EK49" s="467" t="inlineStr">
        <is>
          <t>Sales</t>
        </is>
      </c>
      <c r="EL49" s="467" t="n"/>
      <c r="EM49" s="467" t="inlineStr">
        <is>
          <t>Taxable</t>
        </is>
      </c>
      <c r="EN49" s="467" t="inlineStr">
        <is>
          <t>2297152000000031111</t>
        </is>
      </c>
      <c r="EO49" s="467" t="inlineStr">
        <is>
          <t>IGST18</t>
        </is>
      </c>
      <c r="EP49" s="467" t="inlineStr">
        <is>
          <t>18.00</t>
        </is>
      </c>
      <c r="EQ49" s="467" t="n">
        <v>3888</v>
      </c>
      <c r="ER49" s="467" t="inlineStr">
        <is>
          <t>ItemAmount</t>
        </is>
      </c>
      <c r="ES49" s="467" t="n"/>
      <c r="ET49" s="467" t="n"/>
    </row>
    <row r="50" ht="39.55" customHeight="1" s="253">
      <c r="A50" s="466" t="n">
        <v>45772</v>
      </c>
      <c r="B50" s="467" t="inlineStr">
        <is>
          <t>2297152000000115671</t>
        </is>
      </c>
      <c r="C50" s="467" t="inlineStr">
        <is>
          <t>INV-25-26-000051</t>
        </is>
      </c>
      <c r="D50" s="467" t="inlineStr">
        <is>
          <t>Closed</t>
        </is>
      </c>
      <c r="E50" s="467" t="inlineStr">
        <is>
          <t>2297152000000115527</t>
        </is>
      </c>
      <c r="F50" s="467" t="inlineStr">
        <is>
          <t>Gunjan Mangla</t>
        </is>
      </c>
      <c r="G50" s="467" t="inlineStr">
        <is>
          <t>MH</t>
        </is>
      </c>
      <c r="H50" s="467" t="inlineStr">
        <is>
          <t>27-Maharashtra</t>
        </is>
      </c>
      <c r="I50" s="467" t="inlineStr">
        <is>
          <t>business_none</t>
        </is>
      </c>
      <c r="J50" s="467" t="inlineStr">
        <is>
          <t>false</t>
        </is>
      </c>
      <c r="K50" s="466" t="n">
        <v>45772</v>
      </c>
      <c r="L50" s="467" t="n"/>
      <c r="M50" s="467" t="inlineStr">
        <is>
          <t>INR</t>
        </is>
      </c>
      <c r="N50" s="467" t="n">
        <v>1</v>
      </c>
      <c r="O50" s="467" t="inlineStr">
        <is>
          <t>item_level</t>
        </is>
      </c>
      <c r="P50" s="467" t="inlineStr">
        <is>
          <t>true</t>
        </is>
      </c>
      <c r="Q50" s="467" t="inlineStr">
        <is>
          <t>Tax Invoice</t>
        </is>
      </c>
      <c r="R50" s="467" t="inlineStr">
        <is>
          <t>0.00</t>
        </is>
      </c>
      <c r="S50" s="467" t="n"/>
      <c r="T50" s="467" t="n"/>
      <c r="U50" s="467" t="inlineStr">
        <is>
          <t>item_level</t>
        </is>
      </c>
      <c r="V50" s="467" t="n"/>
      <c r="W50" s="467" t="inlineStr">
        <is>
          <t>0.00</t>
        </is>
      </c>
      <c r="X50" s="467" t="n"/>
      <c r="Y50" s="467" t="n"/>
      <c r="Z50" s="467" t="inlineStr">
        <is>
          <t>0.000</t>
        </is>
      </c>
      <c r="AA50" s="467" t="n">
        <v>21600</v>
      </c>
      <c r="AB50" s="467" t="n">
        <v>25488</v>
      </c>
      <c r="AC50" s="467" t="n">
        <v>0</v>
      </c>
      <c r="AD50" s="467" t="n">
        <v>0</v>
      </c>
      <c r="AE50" s="467" t="inlineStr">
        <is>
          <t>Adjustment</t>
        </is>
      </c>
      <c r="AF50" s="467" t="n"/>
      <c r="AG50" s="466" t="n">
        <v>45773</v>
      </c>
      <c r="AH50" s="467" t="inlineStr">
        <is>
          <t>0</t>
        </is>
      </c>
      <c r="AI50" s="467" t="inlineStr">
        <is>
          <t>Due on Receipt</t>
        </is>
      </c>
      <c r="AJ50" s="467" t="inlineStr">
        <is>
          <t>Thanks for your business.</t>
        </is>
      </c>
      <c r="AK50" s="467" t="n"/>
      <c r="AL50" s="467" t="n"/>
      <c r="AM50" s="467" t="n"/>
      <c r="AN50" s="467" t="n"/>
      <c r="AO50" s="467" t="n"/>
      <c r="AP50" s="467" t="n"/>
      <c r="AQ50" s="467" t="n"/>
      <c r="AR50" s="467" t="n"/>
      <c r="AS50" s="467" t="n"/>
      <c r="AT50" s="467" t="inlineStr">
        <is>
          <t>Invoice</t>
        </is>
      </c>
      <c r="AU50" s="467" t="inlineStr">
        <is>
          <t>0.0</t>
        </is>
      </c>
      <c r="AV50" s="467" t="n">
        <v>0</v>
      </c>
      <c r="AW50" s="467" t="n"/>
      <c r="AX50" s="467" t="n"/>
      <c r="AY50" s="467" t="n"/>
      <c r="AZ50" s="467" t="n"/>
      <c r="BA50" s="467" t="n"/>
      <c r="BB50" s="467" t="n"/>
      <c r="BC50" s="467" t="n"/>
      <c r="BD50" s="467" t="inlineStr">
        <is>
          <t>Jurisphere Enterprise Subscription</t>
        </is>
      </c>
      <c r="BE50" s="468" t="inlineStr">
        <is>
          <t xml:space="preserve">Subscription Period- Annual Subscription started from 25th Apr 25 to 24th Apr 26
Description- Single license for unlimited usage (litigation) </t>
        </is>
      </c>
      <c r="BF50" s="467" t="n">
        <v>1</v>
      </c>
      <c r="BG50" s="467" t="inlineStr">
        <is>
          <t>0.00</t>
        </is>
      </c>
      <c r="BH50" s="467" t="inlineStr">
        <is>
          <t>0.00</t>
        </is>
      </c>
      <c r="BI50" s="467" t="n">
        <v>21600</v>
      </c>
      <c r="BJ50" s="467" t="inlineStr">
        <is>
          <t>pcs</t>
        </is>
      </c>
      <c r="BK50" s="467" t="n">
        <v>21600</v>
      </c>
      <c r="BL50" s="467" t="inlineStr">
        <is>
          <t>2297152000000039748</t>
        </is>
      </c>
      <c r="BM50" s="467" t="n"/>
      <c r="BN50" s="467" t="n"/>
      <c r="BO50" s="467" t="n"/>
      <c r="BP50" s="467" t="n"/>
      <c r="BQ50" s="467" t="n"/>
      <c r="BR50" s="467" t="n"/>
      <c r="BS50" s="467" t="n"/>
      <c r="BT50" s="467" t="inlineStr">
        <is>
          <t>Mumbai</t>
        </is>
      </c>
      <c r="BU50" s="467" t="inlineStr">
        <is>
          <t>Maharashtra</t>
        </is>
      </c>
      <c r="BV50" s="467" t="inlineStr">
        <is>
          <t>India</t>
        </is>
      </c>
      <c r="BW50" s="467" t="n"/>
      <c r="BX50" s="467" t="n"/>
      <c r="BY50" s="467" t="n"/>
      <c r="BZ50" s="467" t="n"/>
      <c r="CA50" s="467" t="n"/>
      <c r="CB50" s="467" t="n"/>
      <c r="CC50" s="467" t="inlineStr">
        <is>
          <t>Mumbai</t>
        </is>
      </c>
      <c r="CD50" s="467" t="inlineStr">
        <is>
          <t>Maharashtra</t>
        </is>
      </c>
      <c r="CE50" s="467" t="inlineStr">
        <is>
          <t>India</t>
        </is>
      </c>
      <c r="CF50" s="467" t="n"/>
      <c r="CG50" s="467" t="n"/>
      <c r="CH50" s="467" t="n"/>
      <c r="CI50" s="467" t="inlineStr">
        <is>
          <t>Coresphere100 Technologies Pvt. Ltd.</t>
        </is>
      </c>
      <c r="CJ50" s="467" t="inlineStr">
        <is>
          <t>09AALCC7037K1Z7</t>
        </is>
      </c>
      <c r="CK50" s="467" t="inlineStr">
        <is>
          <t>16026, 16th Floor, Tower Oakwood,</t>
        </is>
      </c>
      <c r="CL50" s="467" t="inlineStr">
        <is>
          <t>Greater Noida,</t>
        </is>
      </c>
      <c r="CM50" s="467" t="inlineStr">
        <is>
          <t>Uttar Pradesh</t>
        </is>
      </c>
      <c r="CN50" s="467" t="inlineStr">
        <is>
          <t>India</t>
        </is>
      </c>
      <c r="CO50" s="467" t="inlineStr">
        <is>
          <t>201306</t>
        </is>
      </c>
      <c r="CP50" s="467" t="inlineStr">
        <is>
          <t>8928163657</t>
        </is>
      </c>
      <c r="CQ50" s="467" t="inlineStr">
        <is>
          <t>manas@jurisphere.ai</t>
        </is>
      </c>
      <c r="CR50" s="467" t="inlineStr">
        <is>
          <t>0.00</t>
        </is>
      </c>
      <c r="CS50" s="467" t="inlineStr">
        <is>
          <t>0.00</t>
        </is>
      </c>
      <c r="CT50" s="467" t="inlineStr">
        <is>
          <t>18.00</t>
        </is>
      </c>
      <c r="CU50" s="467" t="inlineStr">
        <is>
          <t>0.00</t>
        </is>
      </c>
      <c r="CV50" s="467" t="inlineStr">
        <is>
          <t>0.00</t>
        </is>
      </c>
      <c r="CW50" s="467" t="inlineStr">
        <is>
          <t>0.00</t>
        </is>
      </c>
      <c r="CX50" s="467" t="inlineStr">
        <is>
          <t>3888.00</t>
        </is>
      </c>
      <c r="CY50" s="467" t="inlineStr">
        <is>
          <t>0.00</t>
        </is>
      </c>
      <c r="CZ50" s="467" t="inlineStr">
        <is>
          <t>0.00</t>
        </is>
      </c>
      <c r="DA50" s="467" t="inlineStr">
        <is>
          <t>0.00</t>
        </is>
      </c>
      <c r="DB50" s="467" t="inlineStr">
        <is>
          <t>3888.00</t>
        </is>
      </c>
      <c r="DC50" s="467" t="inlineStr">
        <is>
          <t>0.00</t>
        </is>
      </c>
      <c r="DD50" s="467" t="n"/>
      <c r="DE50" s="467" t="n"/>
      <c r="DF50" s="467" t="n"/>
      <c r="DG50" s="467" t="n"/>
      <c r="DH50" s="467" t="n"/>
      <c r="DI50" s="467" t="inlineStr">
        <is>
          <t>0.000</t>
        </is>
      </c>
      <c r="DJ50" s="467" t="n"/>
      <c r="DK50" s="467" t="n"/>
      <c r="DL50" s="467" t="n"/>
      <c r="DM50" s="467" t="n"/>
      <c r="DN50" s="467" t="n"/>
      <c r="DO50" s="467" t="n"/>
      <c r="DP50" s="467" t="inlineStr">
        <is>
          <t>998313</t>
        </is>
      </c>
      <c r="DQ50" s="467" t="n">
        <v>0</v>
      </c>
      <c r="DR50" s="467" t="n"/>
      <c r="DS50" s="467" t="n"/>
      <c r="DT50" s="467" t="n"/>
      <c r="DU50" s="467" t="n"/>
      <c r="DV50" s="467" t="n"/>
      <c r="DW50" s="467" t="n"/>
      <c r="DX50" s="467" t="inlineStr">
        <is>
          <t>service</t>
        </is>
      </c>
      <c r="DY50" s="467" t="n"/>
      <c r="DZ50" s="467" t="n"/>
      <c r="EA50" s="467" t="n"/>
      <c r="EB50" s="467" t="n"/>
      <c r="EC50" s="467" t="n"/>
      <c r="ED50" s="467" t="n"/>
      <c r="EE50" s="467" t="n"/>
      <c r="EF50" s="467" t="n"/>
      <c r="EG50" s="467" t="n"/>
      <c r="EH50" s="467" t="inlineStr">
        <is>
          <t>Others</t>
        </is>
      </c>
      <c r="EI50" s="467" t="n"/>
      <c r="EJ50" s="467" t="n"/>
      <c r="EK50" s="467" t="inlineStr">
        <is>
          <t>Sales</t>
        </is>
      </c>
      <c r="EL50" s="467" t="n"/>
      <c r="EM50" s="467" t="inlineStr">
        <is>
          <t>Taxable</t>
        </is>
      </c>
      <c r="EN50" s="467" t="inlineStr">
        <is>
          <t>2297152000000031111</t>
        </is>
      </c>
      <c r="EO50" s="467" t="inlineStr">
        <is>
          <t>IGST18</t>
        </is>
      </c>
      <c r="EP50" s="467" t="inlineStr">
        <is>
          <t>18.00</t>
        </is>
      </c>
      <c r="EQ50" s="467" t="n">
        <v>3888</v>
      </c>
      <c r="ER50" s="467" t="inlineStr">
        <is>
          <t>ItemAmount</t>
        </is>
      </c>
      <c r="ES50" s="467" t="n"/>
      <c r="ET50" s="467" t="n"/>
    </row>
    <row r="51" ht="39.55" customHeight="1" s="253">
      <c r="A51" s="466" t="n">
        <v>45772</v>
      </c>
      <c r="B51" s="467" t="inlineStr">
        <is>
          <t>2297152000000115683</t>
        </is>
      </c>
      <c r="C51" s="467" t="inlineStr">
        <is>
          <t>INV-25-26-000052</t>
        </is>
      </c>
      <c r="D51" s="467" t="inlineStr">
        <is>
          <t>Closed</t>
        </is>
      </c>
      <c r="E51" s="467" t="inlineStr">
        <is>
          <t>2297152000000115543</t>
        </is>
      </c>
      <c r="F51" s="467" t="inlineStr">
        <is>
          <t>Zulfiqar Jariwala</t>
        </is>
      </c>
      <c r="G51" s="467" t="inlineStr">
        <is>
          <t>MH</t>
        </is>
      </c>
      <c r="H51" s="467" t="inlineStr">
        <is>
          <t>27-Maharashtra</t>
        </is>
      </c>
      <c r="I51" s="467" t="inlineStr">
        <is>
          <t>business_none</t>
        </is>
      </c>
      <c r="J51" s="467" t="inlineStr">
        <is>
          <t>false</t>
        </is>
      </c>
      <c r="K51" s="466" t="n">
        <v>45772</v>
      </c>
      <c r="L51" s="467" t="n"/>
      <c r="M51" s="467" t="inlineStr">
        <is>
          <t>INR</t>
        </is>
      </c>
      <c r="N51" s="467" t="n">
        <v>1</v>
      </c>
      <c r="O51" s="467" t="inlineStr">
        <is>
          <t>item_level</t>
        </is>
      </c>
      <c r="P51" s="467" t="inlineStr">
        <is>
          <t>true</t>
        </is>
      </c>
      <c r="Q51" s="467" t="inlineStr">
        <is>
          <t>Tax Invoice</t>
        </is>
      </c>
      <c r="R51" s="467" t="inlineStr">
        <is>
          <t>0.00</t>
        </is>
      </c>
      <c r="S51" s="467" t="n"/>
      <c r="T51" s="467" t="n"/>
      <c r="U51" s="467" t="inlineStr">
        <is>
          <t>item_level</t>
        </is>
      </c>
      <c r="V51" s="467" t="n"/>
      <c r="W51" s="467" t="inlineStr">
        <is>
          <t>0.00</t>
        </is>
      </c>
      <c r="X51" s="467" t="n"/>
      <c r="Y51" s="467" t="n"/>
      <c r="Z51" s="467" t="inlineStr">
        <is>
          <t>0.000</t>
        </is>
      </c>
      <c r="AA51" s="467" t="n">
        <v>21600</v>
      </c>
      <c r="AB51" s="467" t="n">
        <v>25488</v>
      </c>
      <c r="AC51" s="467" t="n">
        <v>0</v>
      </c>
      <c r="AD51" s="467" t="n">
        <v>0</v>
      </c>
      <c r="AE51" s="467" t="inlineStr">
        <is>
          <t>Adjustment</t>
        </is>
      </c>
      <c r="AF51" s="467" t="n"/>
      <c r="AG51" s="466" t="n">
        <v>45773</v>
      </c>
      <c r="AH51" s="467" t="inlineStr">
        <is>
          <t>0</t>
        </is>
      </c>
      <c r="AI51" s="467" t="inlineStr">
        <is>
          <t>Due on Receipt</t>
        </is>
      </c>
      <c r="AJ51" s="467" t="inlineStr">
        <is>
          <t>Thanks for your business.</t>
        </is>
      </c>
      <c r="AK51" s="467" t="n"/>
      <c r="AL51" s="467" t="n"/>
      <c r="AM51" s="467" t="n"/>
      <c r="AN51" s="467" t="n"/>
      <c r="AO51" s="467" t="n"/>
      <c r="AP51" s="467" t="n"/>
      <c r="AQ51" s="467" t="n"/>
      <c r="AR51" s="467" t="n"/>
      <c r="AS51" s="467" t="n"/>
      <c r="AT51" s="467" t="inlineStr">
        <is>
          <t>Invoice</t>
        </is>
      </c>
      <c r="AU51" s="467" t="inlineStr">
        <is>
          <t>0.0</t>
        </is>
      </c>
      <c r="AV51" s="467" t="n">
        <v>0</v>
      </c>
      <c r="AW51" s="467" t="n"/>
      <c r="AX51" s="467" t="n"/>
      <c r="AY51" s="467" t="n"/>
      <c r="AZ51" s="467" t="n"/>
      <c r="BA51" s="467" t="n"/>
      <c r="BB51" s="467" t="n"/>
      <c r="BC51" s="467" t="n"/>
      <c r="BD51" s="467" t="inlineStr">
        <is>
          <t>Jurisphere Enterprise Subscription</t>
        </is>
      </c>
      <c r="BE51" s="468" t="inlineStr">
        <is>
          <t xml:space="preserve">Subscription Period- Annual Subscription started from 25th Apr 25 to 24th Apr 26
Description- Single license for unlimited usage (litigation) </t>
        </is>
      </c>
      <c r="BF51" s="467" t="n">
        <v>1</v>
      </c>
      <c r="BG51" s="467" t="inlineStr">
        <is>
          <t>0.00</t>
        </is>
      </c>
      <c r="BH51" s="467" t="inlineStr">
        <is>
          <t>0.00</t>
        </is>
      </c>
      <c r="BI51" s="467" t="n">
        <v>21600</v>
      </c>
      <c r="BJ51" s="467" t="inlineStr">
        <is>
          <t>pcs</t>
        </is>
      </c>
      <c r="BK51" s="467" t="n">
        <v>21600</v>
      </c>
      <c r="BL51" s="467" t="inlineStr">
        <is>
          <t>2297152000000039748</t>
        </is>
      </c>
      <c r="BM51" s="467" t="n"/>
      <c r="BN51" s="467" t="n"/>
      <c r="BO51" s="467" t="n"/>
      <c r="BP51" s="467" t="n"/>
      <c r="BQ51" s="467" t="n"/>
      <c r="BR51" s="467" t="n"/>
      <c r="BS51" s="467" t="n"/>
      <c r="BT51" s="467" t="inlineStr">
        <is>
          <t>Mumbai</t>
        </is>
      </c>
      <c r="BU51" s="467" t="inlineStr">
        <is>
          <t>Maharashtra</t>
        </is>
      </c>
      <c r="BV51" s="467" t="inlineStr">
        <is>
          <t>India</t>
        </is>
      </c>
      <c r="BW51" s="467" t="n"/>
      <c r="BX51" s="467" t="n"/>
      <c r="BY51" s="467" t="n"/>
      <c r="BZ51" s="467" t="n"/>
      <c r="CA51" s="467" t="n"/>
      <c r="CB51" s="467" t="n"/>
      <c r="CC51" s="467" t="inlineStr">
        <is>
          <t>Mumbai</t>
        </is>
      </c>
      <c r="CD51" s="467" t="inlineStr">
        <is>
          <t>Maharashtra</t>
        </is>
      </c>
      <c r="CE51" s="467" t="inlineStr">
        <is>
          <t>India</t>
        </is>
      </c>
      <c r="CF51" s="467" t="n"/>
      <c r="CG51" s="467" t="n"/>
      <c r="CH51" s="467" t="n"/>
      <c r="CI51" s="467" t="inlineStr">
        <is>
          <t>Coresphere100 Technologies Pvt. Ltd.</t>
        </is>
      </c>
      <c r="CJ51" s="467" t="inlineStr">
        <is>
          <t>09AALCC7037K1Z7</t>
        </is>
      </c>
      <c r="CK51" s="467" t="inlineStr">
        <is>
          <t>16026, 16th Floor, Tower Oakwood,</t>
        </is>
      </c>
      <c r="CL51" s="467" t="inlineStr">
        <is>
          <t>Greater Noida,</t>
        </is>
      </c>
      <c r="CM51" s="467" t="inlineStr">
        <is>
          <t>Uttar Pradesh</t>
        </is>
      </c>
      <c r="CN51" s="467" t="inlineStr">
        <is>
          <t>India</t>
        </is>
      </c>
      <c r="CO51" s="467" t="inlineStr">
        <is>
          <t>201306</t>
        </is>
      </c>
      <c r="CP51" s="467" t="inlineStr">
        <is>
          <t>8928163657</t>
        </is>
      </c>
      <c r="CQ51" s="467" t="inlineStr">
        <is>
          <t>manas@jurisphere.ai</t>
        </is>
      </c>
      <c r="CR51" s="467" t="inlineStr">
        <is>
          <t>0.00</t>
        </is>
      </c>
      <c r="CS51" s="467" t="inlineStr">
        <is>
          <t>0.00</t>
        </is>
      </c>
      <c r="CT51" s="467" t="inlineStr">
        <is>
          <t>18.00</t>
        </is>
      </c>
      <c r="CU51" s="467" t="inlineStr">
        <is>
          <t>0.00</t>
        </is>
      </c>
      <c r="CV51" s="467" t="inlineStr">
        <is>
          <t>0.00</t>
        </is>
      </c>
      <c r="CW51" s="467" t="inlineStr">
        <is>
          <t>0.00</t>
        </is>
      </c>
      <c r="CX51" s="467" t="inlineStr">
        <is>
          <t>3888.00</t>
        </is>
      </c>
      <c r="CY51" s="467" t="inlineStr">
        <is>
          <t>0.00</t>
        </is>
      </c>
      <c r="CZ51" s="467" t="inlineStr">
        <is>
          <t>0.00</t>
        </is>
      </c>
      <c r="DA51" s="467" t="inlineStr">
        <is>
          <t>0.00</t>
        </is>
      </c>
      <c r="DB51" s="467" t="inlineStr">
        <is>
          <t>3888.00</t>
        </is>
      </c>
      <c r="DC51" s="467" t="inlineStr">
        <is>
          <t>0.00</t>
        </is>
      </c>
      <c r="DD51" s="467" t="n"/>
      <c r="DE51" s="467" t="n"/>
      <c r="DF51" s="467" t="n"/>
      <c r="DG51" s="467" t="n"/>
      <c r="DH51" s="467" t="n"/>
      <c r="DI51" s="467" t="inlineStr">
        <is>
          <t>0.000</t>
        </is>
      </c>
      <c r="DJ51" s="467" t="n"/>
      <c r="DK51" s="467" t="n"/>
      <c r="DL51" s="467" t="n"/>
      <c r="DM51" s="467" t="n"/>
      <c r="DN51" s="467" t="n"/>
      <c r="DO51" s="467" t="n"/>
      <c r="DP51" s="467" t="inlineStr">
        <is>
          <t>998313</t>
        </is>
      </c>
      <c r="DQ51" s="467" t="n">
        <v>0</v>
      </c>
      <c r="DR51" s="467" t="n"/>
      <c r="DS51" s="467" t="n"/>
      <c r="DT51" s="467" t="n"/>
      <c r="DU51" s="467" t="n"/>
      <c r="DV51" s="467" t="n"/>
      <c r="DW51" s="467" t="n"/>
      <c r="DX51" s="467" t="inlineStr">
        <is>
          <t>service</t>
        </is>
      </c>
      <c r="DY51" s="467" t="n"/>
      <c r="DZ51" s="467" t="n"/>
      <c r="EA51" s="467" t="n"/>
      <c r="EB51" s="467" t="n"/>
      <c r="EC51" s="467" t="n"/>
      <c r="ED51" s="467" t="n"/>
      <c r="EE51" s="467" t="n"/>
      <c r="EF51" s="467" t="n"/>
      <c r="EG51" s="467" t="n"/>
      <c r="EH51" s="467" t="inlineStr">
        <is>
          <t>Others</t>
        </is>
      </c>
      <c r="EI51" s="467" t="n"/>
      <c r="EJ51" s="467" t="n"/>
      <c r="EK51" s="467" t="inlineStr">
        <is>
          <t>Sales</t>
        </is>
      </c>
      <c r="EL51" s="467" t="n"/>
      <c r="EM51" s="467" t="inlineStr">
        <is>
          <t>Taxable</t>
        </is>
      </c>
      <c r="EN51" s="467" t="inlineStr">
        <is>
          <t>2297152000000031111</t>
        </is>
      </c>
      <c r="EO51" s="467" t="inlineStr">
        <is>
          <t>IGST18</t>
        </is>
      </c>
      <c r="EP51" s="467" t="inlineStr">
        <is>
          <t>18.00</t>
        </is>
      </c>
      <c r="EQ51" s="467" t="n">
        <v>3888</v>
      </c>
      <c r="ER51" s="467" t="inlineStr">
        <is>
          <t>ItemAmount</t>
        </is>
      </c>
      <c r="ES51" s="467" t="n"/>
      <c r="ET51" s="467" t="n"/>
    </row>
    <row r="52" ht="39.55" customHeight="1" s="253">
      <c r="A52" s="466" t="n">
        <v>45772</v>
      </c>
      <c r="B52" s="467" t="inlineStr">
        <is>
          <t>2297152000000115695</t>
        </is>
      </c>
      <c r="C52" s="467" t="inlineStr">
        <is>
          <t>INV-25-26-000053</t>
        </is>
      </c>
      <c r="D52" s="467" t="inlineStr">
        <is>
          <t>Closed</t>
        </is>
      </c>
      <c r="E52" s="467" t="inlineStr">
        <is>
          <t>2297152000000115559</t>
        </is>
      </c>
      <c r="F52" s="467" t="inlineStr">
        <is>
          <t>Manjari Shah</t>
        </is>
      </c>
      <c r="G52" s="467" t="inlineStr">
        <is>
          <t>MH</t>
        </is>
      </c>
      <c r="H52" s="467" t="inlineStr">
        <is>
          <t>27-Maharashtra</t>
        </is>
      </c>
      <c r="I52" s="467" t="inlineStr">
        <is>
          <t>business_none</t>
        </is>
      </c>
      <c r="J52" s="467" t="inlineStr">
        <is>
          <t>false</t>
        </is>
      </c>
      <c r="K52" s="466" t="n">
        <v>45772</v>
      </c>
      <c r="L52" s="467" t="n"/>
      <c r="M52" s="467" t="inlineStr">
        <is>
          <t>INR</t>
        </is>
      </c>
      <c r="N52" s="467" t="n">
        <v>1</v>
      </c>
      <c r="O52" s="467" t="inlineStr">
        <is>
          <t>item_level</t>
        </is>
      </c>
      <c r="P52" s="467" t="inlineStr">
        <is>
          <t>true</t>
        </is>
      </c>
      <c r="Q52" s="467" t="inlineStr">
        <is>
          <t>Tax Invoice</t>
        </is>
      </c>
      <c r="R52" s="467" t="inlineStr">
        <is>
          <t>0.00</t>
        </is>
      </c>
      <c r="S52" s="467" t="n"/>
      <c r="T52" s="467" t="n"/>
      <c r="U52" s="467" t="inlineStr">
        <is>
          <t>item_level</t>
        </is>
      </c>
      <c r="V52" s="467" t="n"/>
      <c r="W52" s="467" t="inlineStr">
        <is>
          <t>0.00</t>
        </is>
      </c>
      <c r="X52" s="467" t="n"/>
      <c r="Y52" s="467" t="n"/>
      <c r="Z52" s="467" t="inlineStr">
        <is>
          <t>0.000</t>
        </is>
      </c>
      <c r="AA52" s="467" t="n">
        <v>21600</v>
      </c>
      <c r="AB52" s="467" t="n">
        <v>25488</v>
      </c>
      <c r="AC52" s="467" t="n">
        <v>0</v>
      </c>
      <c r="AD52" s="467" t="n">
        <v>0</v>
      </c>
      <c r="AE52" s="467" t="inlineStr">
        <is>
          <t>Adjustment</t>
        </is>
      </c>
      <c r="AF52" s="467" t="n"/>
      <c r="AG52" s="466" t="n">
        <v>45772</v>
      </c>
      <c r="AH52" s="467" t="inlineStr">
        <is>
          <t>0</t>
        </is>
      </c>
      <c r="AI52" s="467" t="inlineStr">
        <is>
          <t>Due on Receipt</t>
        </is>
      </c>
      <c r="AJ52" s="467" t="inlineStr">
        <is>
          <t>Thanks for your business.</t>
        </is>
      </c>
      <c r="AK52" s="467" t="n"/>
      <c r="AL52" s="467" t="n"/>
      <c r="AM52" s="467" t="n"/>
      <c r="AN52" s="467" t="n"/>
      <c r="AO52" s="467" t="n"/>
      <c r="AP52" s="467" t="n"/>
      <c r="AQ52" s="467" t="n"/>
      <c r="AR52" s="467" t="n"/>
      <c r="AS52" s="467" t="n"/>
      <c r="AT52" s="467" t="inlineStr">
        <is>
          <t>Invoice</t>
        </is>
      </c>
      <c r="AU52" s="467" t="inlineStr">
        <is>
          <t>0.0</t>
        </is>
      </c>
      <c r="AV52" s="467" t="n">
        <v>0</v>
      </c>
      <c r="AW52" s="467" t="n"/>
      <c r="AX52" s="467" t="n"/>
      <c r="AY52" s="467" t="n"/>
      <c r="AZ52" s="467" t="n"/>
      <c r="BA52" s="467" t="n"/>
      <c r="BB52" s="467" t="n"/>
      <c r="BC52" s="467" t="n"/>
      <c r="BD52" s="467" t="inlineStr">
        <is>
          <t>Jurisphere Enterprise Subscription</t>
        </is>
      </c>
      <c r="BE52" s="468" t="inlineStr">
        <is>
          <t xml:space="preserve">Subscription Period- Annual Subscription started from 25th Apr 25 to 24th Apr 26
Description- Single license for unlimited usage (litigation) </t>
        </is>
      </c>
      <c r="BF52" s="467" t="n">
        <v>1</v>
      </c>
      <c r="BG52" s="467" t="inlineStr">
        <is>
          <t>0.00</t>
        </is>
      </c>
      <c r="BH52" s="467" t="inlineStr">
        <is>
          <t>0.00</t>
        </is>
      </c>
      <c r="BI52" s="467" t="n">
        <v>21600</v>
      </c>
      <c r="BJ52" s="467" t="inlineStr">
        <is>
          <t>pcs</t>
        </is>
      </c>
      <c r="BK52" s="467" t="n">
        <v>21600</v>
      </c>
      <c r="BL52" s="467" t="inlineStr">
        <is>
          <t>2297152000000039748</t>
        </is>
      </c>
      <c r="BM52" s="467" t="n"/>
      <c r="BN52" s="467" t="n"/>
      <c r="BO52" s="467" t="n"/>
      <c r="BP52" s="467" t="n"/>
      <c r="BQ52" s="467" t="n"/>
      <c r="BR52" s="467" t="n"/>
      <c r="BS52" s="467" t="n"/>
      <c r="BT52" s="467" t="inlineStr">
        <is>
          <t>Mumbai</t>
        </is>
      </c>
      <c r="BU52" s="467" t="inlineStr">
        <is>
          <t>Maharashtra</t>
        </is>
      </c>
      <c r="BV52" s="467" t="inlineStr">
        <is>
          <t>India</t>
        </is>
      </c>
      <c r="BW52" s="467" t="n"/>
      <c r="BX52" s="467" t="n"/>
      <c r="BY52" s="467" t="n"/>
      <c r="BZ52" s="467" t="n"/>
      <c r="CA52" s="467" t="n"/>
      <c r="CB52" s="467" t="n"/>
      <c r="CC52" s="467" t="inlineStr">
        <is>
          <t>Mumbai</t>
        </is>
      </c>
      <c r="CD52" s="467" t="inlineStr">
        <is>
          <t>Maharashtra</t>
        </is>
      </c>
      <c r="CE52" s="467" t="inlineStr">
        <is>
          <t>India</t>
        </is>
      </c>
      <c r="CF52" s="467" t="n"/>
      <c r="CG52" s="467" t="n"/>
      <c r="CH52" s="467" t="n"/>
      <c r="CI52" s="467" t="inlineStr">
        <is>
          <t>Coresphere100 Technologies Pvt. Ltd.</t>
        </is>
      </c>
      <c r="CJ52" s="467" t="inlineStr">
        <is>
          <t>09AALCC7037K1Z7</t>
        </is>
      </c>
      <c r="CK52" s="467" t="inlineStr">
        <is>
          <t>16026, 16th Floor, Tower Oakwood,</t>
        </is>
      </c>
      <c r="CL52" s="467" t="inlineStr">
        <is>
          <t>Greater Noida,</t>
        </is>
      </c>
      <c r="CM52" s="467" t="inlineStr">
        <is>
          <t>Uttar Pradesh</t>
        </is>
      </c>
      <c r="CN52" s="467" t="inlineStr">
        <is>
          <t>India</t>
        </is>
      </c>
      <c r="CO52" s="467" t="inlineStr">
        <is>
          <t>201306</t>
        </is>
      </c>
      <c r="CP52" s="467" t="inlineStr">
        <is>
          <t>8928163657</t>
        </is>
      </c>
      <c r="CQ52" s="467" t="inlineStr">
        <is>
          <t>manas@jurisphere.ai</t>
        </is>
      </c>
      <c r="CR52" s="467" t="inlineStr">
        <is>
          <t>0.00</t>
        </is>
      </c>
      <c r="CS52" s="467" t="inlineStr">
        <is>
          <t>0.00</t>
        </is>
      </c>
      <c r="CT52" s="467" t="inlineStr">
        <is>
          <t>18.00</t>
        </is>
      </c>
      <c r="CU52" s="467" t="inlineStr">
        <is>
          <t>0.00</t>
        </is>
      </c>
      <c r="CV52" s="467" t="inlineStr">
        <is>
          <t>0.00</t>
        </is>
      </c>
      <c r="CW52" s="467" t="inlineStr">
        <is>
          <t>0.00</t>
        </is>
      </c>
      <c r="CX52" s="467" t="inlineStr">
        <is>
          <t>3888.00</t>
        </is>
      </c>
      <c r="CY52" s="467" t="inlineStr">
        <is>
          <t>0.00</t>
        </is>
      </c>
      <c r="CZ52" s="467" t="inlineStr">
        <is>
          <t>0.00</t>
        </is>
      </c>
      <c r="DA52" s="467" t="inlineStr">
        <is>
          <t>0.00</t>
        </is>
      </c>
      <c r="DB52" s="467" t="inlineStr">
        <is>
          <t>3888.00</t>
        </is>
      </c>
      <c r="DC52" s="467" t="inlineStr">
        <is>
          <t>0.00</t>
        </is>
      </c>
      <c r="DD52" s="467" t="n"/>
      <c r="DE52" s="467" t="n"/>
      <c r="DF52" s="467" t="n"/>
      <c r="DG52" s="467" t="n"/>
      <c r="DH52" s="467" t="n"/>
      <c r="DI52" s="467" t="inlineStr">
        <is>
          <t>0.000</t>
        </is>
      </c>
      <c r="DJ52" s="467" t="n"/>
      <c r="DK52" s="467" t="n"/>
      <c r="DL52" s="467" t="n"/>
      <c r="DM52" s="467" t="n"/>
      <c r="DN52" s="467" t="n"/>
      <c r="DO52" s="467" t="n"/>
      <c r="DP52" s="467" t="inlineStr">
        <is>
          <t>998313</t>
        </is>
      </c>
      <c r="DQ52" s="467" t="n">
        <v>0</v>
      </c>
      <c r="DR52" s="467" t="n"/>
      <c r="DS52" s="467" t="n"/>
      <c r="DT52" s="467" t="n"/>
      <c r="DU52" s="467" t="n"/>
      <c r="DV52" s="467" t="n"/>
      <c r="DW52" s="467" t="n"/>
      <c r="DX52" s="467" t="inlineStr">
        <is>
          <t>service</t>
        </is>
      </c>
      <c r="DY52" s="467" t="n"/>
      <c r="DZ52" s="467" t="n"/>
      <c r="EA52" s="467" t="n"/>
      <c r="EB52" s="467" t="n"/>
      <c r="EC52" s="467" t="n"/>
      <c r="ED52" s="467" t="n"/>
      <c r="EE52" s="467" t="n"/>
      <c r="EF52" s="467" t="n"/>
      <c r="EG52" s="467" t="n"/>
      <c r="EH52" s="467" t="inlineStr">
        <is>
          <t>Others</t>
        </is>
      </c>
      <c r="EI52" s="467" t="n"/>
      <c r="EJ52" s="467" t="n"/>
      <c r="EK52" s="467" t="inlineStr">
        <is>
          <t>Sales</t>
        </is>
      </c>
      <c r="EL52" s="467" t="n"/>
      <c r="EM52" s="467" t="inlineStr">
        <is>
          <t>Taxable</t>
        </is>
      </c>
      <c r="EN52" s="467" t="inlineStr">
        <is>
          <t>2297152000000031111</t>
        </is>
      </c>
      <c r="EO52" s="467" t="inlineStr">
        <is>
          <t>IGST18</t>
        </is>
      </c>
      <c r="EP52" s="467" t="inlineStr">
        <is>
          <t>18.00</t>
        </is>
      </c>
      <c r="EQ52" s="467" t="n">
        <v>3888</v>
      </c>
      <c r="ER52" s="467" t="inlineStr">
        <is>
          <t>ItemAmount</t>
        </is>
      </c>
      <c r="ES52" s="467" t="n"/>
      <c r="ET52" s="467" t="n"/>
    </row>
    <row r="53" ht="39.55" customHeight="1" s="253">
      <c r="A53" s="466" t="n">
        <v>45772</v>
      </c>
      <c r="B53" s="467" t="inlineStr">
        <is>
          <t>2297152000000115707</t>
        </is>
      </c>
      <c r="C53" s="467" t="inlineStr">
        <is>
          <t>INV-25-26-000054</t>
        </is>
      </c>
      <c r="D53" s="467" t="inlineStr">
        <is>
          <t>Closed</t>
        </is>
      </c>
      <c r="E53" s="467" t="inlineStr">
        <is>
          <t>2297152000000115575</t>
        </is>
      </c>
      <c r="F53" s="467" t="inlineStr">
        <is>
          <t>Sagar Sheth</t>
        </is>
      </c>
      <c r="G53" s="467" t="inlineStr">
        <is>
          <t>MH</t>
        </is>
      </c>
      <c r="H53" s="467" t="inlineStr">
        <is>
          <t>27-Maharashtra</t>
        </is>
      </c>
      <c r="I53" s="467" t="inlineStr">
        <is>
          <t>business_none</t>
        </is>
      </c>
      <c r="J53" s="467" t="inlineStr">
        <is>
          <t>false</t>
        </is>
      </c>
      <c r="K53" s="466" t="n">
        <v>45772</v>
      </c>
      <c r="L53" s="467" t="n"/>
      <c r="M53" s="467" t="inlineStr">
        <is>
          <t>INR</t>
        </is>
      </c>
      <c r="N53" s="467" t="n">
        <v>1</v>
      </c>
      <c r="O53" s="467" t="inlineStr">
        <is>
          <t>item_level</t>
        </is>
      </c>
      <c r="P53" s="467" t="inlineStr">
        <is>
          <t>true</t>
        </is>
      </c>
      <c r="Q53" s="467" t="inlineStr">
        <is>
          <t>Tax Invoice</t>
        </is>
      </c>
      <c r="R53" s="467" t="inlineStr">
        <is>
          <t>0.00</t>
        </is>
      </c>
      <c r="S53" s="467" t="n"/>
      <c r="T53" s="467" t="n"/>
      <c r="U53" s="467" t="inlineStr">
        <is>
          <t>item_level</t>
        </is>
      </c>
      <c r="V53" s="467" t="n"/>
      <c r="W53" s="467" t="inlineStr">
        <is>
          <t>0.00</t>
        </is>
      </c>
      <c r="X53" s="467" t="n"/>
      <c r="Y53" s="467" t="n"/>
      <c r="Z53" s="467" t="inlineStr">
        <is>
          <t>0.000</t>
        </is>
      </c>
      <c r="AA53" s="467" t="n">
        <v>21600</v>
      </c>
      <c r="AB53" s="467" t="n">
        <v>25488</v>
      </c>
      <c r="AC53" s="467" t="n">
        <v>0</v>
      </c>
      <c r="AD53" s="467" t="n">
        <v>0</v>
      </c>
      <c r="AE53" s="467" t="inlineStr">
        <is>
          <t>Adjustment</t>
        </is>
      </c>
      <c r="AF53" s="467" t="n"/>
      <c r="AG53" s="466" t="n">
        <v>45772</v>
      </c>
      <c r="AH53" s="467" t="inlineStr">
        <is>
          <t>0</t>
        </is>
      </c>
      <c r="AI53" s="467" t="inlineStr">
        <is>
          <t>Due on Receipt</t>
        </is>
      </c>
      <c r="AJ53" s="467" t="inlineStr">
        <is>
          <t>Thanks for your business.</t>
        </is>
      </c>
      <c r="AK53" s="467" t="n"/>
      <c r="AL53" s="467" t="n"/>
      <c r="AM53" s="467" t="n"/>
      <c r="AN53" s="467" t="n"/>
      <c r="AO53" s="467" t="n"/>
      <c r="AP53" s="467" t="n"/>
      <c r="AQ53" s="467" t="n"/>
      <c r="AR53" s="467" t="n"/>
      <c r="AS53" s="467" t="n"/>
      <c r="AT53" s="467" t="inlineStr">
        <is>
          <t>Invoice</t>
        </is>
      </c>
      <c r="AU53" s="467" t="inlineStr">
        <is>
          <t>0.0</t>
        </is>
      </c>
      <c r="AV53" s="467" t="n">
        <v>0</v>
      </c>
      <c r="AW53" s="467" t="n"/>
      <c r="AX53" s="467" t="n"/>
      <c r="AY53" s="467" t="n"/>
      <c r="AZ53" s="467" t="n"/>
      <c r="BA53" s="467" t="n"/>
      <c r="BB53" s="467" t="n"/>
      <c r="BC53" s="467" t="n"/>
      <c r="BD53" s="467" t="inlineStr">
        <is>
          <t>Jurisphere Enterprise Subscription</t>
        </is>
      </c>
      <c r="BE53" s="468" t="inlineStr">
        <is>
          <t xml:space="preserve">Subscription Period- Annual Subscription started from 25th Apr 25 to 24th Apr 26
Description- Single license for unlimited usage (litigation) </t>
        </is>
      </c>
      <c r="BF53" s="467" t="n">
        <v>1</v>
      </c>
      <c r="BG53" s="467" t="inlineStr">
        <is>
          <t>0.00</t>
        </is>
      </c>
      <c r="BH53" s="467" t="inlineStr">
        <is>
          <t>0.00</t>
        </is>
      </c>
      <c r="BI53" s="467" t="n">
        <v>21600</v>
      </c>
      <c r="BJ53" s="467" t="inlineStr">
        <is>
          <t>pcs</t>
        </is>
      </c>
      <c r="BK53" s="467" t="n">
        <v>21600</v>
      </c>
      <c r="BL53" s="467" t="inlineStr">
        <is>
          <t>2297152000000039748</t>
        </is>
      </c>
      <c r="BM53" s="467" t="n"/>
      <c r="BN53" s="467" t="n"/>
      <c r="BO53" s="467" t="n"/>
      <c r="BP53" s="467" t="n"/>
      <c r="BQ53" s="467" t="n"/>
      <c r="BR53" s="467" t="n"/>
      <c r="BS53" s="467" t="n"/>
      <c r="BT53" s="467" t="inlineStr">
        <is>
          <t>Mumbai</t>
        </is>
      </c>
      <c r="BU53" s="467" t="inlineStr">
        <is>
          <t>Maharashtra</t>
        </is>
      </c>
      <c r="BV53" s="467" t="inlineStr">
        <is>
          <t>India</t>
        </is>
      </c>
      <c r="BW53" s="467" t="n"/>
      <c r="BX53" s="467" t="n"/>
      <c r="BY53" s="467" t="n"/>
      <c r="BZ53" s="467" t="n"/>
      <c r="CA53" s="467" t="n"/>
      <c r="CB53" s="467" t="n"/>
      <c r="CC53" s="467" t="inlineStr">
        <is>
          <t>Mumbai</t>
        </is>
      </c>
      <c r="CD53" s="467" t="inlineStr">
        <is>
          <t>Maharashtra</t>
        </is>
      </c>
      <c r="CE53" s="467" t="inlineStr">
        <is>
          <t>India</t>
        </is>
      </c>
      <c r="CF53" s="467" t="n"/>
      <c r="CG53" s="467" t="n"/>
      <c r="CH53" s="467" t="n"/>
      <c r="CI53" s="467" t="inlineStr">
        <is>
          <t>Coresphere100 Technologies Pvt. Ltd.</t>
        </is>
      </c>
      <c r="CJ53" s="467" t="inlineStr">
        <is>
          <t>09AALCC7037K1Z7</t>
        </is>
      </c>
      <c r="CK53" s="467" t="inlineStr">
        <is>
          <t>16026, 16th Floor, Tower Oakwood,</t>
        </is>
      </c>
      <c r="CL53" s="467" t="inlineStr">
        <is>
          <t>Greater Noida,</t>
        </is>
      </c>
      <c r="CM53" s="467" t="inlineStr">
        <is>
          <t>Uttar Pradesh</t>
        </is>
      </c>
      <c r="CN53" s="467" t="inlineStr">
        <is>
          <t>India</t>
        </is>
      </c>
      <c r="CO53" s="467" t="inlineStr">
        <is>
          <t>201306</t>
        </is>
      </c>
      <c r="CP53" s="467" t="inlineStr">
        <is>
          <t>8928163657</t>
        </is>
      </c>
      <c r="CQ53" s="467" t="inlineStr">
        <is>
          <t>manas@jurisphere.ai</t>
        </is>
      </c>
      <c r="CR53" s="467" t="inlineStr">
        <is>
          <t>0.00</t>
        </is>
      </c>
      <c r="CS53" s="467" t="inlineStr">
        <is>
          <t>0.00</t>
        </is>
      </c>
      <c r="CT53" s="467" t="inlineStr">
        <is>
          <t>18.00</t>
        </is>
      </c>
      <c r="CU53" s="467" t="inlineStr">
        <is>
          <t>0.00</t>
        </is>
      </c>
      <c r="CV53" s="467" t="inlineStr">
        <is>
          <t>0.00</t>
        </is>
      </c>
      <c r="CW53" s="467" t="inlineStr">
        <is>
          <t>0.00</t>
        </is>
      </c>
      <c r="CX53" s="467" t="inlineStr">
        <is>
          <t>3888.00</t>
        </is>
      </c>
      <c r="CY53" s="467" t="inlineStr">
        <is>
          <t>0.00</t>
        </is>
      </c>
      <c r="CZ53" s="467" t="inlineStr">
        <is>
          <t>0.00</t>
        </is>
      </c>
      <c r="DA53" s="467" t="inlineStr">
        <is>
          <t>0.00</t>
        </is>
      </c>
      <c r="DB53" s="467" t="inlineStr">
        <is>
          <t>3888.00</t>
        </is>
      </c>
      <c r="DC53" s="467" t="inlineStr">
        <is>
          <t>0.00</t>
        </is>
      </c>
      <c r="DD53" s="467" t="n"/>
      <c r="DE53" s="467" t="n"/>
      <c r="DF53" s="467" t="n"/>
      <c r="DG53" s="467" t="n"/>
      <c r="DH53" s="467" t="n"/>
      <c r="DI53" s="467" t="inlineStr">
        <is>
          <t>0.000</t>
        </is>
      </c>
      <c r="DJ53" s="467" t="n"/>
      <c r="DK53" s="467" t="n"/>
      <c r="DL53" s="467" t="n"/>
      <c r="DM53" s="467" t="n"/>
      <c r="DN53" s="467" t="n"/>
      <c r="DO53" s="467" t="n"/>
      <c r="DP53" s="467" t="inlineStr">
        <is>
          <t>998313</t>
        </is>
      </c>
      <c r="DQ53" s="467" t="n">
        <v>0</v>
      </c>
      <c r="DR53" s="467" t="n"/>
      <c r="DS53" s="467" t="n"/>
      <c r="DT53" s="467" t="n"/>
      <c r="DU53" s="467" t="n"/>
      <c r="DV53" s="467" t="n"/>
      <c r="DW53" s="467" t="n"/>
      <c r="DX53" s="467" t="inlineStr">
        <is>
          <t>service</t>
        </is>
      </c>
      <c r="DY53" s="467" t="n"/>
      <c r="DZ53" s="467" t="n"/>
      <c r="EA53" s="467" t="n"/>
      <c r="EB53" s="467" t="n"/>
      <c r="EC53" s="467" t="n"/>
      <c r="ED53" s="467" t="n"/>
      <c r="EE53" s="467" t="n"/>
      <c r="EF53" s="467" t="n"/>
      <c r="EG53" s="467" t="n"/>
      <c r="EH53" s="467" t="inlineStr">
        <is>
          <t>Others</t>
        </is>
      </c>
      <c r="EI53" s="467" t="n"/>
      <c r="EJ53" s="467" t="n"/>
      <c r="EK53" s="467" t="inlineStr">
        <is>
          <t>Sales</t>
        </is>
      </c>
      <c r="EL53" s="467" t="n"/>
      <c r="EM53" s="467" t="inlineStr">
        <is>
          <t>Taxable</t>
        </is>
      </c>
      <c r="EN53" s="467" t="inlineStr">
        <is>
          <t>2297152000000031111</t>
        </is>
      </c>
      <c r="EO53" s="467" t="inlineStr">
        <is>
          <t>IGST18</t>
        </is>
      </c>
      <c r="EP53" s="467" t="inlineStr">
        <is>
          <t>18.00</t>
        </is>
      </c>
      <c r="EQ53" s="467" t="n">
        <v>3888</v>
      </c>
      <c r="ER53" s="467" t="inlineStr">
        <is>
          <t>ItemAmount</t>
        </is>
      </c>
      <c r="ES53" s="467" t="n"/>
      <c r="ET53" s="467" t="n"/>
    </row>
    <row r="54" ht="39.55" customHeight="1" s="253">
      <c r="A54" s="466" t="n">
        <v>45772</v>
      </c>
      <c r="B54" s="467" t="inlineStr">
        <is>
          <t>2297152000000115719</t>
        </is>
      </c>
      <c r="C54" s="467" t="inlineStr">
        <is>
          <t>INV-25-26-000055</t>
        </is>
      </c>
      <c r="D54" s="467" t="inlineStr">
        <is>
          <t>Closed</t>
        </is>
      </c>
      <c r="E54" s="467" t="inlineStr">
        <is>
          <t>2297152000000115591</t>
        </is>
      </c>
      <c r="F54" s="467" t="inlineStr">
        <is>
          <t>Mahek Bookwala</t>
        </is>
      </c>
      <c r="G54" s="467" t="inlineStr">
        <is>
          <t>MH</t>
        </is>
      </c>
      <c r="H54" s="467" t="inlineStr">
        <is>
          <t>27-Maharashtra</t>
        </is>
      </c>
      <c r="I54" s="467" t="inlineStr">
        <is>
          <t>business_none</t>
        </is>
      </c>
      <c r="J54" s="467" t="inlineStr">
        <is>
          <t>false</t>
        </is>
      </c>
      <c r="K54" s="466" t="n">
        <v>45772</v>
      </c>
      <c r="L54" s="467" t="n"/>
      <c r="M54" s="467" t="inlineStr">
        <is>
          <t>INR</t>
        </is>
      </c>
      <c r="N54" s="467" t="n">
        <v>1</v>
      </c>
      <c r="O54" s="467" t="inlineStr">
        <is>
          <t>item_level</t>
        </is>
      </c>
      <c r="P54" s="467" t="inlineStr">
        <is>
          <t>true</t>
        </is>
      </c>
      <c r="Q54" s="467" t="inlineStr">
        <is>
          <t>Tax Invoice</t>
        </is>
      </c>
      <c r="R54" s="467" t="inlineStr">
        <is>
          <t>0.00</t>
        </is>
      </c>
      <c r="S54" s="467" t="n"/>
      <c r="T54" s="467" t="n"/>
      <c r="U54" s="467" t="inlineStr">
        <is>
          <t>item_level</t>
        </is>
      </c>
      <c r="V54" s="467" t="n"/>
      <c r="W54" s="467" t="inlineStr">
        <is>
          <t>0.00</t>
        </is>
      </c>
      <c r="X54" s="467" t="n"/>
      <c r="Y54" s="467" t="n"/>
      <c r="Z54" s="467" t="inlineStr">
        <is>
          <t>0.000</t>
        </is>
      </c>
      <c r="AA54" s="467" t="n">
        <v>21600</v>
      </c>
      <c r="AB54" s="467" t="n">
        <v>25488</v>
      </c>
      <c r="AC54" s="467" t="n">
        <v>0</v>
      </c>
      <c r="AD54" s="467" t="n">
        <v>0</v>
      </c>
      <c r="AE54" s="467" t="inlineStr">
        <is>
          <t>Adjustment</t>
        </is>
      </c>
      <c r="AF54" s="467" t="n"/>
      <c r="AG54" s="466" t="n">
        <v>45772</v>
      </c>
      <c r="AH54" s="467" t="inlineStr">
        <is>
          <t>0</t>
        </is>
      </c>
      <c r="AI54" s="467" t="inlineStr">
        <is>
          <t>Due on Receipt</t>
        </is>
      </c>
      <c r="AJ54" s="467" t="inlineStr">
        <is>
          <t>Thanks for your business.</t>
        </is>
      </c>
      <c r="AK54" s="467" t="n"/>
      <c r="AL54" s="467" t="n"/>
      <c r="AM54" s="467" t="n"/>
      <c r="AN54" s="467" t="n"/>
      <c r="AO54" s="467" t="n"/>
      <c r="AP54" s="467" t="n"/>
      <c r="AQ54" s="467" t="n"/>
      <c r="AR54" s="467" t="n"/>
      <c r="AS54" s="467" t="n"/>
      <c r="AT54" s="467" t="inlineStr">
        <is>
          <t>Invoice</t>
        </is>
      </c>
      <c r="AU54" s="467" t="inlineStr">
        <is>
          <t>0.0</t>
        </is>
      </c>
      <c r="AV54" s="467" t="n">
        <v>0</v>
      </c>
      <c r="AW54" s="467" t="n"/>
      <c r="AX54" s="467" t="n"/>
      <c r="AY54" s="467" t="n"/>
      <c r="AZ54" s="467" t="n"/>
      <c r="BA54" s="467" t="n"/>
      <c r="BB54" s="467" t="n"/>
      <c r="BC54" s="467" t="n"/>
      <c r="BD54" s="467" t="inlineStr">
        <is>
          <t>Jurisphere Enterprise Subscription</t>
        </is>
      </c>
      <c r="BE54" s="468" t="inlineStr">
        <is>
          <t xml:space="preserve">Subscription Period- Annual Subscription started from 25th Apr 25 to 24th Apr 26
Description- Single license for unlimited usage (litigation) </t>
        </is>
      </c>
      <c r="BF54" s="467" t="n">
        <v>1</v>
      </c>
      <c r="BG54" s="467" t="inlineStr">
        <is>
          <t>0.00</t>
        </is>
      </c>
      <c r="BH54" s="467" t="inlineStr">
        <is>
          <t>0.00</t>
        </is>
      </c>
      <c r="BI54" s="467" t="n">
        <v>21600</v>
      </c>
      <c r="BJ54" s="467" t="inlineStr">
        <is>
          <t>pcs</t>
        </is>
      </c>
      <c r="BK54" s="467" t="n">
        <v>21600</v>
      </c>
      <c r="BL54" s="467" t="inlineStr">
        <is>
          <t>2297152000000039748</t>
        </is>
      </c>
      <c r="BM54" s="467" t="n"/>
      <c r="BN54" s="467" t="n"/>
      <c r="BO54" s="467" t="n"/>
      <c r="BP54" s="467" t="n"/>
      <c r="BQ54" s="467" t="n"/>
      <c r="BR54" s="467" t="n"/>
      <c r="BS54" s="467" t="n"/>
      <c r="BT54" s="467" t="inlineStr">
        <is>
          <t>Mumbai</t>
        </is>
      </c>
      <c r="BU54" s="467" t="inlineStr">
        <is>
          <t>Maharashtra</t>
        </is>
      </c>
      <c r="BV54" s="467" t="inlineStr">
        <is>
          <t>India</t>
        </is>
      </c>
      <c r="BW54" s="467" t="n"/>
      <c r="BX54" s="467" t="n"/>
      <c r="BY54" s="467" t="n"/>
      <c r="BZ54" s="467" t="n"/>
      <c r="CA54" s="467" t="n"/>
      <c r="CB54" s="467" t="n"/>
      <c r="CC54" s="467" t="inlineStr">
        <is>
          <t>Mumbai</t>
        </is>
      </c>
      <c r="CD54" s="467" t="inlineStr">
        <is>
          <t>Maharashtra</t>
        </is>
      </c>
      <c r="CE54" s="467" t="inlineStr">
        <is>
          <t>India</t>
        </is>
      </c>
      <c r="CF54" s="467" t="n"/>
      <c r="CG54" s="467" t="n"/>
      <c r="CH54" s="467" t="n"/>
      <c r="CI54" s="467" t="inlineStr">
        <is>
          <t>Coresphere100 Technologies Pvt. Ltd.</t>
        </is>
      </c>
      <c r="CJ54" s="467" t="inlineStr">
        <is>
          <t>09AALCC7037K1Z7</t>
        </is>
      </c>
      <c r="CK54" s="467" t="inlineStr">
        <is>
          <t>16026, 16th Floor, Tower Oakwood,</t>
        </is>
      </c>
      <c r="CL54" s="467" t="inlineStr">
        <is>
          <t>Greater Noida,</t>
        </is>
      </c>
      <c r="CM54" s="467" t="inlineStr">
        <is>
          <t>Uttar Pradesh</t>
        </is>
      </c>
      <c r="CN54" s="467" t="inlineStr">
        <is>
          <t>India</t>
        </is>
      </c>
      <c r="CO54" s="467" t="inlineStr">
        <is>
          <t>201306</t>
        </is>
      </c>
      <c r="CP54" s="467" t="inlineStr">
        <is>
          <t>8928163657</t>
        </is>
      </c>
      <c r="CQ54" s="467" t="inlineStr">
        <is>
          <t>manas@jurisphere.ai</t>
        </is>
      </c>
      <c r="CR54" s="467" t="inlineStr">
        <is>
          <t>0.00</t>
        </is>
      </c>
      <c r="CS54" s="467" t="inlineStr">
        <is>
          <t>0.00</t>
        </is>
      </c>
      <c r="CT54" s="467" t="inlineStr">
        <is>
          <t>18.00</t>
        </is>
      </c>
      <c r="CU54" s="467" t="inlineStr">
        <is>
          <t>0.00</t>
        </is>
      </c>
      <c r="CV54" s="467" t="inlineStr">
        <is>
          <t>0.00</t>
        </is>
      </c>
      <c r="CW54" s="467" t="inlineStr">
        <is>
          <t>0.00</t>
        </is>
      </c>
      <c r="CX54" s="467" t="inlineStr">
        <is>
          <t>3888.00</t>
        </is>
      </c>
      <c r="CY54" s="467" t="inlineStr">
        <is>
          <t>0.00</t>
        </is>
      </c>
      <c r="CZ54" s="467" t="inlineStr">
        <is>
          <t>0.00</t>
        </is>
      </c>
      <c r="DA54" s="467" t="inlineStr">
        <is>
          <t>0.00</t>
        </is>
      </c>
      <c r="DB54" s="467" t="inlineStr">
        <is>
          <t>3888.00</t>
        </is>
      </c>
      <c r="DC54" s="467" t="inlineStr">
        <is>
          <t>0.00</t>
        </is>
      </c>
      <c r="DD54" s="467" t="n"/>
      <c r="DE54" s="467" t="n"/>
      <c r="DF54" s="467" t="n"/>
      <c r="DG54" s="467" t="n"/>
      <c r="DH54" s="467" t="n"/>
      <c r="DI54" s="467" t="inlineStr">
        <is>
          <t>0.000</t>
        </is>
      </c>
      <c r="DJ54" s="467" t="n"/>
      <c r="DK54" s="467" t="n"/>
      <c r="DL54" s="467" t="n"/>
      <c r="DM54" s="467" t="n"/>
      <c r="DN54" s="467" t="n"/>
      <c r="DO54" s="467" t="n"/>
      <c r="DP54" s="467" t="inlineStr">
        <is>
          <t>998313</t>
        </is>
      </c>
      <c r="DQ54" s="467" t="n">
        <v>0</v>
      </c>
      <c r="DR54" s="467" t="n"/>
      <c r="DS54" s="467" t="n"/>
      <c r="DT54" s="467" t="n"/>
      <c r="DU54" s="467" t="n"/>
      <c r="DV54" s="467" t="n"/>
      <c r="DW54" s="467" t="n"/>
      <c r="DX54" s="467" t="inlineStr">
        <is>
          <t>service</t>
        </is>
      </c>
      <c r="DY54" s="467" t="n"/>
      <c r="DZ54" s="467" t="n"/>
      <c r="EA54" s="467" t="n"/>
      <c r="EB54" s="467" t="n"/>
      <c r="EC54" s="467" t="n"/>
      <c r="ED54" s="467" t="n"/>
      <c r="EE54" s="467" t="n"/>
      <c r="EF54" s="467" t="n"/>
      <c r="EG54" s="467" t="n"/>
      <c r="EH54" s="467" t="inlineStr">
        <is>
          <t>Others</t>
        </is>
      </c>
      <c r="EI54" s="467" t="n"/>
      <c r="EJ54" s="467" t="n"/>
      <c r="EK54" s="467" t="inlineStr">
        <is>
          <t>Sales</t>
        </is>
      </c>
      <c r="EL54" s="467" t="n"/>
      <c r="EM54" s="467" t="inlineStr">
        <is>
          <t>Taxable</t>
        </is>
      </c>
      <c r="EN54" s="467" t="inlineStr">
        <is>
          <t>2297152000000031111</t>
        </is>
      </c>
      <c r="EO54" s="467" t="inlineStr">
        <is>
          <t>IGST18</t>
        </is>
      </c>
      <c r="EP54" s="467" t="inlineStr">
        <is>
          <t>18.00</t>
        </is>
      </c>
      <c r="EQ54" s="467" t="n">
        <v>3888</v>
      </c>
      <c r="ER54" s="467" t="inlineStr">
        <is>
          <t>ItemAmount</t>
        </is>
      </c>
      <c r="ES54" s="467" t="n"/>
      <c r="ET54" s="467" t="n"/>
    </row>
    <row r="55" ht="39.55" customHeight="1" s="253">
      <c r="A55" s="466" t="n">
        <v>45772</v>
      </c>
      <c r="B55" s="467" t="inlineStr">
        <is>
          <t>2297152000000115731</t>
        </is>
      </c>
      <c r="C55" s="467" t="inlineStr">
        <is>
          <t>INV-25-26-000056</t>
        </is>
      </c>
      <c r="D55" s="467" t="inlineStr">
        <is>
          <t>Overdue</t>
        </is>
      </c>
      <c r="E55" s="467" t="inlineStr">
        <is>
          <t>2297152000000115607</t>
        </is>
      </c>
      <c r="F55" s="467" t="inlineStr">
        <is>
          <t>Pradeep Sancheti</t>
        </is>
      </c>
      <c r="G55" s="467" t="inlineStr">
        <is>
          <t>MH</t>
        </is>
      </c>
      <c r="H55" s="467" t="inlineStr">
        <is>
          <t>27-Maharashtra</t>
        </is>
      </c>
      <c r="I55" s="467" t="inlineStr">
        <is>
          <t>business_none</t>
        </is>
      </c>
      <c r="J55" s="467" t="inlineStr">
        <is>
          <t>false</t>
        </is>
      </c>
      <c r="K55" s="466" t="n">
        <v>45772</v>
      </c>
      <c r="L55" s="467" t="n"/>
      <c r="M55" s="467" t="inlineStr">
        <is>
          <t>INR</t>
        </is>
      </c>
      <c r="N55" s="467" t="n">
        <v>1</v>
      </c>
      <c r="O55" s="467" t="inlineStr">
        <is>
          <t>item_level</t>
        </is>
      </c>
      <c r="P55" s="467" t="inlineStr">
        <is>
          <t>true</t>
        </is>
      </c>
      <c r="Q55" s="467" t="inlineStr">
        <is>
          <t>Tax Invoice</t>
        </is>
      </c>
      <c r="R55" s="467" t="inlineStr">
        <is>
          <t>0.00</t>
        </is>
      </c>
      <c r="S55" s="467" t="n"/>
      <c r="T55" s="467" t="n"/>
      <c r="U55" s="467" t="inlineStr">
        <is>
          <t>item_level</t>
        </is>
      </c>
      <c r="V55" s="467" t="n"/>
      <c r="W55" s="467" t="inlineStr">
        <is>
          <t>0.00</t>
        </is>
      </c>
      <c r="X55" s="467" t="n"/>
      <c r="Y55" s="467" t="n"/>
      <c r="Z55" s="467" t="inlineStr">
        <is>
          <t>0.000</t>
        </is>
      </c>
      <c r="AA55" s="467" t="n">
        <v>21600</v>
      </c>
      <c r="AB55" s="467" t="n">
        <v>25488</v>
      </c>
      <c r="AC55" s="467" t="n">
        <v>25488</v>
      </c>
      <c r="AD55" s="467" t="n">
        <v>0</v>
      </c>
      <c r="AE55" s="467" t="inlineStr">
        <is>
          <t>Adjustment</t>
        </is>
      </c>
      <c r="AF55" s="467" t="n"/>
      <c r="AG55" s="467" t="n"/>
      <c r="AH55" s="467" t="inlineStr">
        <is>
          <t>0</t>
        </is>
      </c>
      <c r="AI55" s="467" t="inlineStr">
        <is>
          <t>Due on Receipt</t>
        </is>
      </c>
      <c r="AJ55" s="467" t="inlineStr">
        <is>
          <t>Thanks for your business.</t>
        </is>
      </c>
      <c r="AK55" s="467" t="n"/>
      <c r="AL55" s="467" t="n"/>
      <c r="AM55" s="467" t="n"/>
      <c r="AN55" s="467" t="n"/>
      <c r="AO55" s="467" t="n"/>
      <c r="AP55" s="467" t="n"/>
      <c r="AQ55" s="467" t="n"/>
      <c r="AR55" s="467" t="n"/>
      <c r="AS55" s="467" t="n"/>
      <c r="AT55" s="467" t="inlineStr">
        <is>
          <t>Invoice</t>
        </is>
      </c>
      <c r="AU55" s="467" t="inlineStr">
        <is>
          <t>0.0</t>
        </is>
      </c>
      <c r="AV55" s="467" t="n">
        <v>0</v>
      </c>
      <c r="AW55" s="467" t="n"/>
      <c r="AX55" s="467" t="n"/>
      <c r="AY55" s="467" t="n"/>
      <c r="AZ55" s="467" t="n"/>
      <c r="BA55" s="467" t="n"/>
      <c r="BB55" s="467" t="n"/>
      <c r="BC55" s="467" t="n"/>
      <c r="BD55" s="467" t="inlineStr">
        <is>
          <t>Jurisphere Enterprise Subscription</t>
        </is>
      </c>
      <c r="BE55" s="468" t="inlineStr">
        <is>
          <t xml:space="preserve">Subscription Period- Annual Subscription started from 25th Apr 25 to 24th Apr 26
Description- Single license for unlimited usage (litigation) </t>
        </is>
      </c>
      <c r="BF55" s="467" t="n">
        <v>1</v>
      </c>
      <c r="BG55" s="467" t="inlineStr">
        <is>
          <t>0.00</t>
        </is>
      </c>
      <c r="BH55" s="467" t="inlineStr">
        <is>
          <t>0.00</t>
        </is>
      </c>
      <c r="BI55" s="467" t="n">
        <v>21600</v>
      </c>
      <c r="BJ55" s="467" t="inlineStr">
        <is>
          <t>pcs</t>
        </is>
      </c>
      <c r="BK55" s="467" t="n">
        <v>21600</v>
      </c>
      <c r="BL55" s="467" t="inlineStr">
        <is>
          <t>2297152000000039748</t>
        </is>
      </c>
      <c r="BM55" s="467" t="n"/>
      <c r="BN55" s="467" t="n"/>
      <c r="BO55" s="467" t="n"/>
      <c r="BP55" s="467" t="n"/>
      <c r="BQ55" s="467" t="n"/>
      <c r="BR55" s="467" t="n"/>
      <c r="BS55" s="467" t="n"/>
      <c r="BT55" s="467" t="inlineStr">
        <is>
          <t>Mumbai</t>
        </is>
      </c>
      <c r="BU55" s="467" t="inlineStr">
        <is>
          <t>Maharashtra</t>
        </is>
      </c>
      <c r="BV55" s="467" t="inlineStr">
        <is>
          <t>India</t>
        </is>
      </c>
      <c r="BW55" s="467" t="n"/>
      <c r="BX55" s="467" t="n"/>
      <c r="BY55" s="467" t="n"/>
      <c r="BZ55" s="467" t="n"/>
      <c r="CA55" s="467" t="n"/>
      <c r="CB55" s="467" t="n"/>
      <c r="CC55" s="467" t="inlineStr">
        <is>
          <t>Mumbai</t>
        </is>
      </c>
      <c r="CD55" s="467" t="inlineStr">
        <is>
          <t>Maharashtra</t>
        </is>
      </c>
      <c r="CE55" s="467" t="inlineStr">
        <is>
          <t>India</t>
        </is>
      </c>
      <c r="CF55" s="467" t="n"/>
      <c r="CG55" s="467" t="n"/>
      <c r="CH55" s="467" t="n"/>
      <c r="CI55" s="467" t="inlineStr">
        <is>
          <t>Coresphere100 Technologies Pvt. Ltd.</t>
        </is>
      </c>
      <c r="CJ55" s="467" t="inlineStr">
        <is>
          <t>09AALCC7037K1Z7</t>
        </is>
      </c>
      <c r="CK55" s="467" t="inlineStr">
        <is>
          <t>16026, 16th Floor, Tower Oakwood,</t>
        </is>
      </c>
      <c r="CL55" s="467" t="inlineStr">
        <is>
          <t>Greater Noida,</t>
        </is>
      </c>
      <c r="CM55" s="467" t="inlineStr">
        <is>
          <t>Uttar Pradesh</t>
        </is>
      </c>
      <c r="CN55" s="467" t="inlineStr">
        <is>
          <t>India</t>
        </is>
      </c>
      <c r="CO55" s="467" t="inlineStr">
        <is>
          <t>201306</t>
        </is>
      </c>
      <c r="CP55" s="467" t="inlineStr">
        <is>
          <t>8928163657</t>
        </is>
      </c>
      <c r="CQ55" s="467" t="inlineStr">
        <is>
          <t>manas@jurisphere.ai</t>
        </is>
      </c>
      <c r="CR55" s="467" t="inlineStr">
        <is>
          <t>0.00</t>
        </is>
      </c>
      <c r="CS55" s="467" t="inlineStr">
        <is>
          <t>0.00</t>
        </is>
      </c>
      <c r="CT55" s="467" t="inlineStr">
        <is>
          <t>18.00</t>
        </is>
      </c>
      <c r="CU55" s="467" t="inlineStr">
        <is>
          <t>0.00</t>
        </is>
      </c>
      <c r="CV55" s="467" t="inlineStr">
        <is>
          <t>0.00</t>
        </is>
      </c>
      <c r="CW55" s="467" t="inlineStr">
        <is>
          <t>0.00</t>
        </is>
      </c>
      <c r="CX55" s="467" t="inlineStr">
        <is>
          <t>3888.00</t>
        </is>
      </c>
      <c r="CY55" s="467" t="inlineStr">
        <is>
          <t>0.00</t>
        </is>
      </c>
      <c r="CZ55" s="467" t="inlineStr">
        <is>
          <t>0.00</t>
        </is>
      </c>
      <c r="DA55" s="467" t="inlineStr">
        <is>
          <t>0.00</t>
        </is>
      </c>
      <c r="DB55" s="467" t="inlineStr">
        <is>
          <t>3888.00</t>
        </is>
      </c>
      <c r="DC55" s="467" t="inlineStr">
        <is>
          <t>0.00</t>
        </is>
      </c>
      <c r="DD55" s="467" t="n"/>
      <c r="DE55" s="467" t="n"/>
      <c r="DF55" s="467" t="n"/>
      <c r="DG55" s="467" t="n"/>
      <c r="DH55" s="467" t="n"/>
      <c r="DI55" s="467" t="inlineStr">
        <is>
          <t>0.000</t>
        </is>
      </c>
      <c r="DJ55" s="467" t="n"/>
      <c r="DK55" s="467" t="n"/>
      <c r="DL55" s="467" t="n"/>
      <c r="DM55" s="467" t="n"/>
      <c r="DN55" s="467" t="n"/>
      <c r="DO55" s="467" t="n"/>
      <c r="DP55" s="467" t="inlineStr">
        <is>
          <t>998313</t>
        </is>
      </c>
      <c r="DQ55" s="467" t="n">
        <v>0</v>
      </c>
      <c r="DR55" s="467" t="n"/>
      <c r="DS55" s="467" t="n"/>
      <c r="DT55" s="467" t="n"/>
      <c r="DU55" s="467" t="n"/>
      <c r="DV55" s="467" t="n"/>
      <c r="DW55" s="467" t="n"/>
      <c r="DX55" s="467" t="inlineStr">
        <is>
          <t>service</t>
        </is>
      </c>
      <c r="DY55" s="467" t="n"/>
      <c r="DZ55" s="467" t="n"/>
      <c r="EA55" s="467" t="n"/>
      <c r="EB55" s="467" t="n"/>
      <c r="EC55" s="467" t="n"/>
      <c r="ED55" s="467" t="n"/>
      <c r="EE55" s="467" t="n"/>
      <c r="EF55" s="467" t="n"/>
      <c r="EG55" s="467" t="n"/>
      <c r="EH55" s="467" t="inlineStr">
        <is>
          <t>Others</t>
        </is>
      </c>
      <c r="EI55" s="467" t="n"/>
      <c r="EJ55" s="467" t="n"/>
      <c r="EK55" s="467" t="inlineStr">
        <is>
          <t>Sales</t>
        </is>
      </c>
      <c r="EL55" s="467" t="n"/>
      <c r="EM55" s="467" t="inlineStr">
        <is>
          <t>Taxable</t>
        </is>
      </c>
      <c r="EN55" s="467" t="inlineStr">
        <is>
          <t>2297152000000031111</t>
        </is>
      </c>
      <c r="EO55" s="467" t="inlineStr">
        <is>
          <t>IGST18</t>
        </is>
      </c>
      <c r="EP55" s="467" t="inlineStr">
        <is>
          <t>18.00</t>
        </is>
      </c>
      <c r="EQ55" s="467" t="n">
        <v>3888</v>
      </c>
      <c r="ER55" s="467" t="inlineStr">
        <is>
          <t>ItemAmount</t>
        </is>
      </c>
      <c r="ES55" s="467" t="n"/>
      <c r="ET55" s="467" t="n"/>
    </row>
    <row r="56" ht="39.55" customHeight="1" s="253">
      <c r="A56" s="466" t="n">
        <v>45772</v>
      </c>
      <c r="B56" s="467" t="inlineStr">
        <is>
          <t>2297152000000115775</t>
        </is>
      </c>
      <c r="C56" s="467" t="inlineStr">
        <is>
          <t>INV-25-26-000057</t>
        </is>
      </c>
      <c r="D56" s="467" t="inlineStr">
        <is>
          <t>Closed</t>
        </is>
      </c>
      <c r="E56" s="467" t="inlineStr">
        <is>
          <t>2297152000000115745</t>
        </is>
      </c>
      <c r="F56" s="467" t="inlineStr">
        <is>
          <t>AHUJA VALECHA &amp; ASSOCIATES LLP</t>
        </is>
      </c>
      <c r="G56" s="467" t="inlineStr">
        <is>
          <t>MH</t>
        </is>
      </c>
      <c r="H56" s="467" t="inlineStr">
        <is>
          <t>27-Maharashtra</t>
        </is>
      </c>
      <c r="I56" s="467" t="inlineStr">
        <is>
          <t>business_gst</t>
        </is>
      </c>
      <c r="J56" s="467" t="inlineStr">
        <is>
          <t>false</t>
        </is>
      </c>
      <c r="K56" s="466" t="n">
        <v>45772</v>
      </c>
      <c r="L56" s="467" t="n"/>
      <c r="M56" s="467" t="inlineStr">
        <is>
          <t>INR</t>
        </is>
      </c>
      <c r="N56" s="467" t="n">
        <v>1</v>
      </c>
      <c r="O56" s="467" t="inlineStr">
        <is>
          <t>item_level</t>
        </is>
      </c>
      <c r="P56" s="467" t="inlineStr">
        <is>
          <t>true</t>
        </is>
      </c>
      <c r="Q56" s="467" t="inlineStr">
        <is>
          <t>Tax Invoice</t>
        </is>
      </c>
      <c r="R56" s="467" t="inlineStr">
        <is>
          <t>0.00</t>
        </is>
      </c>
      <c r="S56" s="467" t="n"/>
      <c r="T56" s="467" t="n"/>
      <c r="U56" s="467" t="inlineStr">
        <is>
          <t>entity_level</t>
        </is>
      </c>
      <c r="V56" s="467" t="inlineStr">
        <is>
          <t>Technical Fees (2%)</t>
        </is>
      </c>
      <c r="W56" s="467" t="inlineStr">
        <is>
          <t>2.00</t>
        </is>
      </c>
      <c r="X56" s="467" t="inlineStr">
        <is>
          <t>194J</t>
        </is>
      </c>
      <c r="Y56" s="467" t="inlineStr">
        <is>
          <t>Section 194 J</t>
        </is>
      </c>
      <c r="Z56" s="467" t="inlineStr">
        <is>
          <t>1500.000</t>
        </is>
      </c>
      <c r="AA56" s="467" t="n">
        <v>75000</v>
      </c>
      <c r="AB56" s="467" t="n">
        <v>87000</v>
      </c>
      <c r="AC56" s="467" t="n">
        <v>0</v>
      </c>
      <c r="AD56" s="467" t="n">
        <v>0</v>
      </c>
      <c r="AE56" s="467" t="inlineStr">
        <is>
          <t>Adjustment</t>
        </is>
      </c>
      <c r="AF56" s="467" t="n"/>
      <c r="AG56" s="466" t="n">
        <v>45773</v>
      </c>
      <c r="AH56" s="467" t="inlineStr">
        <is>
          <t>0</t>
        </is>
      </c>
      <c r="AI56" s="467" t="inlineStr">
        <is>
          <t>Due on Receipt</t>
        </is>
      </c>
      <c r="AJ56" s="467" t="inlineStr">
        <is>
          <t>Thanks for your business.</t>
        </is>
      </c>
      <c r="AK56" s="467" t="n"/>
      <c r="AL56" s="467" t="n"/>
      <c r="AM56" s="467" t="n"/>
      <c r="AN56" s="467" t="n"/>
      <c r="AO56" s="467" t="n"/>
      <c r="AP56" s="467" t="n"/>
      <c r="AQ56" s="467" t="n"/>
      <c r="AR56" s="467" t="n"/>
      <c r="AS56" s="467" t="n"/>
      <c r="AT56" s="467" t="inlineStr">
        <is>
          <t>Invoice</t>
        </is>
      </c>
      <c r="AU56" s="467" t="inlineStr">
        <is>
          <t>0.0</t>
        </is>
      </c>
      <c r="AV56" s="467" t="n">
        <v>0</v>
      </c>
      <c r="AW56" s="467" t="n"/>
      <c r="AX56" s="467" t="n"/>
      <c r="AY56" s="467" t="n"/>
      <c r="AZ56" s="467" t="n"/>
      <c r="BA56" s="467" t="n"/>
      <c r="BB56" s="467" t="n"/>
      <c r="BC56" s="467" t="n"/>
      <c r="BD56" s="467" t="inlineStr">
        <is>
          <t>Jurisphere Enterprise Subscription</t>
        </is>
      </c>
      <c r="BE56" s="468" t="inlineStr">
        <is>
          <t>Subscription Period- 3 month from 28 Apr to 27 July 2025
Description- 3 licenses of Rs. 25k/month with unlimited usage</t>
        </is>
      </c>
      <c r="BF56" s="467" t="n">
        <v>1</v>
      </c>
      <c r="BG56" s="467" t="inlineStr">
        <is>
          <t>0.00</t>
        </is>
      </c>
      <c r="BH56" s="467" t="inlineStr">
        <is>
          <t>0.00</t>
        </is>
      </c>
      <c r="BI56" s="467" t="n">
        <v>75000</v>
      </c>
      <c r="BJ56" s="467" t="inlineStr">
        <is>
          <t>pcs</t>
        </is>
      </c>
      <c r="BK56" s="467" t="n">
        <v>75000</v>
      </c>
      <c r="BL56" s="467" t="inlineStr">
        <is>
          <t>2297152000000039748</t>
        </is>
      </c>
      <c r="BM56" s="467" t="n"/>
      <c r="BN56" s="467" t="n"/>
      <c r="BO56" s="467" t="n"/>
      <c r="BP56" s="467" t="n"/>
      <c r="BQ56" s="467" t="n"/>
      <c r="BR56" s="468" t="inlineStr">
        <is>
          <t>Meera Madhav,
Plot No.38,</t>
        </is>
      </c>
      <c r="BS56" s="468" t="inlineStr">
        <is>
          <t>Sainik Vihar,
Cloud 9 Estate,
Off Nibm Road,</t>
        </is>
      </c>
      <c r="BT56" s="467" t="inlineStr">
        <is>
          <t>Pune</t>
        </is>
      </c>
      <c r="BU56" s="467" t="inlineStr">
        <is>
          <t>Maharashtra</t>
        </is>
      </c>
      <c r="BV56" s="467" t="inlineStr">
        <is>
          <t>India</t>
        </is>
      </c>
      <c r="BW56" s="467" t="inlineStr">
        <is>
          <t>411060</t>
        </is>
      </c>
      <c r="BX56" s="467" t="n"/>
      <c r="BY56" s="467" t="n"/>
      <c r="BZ56" s="467" t="n"/>
      <c r="CA56" s="468" t="inlineStr">
        <is>
          <t>Meera Madhav,
Plot No.38,</t>
        </is>
      </c>
      <c r="CB56" s="468" t="inlineStr">
        <is>
          <t>Sainik Vihar,
Cloud 9 Estate,
Off Nibm Road,</t>
        </is>
      </c>
      <c r="CC56" s="467" t="inlineStr">
        <is>
          <t>Pune</t>
        </is>
      </c>
      <c r="CD56" s="467" t="inlineStr">
        <is>
          <t>Maharashtra</t>
        </is>
      </c>
      <c r="CE56" s="467" t="inlineStr">
        <is>
          <t>India</t>
        </is>
      </c>
      <c r="CF56" s="467" t="inlineStr">
        <is>
          <t>411060</t>
        </is>
      </c>
      <c r="CG56" s="467" t="n"/>
      <c r="CH56" s="467" t="n"/>
      <c r="CI56" s="467" t="inlineStr">
        <is>
          <t>Coresphere100 Technologies Pvt. Ltd.</t>
        </is>
      </c>
      <c r="CJ56" s="467" t="inlineStr">
        <is>
          <t>09AALCC7037K1Z7</t>
        </is>
      </c>
      <c r="CK56" s="467" t="inlineStr">
        <is>
          <t>16026, 16th Floor, Tower Oakwood,</t>
        </is>
      </c>
      <c r="CL56" s="467" t="inlineStr">
        <is>
          <t>Greater Noida,</t>
        </is>
      </c>
      <c r="CM56" s="467" t="inlineStr">
        <is>
          <t>Uttar Pradesh</t>
        </is>
      </c>
      <c r="CN56" s="467" t="inlineStr">
        <is>
          <t>India</t>
        </is>
      </c>
      <c r="CO56" s="467" t="inlineStr">
        <is>
          <t>201306</t>
        </is>
      </c>
      <c r="CP56" s="467" t="inlineStr">
        <is>
          <t>8928163657</t>
        </is>
      </c>
      <c r="CQ56" s="467" t="inlineStr">
        <is>
          <t>manas@jurisphere.ai</t>
        </is>
      </c>
      <c r="CR56" s="467" t="inlineStr">
        <is>
          <t>0.00</t>
        </is>
      </c>
      <c r="CS56" s="467" t="inlineStr">
        <is>
          <t>0.00</t>
        </is>
      </c>
      <c r="CT56" s="467" t="inlineStr">
        <is>
          <t>18.00</t>
        </is>
      </c>
      <c r="CU56" s="467" t="inlineStr">
        <is>
          <t>0.00</t>
        </is>
      </c>
      <c r="CV56" s="467" t="inlineStr">
        <is>
          <t>0.00</t>
        </is>
      </c>
      <c r="CW56" s="467" t="inlineStr">
        <is>
          <t>0.00</t>
        </is>
      </c>
      <c r="CX56" s="467" t="inlineStr">
        <is>
          <t>13500.00</t>
        </is>
      </c>
      <c r="CY56" s="467" t="inlineStr">
        <is>
          <t>0.00</t>
        </is>
      </c>
      <c r="CZ56" s="467" t="inlineStr">
        <is>
          <t>0.00</t>
        </is>
      </c>
      <c r="DA56" s="467" t="inlineStr">
        <is>
          <t>0.00</t>
        </is>
      </c>
      <c r="DB56" s="467" t="inlineStr">
        <is>
          <t>13500.00</t>
        </is>
      </c>
      <c r="DC56" s="467" t="inlineStr">
        <is>
          <t>0.00</t>
        </is>
      </c>
      <c r="DD56" s="467" t="n"/>
      <c r="DE56" s="467" t="n"/>
      <c r="DF56" s="467" t="n"/>
      <c r="DG56" s="467" t="n"/>
      <c r="DH56" s="467" t="n"/>
      <c r="DI56" s="467" t="n"/>
      <c r="DJ56" s="467" t="n"/>
      <c r="DK56" s="467" t="n"/>
      <c r="DL56" s="467" t="inlineStr">
        <is>
          <t>27AAOFA7053K1Z2</t>
        </is>
      </c>
      <c r="DM56" s="467" t="n"/>
      <c r="DN56" s="467" t="n"/>
      <c r="DO56" s="467" t="n"/>
      <c r="DP56" s="467" t="inlineStr">
        <is>
          <t>998313</t>
        </is>
      </c>
      <c r="DQ56" s="467" t="n">
        <v>0</v>
      </c>
      <c r="DR56" s="467" t="n"/>
      <c r="DS56" s="467" t="n"/>
      <c r="DT56" s="467" t="n"/>
      <c r="DU56" s="467" t="n"/>
      <c r="DV56" s="467" t="n"/>
      <c r="DW56" s="467" t="n"/>
      <c r="DX56" s="467" t="inlineStr">
        <is>
          <t>service</t>
        </is>
      </c>
      <c r="DY56" s="467" t="n"/>
      <c r="DZ56" s="467" t="n"/>
      <c r="EA56" s="467" t="n"/>
      <c r="EB56" s="467" t="n"/>
      <c r="EC56" s="467" t="n"/>
      <c r="ED56" s="467" t="n"/>
      <c r="EE56" s="467" t="n"/>
      <c r="EF56" s="467" t="n"/>
      <c r="EG56" s="467" t="n"/>
      <c r="EH56" s="467" t="inlineStr">
        <is>
          <t>Others</t>
        </is>
      </c>
      <c r="EI56" s="467" t="n"/>
      <c r="EJ56" s="467" t="n"/>
      <c r="EK56" s="467" t="inlineStr">
        <is>
          <t>Sales</t>
        </is>
      </c>
      <c r="EL56" s="467" t="n"/>
      <c r="EM56" s="467" t="inlineStr">
        <is>
          <t>Taxable</t>
        </is>
      </c>
      <c r="EN56" s="467" t="inlineStr">
        <is>
          <t>2297152000000031111</t>
        </is>
      </c>
      <c r="EO56" s="467" t="inlineStr">
        <is>
          <t>IGST18</t>
        </is>
      </c>
      <c r="EP56" s="467" t="inlineStr">
        <is>
          <t>18.00</t>
        </is>
      </c>
      <c r="EQ56" s="467" t="n">
        <v>13500</v>
      </c>
      <c r="ER56" s="467" t="inlineStr">
        <is>
          <t>ItemAmount</t>
        </is>
      </c>
      <c r="ES56" s="467" t="n"/>
      <c r="ET56" s="467" t="n"/>
    </row>
    <row r="57" ht="77.59999999999999" customHeight="1" s="253">
      <c r="A57" s="466" t="n">
        <v>45773</v>
      </c>
      <c r="B57" s="467" t="inlineStr">
        <is>
          <t>2297152000000117223</t>
        </is>
      </c>
      <c r="C57" s="467" t="inlineStr">
        <is>
          <t>INV-25-26-000058</t>
        </is>
      </c>
      <c r="D57" s="467" t="inlineStr">
        <is>
          <t>Overdue</t>
        </is>
      </c>
      <c r="E57" s="467" t="inlineStr">
        <is>
          <t>2297152000000117207</t>
        </is>
      </c>
      <c r="F57" s="467" t="inlineStr">
        <is>
          <t>IC Legal</t>
        </is>
      </c>
      <c r="G57" s="467" t="inlineStr">
        <is>
          <t>MH</t>
        </is>
      </c>
      <c r="H57" s="467" t="inlineStr">
        <is>
          <t>27-Maharashtra</t>
        </is>
      </c>
      <c r="I57" s="467" t="inlineStr">
        <is>
          <t>business_none</t>
        </is>
      </c>
      <c r="J57" s="467" t="inlineStr">
        <is>
          <t>false</t>
        </is>
      </c>
      <c r="K57" s="466" t="n">
        <v>45773</v>
      </c>
      <c r="L57" s="467" t="n"/>
      <c r="M57" s="467" t="inlineStr">
        <is>
          <t>INR</t>
        </is>
      </c>
      <c r="N57" s="467" t="n">
        <v>1</v>
      </c>
      <c r="O57" s="467" t="inlineStr">
        <is>
          <t>item_level</t>
        </is>
      </c>
      <c r="P57" s="467" t="inlineStr">
        <is>
          <t>true</t>
        </is>
      </c>
      <c r="Q57" s="467" t="inlineStr">
        <is>
          <t>Tax Invoice</t>
        </is>
      </c>
      <c r="R57" s="467" t="inlineStr">
        <is>
          <t>0.00</t>
        </is>
      </c>
      <c r="S57" s="467" t="n"/>
      <c r="T57" s="467" t="n"/>
      <c r="U57" s="467" t="inlineStr">
        <is>
          <t>entity_level</t>
        </is>
      </c>
      <c r="V57" s="467" t="inlineStr">
        <is>
          <t>Technical Fees (2%)</t>
        </is>
      </c>
      <c r="W57" s="467" t="inlineStr">
        <is>
          <t>2.00</t>
        </is>
      </c>
      <c r="X57" s="467" t="inlineStr">
        <is>
          <t>194J</t>
        </is>
      </c>
      <c r="Y57" s="467" t="inlineStr">
        <is>
          <t>Section 194 J</t>
        </is>
      </c>
      <c r="Z57" s="467" t="inlineStr">
        <is>
          <t>800.000</t>
        </is>
      </c>
      <c r="AA57" s="467" t="n">
        <v>40000</v>
      </c>
      <c r="AB57" s="467" t="n">
        <v>46400</v>
      </c>
      <c r="AC57" s="467" t="n">
        <v>46400</v>
      </c>
      <c r="AD57" s="467" t="n">
        <v>0</v>
      </c>
      <c r="AE57" s="467" t="inlineStr">
        <is>
          <t>Adjustment</t>
        </is>
      </c>
      <c r="AF57" s="467" t="n"/>
      <c r="AG57" s="467" t="n"/>
      <c r="AH57" s="467" t="inlineStr">
        <is>
          <t>0</t>
        </is>
      </c>
      <c r="AI57" s="467" t="inlineStr">
        <is>
          <t>Due on Receipt</t>
        </is>
      </c>
      <c r="AJ57" s="467" t="inlineStr">
        <is>
          <t>Thanks for your business.</t>
        </is>
      </c>
      <c r="AK57" s="467" t="n"/>
      <c r="AL57" s="467" t="n"/>
      <c r="AM57" s="467" t="n"/>
      <c r="AN57" s="467" t="n"/>
      <c r="AO57" s="467" t="n"/>
      <c r="AP57" s="467" t="n"/>
      <c r="AQ57" s="467" t="n"/>
      <c r="AR57" s="467" t="n"/>
      <c r="AS57" s="467" t="n"/>
      <c r="AT57" s="467" t="inlineStr">
        <is>
          <t>Invoice</t>
        </is>
      </c>
      <c r="AU57" s="467" t="inlineStr">
        <is>
          <t>0.0</t>
        </is>
      </c>
      <c r="AV57" s="467" t="n">
        <v>0</v>
      </c>
      <c r="AW57" s="467" t="n"/>
      <c r="AX57" s="467" t="n"/>
      <c r="AY57" s="467" t="n"/>
      <c r="AZ57" s="467" t="n"/>
      <c r="BA57" s="467" t="n"/>
      <c r="BB57" s="467" t="n"/>
      <c r="BC57" s="467" t="n"/>
      <c r="BD57" s="467" t="inlineStr">
        <is>
          <t>Jurisphere Enterprise Subscription</t>
        </is>
      </c>
      <c r="BE57" s="468" t="inlineStr">
        <is>
          <t>Subscription Period- 2 month period from April 25, 2025 to June 24, 2025
Description- 20 licenses for Unlimited usage for doc review, research, redline, translation, list of dates. 2000 cells for Doctable and 5 MCA searches</t>
        </is>
      </c>
      <c r="BF57" s="467" t="n">
        <v>1</v>
      </c>
      <c r="BG57" s="467" t="inlineStr">
        <is>
          <t>0.00</t>
        </is>
      </c>
      <c r="BH57" s="467" t="inlineStr">
        <is>
          <t>0.00</t>
        </is>
      </c>
      <c r="BI57" s="467" t="n">
        <v>40000</v>
      </c>
      <c r="BJ57" s="467" t="inlineStr">
        <is>
          <t>pcs</t>
        </is>
      </c>
      <c r="BK57" s="467" t="n">
        <v>40000</v>
      </c>
      <c r="BL57" s="467" t="inlineStr">
        <is>
          <t>2297152000000039748</t>
        </is>
      </c>
      <c r="BM57" s="467" t="n"/>
      <c r="BN57" s="467" t="n"/>
      <c r="BO57" s="467" t="n"/>
      <c r="BP57" s="467" t="n"/>
      <c r="BQ57" s="467" t="n"/>
      <c r="BR57" s="467" t="inlineStr">
        <is>
          <t>Times Square Building, Suite 3,</t>
        </is>
      </c>
      <c r="BS57" s="468" t="inlineStr">
        <is>
          <t>12th Floor, E-Wing, Marol,
Andheri (East)</t>
        </is>
      </c>
      <c r="BT57" s="467" t="inlineStr">
        <is>
          <t>Mumbai</t>
        </is>
      </c>
      <c r="BU57" s="467" t="inlineStr">
        <is>
          <t>Maharashtra</t>
        </is>
      </c>
      <c r="BV57" s="467" t="inlineStr">
        <is>
          <t>India</t>
        </is>
      </c>
      <c r="BW57" s="467" t="inlineStr">
        <is>
          <t>400059</t>
        </is>
      </c>
      <c r="BX57" s="467" t="n"/>
      <c r="BY57" s="467" t="n"/>
      <c r="BZ57" s="467" t="n"/>
      <c r="CA57" s="467" t="inlineStr">
        <is>
          <t>Times Square Building, Suite 3,</t>
        </is>
      </c>
      <c r="CB57" s="468" t="inlineStr">
        <is>
          <t>12th Floor, E-Wing, Marol,
Andheri (East)</t>
        </is>
      </c>
      <c r="CC57" s="467" t="inlineStr">
        <is>
          <t>Mumbai</t>
        </is>
      </c>
      <c r="CD57" s="467" t="inlineStr">
        <is>
          <t>Maharashtra</t>
        </is>
      </c>
      <c r="CE57" s="467" t="inlineStr">
        <is>
          <t>India</t>
        </is>
      </c>
      <c r="CF57" s="467" t="inlineStr">
        <is>
          <t>400059</t>
        </is>
      </c>
      <c r="CG57" s="467" t="n"/>
      <c r="CH57" s="467" t="n"/>
      <c r="CI57" s="467" t="inlineStr">
        <is>
          <t>Coresphere100 Technologies Pvt. Ltd.</t>
        </is>
      </c>
      <c r="CJ57" s="467" t="inlineStr">
        <is>
          <t>09AALCC7037K1Z7</t>
        </is>
      </c>
      <c r="CK57" s="467" t="inlineStr">
        <is>
          <t>16026, 16th Floor, Tower Oakwood,</t>
        </is>
      </c>
      <c r="CL57" s="467" t="inlineStr">
        <is>
          <t>Greater Noida,</t>
        </is>
      </c>
      <c r="CM57" s="467" t="inlineStr">
        <is>
          <t>Uttar Pradesh</t>
        </is>
      </c>
      <c r="CN57" s="467" t="inlineStr">
        <is>
          <t>India</t>
        </is>
      </c>
      <c r="CO57" s="467" t="inlineStr">
        <is>
          <t>201306</t>
        </is>
      </c>
      <c r="CP57" s="467" t="inlineStr">
        <is>
          <t>8928163657</t>
        </is>
      </c>
      <c r="CQ57" s="467" t="inlineStr">
        <is>
          <t>manas@jurisphere.ai</t>
        </is>
      </c>
      <c r="CR57" s="467" t="inlineStr">
        <is>
          <t>0.00</t>
        </is>
      </c>
      <c r="CS57" s="467" t="inlineStr">
        <is>
          <t>0.00</t>
        </is>
      </c>
      <c r="CT57" s="467" t="inlineStr">
        <is>
          <t>18.00</t>
        </is>
      </c>
      <c r="CU57" s="467" t="inlineStr">
        <is>
          <t>0.00</t>
        </is>
      </c>
      <c r="CV57" s="467" t="inlineStr">
        <is>
          <t>0.00</t>
        </is>
      </c>
      <c r="CW57" s="467" t="inlineStr">
        <is>
          <t>0.00</t>
        </is>
      </c>
      <c r="CX57" s="467" t="inlineStr">
        <is>
          <t>7200.00</t>
        </is>
      </c>
      <c r="CY57" s="467" t="inlineStr">
        <is>
          <t>0.00</t>
        </is>
      </c>
      <c r="CZ57" s="467" t="inlineStr">
        <is>
          <t>0.00</t>
        </is>
      </c>
      <c r="DA57" s="467" t="inlineStr">
        <is>
          <t>0.00</t>
        </is>
      </c>
      <c r="DB57" s="467" t="inlineStr">
        <is>
          <t>7200.00</t>
        </is>
      </c>
      <c r="DC57" s="467" t="inlineStr">
        <is>
          <t>0.00</t>
        </is>
      </c>
      <c r="DD57" s="467" t="n"/>
      <c r="DE57" s="467" t="n"/>
      <c r="DF57" s="467" t="n"/>
      <c r="DG57" s="467" t="n"/>
      <c r="DH57" s="467" t="n"/>
      <c r="DI57" s="467" t="n"/>
      <c r="DJ57" s="467" t="n"/>
      <c r="DK57" s="467" t="n"/>
      <c r="DL57" s="467" t="n"/>
      <c r="DM57" s="467" t="n"/>
      <c r="DN57" s="467" t="n"/>
      <c r="DO57" s="467" t="n"/>
      <c r="DP57" s="467" t="inlineStr">
        <is>
          <t>998313</t>
        </is>
      </c>
      <c r="DQ57" s="467" t="n">
        <v>0</v>
      </c>
      <c r="DR57" s="467" t="n"/>
      <c r="DS57" s="467" t="n"/>
      <c r="DT57" s="467" t="n"/>
      <c r="DU57" s="467" t="n"/>
      <c r="DV57" s="467" t="n"/>
      <c r="DW57" s="467" t="n"/>
      <c r="DX57" s="467" t="inlineStr">
        <is>
          <t>service</t>
        </is>
      </c>
      <c r="DY57" s="467" t="n"/>
      <c r="DZ57" s="467" t="n"/>
      <c r="EA57" s="467" t="n"/>
      <c r="EB57" s="467" t="n"/>
      <c r="EC57" s="467" t="n"/>
      <c r="ED57" s="467" t="n"/>
      <c r="EE57" s="467" t="n"/>
      <c r="EF57" s="467" t="n"/>
      <c r="EG57" s="467" t="n"/>
      <c r="EH57" s="467" t="inlineStr">
        <is>
          <t>Others</t>
        </is>
      </c>
      <c r="EI57" s="467" t="n"/>
      <c r="EJ57" s="467" t="n"/>
      <c r="EK57" s="467" t="inlineStr">
        <is>
          <t>Sales</t>
        </is>
      </c>
      <c r="EL57" s="467" t="n"/>
      <c r="EM57" s="467" t="inlineStr">
        <is>
          <t>Taxable</t>
        </is>
      </c>
      <c r="EN57" s="467" t="inlineStr">
        <is>
          <t>2297152000000031111</t>
        </is>
      </c>
      <c r="EO57" s="467" t="inlineStr">
        <is>
          <t>IGST18</t>
        </is>
      </c>
      <c r="EP57" s="467" t="inlineStr">
        <is>
          <t>18.00</t>
        </is>
      </c>
      <c r="EQ57" s="467" t="n">
        <v>7200</v>
      </c>
      <c r="ER57" s="467" t="inlineStr">
        <is>
          <t>ItemAmount</t>
        </is>
      </c>
      <c r="ES57" s="467" t="n"/>
      <c r="ET57" s="467" t="n"/>
    </row>
    <row r="58" ht="26.85" customHeight="1" s="253">
      <c r="A58" s="466" t="n">
        <v>45773</v>
      </c>
      <c r="B58" s="467" t="inlineStr">
        <is>
          <t>2297152000000117485</t>
        </is>
      </c>
      <c r="C58" s="467" t="inlineStr">
        <is>
          <t>INV-25-26-000059</t>
        </is>
      </c>
      <c r="D58" s="467" t="inlineStr">
        <is>
          <t>Overdue</t>
        </is>
      </c>
      <c r="E58" s="467" t="inlineStr">
        <is>
          <t>2297152000000039613</t>
        </is>
      </c>
      <c r="F58" s="467" t="inlineStr">
        <is>
          <t>Argus Partners</t>
        </is>
      </c>
      <c r="G58" s="467" t="inlineStr">
        <is>
          <t>MH</t>
        </is>
      </c>
      <c r="H58" s="467" t="inlineStr">
        <is>
          <t>27-Maharashtra</t>
        </is>
      </c>
      <c r="I58" s="467" t="inlineStr">
        <is>
          <t>business_gst</t>
        </is>
      </c>
      <c r="J58" s="467" t="inlineStr">
        <is>
          <t>false</t>
        </is>
      </c>
      <c r="K58" s="466" t="n">
        <v>45773</v>
      </c>
      <c r="L58" s="467" t="n"/>
      <c r="M58" s="467" t="inlineStr">
        <is>
          <t>INR</t>
        </is>
      </c>
      <c r="N58" s="467" t="n">
        <v>1</v>
      </c>
      <c r="O58" s="467" t="inlineStr">
        <is>
          <t>item_level</t>
        </is>
      </c>
      <c r="P58" s="467" t="inlineStr">
        <is>
          <t>true</t>
        </is>
      </c>
      <c r="Q58" s="467" t="inlineStr">
        <is>
          <t>Tax Invoice</t>
        </is>
      </c>
      <c r="R58" s="467" t="inlineStr">
        <is>
          <t>0.00</t>
        </is>
      </c>
      <c r="S58" s="467" t="n"/>
      <c r="T58" s="467" t="n"/>
      <c r="U58" s="467" t="inlineStr">
        <is>
          <t>item_level</t>
        </is>
      </c>
      <c r="V58" s="467" t="n"/>
      <c r="W58" s="467" t="inlineStr">
        <is>
          <t>0.00</t>
        </is>
      </c>
      <c r="X58" s="467" t="n"/>
      <c r="Y58" s="467" t="n"/>
      <c r="Z58" s="467" t="inlineStr">
        <is>
          <t>0.000</t>
        </is>
      </c>
      <c r="AA58" s="467" t="n">
        <v>10000</v>
      </c>
      <c r="AB58" s="467" t="n">
        <v>11800</v>
      </c>
      <c r="AC58" s="467" t="n">
        <v>11800</v>
      </c>
      <c r="AD58" s="467" t="n">
        <v>0</v>
      </c>
      <c r="AE58" s="467" t="inlineStr">
        <is>
          <t>Adjustment</t>
        </is>
      </c>
      <c r="AF58" s="467" t="n"/>
      <c r="AG58" s="467" t="n"/>
      <c r="AH58" s="467" t="inlineStr">
        <is>
          <t>0</t>
        </is>
      </c>
      <c r="AI58" s="467" t="inlineStr">
        <is>
          <t>Due on Receipt</t>
        </is>
      </c>
      <c r="AJ58" s="467" t="inlineStr">
        <is>
          <t>Thanks for your business.</t>
        </is>
      </c>
      <c r="AK58" s="467" t="n"/>
      <c r="AL58" s="467" t="n"/>
      <c r="AM58" s="467" t="n"/>
      <c r="AN58" s="467" t="n"/>
      <c r="AO58" s="467" t="n"/>
      <c r="AP58" s="467" t="n"/>
      <c r="AQ58" s="467" t="n"/>
      <c r="AR58" s="467" t="n"/>
      <c r="AS58" s="467" t="n"/>
      <c r="AT58" s="467" t="inlineStr">
        <is>
          <t>Invoice</t>
        </is>
      </c>
      <c r="AU58" s="467" t="inlineStr">
        <is>
          <t>0.0</t>
        </is>
      </c>
      <c r="AV58" s="467" t="n">
        <v>0</v>
      </c>
      <c r="AW58" s="467" t="n"/>
      <c r="AX58" s="467" t="n"/>
      <c r="AY58" s="467" t="n"/>
      <c r="AZ58" s="467" t="n"/>
      <c r="BA58" s="467" t="n"/>
      <c r="BB58" s="467" t="n"/>
      <c r="BC58" s="467" t="n"/>
      <c r="BD58" s="467" t="inlineStr">
        <is>
          <t>Jurisphere Enterprise Subscription</t>
        </is>
      </c>
      <c r="BE58" s="468" t="inlineStr">
        <is>
          <t xml:space="preserve">Subscription Period - One time
Description- 1000 pages of translation </t>
        </is>
      </c>
      <c r="BF58" s="467" t="n">
        <v>1</v>
      </c>
      <c r="BG58" s="467" t="inlineStr">
        <is>
          <t>0.00</t>
        </is>
      </c>
      <c r="BH58" s="467" t="inlineStr">
        <is>
          <t>0.00</t>
        </is>
      </c>
      <c r="BI58" s="467" t="n">
        <v>10000</v>
      </c>
      <c r="BJ58" s="467" t="inlineStr">
        <is>
          <t>pcs</t>
        </is>
      </c>
      <c r="BK58" s="467" t="n">
        <v>10000</v>
      </c>
      <c r="BL58" s="467" t="inlineStr">
        <is>
          <t>2297152000000039748</t>
        </is>
      </c>
      <c r="BM58" s="467" t="n"/>
      <c r="BN58" s="467" t="n"/>
      <c r="BO58" s="467" t="n"/>
      <c r="BP58" s="467" t="n"/>
      <c r="BQ58" s="467" t="n"/>
      <c r="BR58" s="467" t="inlineStr">
        <is>
          <t>11, 1st Floor, Free Press House,</t>
        </is>
      </c>
      <c r="BS58" s="467" t="inlineStr">
        <is>
          <t>215, Nariman Point,</t>
        </is>
      </c>
      <c r="BT58" s="467" t="inlineStr">
        <is>
          <t>Mumbai,</t>
        </is>
      </c>
      <c r="BU58" s="467" t="inlineStr">
        <is>
          <t>Maharashtra</t>
        </is>
      </c>
      <c r="BV58" s="467" t="inlineStr">
        <is>
          <t>India</t>
        </is>
      </c>
      <c r="BW58" s="467" t="inlineStr">
        <is>
          <t>400021</t>
        </is>
      </c>
      <c r="BX58" s="467" t="n"/>
      <c r="BY58" s="467" t="n"/>
      <c r="BZ58" s="467" t="n"/>
      <c r="CA58" s="467" t="inlineStr">
        <is>
          <t>11, 1st Floor, Free Press House,</t>
        </is>
      </c>
      <c r="CB58" s="467" t="inlineStr">
        <is>
          <t>215, Nariman Point,</t>
        </is>
      </c>
      <c r="CC58" s="467" t="inlineStr">
        <is>
          <t>Mumbai,</t>
        </is>
      </c>
      <c r="CD58" s="467" t="inlineStr">
        <is>
          <t>Maharashtra</t>
        </is>
      </c>
      <c r="CE58" s="467" t="inlineStr">
        <is>
          <t>India</t>
        </is>
      </c>
      <c r="CF58" s="467" t="inlineStr">
        <is>
          <t>400021</t>
        </is>
      </c>
      <c r="CG58" s="467" t="n"/>
      <c r="CH58" s="467" t="n"/>
      <c r="CI58" s="467" t="inlineStr">
        <is>
          <t>Coresphere100 Technologies Pvt. Ltd.</t>
        </is>
      </c>
      <c r="CJ58" s="467" t="inlineStr">
        <is>
          <t>09AALCC7037K1Z7</t>
        </is>
      </c>
      <c r="CK58" s="467" t="inlineStr">
        <is>
          <t>16026, 16th Floor, Tower Oakwood,</t>
        </is>
      </c>
      <c r="CL58" s="467" t="inlineStr">
        <is>
          <t>Greater Noida,</t>
        </is>
      </c>
      <c r="CM58" s="467" t="inlineStr">
        <is>
          <t>Uttar Pradesh</t>
        </is>
      </c>
      <c r="CN58" s="467" t="inlineStr">
        <is>
          <t>India</t>
        </is>
      </c>
      <c r="CO58" s="467" t="inlineStr">
        <is>
          <t>201306</t>
        </is>
      </c>
      <c r="CP58" s="467" t="inlineStr">
        <is>
          <t>8928163657</t>
        </is>
      </c>
      <c r="CQ58" s="467" t="inlineStr">
        <is>
          <t>manas@jurisphere.ai</t>
        </is>
      </c>
      <c r="CR58" s="467" t="inlineStr">
        <is>
          <t>0.00</t>
        </is>
      </c>
      <c r="CS58" s="467" t="inlineStr">
        <is>
          <t>0.00</t>
        </is>
      </c>
      <c r="CT58" s="467" t="inlineStr">
        <is>
          <t>18.00</t>
        </is>
      </c>
      <c r="CU58" s="467" t="inlineStr">
        <is>
          <t>0.00</t>
        </is>
      </c>
      <c r="CV58" s="467" t="inlineStr">
        <is>
          <t>0.00</t>
        </is>
      </c>
      <c r="CW58" s="467" t="inlineStr">
        <is>
          <t>0.00</t>
        </is>
      </c>
      <c r="CX58" s="467" t="inlineStr">
        <is>
          <t>1800.00</t>
        </is>
      </c>
      <c r="CY58" s="467" t="inlineStr">
        <is>
          <t>0.00</t>
        </is>
      </c>
      <c r="CZ58" s="467" t="inlineStr">
        <is>
          <t>0.00</t>
        </is>
      </c>
      <c r="DA58" s="467" t="inlineStr">
        <is>
          <t>0.00</t>
        </is>
      </c>
      <c r="DB58" s="467" t="inlineStr">
        <is>
          <t>1800.00</t>
        </is>
      </c>
      <c r="DC58" s="467" t="inlineStr">
        <is>
          <t>0.00</t>
        </is>
      </c>
      <c r="DD58" s="467" t="n"/>
      <c r="DE58" s="467" t="n"/>
      <c r="DF58" s="467" t="n"/>
      <c r="DG58" s="467" t="n"/>
      <c r="DH58" s="467" t="n"/>
      <c r="DI58" s="467" t="inlineStr">
        <is>
          <t>0.000</t>
        </is>
      </c>
      <c r="DJ58" s="467" t="n"/>
      <c r="DK58" s="467" t="n"/>
      <c r="DL58" s="467" t="inlineStr">
        <is>
          <t>27AAAFU4617P2ZP</t>
        </is>
      </c>
      <c r="DM58" s="467" t="n"/>
      <c r="DN58" s="467" t="n"/>
      <c r="DO58" s="467" t="n"/>
      <c r="DP58" s="467" t="inlineStr">
        <is>
          <t>998313</t>
        </is>
      </c>
      <c r="DQ58" s="467" t="n">
        <v>0</v>
      </c>
      <c r="DR58" s="467" t="n"/>
      <c r="DS58" s="467" t="n"/>
      <c r="DT58" s="467" t="n"/>
      <c r="DU58" s="467" t="n"/>
      <c r="DV58" s="467" t="n"/>
      <c r="DW58" s="467" t="n"/>
      <c r="DX58" s="467" t="inlineStr">
        <is>
          <t>service</t>
        </is>
      </c>
      <c r="DY58" s="467" t="n"/>
      <c r="DZ58" s="467" t="n"/>
      <c r="EA58" s="467" t="n"/>
      <c r="EB58" s="467" t="n"/>
      <c r="EC58" s="467" t="n"/>
      <c r="ED58" s="467" t="n"/>
      <c r="EE58" s="467" t="n"/>
      <c r="EF58" s="467" t="n"/>
      <c r="EG58" s="467" t="n"/>
      <c r="EH58" s="467" t="inlineStr">
        <is>
          <t>Others</t>
        </is>
      </c>
      <c r="EI58" s="467" t="n"/>
      <c r="EJ58" s="467" t="n"/>
      <c r="EK58" s="467" t="inlineStr">
        <is>
          <t>Sales</t>
        </is>
      </c>
      <c r="EL58" s="467" t="n"/>
      <c r="EM58" s="467" t="inlineStr">
        <is>
          <t>Taxable</t>
        </is>
      </c>
      <c r="EN58" s="467" t="inlineStr">
        <is>
          <t>2297152000000031111</t>
        </is>
      </c>
      <c r="EO58" s="467" t="inlineStr">
        <is>
          <t>IGST18</t>
        </is>
      </c>
      <c r="EP58" s="467" t="inlineStr">
        <is>
          <t>18.00</t>
        </is>
      </c>
      <c r="EQ58" s="467" t="n">
        <v>1800</v>
      </c>
      <c r="ER58" s="467" t="inlineStr">
        <is>
          <t>ItemAmount</t>
        </is>
      </c>
      <c r="ES58" s="467" t="n"/>
      <c r="ET58" s="467" t="n"/>
    </row>
    <row r="59" ht="39.55" customHeight="1" s="253">
      <c r="A59" s="466" t="n">
        <v>45773</v>
      </c>
      <c r="B59" s="467" t="inlineStr">
        <is>
          <t>2297152000000117519</t>
        </is>
      </c>
      <c r="C59" s="467" t="inlineStr">
        <is>
          <t>INV-25-26-000060</t>
        </is>
      </c>
      <c r="D59" s="467" t="inlineStr">
        <is>
          <t>Closed</t>
        </is>
      </c>
      <c r="E59" s="467" t="inlineStr">
        <is>
          <t>2297152000000117503</t>
        </is>
      </c>
      <c r="F59" s="467" t="inlineStr">
        <is>
          <t>Pratik Patnaik</t>
        </is>
      </c>
      <c r="G59" s="467" t="inlineStr">
        <is>
          <t>DL</t>
        </is>
      </c>
      <c r="H59" s="467" t="inlineStr">
        <is>
          <t>07-Delhi</t>
        </is>
      </c>
      <c r="I59" s="467" t="inlineStr">
        <is>
          <t>business_none</t>
        </is>
      </c>
      <c r="J59" s="467" t="inlineStr">
        <is>
          <t>false</t>
        </is>
      </c>
      <c r="K59" s="466" t="n">
        <v>45773</v>
      </c>
      <c r="L59" s="467" t="n"/>
      <c r="M59" s="467" t="inlineStr">
        <is>
          <t>INR</t>
        </is>
      </c>
      <c r="N59" s="467" t="n">
        <v>1</v>
      </c>
      <c r="O59" s="467" t="inlineStr">
        <is>
          <t>item_level</t>
        </is>
      </c>
      <c r="P59" s="467" t="inlineStr">
        <is>
          <t>true</t>
        </is>
      </c>
      <c r="Q59" s="467" t="inlineStr">
        <is>
          <t>Tax Invoice</t>
        </is>
      </c>
      <c r="R59" s="467" t="inlineStr">
        <is>
          <t>0.00</t>
        </is>
      </c>
      <c r="S59" s="467" t="n"/>
      <c r="T59" s="467" t="n"/>
      <c r="U59" s="467" t="inlineStr">
        <is>
          <t>item_level</t>
        </is>
      </c>
      <c r="V59" s="467" t="n"/>
      <c r="W59" s="467" t="inlineStr">
        <is>
          <t>0.00</t>
        </is>
      </c>
      <c r="X59" s="467" t="n"/>
      <c r="Y59" s="467" t="n"/>
      <c r="Z59" s="467" t="inlineStr">
        <is>
          <t>0.000</t>
        </is>
      </c>
      <c r="AA59" s="467" t="n">
        <v>12000</v>
      </c>
      <c r="AB59" s="467" t="n">
        <v>14160</v>
      </c>
      <c r="AC59" s="467" t="n">
        <v>0</v>
      </c>
      <c r="AD59" s="467" t="n">
        <v>0</v>
      </c>
      <c r="AE59" s="467" t="inlineStr">
        <is>
          <t>Adjustment</t>
        </is>
      </c>
      <c r="AF59" s="467" t="n"/>
      <c r="AG59" s="466" t="n">
        <v>45773</v>
      </c>
      <c r="AH59" s="467" t="inlineStr">
        <is>
          <t>0</t>
        </is>
      </c>
      <c r="AI59" s="467" t="inlineStr">
        <is>
          <t>Due on Receipt</t>
        </is>
      </c>
      <c r="AJ59" s="467" t="inlineStr">
        <is>
          <t>Thanks for your business.</t>
        </is>
      </c>
      <c r="AK59" s="467" t="n"/>
      <c r="AL59" s="467" t="n"/>
      <c r="AM59" s="467" t="n"/>
      <c r="AN59" s="467" t="n"/>
      <c r="AO59" s="467" t="n"/>
      <c r="AP59" s="467" t="n"/>
      <c r="AQ59" s="467" t="n"/>
      <c r="AR59" s="467" t="n"/>
      <c r="AS59" s="467" t="n"/>
      <c r="AT59" s="467" t="inlineStr">
        <is>
          <t>Invoice</t>
        </is>
      </c>
      <c r="AU59" s="467" t="inlineStr">
        <is>
          <t>0.0</t>
        </is>
      </c>
      <c r="AV59" s="467" t="n">
        <v>0</v>
      </c>
      <c r="AW59" s="467" t="n"/>
      <c r="AX59" s="467" t="n"/>
      <c r="AY59" s="467" t="n"/>
      <c r="AZ59" s="467" t="n"/>
      <c r="BA59" s="467" t="n"/>
      <c r="BB59" s="467" t="n"/>
      <c r="BC59" s="467" t="n"/>
      <c r="BD59" s="467" t="inlineStr">
        <is>
          <t>Jurisphere Enterprise Subscription</t>
        </is>
      </c>
      <c r="BE59" s="468" t="inlineStr">
        <is>
          <t>Subscription Period- 1 month started from 26 Apr to 25 May 2025
Description- 4 licenses unlimited (litigation)</t>
        </is>
      </c>
      <c r="BF59" s="467" t="n">
        <v>1</v>
      </c>
      <c r="BG59" s="467" t="inlineStr">
        <is>
          <t>0.00</t>
        </is>
      </c>
      <c r="BH59" s="467" t="inlineStr">
        <is>
          <t>0.00</t>
        </is>
      </c>
      <c r="BI59" s="467" t="n">
        <v>12000</v>
      </c>
      <c r="BJ59" s="467" t="inlineStr">
        <is>
          <t>pcs</t>
        </is>
      </c>
      <c r="BK59" s="467" t="n">
        <v>12000</v>
      </c>
      <c r="BL59" s="467" t="inlineStr">
        <is>
          <t>2297152000000039748</t>
        </is>
      </c>
      <c r="BM59" s="467" t="n"/>
      <c r="BN59" s="467" t="n"/>
      <c r="BO59" s="467" t="n"/>
      <c r="BP59" s="467" t="n"/>
      <c r="BQ59" s="467" t="n"/>
      <c r="BR59" s="467" t="inlineStr">
        <is>
          <t>2nd Floor, Uday Park</t>
        </is>
      </c>
      <c r="BS59" s="467" t="n"/>
      <c r="BT59" s="467" t="inlineStr">
        <is>
          <t>New Delhi</t>
        </is>
      </c>
      <c r="BU59" s="467" t="inlineStr">
        <is>
          <t>Delhi</t>
        </is>
      </c>
      <c r="BV59" s="467" t="inlineStr">
        <is>
          <t>India</t>
        </is>
      </c>
      <c r="BW59" s="467" t="n"/>
      <c r="BX59" s="467" t="n"/>
      <c r="BY59" s="467" t="n"/>
      <c r="BZ59" s="467" t="n"/>
      <c r="CA59" s="467" t="inlineStr">
        <is>
          <t>2nd Floor, Uday Park</t>
        </is>
      </c>
      <c r="CB59" s="467" t="n"/>
      <c r="CC59" s="467" t="inlineStr">
        <is>
          <t>New Delhi</t>
        </is>
      </c>
      <c r="CD59" s="467" t="inlineStr">
        <is>
          <t>Delhi</t>
        </is>
      </c>
      <c r="CE59" s="467" t="inlineStr">
        <is>
          <t>India</t>
        </is>
      </c>
      <c r="CF59" s="467" t="n"/>
      <c r="CG59" s="467" t="n"/>
      <c r="CH59" s="467" t="n"/>
      <c r="CI59" s="467" t="inlineStr">
        <is>
          <t>Coresphere100 Technologies Pvt. Ltd.</t>
        </is>
      </c>
      <c r="CJ59" s="467" t="inlineStr">
        <is>
          <t>09AALCC7037K1Z7</t>
        </is>
      </c>
      <c r="CK59" s="467" t="inlineStr">
        <is>
          <t>16026, 16th Floor, Tower Oakwood,</t>
        </is>
      </c>
      <c r="CL59" s="467" t="inlineStr">
        <is>
          <t>Greater Noida,</t>
        </is>
      </c>
      <c r="CM59" s="467" t="inlineStr">
        <is>
          <t>Uttar Pradesh</t>
        </is>
      </c>
      <c r="CN59" s="467" t="inlineStr">
        <is>
          <t>India</t>
        </is>
      </c>
      <c r="CO59" s="467" t="inlineStr">
        <is>
          <t>201306</t>
        </is>
      </c>
      <c r="CP59" s="467" t="inlineStr">
        <is>
          <t>8928163657</t>
        </is>
      </c>
      <c r="CQ59" s="467" t="inlineStr">
        <is>
          <t>manas@jurisphere.ai</t>
        </is>
      </c>
      <c r="CR59" s="467" t="inlineStr">
        <is>
          <t>0.00</t>
        </is>
      </c>
      <c r="CS59" s="467" t="inlineStr">
        <is>
          <t>0.00</t>
        </is>
      </c>
      <c r="CT59" s="467" t="inlineStr">
        <is>
          <t>18.00</t>
        </is>
      </c>
      <c r="CU59" s="467" t="inlineStr">
        <is>
          <t>0.00</t>
        </is>
      </c>
      <c r="CV59" s="467" t="inlineStr">
        <is>
          <t>0.00</t>
        </is>
      </c>
      <c r="CW59" s="467" t="inlineStr">
        <is>
          <t>0.00</t>
        </is>
      </c>
      <c r="CX59" s="467" t="inlineStr">
        <is>
          <t>2160.00</t>
        </is>
      </c>
      <c r="CY59" s="467" t="inlineStr">
        <is>
          <t>0.00</t>
        </is>
      </c>
      <c r="CZ59" s="467" t="inlineStr">
        <is>
          <t>0.00</t>
        </is>
      </c>
      <c r="DA59" s="467" t="inlineStr">
        <is>
          <t>0.00</t>
        </is>
      </c>
      <c r="DB59" s="467" t="inlineStr">
        <is>
          <t>2160.00</t>
        </is>
      </c>
      <c r="DC59" s="467" t="inlineStr">
        <is>
          <t>0.00</t>
        </is>
      </c>
      <c r="DD59" s="467" t="n"/>
      <c r="DE59" s="467" t="n"/>
      <c r="DF59" s="467" t="n"/>
      <c r="DG59" s="467" t="n"/>
      <c r="DH59" s="467" t="n"/>
      <c r="DI59" s="467" t="inlineStr">
        <is>
          <t>0.000</t>
        </is>
      </c>
      <c r="DJ59" s="467" t="n"/>
      <c r="DK59" s="467" t="n"/>
      <c r="DL59" s="467" t="n"/>
      <c r="DM59" s="467" t="n"/>
      <c r="DN59" s="467" t="n"/>
      <c r="DO59" s="467" t="n"/>
      <c r="DP59" s="467" t="inlineStr">
        <is>
          <t>998313</t>
        </is>
      </c>
      <c r="DQ59" s="467" t="n">
        <v>0</v>
      </c>
      <c r="DR59" s="467" t="n"/>
      <c r="DS59" s="467" t="n"/>
      <c r="DT59" s="467" t="n"/>
      <c r="DU59" s="467" t="n"/>
      <c r="DV59" s="467" t="n"/>
      <c r="DW59" s="467" t="n"/>
      <c r="DX59" s="467" t="inlineStr">
        <is>
          <t>service</t>
        </is>
      </c>
      <c r="DY59" s="467" t="n"/>
      <c r="DZ59" s="467" t="n"/>
      <c r="EA59" s="467" t="n"/>
      <c r="EB59" s="467" t="n"/>
      <c r="EC59" s="467" t="n"/>
      <c r="ED59" s="467" t="n"/>
      <c r="EE59" s="467" t="n"/>
      <c r="EF59" s="467" t="n"/>
      <c r="EG59" s="467" t="n"/>
      <c r="EH59" s="467" t="inlineStr">
        <is>
          <t>Others</t>
        </is>
      </c>
      <c r="EI59" s="467" t="n"/>
      <c r="EJ59" s="467" t="n"/>
      <c r="EK59" s="467" t="inlineStr">
        <is>
          <t>Sales</t>
        </is>
      </c>
      <c r="EL59" s="467" t="n"/>
      <c r="EM59" s="467" t="inlineStr">
        <is>
          <t>Taxable</t>
        </is>
      </c>
      <c r="EN59" s="467" t="inlineStr">
        <is>
          <t>2297152000000031111</t>
        </is>
      </c>
      <c r="EO59" s="467" t="inlineStr">
        <is>
          <t>IGST18</t>
        </is>
      </c>
      <c r="EP59" s="467" t="inlineStr">
        <is>
          <t>18.00</t>
        </is>
      </c>
      <c r="EQ59" s="467" t="n">
        <v>2160</v>
      </c>
      <c r="ER59" s="467" t="inlineStr">
        <is>
          <t>ItemAmount</t>
        </is>
      </c>
      <c r="ES59" s="467" t="n"/>
      <c r="ET59" s="467" t="n"/>
    </row>
    <row r="60" ht="52.2" customHeight="1" s="253">
      <c r="A60" s="466" t="n">
        <v>45775</v>
      </c>
      <c r="B60" s="467" t="inlineStr">
        <is>
          <t>2297152000000126015</t>
        </is>
      </c>
      <c r="C60" s="467" t="inlineStr">
        <is>
          <t>INV-25-26-000061</t>
        </is>
      </c>
      <c r="D60" s="467" t="inlineStr">
        <is>
          <t>Closed</t>
        </is>
      </c>
      <c r="E60" s="467" t="inlineStr">
        <is>
          <t>2297152000000097825</t>
        </is>
      </c>
      <c r="F60" s="467" t="inlineStr">
        <is>
          <t>Saswat Mohanty</t>
        </is>
      </c>
      <c r="G60" s="467" t="inlineStr">
        <is>
          <t>DL</t>
        </is>
      </c>
      <c r="H60" s="467" t="inlineStr">
        <is>
          <t>07-Delhi</t>
        </is>
      </c>
      <c r="I60" s="467" t="inlineStr">
        <is>
          <t>business_none</t>
        </is>
      </c>
      <c r="J60" s="467" t="inlineStr">
        <is>
          <t>false</t>
        </is>
      </c>
      <c r="K60" s="466" t="n">
        <v>45775</v>
      </c>
      <c r="L60" s="467" t="n"/>
      <c r="M60" s="467" t="inlineStr">
        <is>
          <t>INR</t>
        </is>
      </c>
      <c r="N60" s="467" t="n">
        <v>1</v>
      </c>
      <c r="O60" s="467" t="inlineStr">
        <is>
          <t>item_level</t>
        </is>
      </c>
      <c r="P60" s="467" t="inlineStr">
        <is>
          <t>true</t>
        </is>
      </c>
      <c r="Q60" s="467" t="inlineStr">
        <is>
          <t>Tax Invoice</t>
        </is>
      </c>
      <c r="R60" s="467" t="inlineStr">
        <is>
          <t>0.00</t>
        </is>
      </c>
      <c r="S60" s="467" t="n"/>
      <c r="T60" s="467" t="n"/>
      <c r="U60" s="467" t="inlineStr">
        <is>
          <t>item_level</t>
        </is>
      </c>
      <c r="V60" s="467" t="n"/>
      <c r="W60" s="467" t="inlineStr">
        <is>
          <t>0.00</t>
        </is>
      </c>
      <c r="X60" s="467" t="n"/>
      <c r="Y60" s="467" t="n"/>
      <c r="Z60" s="467" t="inlineStr">
        <is>
          <t>0.000</t>
        </is>
      </c>
      <c r="AA60" s="467" t="n">
        <v>44915.5</v>
      </c>
      <c r="AB60" s="467" t="n">
        <v>53000</v>
      </c>
      <c r="AC60" s="467" t="n">
        <v>0</v>
      </c>
      <c r="AD60" s="467" t="n">
        <v>-0.29</v>
      </c>
      <c r="AE60" s="467" t="inlineStr">
        <is>
          <t>Adjustment</t>
        </is>
      </c>
      <c r="AF60" s="467" t="n"/>
      <c r="AG60" s="466" t="n">
        <v>45775</v>
      </c>
      <c r="AH60" s="467" t="inlineStr">
        <is>
          <t>0</t>
        </is>
      </c>
      <c r="AI60" s="467" t="inlineStr">
        <is>
          <t>Due on Receipt</t>
        </is>
      </c>
      <c r="AJ60" s="467" t="inlineStr">
        <is>
          <t>Thanks for your business.</t>
        </is>
      </c>
      <c r="AK60" s="467" t="n"/>
      <c r="AL60" s="467" t="n"/>
      <c r="AM60" s="467" t="n"/>
      <c r="AN60" s="467" t="n"/>
      <c r="AO60" s="467" t="n"/>
      <c r="AP60" s="467" t="n"/>
      <c r="AQ60" s="467" t="n"/>
      <c r="AR60" s="467" t="n"/>
      <c r="AS60" s="467" t="n"/>
      <c r="AT60" s="467" t="inlineStr">
        <is>
          <t>Invoice</t>
        </is>
      </c>
      <c r="AU60" s="467" t="inlineStr">
        <is>
          <t>0.0</t>
        </is>
      </c>
      <c r="AV60" s="467" t="n">
        <v>0</v>
      </c>
      <c r="AW60" s="467" t="n"/>
      <c r="AX60" s="467" t="n"/>
      <c r="AY60" s="467" t="n"/>
      <c r="AZ60" s="467" t="n"/>
      <c r="BA60" s="467" t="n"/>
      <c r="BB60" s="467" t="n"/>
      <c r="BC60" s="467" t="n"/>
      <c r="BD60" s="467" t="inlineStr">
        <is>
          <t>Jurisphere Enterprise Subscription</t>
        </is>
      </c>
      <c r="BE60" s="468" t="inlineStr">
        <is>
          <t>Subscription Period- 2nd instalment Invoice started from 30th Jan 2025 to 30th Jan 2026
Description- The balance due is Rs. 53,000/-</t>
        </is>
      </c>
      <c r="BF60" s="467" t="n">
        <v>1</v>
      </c>
      <c r="BG60" s="467" t="inlineStr">
        <is>
          <t>0.00</t>
        </is>
      </c>
      <c r="BH60" s="467" t="inlineStr">
        <is>
          <t>0.00</t>
        </is>
      </c>
      <c r="BI60" s="467" t="n">
        <v>44915.5</v>
      </c>
      <c r="BJ60" s="467" t="inlineStr">
        <is>
          <t>pcs</t>
        </is>
      </c>
      <c r="BK60" s="467" t="n">
        <v>44915.5</v>
      </c>
      <c r="BL60" s="467" t="inlineStr">
        <is>
          <t>2297152000000039748</t>
        </is>
      </c>
      <c r="BM60" s="467" t="n"/>
      <c r="BN60" s="467" t="n"/>
      <c r="BO60" s="467" t="n"/>
      <c r="BP60" s="467" t="inlineStr">
        <is>
          <t>Every 4 month invoice Saswat Mohanty</t>
        </is>
      </c>
      <c r="BQ60" s="467" t="n"/>
      <c r="BR60" s="467" t="n"/>
      <c r="BS60" s="467" t="n"/>
      <c r="BT60" s="467" t="n"/>
      <c r="BU60" s="467" t="n"/>
      <c r="BV60" s="467" t="n"/>
      <c r="BW60" s="467" t="n"/>
      <c r="BX60" s="467" t="n"/>
      <c r="BY60" s="467" t="n"/>
      <c r="BZ60" s="467" t="n"/>
      <c r="CA60" s="467" t="n"/>
      <c r="CB60" s="467" t="n"/>
      <c r="CC60" s="467" t="n"/>
      <c r="CD60" s="467" t="n"/>
      <c r="CE60" s="467" t="n"/>
      <c r="CF60" s="467" t="n"/>
      <c r="CG60" s="467" t="n"/>
      <c r="CH60" s="467" t="n"/>
      <c r="CI60" s="467" t="inlineStr">
        <is>
          <t>Coresphere100 Technologies Pvt. Ltd.</t>
        </is>
      </c>
      <c r="CJ60" s="467" t="inlineStr">
        <is>
          <t>09AALCC7037K1Z7</t>
        </is>
      </c>
      <c r="CK60" s="467" t="inlineStr">
        <is>
          <t>16026, 16th Floor, Tower Oakwood,</t>
        </is>
      </c>
      <c r="CL60" s="467" t="inlineStr">
        <is>
          <t>Greater Noida,</t>
        </is>
      </c>
      <c r="CM60" s="467" t="inlineStr">
        <is>
          <t>Uttar Pradesh</t>
        </is>
      </c>
      <c r="CN60" s="467" t="inlineStr">
        <is>
          <t>India</t>
        </is>
      </c>
      <c r="CO60" s="467" t="inlineStr">
        <is>
          <t>201306</t>
        </is>
      </c>
      <c r="CP60" s="467" t="inlineStr">
        <is>
          <t>8928163657</t>
        </is>
      </c>
      <c r="CQ60" s="467" t="inlineStr">
        <is>
          <t>manas@jurisphere.ai</t>
        </is>
      </c>
      <c r="CR60" s="467" t="inlineStr">
        <is>
          <t>0.00</t>
        </is>
      </c>
      <c r="CS60" s="467" t="inlineStr">
        <is>
          <t>0.00</t>
        </is>
      </c>
      <c r="CT60" s="467" t="inlineStr">
        <is>
          <t>18.00</t>
        </is>
      </c>
      <c r="CU60" s="467" t="inlineStr">
        <is>
          <t>0.00</t>
        </is>
      </c>
      <c r="CV60" s="467" t="inlineStr">
        <is>
          <t>0.00</t>
        </is>
      </c>
      <c r="CW60" s="467" t="inlineStr">
        <is>
          <t>0.00</t>
        </is>
      </c>
      <c r="CX60" s="467" t="inlineStr">
        <is>
          <t>8084.79</t>
        </is>
      </c>
      <c r="CY60" s="467" t="inlineStr">
        <is>
          <t>0.00</t>
        </is>
      </c>
      <c r="CZ60" s="467" t="inlineStr">
        <is>
          <t>0.00</t>
        </is>
      </c>
      <c r="DA60" s="467" t="inlineStr">
        <is>
          <t>0.00</t>
        </is>
      </c>
      <c r="DB60" s="467" t="inlineStr">
        <is>
          <t>8084.79</t>
        </is>
      </c>
      <c r="DC60" s="467" t="inlineStr">
        <is>
          <t>0.00</t>
        </is>
      </c>
      <c r="DD60" s="467" t="n"/>
      <c r="DE60" s="467" t="n"/>
      <c r="DF60" s="467" t="n"/>
      <c r="DG60" s="467" t="n"/>
      <c r="DH60" s="467" t="n"/>
      <c r="DI60" s="467" t="inlineStr">
        <is>
          <t>0.000</t>
        </is>
      </c>
      <c r="DJ60" s="467" t="n"/>
      <c r="DK60" s="467" t="n"/>
      <c r="DL60" s="467" t="n"/>
      <c r="DM60" s="467" t="n"/>
      <c r="DN60" s="467" t="n"/>
      <c r="DO60" s="467" t="n"/>
      <c r="DP60" s="467" t="inlineStr">
        <is>
          <t>998313</t>
        </is>
      </c>
      <c r="DQ60" s="467" t="n">
        <v>0</v>
      </c>
      <c r="DR60" s="467" t="n"/>
      <c r="DS60" s="467" t="n"/>
      <c r="DT60" s="467" t="n"/>
      <c r="DU60" s="467" t="n"/>
      <c r="DV60" s="467" t="n"/>
      <c r="DW60" s="467" t="n"/>
      <c r="DX60" s="467" t="inlineStr">
        <is>
          <t>service</t>
        </is>
      </c>
      <c r="DY60" s="467" t="n"/>
      <c r="DZ60" s="467" t="n"/>
      <c r="EA60" s="467" t="n"/>
      <c r="EB60" s="467" t="n"/>
      <c r="EC60" s="467" t="n"/>
      <c r="ED60" s="467" t="n"/>
      <c r="EE60" s="467" t="n"/>
      <c r="EF60" s="467" t="n"/>
      <c r="EG60" s="467" t="n"/>
      <c r="EH60" s="467" t="inlineStr">
        <is>
          <t>Others</t>
        </is>
      </c>
      <c r="EI60" s="467" t="n"/>
      <c r="EJ60" s="467" t="n"/>
      <c r="EK60" s="467" t="inlineStr">
        <is>
          <t>Sales</t>
        </is>
      </c>
      <c r="EL60" s="467" t="n"/>
      <c r="EM60" s="467" t="inlineStr">
        <is>
          <t>Taxable</t>
        </is>
      </c>
      <c r="EN60" s="467" t="inlineStr">
        <is>
          <t>2297152000000031111</t>
        </is>
      </c>
      <c r="EO60" s="467" t="inlineStr">
        <is>
          <t>IGST18</t>
        </is>
      </c>
      <c r="EP60" s="467" t="inlineStr">
        <is>
          <t>18.00</t>
        </is>
      </c>
      <c r="EQ60" s="467" t="n">
        <v>8084.79</v>
      </c>
      <c r="ER60" s="467" t="inlineStr">
        <is>
          <t>ItemAmount</t>
        </is>
      </c>
      <c r="ES60" s="467" t="n"/>
      <c r="ET60" s="467" t="n"/>
    </row>
    <row r="61" ht="39.55" customHeight="1" s="253">
      <c r="A61" s="466" t="n">
        <v>45775</v>
      </c>
      <c r="B61" s="467" t="inlineStr">
        <is>
          <t>2297152000000126082</t>
        </is>
      </c>
      <c r="C61" s="467" t="inlineStr">
        <is>
          <t>INV-25-26-000062</t>
        </is>
      </c>
      <c r="D61" s="467" t="inlineStr">
        <is>
          <t>Closed</t>
        </is>
      </c>
      <c r="E61" s="467" t="inlineStr">
        <is>
          <t>2297152000000126066</t>
        </is>
      </c>
      <c r="F61" s="467" t="inlineStr">
        <is>
          <t>Chambers of Aman Vachher</t>
        </is>
      </c>
      <c r="G61" s="467" t="inlineStr">
        <is>
          <t>DL</t>
        </is>
      </c>
      <c r="H61" s="467" t="inlineStr">
        <is>
          <t>07-Delhi</t>
        </is>
      </c>
      <c r="I61" s="467" t="inlineStr">
        <is>
          <t>business_none</t>
        </is>
      </c>
      <c r="J61" s="467" t="inlineStr">
        <is>
          <t>false</t>
        </is>
      </c>
      <c r="K61" s="466" t="n">
        <v>45775</v>
      </c>
      <c r="L61" s="467" t="n"/>
      <c r="M61" s="467" t="inlineStr">
        <is>
          <t>INR</t>
        </is>
      </c>
      <c r="N61" s="467" t="n">
        <v>1</v>
      </c>
      <c r="O61" s="467" t="inlineStr">
        <is>
          <t>item_level</t>
        </is>
      </c>
      <c r="P61" s="467" t="inlineStr">
        <is>
          <t>true</t>
        </is>
      </c>
      <c r="Q61" s="467" t="inlineStr">
        <is>
          <t>Tax Invoice</t>
        </is>
      </c>
      <c r="R61" s="467" t="inlineStr">
        <is>
          <t>0.00</t>
        </is>
      </c>
      <c r="S61" s="467" t="n"/>
      <c r="T61" s="467" t="n"/>
      <c r="U61" s="467" t="inlineStr">
        <is>
          <t>item_level</t>
        </is>
      </c>
      <c r="V61" s="467" t="n"/>
      <c r="W61" s="467" t="inlineStr">
        <is>
          <t>0.00</t>
        </is>
      </c>
      <c r="X61" s="467" t="n"/>
      <c r="Y61" s="467" t="n"/>
      <c r="Z61" s="467" t="inlineStr">
        <is>
          <t>0.000</t>
        </is>
      </c>
      <c r="AA61" s="467" t="n">
        <v>172800</v>
      </c>
      <c r="AB61" s="467" t="n">
        <v>203904</v>
      </c>
      <c r="AC61" s="467" t="n">
        <v>0</v>
      </c>
      <c r="AD61" s="467" t="n">
        <v>0</v>
      </c>
      <c r="AE61" s="467" t="inlineStr">
        <is>
          <t>Adjustment</t>
        </is>
      </c>
      <c r="AF61" s="467" t="n"/>
      <c r="AG61" s="466" t="n">
        <v>45775</v>
      </c>
      <c r="AH61" s="467" t="inlineStr">
        <is>
          <t>0</t>
        </is>
      </c>
      <c r="AI61" s="467" t="inlineStr">
        <is>
          <t>Due on Receipt</t>
        </is>
      </c>
      <c r="AJ61" s="467" t="inlineStr">
        <is>
          <t>Thanks for your business.</t>
        </is>
      </c>
      <c r="AK61" s="467" t="n"/>
      <c r="AL61" s="467" t="n"/>
      <c r="AM61" s="467" t="n"/>
      <c r="AN61" s="467" t="n"/>
      <c r="AO61" s="467" t="n"/>
      <c r="AP61" s="467" t="n"/>
      <c r="AQ61" s="467" t="n"/>
      <c r="AR61" s="467" t="n"/>
      <c r="AS61" s="467" t="n"/>
      <c r="AT61" s="467" t="inlineStr">
        <is>
          <t>Invoice</t>
        </is>
      </c>
      <c r="AU61" s="467" t="inlineStr">
        <is>
          <t>0.0</t>
        </is>
      </c>
      <c r="AV61" s="467" t="n">
        <v>0</v>
      </c>
      <c r="AW61" s="467" t="n"/>
      <c r="AX61" s="467" t="n"/>
      <c r="AY61" s="467" t="n"/>
      <c r="AZ61" s="467" t="n"/>
      <c r="BA61" s="467" t="n"/>
      <c r="BB61" s="467" t="n"/>
      <c r="BC61" s="467" t="n"/>
      <c r="BD61" s="467" t="inlineStr">
        <is>
          <t>Jurisphere Enterprise Subscription</t>
        </is>
      </c>
      <c r="BE61" s="468" t="inlineStr">
        <is>
          <t>Subscription Period- Subscription Period started from 28th Mar 2025 to 28th Mar 26
Description - 4 licenses for Rs.48000 each</t>
        </is>
      </c>
      <c r="BF61" s="467" t="n">
        <v>1</v>
      </c>
      <c r="BG61" s="467" t="inlineStr">
        <is>
          <t>10.00</t>
        </is>
      </c>
      <c r="BH61" s="467" t="inlineStr">
        <is>
          <t>19200.000</t>
        </is>
      </c>
      <c r="BI61" s="467" t="n">
        <v>172800</v>
      </c>
      <c r="BJ61" s="467" t="inlineStr">
        <is>
          <t>pcs</t>
        </is>
      </c>
      <c r="BK61" s="467" t="n">
        <v>192000</v>
      </c>
      <c r="BL61" s="467" t="inlineStr">
        <is>
          <t>2297152000000039748</t>
        </is>
      </c>
      <c r="BM61" s="467" t="n"/>
      <c r="BN61" s="467" t="n"/>
      <c r="BO61" s="467" t="n"/>
      <c r="BP61" s="467" t="n"/>
      <c r="BQ61" s="467" t="n"/>
      <c r="BR61" s="467" t="inlineStr">
        <is>
          <t>Ground Floor, A-335,</t>
        </is>
      </c>
      <c r="BS61" s="467" t="inlineStr">
        <is>
          <t>Defence Colony,</t>
        </is>
      </c>
      <c r="BT61" s="467" t="inlineStr">
        <is>
          <t>Delhi</t>
        </is>
      </c>
      <c r="BU61" s="467" t="inlineStr">
        <is>
          <t>Delhi</t>
        </is>
      </c>
      <c r="BV61" s="467" t="inlineStr">
        <is>
          <t>India</t>
        </is>
      </c>
      <c r="BW61" s="467" t="n"/>
      <c r="BX61" s="467" t="n"/>
      <c r="BY61" s="467" t="n"/>
      <c r="BZ61" s="467" t="n"/>
      <c r="CA61" s="467" t="inlineStr">
        <is>
          <t>Ground Floor, A-335,</t>
        </is>
      </c>
      <c r="CB61" s="467" t="inlineStr">
        <is>
          <t>Defence Colony,</t>
        </is>
      </c>
      <c r="CC61" s="467" t="inlineStr">
        <is>
          <t>Delhi</t>
        </is>
      </c>
      <c r="CD61" s="467" t="inlineStr">
        <is>
          <t>Delhi</t>
        </is>
      </c>
      <c r="CE61" s="467" t="inlineStr">
        <is>
          <t>India</t>
        </is>
      </c>
      <c r="CF61" s="467" t="n"/>
      <c r="CG61" s="467" t="n"/>
      <c r="CH61" s="467" t="n"/>
      <c r="CI61" s="467" t="inlineStr">
        <is>
          <t>Coresphere100 Technologies Pvt. Ltd.</t>
        </is>
      </c>
      <c r="CJ61" s="467" t="inlineStr">
        <is>
          <t>09AALCC7037K1Z7</t>
        </is>
      </c>
      <c r="CK61" s="467" t="inlineStr">
        <is>
          <t>16026, 16th Floor, Tower Oakwood,</t>
        </is>
      </c>
      <c r="CL61" s="467" t="inlineStr">
        <is>
          <t>Greater Noida,</t>
        </is>
      </c>
      <c r="CM61" s="467" t="inlineStr">
        <is>
          <t>Uttar Pradesh</t>
        </is>
      </c>
      <c r="CN61" s="467" t="inlineStr">
        <is>
          <t>India</t>
        </is>
      </c>
      <c r="CO61" s="467" t="inlineStr">
        <is>
          <t>201306</t>
        </is>
      </c>
      <c r="CP61" s="467" t="inlineStr">
        <is>
          <t>8928163657</t>
        </is>
      </c>
      <c r="CQ61" s="467" t="inlineStr">
        <is>
          <t>manas@jurisphere.ai</t>
        </is>
      </c>
      <c r="CR61" s="467" t="inlineStr">
        <is>
          <t>0.00</t>
        </is>
      </c>
      <c r="CS61" s="467" t="inlineStr">
        <is>
          <t>0.00</t>
        </is>
      </c>
      <c r="CT61" s="467" t="inlineStr">
        <is>
          <t>18.00</t>
        </is>
      </c>
      <c r="CU61" s="467" t="inlineStr">
        <is>
          <t>0.00</t>
        </is>
      </c>
      <c r="CV61" s="467" t="inlineStr">
        <is>
          <t>0.00</t>
        </is>
      </c>
      <c r="CW61" s="467" t="inlineStr">
        <is>
          <t>0.00</t>
        </is>
      </c>
      <c r="CX61" s="467" t="inlineStr">
        <is>
          <t>31104.00</t>
        </is>
      </c>
      <c r="CY61" s="467" t="inlineStr">
        <is>
          <t>0.00</t>
        </is>
      </c>
      <c r="CZ61" s="467" t="inlineStr">
        <is>
          <t>0.00</t>
        </is>
      </c>
      <c r="DA61" s="467" t="inlineStr">
        <is>
          <t>0.00</t>
        </is>
      </c>
      <c r="DB61" s="467" t="inlineStr">
        <is>
          <t>31104.00</t>
        </is>
      </c>
      <c r="DC61" s="467" t="inlineStr">
        <is>
          <t>0.00</t>
        </is>
      </c>
      <c r="DD61" s="467" t="n"/>
      <c r="DE61" s="467" t="n"/>
      <c r="DF61" s="467" t="n"/>
      <c r="DG61" s="467" t="n"/>
      <c r="DH61" s="467" t="n"/>
      <c r="DI61" s="467" t="inlineStr">
        <is>
          <t>0.000</t>
        </is>
      </c>
      <c r="DJ61" s="467" t="n"/>
      <c r="DK61" s="467" t="n"/>
      <c r="DL61" s="467" t="n"/>
      <c r="DM61" s="467" t="n"/>
      <c r="DN61" s="467" t="n"/>
      <c r="DO61" s="467" t="n"/>
      <c r="DP61" s="467" t="inlineStr">
        <is>
          <t>998313</t>
        </is>
      </c>
      <c r="DQ61" s="467" t="n">
        <v>0</v>
      </c>
      <c r="DR61" s="467" t="n"/>
      <c r="DS61" s="467" t="n"/>
      <c r="DT61" s="467" t="n"/>
      <c r="DU61" s="467" t="n"/>
      <c r="DV61" s="467" t="n"/>
      <c r="DW61" s="467" t="n"/>
      <c r="DX61" s="467" t="inlineStr">
        <is>
          <t>service</t>
        </is>
      </c>
      <c r="DY61" s="467" t="n"/>
      <c r="DZ61" s="467" t="n"/>
      <c r="EA61" s="467" t="n"/>
      <c r="EB61" s="467" t="n"/>
      <c r="EC61" s="467" t="n"/>
      <c r="ED61" s="467" t="n"/>
      <c r="EE61" s="467" t="n"/>
      <c r="EF61" s="467" t="n"/>
      <c r="EG61" s="467" t="n"/>
      <c r="EH61" s="467" t="inlineStr">
        <is>
          <t>Others</t>
        </is>
      </c>
      <c r="EI61" s="467" t="n"/>
      <c r="EJ61" s="467" t="n"/>
      <c r="EK61" s="467" t="inlineStr">
        <is>
          <t>Sales</t>
        </is>
      </c>
      <c r="EL61" s="467" t="n"/>
      <c r="EM61" s="467" t="inlineStr">
        <is>
          <t>Taxable</t>
        </is>
      </c>
      <c r="EN61" s="467" t="inlineStr">
        <is>
          <t>2297152000000031111</t>
        </is>
      </c>
      <c r="EO61" s="467" t="inlineStr">
        <is>
          <t>IGST18</t>
        </is>
      </c>
      <c r="EP61" s="467" t="inlineStr">
        <is>
          <t>18.00</t>
        </is>
      </c>
      <c r="EQ61" s="467" t="n">
        <v>31104</v>
      </c>
      <c r="ER61" s="467" t="inlineStr">
        <is>
          <t>ItemAmount</t>
        </is>
      </c>
      <c r="ES61" s="467" t="n"/>
      <c r="ET61" s="467" t="n"/>
    </row>
    <row r="62" ht="39.55" customHeight="1" s="253">
      <c r="A62" s="466" t="n">
        <v>45775</v>
      </c>
      <c r="B62" s="467" t="inlineStr">
        <is>
          <t>2297152000000126126</t>
        </is>
      </c>
      <c r="C62" s="467" t="inlineStr">
        <is>
          <t>INV-25-26-000063</t>
        </is>
      </c>
      <c r="D62" s="467" t="inlineStr">
        <is>
          <t>Closed</t>
        </is>
      </c>
      <c r="E62" s="467" t="inlineStr">
        <is>
          <t>2297152000000126110</t>
        </is>
      </c>
      <c r="F62" s="467" t="inlineStr">
        <is>
          <t>SK Singhi and Partners</t>
        </is>
      </c>
      <c r="G62" s="467" t="inlineStr">
        <is>
          <t>WB</t>
        </is>
      </c>
      <c r="H62" s="467" t="inlineStr">
        <is>
          <t>19-West Bengal</t>
        </is>
      </c>
      <c r="I62" s="467" t="inlineStr">
        <is>
          <t>business_none</t>
        </is>
      </c>
      <c r="J62" s="467" t="inlineStr">
        <is>
          <t>false</t>
        </is>
      </c>
      <c r="K62" s="466" t="n">
        <v>45775</v>
      </c>
      <c r="L62" s="467" t="n"/>
      <c r="M62" s="467" t="inlineStr">
        <is>
          <t>INR</t>
        </is>
      </c>
      <c r="N62" s="467" t="n">
        <v>1</v>
      </c>
      <c r="O62" s="467" t="inlineStr">
        <is>
          <t>item_level</t>
        </is>
      </c>
      <c r="P62" s="467" t="inlineStr">
        <is>
          <t>true</t>
        </is>
      </c>
      <c r="Q62" s="467" t="inlineStr">
        <is>
          <t>Tax Invoice</t>
        </is>
      </c>
      <c r="R62" s="467" t="inlineStr">
        <is>
          <t>0.00</t>
        </is>
      </c>
      <c r="S62" s="467" t="n"/>
      <c r="T62" s="467" t="n"/>
      <c r="U62" s="467" t="inlineStr">
        <is>
          <t>entity_level</t>
        </is>
      </c>
      <c r="V62" s="467" t="inlineStr">
        <is>
          <t>Professional Fees</t>
        </is>
      </c>
      <c r="W62" s="467" t="inlineStr">
        <is>
          <t>10.00</t>
        </is>
      </c>
      <c r="X62" s="467" t="inlineStr">
        <is>
          <t>194J</t>
        </is>
      </c>
      <c r="Y62" s="467" t="inlineStr">
        <is>
          <t>Section 194 J</t>
        </is>
      </c>
      <c r="Z62" s="467" t="inlineStr">
        <is>
          <t>27000.000</t>
        </is>
      </c>
      <c r="AA62" s="467" t="n">
        <v>270000</v>
      </c>
      <c r="AB62" s="467" t="n">
        <v>291600</v>
      </c>
      <c r="AC62" s="467" t="n">
        <v>0</v>
      </c>
      <c r="AD62" s="467" t="n">
        <v>0</v>
      </c>
      <c r="AE62" s="467" t="inlineStr">
        <is>
          <t>Adjustment</t>
        </is>
      </c>
      <c r="AF62" s="467" t="n"/>
      <c r="AG62" s="466" t="n">
        <v>45776</v>
      </c>
      <c r="AH62" s="467" t="inlineStr">
        <is>
          <t>0</t>
        </is>
      </c>
      <c r="AI62" s="467" t="inlineStr">
        <is>
          <t>Due on Receipt</t>
        </is>
      </c>
      <c r="AJ62" s="467" t="inlineStr">
        <is>
          <t>Thanks for your business.</t>
        </is>
      </c>
      <c r="AK62" s="467" t="n"/>
      <c r="AL62" s="467" t="n"/>
      <c r="AM62" s="467" t="n"/>
      <c r="AN62" s="467" t="n"/>
      <c r="AO62" s="467" t="n"/>
      <c r="AP62" s="467" t="n"/>
      <c r="AQ62" s="467" t="n"/>
      <c r="AR62" s="467" t="n"/>
      <c r="AS62" s="467" t="n"/>
      <c r="AT62" s="467" t="inlineStr">
        <is>
          <t>Invoice</t>
        </is>
      </c>
      <c r="AU62" s="467" t="inlineStr">
        <is>
          <t>0.0</t>
        </is>
      </c>
      <c r="AV62" s="467" t="n">
        <v>0</v>
      </c>
      <c r="AW62" s="467" t="n"/>
      <c r="AX62" s="467" t="n"/>
      <c r="AY62" s="467" t="n"/>
      <c r="AZ62" s="467" t="n"/>
      <c r="BA62" s="467" t="n"/>
      <c r="BB62" s="467" t="n"/>
      <c r="BC62" s="467" t="n"/>
      <c r="BD62" s="467" t="inlineStr">
        <is>
          <t>Jurisphere Enterprise Subscription</t>
        </is>
      </c>
      <c r="BE62" s="468" t="inlineStr">
        <is>
          <t>Subscription Period- Subscription Period started from 28th Mar 2025 to 28th Mar 2026
Description- 6 licenses for Rs. 50,000 each</t>
        </is>
      </c>
      <c r="BF62" s="467" t="n">
        <v>1</v>
      </c>
      <c r="BG62" s="467" t="inlineStr">
        <is>
          <t>10.00</t>
        </is>
      </c>
      <c r="BH62" s="467" t="inlineStr">
        <is>
          <t>30000.000</t>
        </is>
      </c>
      <c r="BI62" s="467" t="n">
        <v>270000</v>
      </c>
      <c r="BJ62" s="467" t="inlineStr">
        <is>
          <t>pcs</t>
        </is>
      </c>
      <c r="BK62" s="467" t="n">
        <v>300000</v>
      </c>
      <c r="BL62" s="467" t="inlineStr">
        <is>
          <t>2297152000000039748</t>
        </is>
      </c>
      <c r="BM62" s="467" t="n"/>
      <c r="BN62" s="467" t="n"/>
      <c r="BO62" s="467" t="n"/>
      <c r="BP62" s="467" t="n"/>
      <c r="BQ62" s="467" t="n"/>
      <c r="BR62" s="467" t="inlineStr">
        <is>
          <t>Raja Chambers, 1st Floor,</t>
        </is>
      </c>
      <c r="BS62" s="467" t="inlineStr">
        <is>
          <t>4 Kiran Shankar Roy Road,</t>
        </is>
      </c>
      <c r="BT62" s="467" t="inlineStr">
        <is>
          <t>Kolkata</t>
        </is>
      </c>
      <c r="BU62" s="467" t="inlineStr">
        <is>
          <t>West Bengal</t>
        </is>
      </c>
      <c r="BV62" s="467" t="inlineStr">
        <is>
          <t>India</t>
        </is>
      </c>
      <c r="BW62" s="467" t="inlineStr">
        <is>
          <t>700001</t>
        </is>
      </c>
      <c r="BX62" s="467" t="n"/>
      <c r="BY62" s="467" t="n"/>
      <c r="BZ62" s="467" t="n"/>
      <c r="CA62" s="467" t="inlineStr">
        <is>
          <t>Raja Chambers, 1st Floor,</t>
        </is>
      </c>
      <c r="CB62" s="467" t="inlineStr">
        <is>
          <t>4 Kiran Shankar Roy Road,</t>
        </is>
      </c>
      <c r="CC62" s="467" t="inlineStr">
        <is>
          <t>Kolkata</t>
        </is>
      </c>
      <c r="CD62" s="467" t="inlineStr">
        <is>
          <t>West Bengal</t>
        </is>
      </c>
      <c r="CE62" s="467" t="inlineStr">
        <is>
          <t>India</t>
        </is>
      </c>
      <c r="CF62" s="467" t="inlineStr">
        <is>
          <t>700001</t>
        </is>
      </c>
      <c r="CG62" s="467" t="n"/>
      <c r="CH62" s="467" t="n"/>
      <c r="CI62" s="467" t="inlineStr">
        <is>
          <t>Coresphere100 Technologies Pvt. Ltd.</t>
        </is>
      </c>
      <c r="CJ62" s="467" t="inlineStr">
        <is>
          <t>09AALCC7037K1Z7</t>
        </is>
      </c>
      <c r="CK62" s="467" t="inlineStr">
        <is>
          <t>16026, 16th Floor, Tower Oakwood,</t>
        </is>
      </c>
      <c r="CL62" s="467" t="inlineStr">
        <is>
          <t>Greater Noida,</t>
        </is>
      </c>
      <c r="CM62" s="467" t="inlineStr">
        <is>
          <t>Uttar Pradesh</t>
        </is>
      </c>
      <c r="CN62" s="467" t="inlineStr">
        <is>
          <t>India</t>
        </is>
      </c>
      <c r="CO62" s="467" t="inlineStr">
        <is>
          <t>201306</t>
        </is>
      </c>
      <c r="CP62" s="467" t="inlineStr">
        <is>
          <t>8928163657</t>
        </is>
      </c>
      <c r="CQ62" s="467" t="inlineStr">
        <is>
          <t>manas@jurisphere.ai</t>
        </is>
      </c>
      <c r="CR62" s="467" t="inlineStr">
        <is>
          <t>0.00</t>
        </is>
      </c>
      <c r="CS62" s="467" t="inlineStr">
        <is>
          <t>0.00</t>
        </is>
      </c>
      <c r="CT62" s="467" t="inlineStr">
        <is>
          <t>18.00</t>
        </is>
      </c>
      <c r="CU62" s="467" t="inlineStr">
        <is>
          <t>0.00</t>
        </is>
      </c>
      <c r="CV62" s="467" t="inlineStr">
        <is>
          <t>0.00</t>
        </is>
      </c>
      <c r="CW62" s="467" t="inlineStr">
        <is>
          <t>0.00</t>
        </is>
      </c>
      <c r="CX62" s="467" t="inlineStr">
        <is>
          <t>48600.00</t>
        </is>
      </c>
      <c r="CY62" s="467" t="inlineStr">
        <is>
          <t>0.00</t>
        </is>
      </c>
      <c r="CZ62" s="467" t="inlineStr">
        <is>
          <t>0.00</t>
        </is>
      </c>
      <c r="DA62" s="467" t="inlineStr">
        <is>
          <t>0.00</t>
        </is>
      </c>
      <c r="DB62" s="467" t="inlineStr">
        <is>
          <t>48600.00</t>
        </is>
      </c>
      <c r="DC62" s="467" t="inlineStr">
        <is>
          <t>0.00</t>
        </is>
      </c>
      <c r="DD62" s="467" t="n"/>
      <c r="DE62" s="467" t="n"/>
      <c r="DF62" s="467" t="n"/>
      <c r="DG62" s="467" t="n"/>
      <c r="DH62" s="467" t="n"/>
      <c r="DI62" s="467" t="n"/>
      <c r="DJ62" s="467" t="n"/>
      <c r="DK62" s="467" t="n"/>
      <c r="DL62" s="467" t="n"/>
      <c r="DM62" s="467" t="n"/>
      <c r="DN62" s="467" t="n"/>
      <c r="DO62" s="467" t="n"/>
      <c r="DP62" s="467" t="inlineStr">
        <is>
          <t>998313</t>
        </is>
      </c>
      <c r="DQ62" s="467" t="n">
        <v>0</v>
      </c>
      <c r="DR62" s="467" t="n"/>
      <c r="DS62" s="467" t="n"/>
      <c r="DT62" s="467" t="n"/>
      <c r="DU62" s="467" t="n"/>
      <c r="DV62" s="467" t="n"/>
      <c r="DW62" s="467" t="n"/>
      <c r="DX62" s="467" t="inlineStr">
        <is>
          <t>service</t>
        </is>
      </c>
      <c r="DY62" s="467" t="n"/>
      <c r="DZ62" s="467" t="n"/>
      <c r="EA62" s="467" t="n"/>
      <c r="EB62" s="467" t="n"/>
      <c r="EC62" s="467" t="n"/>
      <c r="ED62" s="467" t="n"/>
      <c r="EE62" s="467" t="n"/>
      <c r="EF62" s="467" t="n"/>
      <c r="EG62" s="467" t="n"/>
      <c r="EH62" s="467" t="inlineStr">
        <is>
          <t>Others</t>
        </is>
      </c>
      <c r="EI62" s="467" t="n"/>
      <c r="EJ62" s="467" t="n"/>
      <c r="EK62" s="467" t="inlineStr">
        <is>
          <t>Sales</t>
        </is>
      </c>
      <c r="EL62" s="467" t="n"/>
      <c r="EM62" s="467" t="inlineStr">
        <is>
          <t>Taxable</t>
        </is>
      </c>
      <c r="EN62" s="467" t="inlineStr">
        <is>
          <t>2297152000000031111</t>
        </is>
      </c>
      <c r="EO62" s="467" t="inlineStr">
        <is>
          <t>IGST18</t>
        </is>
      </c>
      <c r="EP62" s="467" t="inlineStr">
        <is>
          <t>18.00</t>
        </is>
      </c>
      <c r="EQ62" s="467" t="n">
        <v>48600</v>
      </c>
      <c r="ER62" s="467" t="inlineStr">
        <is>
          <t>ItemAmount</t>
        </is>
      </c>
      <c r="ES62" s="467" t="n"/>
      <c r="ET62" s="467" t="n"/>
    </row>
    <row r="63" ht="52.2" customHeight="1" s="253">
      <c r="A63" s="466" t="n">
        <v>45775</v>
      </c>
      <c r="B63" s="467" t="inlineStr">
        <is>
          <t>2297152000000126168</t>
        </is>
      </c>
      <c r="C63" s="467" t="inlineStr">
        <is>
          <t>INV-25-26-000064</t>
        </is>
      </c>
      <c r="D63" s="467" t="inlineStr">
        <is>
          <t>Closed</t>
        </is>
      </c>
      <c r="E63" s="467" t="inlineStr">
        <is>
          <t>2297152000000126152</t>
        </is>
      </c>
      <c r="F63" s="467" t="inlineStr">
        <is>
          <t>Centre for Law and Policy Research Trust</t>
        </is>
      </c>
      <c r="G63" s="467" t="inlineStr">
        <is>
          <t>KA</t>
        </is>
      </c>
      <c r="H63" s="467" t="inlineStr">
        <is>
          <t>29-Karnataka</t>
        </is>
      </c>
      <c r="I63" s="467" t="inlineStr">
        <is>
          <t>business_none</t>
        </is>
      </c>
      <c r="J63" s="467" t="inlineStr">
        <is>
          <t>false</t>
        </is>
      </c>
      <c r="K63" s="466" t="n">
        <v>45775</v>
      </c>
      <c r="L63" s="467" t="n"/>
      <c r="M63" s="467" t="inlineStr">
        <is>
          <t>INR</t>
        </is>
      </c>
      <c r="N63" s="467" t="n">
        <v>1</v>
      </c>
      <c r="O63" s="467" t="inlineStr">
        <is>
          <t>item_level</t>
        </is>
      </c>
      <c r="P63" s="467" t="inlineStr">
        <is>
          <t>true</t>
        </is>
      </c>
      <c r="Q63" s="467" t="inlineStr">
        <is>
          <t>Tax Invoice</t>
        </is>
      </c>
      <c r="R63" s="467" t="inlineStr">
        <is>
          <t>0.00</t>
        </is>
      </c>
      <c r="S63" s="467" t="n"/>
      <c r="T63" s="467" t="n"/>
      <c r="U63" s="467" t="inlineStr">
        <is>
          <t>item_level</t>
        </is>
      </c>
      <c r="V63" s="467" t="n"/>
      <c r="W63" s="467" t="inlineStr">
        <is>
          <t>0.00</t>
        </is>
      </c>
      <c r="X63" s="467" t="n"/>
      <c r="Y63" s="467" t="n"/>
      <c r="Z63" s="467" t="inlineStr">
        <is>
          <t>0.000</t>
        </is>
      </c>
      <c r="AA63" s="467" t="n">
        <v>4000</v>
      </c>
      <c r="AB63" s="467" t="n">
        <v>4720</v>
      </c>
      <c r="AC63" s="467" t="n">
        <v>0</v>
      </c>
      <c r="AD63" s="467" t="n">
        <v>0</v>
      </c>
      <c r="AE63" s="467" t="inlineStr">
        <is>
          <t>Adjustment</t>
        </is>
      </c>
      <c r="AF63" s="467" t="n"/>
      <c r="AG63" s="466" t="n">
        <v>45775</v>
      </c>
      <c r="AH63" s="467" t="inlineStr">
        <is>
          <t>0</t>
        </is>
      </c>
      <c r="AI63" s="467" t="inlineStr">
        <is>
          <t>Due on Receipt</t>
        </is>
      </c>
      <c r="AJ63" s="467" t="inlineStr">
        <is>
          <t>Thanks for your business.</t>
        </is>
      </c>
      <c r="AK63" s="467" t="n"/>
      <c r="AL63" s="467" t="n"/>
      <c r="AM63" s="467" t="n"/>
      <c r="AN63" s="467" t="n"/>
      <c r="AO63" s="467" t="n"/>
      <c r="AP63" s="467" t="n"/>
      <c r="AQ63" s="467" t="n"/>
      <c r="AR63" s="467" t="n"/>
      <c r="AS63" s="467" t="n"/>
      <c r="AT63" s="467" t="inlineStr">
        <is>
          <t>Invoice</t>
        </is>
      </c>
      <c r="AU63" s="467" t="inlineStr">
        <is>
          <t>0.0</t>
        </is>
      </c>
      <c r="AV63" s="467" t="n">
        <v>0</v>
      </c>
      <c r="AW63" s="467" t="n"/>
      <c r="AX63" s="467" t="n"/>
      <c r="AY63" s="467" t="n"/>
      <c r="AZ63" s="467" t="n"/>
      <c r="BA63" s="467" t="n"/>
      <c r="BB63" s="467" t="n"/>
      <c r="BC63" s="467" t="n"/>
      <c r="BD63" s="467" t="inlineStr">
        <is>
          <t>Jurisphere Enterprise Subscription</t>
        </is>
      </c>
      <c r="BE63" s="468" t="inlineStr">
        <is>
          <t>Subscription Period- 1 month subscription stated from 29th Apr 25 to 28th May 25
Description- Translation of 400 pages &amp; unlimited document review.</t>
        </is>
      </c>
      <c r="BF63" s="467" t="n">
        <v>1</v>
      </c>
      <c r="BG63" s="467" t="inlineStr">
        <is>
          <t>0.00</t>
        </is>
      </c>
      <c r="BH63" s="467" t="inlineStr">
        <is>
          <t>0.00</t>
        </is>
      </c>
      <c r="BI63" s="467" t="n">
        <v>4000</v>
      </c>
      <c r="BJ63" s="467" t="inlineStr">
        <is>
          <t>pcs</t>
        </is>
      </c>
      <c r="BK63" s="467" t="n">
        <v>4000</v>
      </c>
      <c r="BL63" s="467" t="inlineStr">
        <is>
          <t>2297152000000039748</t>
        </is>
      </c>
      <c r="BM63" s="467" t="n"/>
      <c r="BN63" s="467" t="n"/>
      <c r="BO63" s="467" t="n"/>
      <c r="BP63" s="467" t="n"/>
      <c r="BQ63" s="467" t="n"/>
      <c r="BR63" s="467" t="inlineStr">
        <is>
          <t>D6, Dona Cynthia Apartments,</t>
        </is>
      </c>
      <c r="BS63" s="467" t="inlineStr">
        <is>
          <t>35, Primrose Road, Ashok Nagar,</t>
        </is>
      </c>
      <c r="BT63" s="467" t="inlineStr">
        <is>
          <t>Bengaluru</t>
        </is>
      </c>
      <c r="BU63" s="467" t="inlineStr">
        <is>
          <t>Karnataka</t>
        </is>
      </c>
      <c r="BV63" s="467" t="inlineStr">
        <is>
          <t>India</t>
        </is>
      </c>
      <c r="BW63" s="467" t="inlineStr">
        <is>
          <t>560025</t>
        </is>
      </c>
      <c r="BX63" s="467" t="n"/>
      <c r="BY63" s="467" t="n"/>
      <c r="BZ63" s="467" t="n"/>
      <c r="CA63" s="467" t="inlineStr">
        <is>
          <t>D6, Dona Cynthia Apartments,</t>
        </is>
      </c>
      <c r="CB63" s="467" t="inlineStr">
        <is>
          <t>35, Primrose Road, Ashok Nagar,</t>
        </is>
      </c>
      <c r="CC63" s="467" t="inlineStr">
        <is>
          <t>Bengaluru</t>
        </is>
      </c>
      <c r="CD63" s="467" t="inlineStr">
        <is>
          <t>Karnataka</t>
        </is>
      </c>
      <c r="CE63" s="467" t="inlineStr">
        <is>
          <t>India</t>
        </is>
      </c>
      <c r="CF63" s="467" t="inlineStr">
        <is>
          <t>560025</t>
        </is>
      </c>
      <c r="CG63" s="467" t="n"/>
      <c r="CH63" s="467" t="n"/>
      <c r="CI63" s="467" t="inlineStr">
        <is>
          <t>Coresphere100 Technologies Pvt. Ltd.</t>
        </is>
      </c>
      <c r="CJ63" s="467" t="inlineStr">
        <is>
          <t>09AALCC7037K1Z7</t>
        </is>
      </c>
      <c r="CK63" s="467" t="inlineStr">
        <is>
          <t>16026, 16th Floor, Tower Oakwood,</t>
        </is>
      </c>
      <c r="CL63" s="467" t="inlineStr">
        <is>
          <t>Greater Noida,</t>
        </is>
      </c>
      <c r="CM63" s="467" t="inlineStr">
        <is>
          <t>Uttar Pradesh</t>
        </is>
      </c>
      <c r="CN63" s="467" t="inlineStr">
        <is>
          <t>India</t>
        </is>
      </c>
      <c r="CO63" s="467" t="inlineStr">
        <is>
          <t>201306</t>
        </is>
      </c>
      <c r="CP63" s="467" t="inlineStr">
        <is>
          <t>8928163657</t>
        </is>
      </c>
      <c r="CQ63" s="467" t="inlineStr">
        <is>
          <t>manas@jurisphere.ai</t>
        </is>
      </c>
      <c r="CR63" s="467" t="inlineStr">
        <is>
          <t>0.00</t>
        </is>
      </c>
      <c r="CS63" s="467" t="inlineStr">
        <is>
          <t>0.00</t>
        </is>
      </c>
      <c r="CT63" s="467" t="inlineStr">
        <is>
          <t>18.00</t>
        </is>
      </c>
      <c r="CU63" s="467" t="inlineStr">
        <is>
          <t>0.00</t>
        </is>
      </c>
      <c r="CV63" s="467" t="inlineStr">
        <is>
          <t>0.00</t>
        </is>
      </c>
      <c r="CW63" s="467" t="inlineStr">
        <is>
          <t>0.00</t>
        </is>
      </c>
      <c r="CX63" s="467" t="inlineStr">
        <is>
          <t>720.00</t>
        </is>
      </c>
      <c r="CY63" s="467" t="inlineStr">
        <is>
          <t>0.00</t>
        </is>
      </c>
      <c r="CZ63" s="467" t="inlineStr">
        <is>
          <t>0.00</t>
        </is>
      </c>
      <c r="DA63" s="467" t="inlineStr">
        <is>
          <t>0.00</t>
        </is>
      </c>
      <c r="DB63" s="467" t="inlineStr">
        <is>
          <t>720.00</t>
        </is>
      </c>
      <c r="DC63" s="467" t="inlineStr">
        <is>
          <t>0.00</t>
        </is>
      </c>
      <c r="DD63" s="467" t="n"/>
      <c r="DE63" s="467" t="n"/>
      <c r="DF63" s="467" t="n"/>
      <c r="DG63" s="467" t="n"/>
      <c r="DH63" s="467" t="n"/>
      <c r="DI63" s="467" t="inlineStr">
        <is>
          <t>0.000</t>
        </is>
      </c>
      <c r="DJ63" s="467" t="n"/>
      <c r="DK63" s="467" t="n"/>
      <c r="DL63" s="467" t="n"/>
      <c r="DM63" s="467" t="n"/>
      <c r="DN63" s="467" t="n"/>
      <c r="DO63" s="467" t="n"/>
      <c r="DP63" s="467" t="inlineStr">
        <is>
          <t>998313</t>
        </is>
      </c>
      <c r="DQ63" s="467" t="n">
        <v>0</v>
      </c>
      <c r="DR63" s="467" t="n"/>
      <c r="DS63" s="467" t="n"/>
      <c r="DT63" s="467" t="n"/>
      <c r="DU63" s="467" t="n"/>
      <c r="DV63" s="467" t="n"/>
      <c r="DW63" s="467" t="n"/>
      <c r="DX63" s="467" t="inlineStr">
        <is>
          <t>service</t>
        </is>
      </c>
      <c r="DY63" s="467" t="n"/>
      <c r="DZ63" s="467" t="n"/>
      <c r="EA63" s="467" t="n"/>
      <c r="EB63" s="467" t="n"/>
      <c r="EC63" s="467" t="n"/>
      <c r="ED63" s="467" t="n"/>
      <c r="EE63" s="467" t="n"/>
      <c r="EF63" s="467" t="n"/>
      <c r="EG63" s="467" t="n"/>
      <c r="EH63" s="467" t="inlineStr">
        <is>
          <t>Others</t>
        </is>
      </c>
      <c r="EI63" s="467" t="n"/>
      <c r="EJ63" s="467" t="n"/>
      <c r="EK63" s="467" t="inlineStr">
        <is>
          <t>Sales</t>
        </is>
      </c>
      <c r="EL63" s="467" t="n"/>
      <c r="EM63" s="467" t="inlineStr">
        <is>
          <t>Taxable</t>
        </is>
      </c>
      <c r="EN63" s="467" t="inlineStr">
        <is>
          <t>2297152000000031111</t>
        </is>
      </c>
      <c r="EO63" s="467" t="inlineStr">
        <is>
          <t>IGST18</t>
        </is>
      </c>
      <c r="EP63" s="467" t="inlineStr">
        <is>
          <t>18.00</t>
        </is>
      </c>
      <c r="EQ63" s="467" t="n">
        <v>720</v>
      </c>
      <c r="ER63" s="467" t="inlineStr">
        <is>
          <t>ItemAmount</t>
        </is>
      </c>
      <c r="ES63" s="467" t="n"/>
      <c r="ET63" s="467" t="n"/>
    </row>
    <row r="64" ht="39.55" customHeight="1" s="253">
      <c r="A64" s="466" t="n">
        <v>45775</v>
      </c>
      <c r="B64" s="467" t="inlineStr">
        <is>
          <t>2297152000000126220</t>
        </is>
      </c>
      <c r="C64" s="467" t="inlineStr">
        <is>
          <t>INV-25-26-000065</t>
        </is>
      </c>
      <c r="D64" s="467" t="inlineStr">
        <is>
          <t>Overdue</t>
        </is>
      </c>
      <c r="E64" s="467" t="inlineStr">
        <is>
          <t>2297152000000126186</t>
        </is>
      </c>
      <c r="F64" s="467" t="inlineStr">
        <is>
          <t>SKR &amp; associates</t>
        </is>
      </c>
      <c r="G64" s="467" t="inlineStr">
        <is>
          <t>WB</t>
        </is>
      </c>
      <c r="H64" s="467" t="inlineStr">
        <is>
          <t>19-West Bengal</t>
        </is>
      </c>
      <c r="I64" s="467" t="inlineStr">
        <is>
          <t>business_none</t>
        </is>
      </c>
      <c r="J64" s="467" t="inlineStr">
        <is>
          <t>false</t>
        </is>
      </c>
      <c r="K64" s="466" t="n">
        <v>45775</v>
      </c>
      <c r="L64" s="467" t="n"/>
      <c r="M64" s="467" t="inlineStr">
        <is>
          <t>INR</t>
        </is>
      </c>
      <c r="N64" s="467" t="n">
        <v>1</v>
      </c>
      <c r="O64" s="467" t="inlineStr">
        <is>
          <t>item_level</t>
        </is>
      </c>
      <c r="P64" s="467" t="inlineStr">
        <is>
          <t>true</t>
        </is>
      </c>
      <c r="Q64" s="467" t="inlineStr">
        <is>
          <t>Tax Invoice</t>
        </is>
      </c>
      <c r="R64" s="467" t="inlineStr">
        <is>
          <t>0.00</t>
        </is>
      </c>
      <c r="S64" s="467" t="n"/>
      <c r="T64" s="467" t="n"/>
      <c r="U64" s="467" t="inlineStr">
        <is>
          <t>item_level</t>
        </is>
      </c>
      <c r="V64" s="467" t="n"/>
      <c r="W64" s="467" t="inlineStr">
        <is>
          <t>0.00</t>
        </is>
      </c>
      <c r="X64" s="467" t="n"/>
      <c r="Y64" s="467" t="n"/>
      <c r="Z64" s="467" t="inlineStr">
        <is>
          <t>0.000</t>
        </is>
      </c>
      <c r="AA64" s="467" t="n">
        <v>8729</v>
      </c>
      <c r="AB64" s="467" t="n">
        <v>10300</v>
      </c>
      <c r="AC64" s="467" t="n">
        <v>10300</v>
      </c>
      <c r="AD64" s="467" t="n">
        <v>-0.22</v>
      </c>
      <c r="AE64" s="467" t="inlineStr">
        <is>
          <t>Adjustment</t>
        </is>
      </c>
      <c r="AF64" s="467" t="n"/>
      <c r="AG64" s="467" t="n"/>
      <c r="AH64" s="467" t="inlineStr">
        <is>
          <t>0</t>
        </is>
      </c>
      <c r="AI64" s="467" t="inlineStr">
        <is>
          <t>Due on Receipt</t>
        </is>
      </c>
      <c r="AJ64" s="467" t="inlineStr">
        <is>
          <t>Thanks for your business.</t>
        </is>
      </c>
      <c r="AK64" s="467" t="n"/>
      <c r="AL64" s="467" t="n"/>
      <c r="AM64" s="467" t="n"/>
      <c r="AN64" s="467" t="n"/>
      <c r="AO64" s="467" t="n"/>
      <c r="AP64" s="467" t="n"/>
      <c r="AQ64" s="467" t="n"/>
      <c r="AR64" s="467" t="n"/>
      <c r="AS64" s="467" t="n"/>
      <c r="AT64" s="467" t="inlineStr">
        <is>
          <t>Invoice</t>
        </is>
      </c>
      <c r="AU64" s="467" t="inlineStr">
        <is>
          <t>0.0</t>
        </is>
      </c>
      <c r="AV64" s="467" t="n">
        <v>0</v>
      </c>
      <c r="AW64" s="467" t="n"/>
      <c r="AX64" s="467" t="n"/>
      <c r="AY64" s="467" t="n"/>
      <c r="AZ64" s="467" t="n"/>
      <c r="BA64" s="467" t="n"/>
      <c r="BB64" s="467" t="n"/>
      <c r="BC64" s="467" t="n"/>
      <c r="BD64" s="467" t="inlineStr">
        <is>
          <t>Jurisphere Enterprise Subscription</t>
        </is>
      </c>
      <c r="BE64" s="468" t="inlineStr">
        <is>
          <t xml:space="preserve">Subscription Period- Monthly invoice fro the period started from 10th Apr 25
Description- 1 license of Rs. 8729/- per month for Litigation </t>
        </is>
      </c>
      <c r="BF64" s="467" t="n">
        <v>1</v>
      </c>
      <c r="BG64" s="467" t="inlineStr">
        <is>
          <t>0.00</t>
        </is>
      </c>
      <c r="BH64" s="467" t="inlineStr">
        <is>
          <t>0.00</t>
        </is>
      </c>
      <c r="BI64" s="467" t="n">
        <v>8729</v>
      </c>
      <c r="BJ64" s="467" t="inlineStr">
        <is>
          <t>pcs</t>
        </is>
      </c>
      <c r="BK64" s="467" t="n">
        <v>8729</v>
      </c>
      <c r="BL64" s="467" t="inlineStr">
        <is>
          <t>2297152000000039748</t>
        </is>
      </c>
      <c r="BM64" s="467" t="n"/>
      <c r="BN64" s="467" t="n"/>
      <c r="BO64" s="467" t="n"/>
      <c r="BP64" s="467" t="inlineStr">
        <is>
          <t>SKR &amp; Associates - Monthly</t>
        </is>
      </c>
      <c r="BQ64" s="467" t="n"/>
      <c r="BR64" s="468" t="inlineStr">
        <is>
          <t>Punwani chamber,
5th Floor,</t>
        </is>
      </c>
      <c r="BS64" s="467" t="inlineStr">
        <is>
          <t>7B Kiran Shankar Roy Road,</t>
        </is>
      </c>
      <c r="BT64" s="467" t="inlineStr">
        <is>
          <t>Kolkata</t>
        </is>
      </c>
      <c r="BU64" s="467" t="inlineStr">
        <is>
          <t>West Bengal</t>
        </is>
      </c>
      <c r="BV64" s="467" t="inlineStr">
        <is>
          <t>India</t>
        </is>
      </c>
      <c r="BW64" s="467" t="inlineStr">
        <is>
          <t>700001</t>
        </is>
      </c>
      <c r="BX64" s="467" t="n"/>
      <c r="BY64" s="467" t="n"/>
      <c r="BZ64" s="467" t="n"/>
      <c r="CA64" s="468" t="inlineStr">
        <is>
          <t>Punwani chamber,
5th Floor,</t>
        </is>
      </c>
      <c r="CB64" s="467" t="inlineStr">
        <is>
          <t>7B Kiran Shankar Roy Road,</t>
        </is>
      </c>
      <c r="CC64" s="467" t="inlineStr">
        <is>
          <t>Kolkata</t>
        </is>
      </c>
      <c r="CD64" s="467" t="inlineStr">
        <is>
          <t>West Bengal</t>
        </is>
      </c>
      <c r="CE64" s="467" t="inlineStr">
        <is>
          <t>India</t>
        </is>
      </c>
      <c r="CF64" s="467" t="inlineStr">
        <is>
          <t>700001</t>
        </is>
      </c>
      <c r="CG64" s="467" t="n"/>
      <c r="CH64" s="467" t="n"/>
      <c r="CI64" s="467" t="inlineStr">
        <is>
          <t>Coresphere100 Technologies Pvt. Ltd.</t>
        </is>
      </c>
      <c r="CJ64" s="467" t="inlineStr">
        <is>
          <t>09AALCC7037K1Z7</t>
        </is>
      </c>
      <c r="CK64" s="467" t="inlineStr">
        <is>
          <t>16026, 16th Floor, Tower Oakwood,</t>
        </is>
      </c>
      <c r="CL64" s="467" t="inlineStr">
        <is>
          <t>Greater Noida,</t>
        </is>
      </c>
      <c r="CM64" s="467" t="inlineStr">
        <is>
          <t>Uttar Pradesh</t>
        </is>
      </c>
      <c r="CN64" s="467" t="inlineStr">
        <is>
          <t>India</t>
        </is>
      </c>
      <c r="CO64" s="467" t="inlineStr">
        <is>
          <t>201306</t>
        </is>
      </c>
      <c r="CP64" s="467" t="inlineStr">
        <is>
          <t>8928163657</t>
        </is>
      </c>
      <c r="CQ64" s="467" t="inlineStr">
        <is>
          <t>manas@jurisphere.ai</t>
        </is>
      </c>
      <c r="CR64" s="467" t="inlineStr">
        <is>
          <t>0.00</t>
        </is>
      </c>
      <c r="CS64" s="467" t="inlineStr">
        <is>
          <t>0.00</t>
        </is>
      </c>
      <c r="CT64" s="467" t="inlineStr">
        <is>
          <t>18.00</t>
        </is>
      </c>
      <c r="CU64" s="467" t="inlineStr">
        <is>
          <t>0.00</t>
        </is>
      </c>
      <c r="CV64" s="467" t="inlineStr">
        <is>
          <t>0.00</t>
        </is>
      </c>
      <c r="CW64" s="467" t="inlineStr">
        <is>
          <t>0.00</t>
        </is>
      </c>
      <c r="CX64" s="467" t="inlineStr">
        <is>
          <t>1571.22</t>
        </is>
      </c>
      <c r="CY64" s="467" t="inlineStr">
        <is>
          <t>0.00</t>
        </is>
      </c>
      <c r="CZ64" s="467" t="inlineStr">
        <is>
          <t>0.00</t>
        </is>
      </c>
      <c r="DA64" s="467" t="inlineStr">
        <is>
          <t>0.00</t>
        </is>
      </c>
      <c r="DB64" s="467" t="inlineStr">
        <is>
          <t>1571.22</t>
        </is>
      </c>
      <c r="DC64" s="467" t="inlineStr">
        <is>
          <t>0.00</t>
        </is>
      </c>
      <c r="DD64" s="467" t="n"/>
      <c r="DE64" s="467" t="n"/>
      <c r="DF64" s="467" t="n"/>
      <c r="DG64" s="467" t="n"/>
      <c r="DH64" s="467" t="n"/>
      <c r="DI64" s="467" t="inlineStr">
        <is>
          <t>0.000</t>
        </is>
      </c>
      <c r="DJ64" s="467" t="n"/>
      <c r="DK64" s="467" t="n"/>
      <c r="DL64" s="467" t="n"/>
      <c r="DM64" s="467" t="n"/>
      <c r="DN64" s="467" t="n"/>
      <c r="DO64" s="467" t="n"/>
      <c r="DP64" s="467" t="inlineStr">
        <is>
          <t>998313</t>
        </is>
      </c>
      <c r="DQ64" s="467" t="n">
        <v>0</v>
      </c>
      <c r="DR64" s="467" t="n"/>
      <c r="DS64" s="467" t="n"/>
      <c r="DT64" s="467" t="n"/>
      <c r="DU64" s="467" t="n"/>
      <c r="DV64" s="467" t="n"/>
      <c r="DW64" s="467" t="n"/>
      <c r="DX64" s="467" t="inlineStr">
        <is>
          <t>service</t>
        </is>
      </c>
      <c r="DY64" s="467" t="n"/>
      <c r="DZ64" s="467" t="n"/>
      <c r="EA64" s="467" t="n"/>
      <c r="EB64" s="467" t="n"/>
      <c r="EC64" s="467" t="n"/>
      <c r="ED64" s="467" t="n"/>
      <c r="EE64" s="467" t="n"/>
      <c r="EF64" s="467" t="n"/>
      <c r="EG64" s="467" t="n"/>
      <c r="EH64" s="467" t="inlineStr">
        <is>
          <t>Others</t>
        </is>
      </c>
      <c r="EI64" s="467" t="n"/>
      <c r="EJ64" s="467" t="n"/>
      <c r="EK64" s="467" t="inlineStr">
        <is>
          <t>Sales</t>
        </is>
      </c>
      <c r="EL64" s="467" t="n"/>
      <c r="EM64" s="467" t="inlineStr">
        <is>
          <t>Taxable</t>
        </is>
      </c>
      <c r="EN64" s="467" t="inlineStr">
        <is>
          <t>2297152000000031111</t>
        </is>
      </c>
      <c r="EO64" s="467" t="inlineStr">
        <is>
          <t>IGST18</t>
        </is>
      </c>
      <c r="EP64" s="467" t="inlineStr">
        <is>
          <t>18.00</t>
        </is>
      </c>
      <c r="EQ64" s="467" t="n">
        <v>1571.22</v>
      </c>
      <c r="ER64" s="467" t="inlineStr">
        <is>
          <t>ItemAmount</t>
        </is>
      </c>
      <c r="ES64" s="467" t="n"/>
      <c r="ET64" s="467" t="n"/>
    </row>
    <row r="65" ht="77.59999999999999" customHeight="1" s="253">
      <c r="A65" s="466" t="n">
        <v>45776</v>
      </c>
      <c r="B65" s="467" t="inlineStr">
        <is>
          <t>2297152000000126384</t>
        </is>
      </c>
      <c r="C65" s="467" t="inlineStr">
        <is>
          <t>INV-25-26-000066</t>
        </is>
      </c>
      <c r="D65" s="467" t="inlineStr">
        <is>
          <t>Closed</t>
        </is>
      </c>
      <c r="E65" s="467" t="inlineStr">
        <is>
          <t>2297152000000126368</t>
        </is>
      </c>
      <c r="F65" s="467" t="inlineStr">
        <is>
          <t>Srivastava &amp; Company</t>
        </is>
      </c>
      <c r="G65" s="467" t="inlineStr">
        <is>
          <t>WB</t>
        </is>
      </c>
      <c r="H65" s="467" t="inlineStr">
        <is>
          <t>19-West Bengal</t>
        </is>
      </c>
      <c r="I65" s="467" t="inlineStr">
        <is>
          <t>business_none</t>
        </is>
      </c>
      <c r="J65" s="467" t="inlineStr">
        <is>
          <t>false</t>
        </is>
      </c>
      <c r="K65" s="466" t="n">
        <v>45776</v>
      </c>
      <c r="L65" s="467" t="n"/>
      <c r="M65" s="467" t="inlineStr">
        <is>
          <t>INR</t>
        </is>
      </c>
      <c r="N65" s="467" t="n">
        <v>1</v>
      </c>
      <c r="O65" s="467" t="inlineStr">
        <is>
          <t>item_level</t>
        </is>
      </c>
      <c r="P65" s="467" t="inlineStr">
        <is>
          <t>true</t>
        </is>
      </c>
      <c r="Q65" s="467" t="inlineStr">
        <is>
          <t>Tax Invoice</t>
        </is>
      </c>
      <c r="R65" s="467" t="inlineStr">
        <is>
          <t>0.00</t>
        </is>
      </c>
      <c r="S65" s="467" t="n"/>
      <c r="T65" s="467" t="n"/>
      <c r="U65" s="467" t="inlineStr">
        <is>
          <t>item_level</t>
        </is>
      </c>
      <c r="V65" s="467" t="n"/>
      <c r="W65" s="467" t="inlineStr">
        <is>
          <t>0.00</t>
        </is>
      </c>
      <c r="X65" s="467" t="n"/>
      <c r="Y65" s="467" t="n"/>
      <c r="Z65" s="467" t="inlineStr">
        <is>
          <t>0.000</t>
        </is>
      </c>
      <c r="AA65" s="467" t="n">
        <v>33898.4</v>
      </c>
      <c r="AB65" s="467" t="n">
        <v>40000</v>
      </c>
      <c r="AC65" s="467" t="n">
        <v>0</v>
      </c>
      <c r="AD65" s="467" t="n">
        <v>-0.11</v>
      </c>
      <c r="AE65" s="467" t="inlineStr">
        <is>
          <t>Adjustment</t>
        </is>
      </c>
      <c r="AF65" s="467" t="n"/>
      <c r="AG65" s="466" t="n">
        <v>45776</v>
      </c>
      <c r="AH65" s="467" t="inlineStr">
        <is>
          <t>0</t>
        </is>
      </c>
      <c r="AI65" s="467" t="inlineStr">
        <is>
          <t>Due on Receipt</t>
        </is>
      </c>
      <c r="AJ65" s="467" t="inlineStr">
        <is>
          <t>Thanks for your business.</t>
        </is>
      </c>
      <c r="AK65" s="467" t="n"/>
      <c r="AL65" s="467" t="n"/>
      <c r="AM65" s="467" t="n"/>
      <c r="AN65" s="467" t="n"/>
      <c r="AO65" s="467" t="n"/>
      <c r="AP65" s="467" t="n"/>
      <c r="AQ65" s="467" t="n"/>
      <c r="AR65" s="467" t="n"/>
      <c r="AS65" s="467" t="n"/>
      <c r="AT65" s="467" t="inlineStr">
        <is>
          <t>Invoice</t>
        </is>
      </c>
      <c r="AU65" s="467" t="inlineStr">
        <is>
          <t>0.0</t>
        </is>
      </c>
      <c r="AV65" s="467" t="n">
        <v>0</v>
      </c>
      <c r="AW65" s="467" t="n"/>
      <c r="AX65" s="467" t="n"/>
      <c r="AY65" s="467" t="n"/>
      <c r="AZ65" s="467" t="n"/>
      <c r="BA65" s="467" t="n"/>
      <c r="BB65" s="467" t="n"/>
      <c r="BC65" s="467" t="n"/>
      <c r="BD65" s="467" t="inlineStr">
        <is>
          <t>Jurisphere Enterprise Subscription</t>
        </is>
      </c>
      <c r="BE65" s="468" t="inlineStr">
        <is>
          <t xml:space="preserve">
Subscription Period- Half yearly invoicing for Annual Subscription started from 29th Apr 25 to 28th Apr 26
Description- 1 license for Litigation. Rs. 80,000 (Inclusive of GST) is contract amt.</t>
        </is>
      </c>
      <c r="BF65" s="467" t="n">
        <v>1</v>
      </c>
      <c r="BG65" s="467" t="inlineStr">
        <is>
          <t>0.00</t>
        </is>
      </c>
      <c r="BH65" s="467" t="inlineStr">
        <is>
          <t>0.00</t>
        </is>
      </c>
      <c r="BI65" s="467" t="n">
        <v>33898.4</v>
      </c>
      <c r="BJ65" s="467" t="inlineStr">
        <is>
          <t>pcs</t>
        </is>
      </c>
      <c r="BK65" s="467" t="n">
        <v>33898.4</v>
      </c>
      <c r="BL65" s="467" t="inlineStr">
        <is>
          <t>2297152000000039748</t>
        </is>
      </c>
      <c r="BM65" s="467" t="n"/>
      <c r="BN65" s="467" t="n"/>
      <c r="BO65" s="467" t="n"/>
      <c r="BP65" s="467" t="n"/>
      <c r="BQ65" s="467" t="n"/>
      <c r="BR65" s="467" t="inlineStr">
        <is>
          <t>10 old post office street,</t>
        </is>
      </c>
      <c r="BS65" s="467" t="inlineStr">
        <is>
          <t>3rd floor</t>
        </is>
      </c>
      <c r="BT65" s="467" t="inlineStr">
        <is>
          <t>Kolkata</t>
        </is>
      </c>
      <c r="BU65" s="467" t="inlineStr">
        <is>
          <t>West Bengal</t>
        </is>
      </c>
      <c r="BV65" s="467" t="inlineStr">
        <is>
          <t>India</t>
        </is>
      </c>
      <c r="BW65" s="467" t="n"/>
      <c r="BX65" s="467" t="n"/>
      <c r="BY65" s="467" t="n"/>
      <c r="BZ65" s="467" t="n"/>
      <c r="CA65" s="467" t="inlineStr">
        <is>
          <t>10 old post office street,</t>
        </is>
      </c>
      <c r="CB65" s="467" t="inlineStr">
        <is>
          <t>3rd floor</t>
        </is>
      </c>
      <c r="CC65" s="467" t="inlineStr">
        <is>
          <t>Kolkata</t>
        </is>
      </c>
      <c r="CD65" s="467" t="inlineStr">
        <is>
          <t>West Bengal</t>
        </is>
      </c>
      <c r="CE65" s="467" t="inlineStr">
        <is>
          <t>India</t>
        </is>
      </c>
      <c r="CF65" s="467" t="n"/>
      <c r="CG65" s="467" t="n"/>
      <c r="CH65" s="467" t="n"/>
      <c r="CI65" s="467" t="inlineStr">
        <is>
          <t>Coresphere100 Technologies Pvt. Ltd.</t>
        </is>
      </c>
      <c r="CJ65" s="467" t="inlineStr">
        <is>
          <t>09AALCC7037K1Z7</t>
        </is>
      </c>
      <c r="CK65" s="467" t="inlineStr">
        <is>
          <t>16026, 16th Floor, Tower Oakwood,</t>
        </is>
      </c>
      <c r="CL65" s="467" t="inlineStr">
        <is>
          <t>Greater Noida,</t>
        </is>
      </c>
      <c r="CM65" s="467" t="inlineStr">
        <is>
          <t>Uttar Pradesh</t>
        </is>
      </c>
      <c r="CN65" s="467" t="inlineStr">
        <is>
          <t>India</t>
        </is>
      </c>
      <c r="CO65" s="467" t="inlineStr">
        <is>
          <t>201306</t>
        </is>
      </c>
      <c r="CP65" s="467" t="inlineStr">
        <is>
          <t>8928163657</t>
        </is>
      </c>
      <c r="CQ65" s="467" t="inlineStr">
        <is>
          <t>manas@jurisphere.ai</t>
        </is>
      </c>
      <c r="CR65" s="467" t="inlineStr">
        <is>
          <t>0.00</t>
        </is>
      </c>
      <c r="CS65" s="467" t="inlineStr">
        <is>
          <t>0.00</t>
        </is>
      </c>
      <c r="CT65" s="467" t="inlineStr">
        <is>
          <t>18.00</t>
        </is>
      </c>
      <c r="CU65" s="467" t="inlineStr">
        <is>
          <t>0.00</t>
        </is>
      </c>
      <c r="CV65" s="467" t="inlineStr">
        <is>
          <t>0.00</t>
        </is>
      </c>
      <c r="CW65" s="467" t="inlineStr">
        <is>
          <t>0.00</t>
        </is>
      </c>
      <c r="CX65" s="467" t="inlineStr">
        <is>
          <t>6101.71</t>
        </is>
      </c>
      <c r="CY65" s="467" t="inlineStr">
        <is>
          <t>0.00</t>
        </is>
      </c>
      <c r="CZ65" s="467" t="inlineStr">
        <is>
          <t>0.00</t>
        </is>
      </c>
      <c r="DA65" s="467" t="inlineStr">
        <is>
          <t>0.00</t>
        </is>
      </c>
      <c r="DB65" s="467" t="inlineStr">
        <is>
          <t>6101.71</t>
        </is>
      </c>
      <c r="DC65" s="467" t="inlineStr">
        <is>
          <t>0.00</t>
        </is>
      </c>
      <c r="DD65" s="467" t="n"/>
      <c r="DE65" s="467" t="n"/>
      <c r="DF65" s="467" t="n"/>
      <c r="DG65" s="467" t="n"/>
      <c r="DH65" s="467" t="n"/>
      <c r="DI65" s="467" t="inlineStr">
        <is>
          <t>0.000</t>
        </is>
      </c>
      <c r="DJ65" s="467" t="n"/>
      <c r="DK65" s="467" t="n"/>
      <c r="DL65" s="467" t="n"/>
      <c r="DM65" s="467" t="n"/>
      <c r="DN65" s="467" t="n"/>
      <c r="DO65" s="467" t="n"/>
      <c r="DP65" s="467" t="inlineStr">
        <is>
          <t>998313</t>
        </is>
      </c>
      <c r="DQ65" s="467" t="n">
        <v>0</v>
      </c>
      <c r="DR65" s="467" t="n"/>
      <c r="DS65" s="467" t="n"/>
      <c r="DT65" s="467" t="inlineStr">
        <is>
          <t>calcutta@srivastavaandcompany.com</t>
        </is>
      </c>
      <c r="DU65" s="467" t="n"/>
      <c r="DV65" s="467" t="n"/>
      <c r="DW65" s="467" t="n"/>
      <c r="DX65" s="467" t="inlineStr">
        <is>
          <t>service</t>
        </is>
      </c>
      <c r="DY65" s="467" t="n"/>
      <c r="DZ65" s="467" t="n"/>
      <c r="EA65" s="467" t="n"/>
      <c r="EB65" s="467" t="n"/>
      <c r="EC65" s="467" t="n"/>
      <c r="ED65" s="467" t="n"/>
      <c r="EE65" s="467" t="n"/>
      <c r="EF65" s="467" t="n"/>
      <c r="EG65" s="467" t="n"/>
      <c r="EH65" s="467" t="inlineStr">
        <is>
          <t>Others</t>
        </is>
      </c>
      <c r="EI65" s="467" t="n"/>
      <c r="EJ65" s="467" t="n"/>
      <c r="EK65" s="467" t="inlineStr">
        <is>
          <t>Sales</t>
        </is>
      </c>
      <c r="EL65" s="467" t="n"/>
      <c r="EM65" s="467" t="inlineStr">
        <is>
          <t>Taxable</t>
        </is>
      </c>
      <c r="EN65" s="467" t="inlineStr">
        <is>
          <t>2297152000000031111</t>
        </is>
      </c>
      <c r="EO65" s="467" t="inlineStr">
        <is>
          <t>IGST18</t>
        </is>
      </c>
      <c r="EP65" s="467" t="inlineStr">
        <is>
          <t>18.00</t>
        </is>
      </c>
      <c r="EQ65" s="467" t="n">
        <v>6101.71</v>
      </c>
      <c r="ER65" s="467" t="inlineStr">
        <is>
          <t>ItemAmount</t>
        </is>
      </c>
      <c r="ES65" s="467" t="n"/>
      <c r="ET65" s="467" t="n"/>
    </row>
    <row r="66" ht="52.2" customHeight="1" s="253">
      <c r="A66" s="466" t="n">
        <v>45776</v>
      </c>
      <c r="B66" s="467" t="inlineStr">
        <is>
          <t>2297152000000126504</t>
        </is>
      </c>
      <c r="C66" s="467" t="inlineStr">
        <is>
          <t>INV-25-26-000067</t>
        </is>
      </c>
      <c r="D66" s="467" t="inlineStr">
        <is>
          <t>Closed</t>
        </is>
      </c>
      <c r="E66" s="467" t="inlineStr">
        <is>
          <t>2297152000000126408</t>
        </is>
      </c>
      <c r="F66" s="467" t="inlineStr">
        <is>
          <t>Piyush Raheja</t>
        </is>
      </c>
      <c r="G66" s="467" t="inlineStr">
        <is>
          <t>MH</t>
        </is>
      </c>
      <c r="H66" s="467" t="inlineStr">
        <is>
          <t>27-Maharashtra</t>
        </is>
      </c>
      <c r="I66" s="467" t="inlineStr">
        <is>
          <t>business_none</t>
        </is>
      </c>
      <c r="J66" s="467" t="inlineStr">
        <is>
          <t>false</t>
        </is>
      </c>
      <c r="K66" s="466" t="n">
        <v>45776</v>
      </c>
      <c r="L66" s="467" t="n"/>
      <c r="M66" s="467" t="inlineStr">
        <is>
          <t>INR</t>
        </is>
      </c>
      <c r="N66" s="467" t="n">
        <v>1</v>
      </c>
      <c r="O66" s="467" t="inlineStr">
        <is>
          <t>item_level</t>
        </is>
      </c>
      <c r="P66" s="467" t="inlineStr">
        <is>
          <t>true</t>
        </is>
      </c>
      <c r="Q66" s="467" t="inlineStr">
        <is>
          <t>Tax Invoice</t>
        </is>
      </c>
      <c r="R66" s="467" t="inlineStr">
        <is>
          <t>0.00</t>
        </is>
      </c>
      <c r="S66" s="467" t="n"/>
      <c r="T66" s="467" t="n"/>
      <c r="U66" s="467" t="inlineStr">
        <is>
          <t>item_level</t>
        </is>
      </c>
      <c r="V66" s="467" t="n"/>
      <c r="W66" s="467" t="inlineStr">
        <is>
          <t>0.00</t>
        </is>
      </c>
      <c r="X66" s="467" t="n"/>
      <c r="Y66" s="467" t="n"/>
      <c r="Z66" s="467" t="inlineStr">
        <is>
          <t>0.000</t>
        </is>
      </c>
      <c r="AA66" s="467" t="n">
        <v>22033.9</v>
      </c>
      <c r="AB66" s="467" t="n">
        <v>26000</v>
      </c>
      <c r="AC66" s="467" t="n">
        <v>0</v>
      </c>
      <c r="AD66" s="467" t="n">
        <v>0</v>
      </c>
      <c r="AE66" s="467" t="inlineStr">
        <is>
          <t>Adjustment</t>
        </is>
      </c>
      <c r="AF66" s="467" t="n"/>
      <c r="AG66" s="466" t="n">
        <v>45776</v>
      </c>
      <c r="AH66" s="467" t="inlineStr">
        <is>
          <t>0</t>
        </is>
      </c>
      <c r="AI66" s="467" t="inlineStr">
        <is>
          <t>Due on Receipt</t>
        </is>
      </c>
      <c r="AJ66" s="467" t="inlineStr">
        <is>
          <t>Thanks for your business.</t>
        </is>
      </c>
      <c r="AK66" s="467" t="n"/>
      <c r="AL66" s="467" t="n"/>
      <c r="AM66" s="467" t="n"/>
      <c r="AN66" s="467" t="n"/>
      <c r="AO66" s="467" t="n"/>
      <c r="AP66" s="467" t="n"/>
      <c r="AQ66" s="467" t="n"/>
      <c r="AR66" s="467" t="n"/>
      <c r="AS66" s="467" t="n"/>
      <c r="AT66" s="467" t="inlineStr">
        <is>
          <t>Invoice</t>
        </is>
      </c>
      <c r="AU66" s="467" t="inlineStr">
        <is>
          <t>0.0</t>
        </is>
      </c>
      <c r="AV66" s="467" t="n">
        <v>0</v>
      </c>
      <c r="AW66" s="467" t="n"/>
      <c r="AX66" s="467" t="n"/>
      <c r="AY66" s="467" t="n"/>
      <c r="AZ66" s="467" t="n"/>
      <c r="BA66" s="467" t="n"/>
      <c r="BB66" s="467" t="n"/>
      <c r="BC66" s="467" t="n"/>
      <c r="BD66" s="467" t="inlineStr">
        <is>
          <t>Jurisphere Enterprise Subscription</t>
        </is>
      </c>
      <c r="BE66" s="468" t="inlineStr">
        <is>
          <t xml:space="preserve">Subscription Period- Annual subscription started from 29th Apr 2025 to 28th Apr 2026
Description- Single license for Unlimited usage (litigation) on the annual subscription value of Rs. 22,033.90/- </t>
        </is>
      </c>
      <c r="BF66" s="467" t="n">
        <v>1</v>
      </c>
      <c r="BG66" s="467" t="inlineStr">
        <is>
          <t>0.00</t>
        </is>
      </c>
      <c r="BH66" s="467" t="inlineStr">
        <is>
          <t>0.00</t>
        </is>
      </c>
      <c r="BI66" s="467" t="n">
        <v>22033.9</v>
      </c>
      <c r="BJ66" s="467" t="inlineStr">
        <is>
          <t>pcs</t>
        </is>
      </c>
      <c r="BK66" s="467" t="n">
        <v>22033.9</v>
      </c>
      <c r="BL66" s="467" t="inlineStr">
        <is>
          <t>2297152000000039748</t>
        </is>
      </c>
      <c r="BM66" s="467" t="n"/>
      <c r="BN66" s="467" t="n"/>
      <c r="BO66" s="467" t="n"/>
      <c r="BP66" s="467" t="n"/>
      <c r="BQ66" s="467" t="n"/>
      <c r="BR66" s="467" t="n"/>
      <c r="BS66" s="467" t="n"/>
      <c r="BT66" s="467" t="inlineStr">
        <is>
          <t>Mumbai</t>
        </is>
      </c>
      <c r="BU66" s="467" t="inlineStr">
        <is>
          <t>Maharashtra</t>
        </is>
      </c>
      <c r="BV66" s="467" t="inlineStr">
        <is>
          <t>India</t>
        </is>
      </c>
      <c r="BW66" s="467" t="n"/>
      <c r="BX66" s="467" t="n"/>
      <c r="BY66" s="467" t="n"/>
      <c r="BZ66" s="467" t="n"/>
      <c r="CA66" s="467" t="n"/>
      <c r="CB66" s="467" t="n"/>
      <c r="CC66" s="467" t="inlineStr">
        <is>
          <t>Mumbai</t>
        </is>
      </c>
      <c r="CD66" s="467" t="inlineStr">
        <is>
          <t>Maharashtra</t>
        </is>
      </c>
      <c r="CE66" s="467" t="inlineStr">
        <is>
          <t>India</t>
        </is>
      </c>
      <c r="CF66" s="467" t="n"/>
      <c r="CG66" s="467" t="n"/>
      <c r="CH66" s="467" t="n"/>
      <c r="CI66" s="467" t="inlineStr">
        <is>
          <t>Coresphere100 Technologies Pvt. Ltd.</t>
        </is>
      </c>
      <c r="CJ66" s="467" t="inlineStr">
        <is>
          <t>09AALCC7037K1Z7</t>
        </is>
      </c>
      <c r="CK66" s="467" t="inlineStr">
        <is>
          <t>16026, 16th Floor, Tower Oakwood,</t>
        </is>
      </c>
      <c r="CL66" s="467" t="inlineStr">
        <is>
          <t>Greater Noida,</t>
        </is>
      </c>
      <c r="CM66" s="467" t="inlineStr">
        <is>
          <t>Uttar Pradesh</t>
        </is>
      </c>
      <c r="CN66" s="467" t="inlineStr">
        <is>
          <t>India</t>
        </is>
      </c>
      <c r="CO66" s="467" t="inlineStr">
        <is>
          <t>201306</t>
        </is>
      </c>
      <c r="CP66" s="467" t="inlineStr">
        <is>
          <t>8928163657</t>
        </is>
      </c>
      <c r="CQ66" s="467" t="inlineStr">
        <is>
          <t>manas@jurisphere.ai</t>
        </is>
      </c>
      <c r="CR66" s="467" t="inlineStr">
        <is>
          <t>0.00</t>
        </is>
      </c>
      <c r="CS66" s="467" t="inlineStr">
        <is>
          <t>0.00</t>
        </is>
      </c>
      <c r="CT66" s="467" t="inlineStr">
        <is>
          <t>18.00</t>
        </is>
      </c>
      <c r="CU66" s="467" t="inlineStr">
        <is>
          <t>0.00</t>
        </is>
      </c>
      <c r="CV66" s="467" t="inlineStr">
        <is>
          <t>0.00</t>
        </is>
      </c>
      <c r="CW66" s="467" t="inlineStr">
        <is>
          <t>0.00</t>
        </is>
      </c>
      <c r="CX66" s="467" t="inlineStr">
        <is>
          <t>3966.10</t>
        </is>
      </c>
      <c r="CY66" s="467" t="inlineStr">
        <is>
          <t>0.00</t>
        </is>
      </c>
      <c r="CZ66" s="467" t="inlineStr">
        <is>
          <t>0.00</t>
        </is>
      </c>
      <c r="DA66" s="467" t="inlineStr">
        <is>
          <t>0.00</t>
        </is>
      </c>
      <c r="DB66" s="467" t="inlineStr">
        <is>
          <t>3966.10</t>
        </is>
      </c>
      <c r="DC66" s="467" t="inlineStr">
        <is>
          <t>0.00</t>
        </is>
      </c>
      <c r="DD66" s="467" t="n"/>
      <c r="DE66" s="467" t="n"/>
      <c r="DF66" s="467" t="n"/>
      <c r="DG66" s="467" t="n"/>
      <c r="DH66" s="467" t="n"/>
      <c r="DI66" s="467" t="inlineStr">
        <is>
          <t>0.000</t>
        </is>
      </c>
      <c r="DJ66" s="467" t="n"/>
      <c r="DK66" s="467" t="n"/>
      <c r="DL66" s="467" t="n"/>
      <c r="DM66" s="467" t="n"/>
      <c r="DN66" s="467" t="n"/>
      <c r="DO66" s="467" t="n"/>
      <c r="DP66" s="467" t="inlineStr">
        <is>
          <t>998313</t>
        </is>
      </c>
      <c r="DQ66" s="467" t="n">
        <v>0</v>
      </c>
      <c r="DR66" s="467" t="n"/>
      <c r="DS66" s="467" t="n"/>
      <c r="DT66" s="467" t="n"/>
      <c r="DU66" s="467" t="n"/>
      <c r="DV66" s="467" t="n"/>
      <c r="DW66" s="467" t="n"/>
      <c r="DX66" s="467" t="inlineStr">
        <is>
          <t>service</t>
        </is>
      </c>
      <c r="DY66" s="467" t="n"/>
      <c r="DZ66" s="467" t="n"/>
      <c r="EA66" s="467" t="n"/>
      <c r="EB66" s="467" t="n"/>
      <c r="EC66" s="467" t="n"/>
      <c r="ED66" s="467" t="n"/>
      <c r="EE66" s="467" t="n"/>
      <c r="EF66" s="467" t="n"/>
      <c r="EG66" s="467" t="n"/>
      <c r="EH66" s="467" t="inlineStr">
        <is>
          <t>Others</t>
        </is>
      </c>
      <c r="EI66" s="467" t="n"/>
      <c r="EJ66" s="467" t="n"/>
      <c r="EK66" s="467" t="inlineStr">
        <is>
          <t>Sales</t>
        </is>
      </c>
      <c r="EL66" s="467" t="n"/>
      <c r="EM66" s="467" t="inlineStr">
        <is>
          <t>Taxable</t>
        </is>
      </c>
      <c r="EN66" s="467" t="inlineStr">
        <is>
          <t>2297152000000031111</t>
        </is>
      </c>
      <c r="EO66" s="467" t="inlineStr">
        <is>
          <t>IGST18</t>
        </is>
      </c>
      <c r="EP66" s="467" t="inlineStr">
        <is>
          <t>18.00</t>
        </is>
      </c>
      <c r="EQ66" s="467" t="n">
        <v>3966.1</v>
      </c>
      <c r="ER66" s="467" t="inlineStr">
        <is>
          <t>ItemAmount</t>
        </is>
      </c>
      <c r="ES66" s="467" t="n"/>
      <c r="ET66" s="467" t="n"/>
    </row>
    <row r="67" ht="52.2" customHeight="1" s="253">
      <c r="A67" s="466" t="n">
        <v>45776</v>
      </c>
      <c r="B67" s="467" t="inlineStr">
        <is>
          <t>2297152000000126516</t>
        </is>
      </c>
      <c r="C67" s="467" t="inlineStr">
        <is>
          <t>INV-25-26-000068</t>
        </is>
      </c>
      <c r="D67" s="467" t="inlineStr">
        <is>
          <t>Closed</t>
        </is>
      </c>
      <c r="E67" s="467" t="inlineStr">
        <is>
          <t>2297152000000126424</t>
        </is>
      </c>
      <c r="F67" s="467" t="inlineStr">
        <is>
          <t>⁠Feroze Patel</t>
        </is>
      </c>
      <c r="G67" s="467" t="inlineStr">
        <is>
          <t>MH</t>
        </is>
      </c>
      <c r="H67" s="467" t="inlineStr">
        <is>
          <t>27-Maharashtra</t>
        </is>
      </c>
      <c r="I67" s="467" t="inlineStr">
        <is>
          <t>business_none</t>
        </is>
      </c>
      <c r="J67" s="467" t="inlineStr">
        <is>
          <t>false</t>
        </is>
      </c>
      <c r="K67" s="466" t="n">
        <v>45776</v>
      </c>
      <c r="L67" s="467" t="n"/>
      <c r="M67" s="467" t="inlineStr">
        <is>
          <t>INR</t>
        </is>
      </c>
      <c r="N67" s="467" t="n">
        <v>1</v>
      </c>
      <c r="O67" s="467" t="inlineStr">
        <is>
          <t>item_level</t>
        </is>
      </c>
      <c r="P67" s="467" t="inlineStr">
        <is>
          <t>true</t>
        </is>
      </c>
      <c r="Q67" s="467" t="inlineStr">
        <is>
          <t>Tax Invoice</t>
        </is>
      </c>
      <c r="R67" s="467" t="inlineStr">
        <is>
          <t>0.00</t>
        </is>
      </c>
      <c r="S67" s="467" t="n"/>
      <c r="T67" s="467" t="n"/>
      <c r="U67" s="467" t="inlineStr">
        <is>
          <t>item_level</t>
        </is>
      </c>
      <c r="V67" s="467" t="n"/>
      <c r="W67" s="467" t="inlineStr">
        <is>
          <t>0.00</t>
        </is>
      </c>
      <c r="X67" s="467" t="n"/>
      <c r="Y67" s="467" t="n"/>
      <c r="Z67" s="467" t="inlineStr">
        <is>
          <t>0.000</t>
        </is>
      </c>
      <c r="AA67" s="467" t="n">
        <v>22033.9</v>
      </c>
      <c r="AB67" s="467" t="n">
        <v>26000</v>
      </c>
      <c r="AC67" s="467" t="n">
        <v>0</v>
      </c>
      <c r="AD67" s="467" t="n">
        <v>0</v>
      </c>
      <c r="AE67" s="467" t="inlineStr">
        <is>
          <t>Adjustment</t>
        </is>
      </c>
      <c r="AF67" s="467" t="n"/>
      <c r="AG67" s="466" t="n">
        <v>45777</v>
      </c>
      <c r="AH67" s="467" t="inlineStr">
        <is>
          <t>0</t>
        </is>
      </c>
      <c r="AI67" s="467" t="inlineStr">
        <is>
          <t>Due on Receipt</t>
        </is>
      </c>
      <c r="AJ67" s="467" t="inlineStr">
        <is>
          <t>Thanks for your business.</t>
        </is>
      </c>
      <c r="AK67" s="467" t="n"/>
      <c r="AL67" s="467" t="n"/>
      <c r="AM67" s="467" t="n"/>
      <c r="AN67" s="467" t="n"/>
      <c r="AO67" s="467" t="n"/>
      <c r="AP67" s="467" t="n"/>
      <c r="AQ67" s="467" t="n"/>
      <c r="AR67" s="467" t="n"/>
      <c r="AS67" s="467" t="n"/>
      <c r="AT67" s="467" t="inlineStr">
        <is>
          <t>Invoice</t>
        </is>
      </c>
      <c r="AU67" s="467" t="inlineStr">
        <is>
          <t>0.0</t>
        </is>
      </c>
      <c r="AV67" s="467" t="n">
        <v>0</v>
      </c>
      <c r="AW67" s="467" t="n"/>
      <c r="AX67" s="467" t="n"/>
      <c r="AY67" s="467" t="n"/>
      <c r="AZ67" s="467" t="n"/>
      <c r="BA67" s="467" t="n"/>
      <c r="BB67" s="467" t="n"/>
      <c r="BC67" s="467" t="n"/>
      <c r="BD67" s="467" t="inlineStr">
        <is>
          <t>Jurisphere Enterprise Subscription</t>
        </is>
      </c>
      <c r="BE67" s="468" t="inlineStr">
        <is>
          <t xml:space="preserve">Subscription Period- Annual subscription started from 29th Apr 2025 to 28th Apr 2026
Description- Single license for Unlimited usage (litigation) on the annual subscription value of Rs. 22,033.90/- </t>
        </is>
      </c>
      <c r="BF67" s="467" t="n">
        <v>1</v>
      </c>
      <c r="BG67" s="467" t="inlineStr">
        <is>
          <t>0.00</t>
        </is>
      </c>
      <c r="BH67" s="467" t="inlineStr">
        <is>
          <t>0.00</t>
        </is>
      </c>
      <c r="BI67" s="467" t="n">
        <v>22033.9</v>
      </c>
      <c r="BJ67" s="467" t="inlineStr">
        <is>
          <t>pcs</t>
        </is>
      </c>
      <c r="BK67" s="467" t="n">
        <v>22033.9</v>
      </c>
      <c r="BL67" s="467" t="inlineStr">
        <is>
          <t>2297152000000039748</t>
        </is>
      </c>
      <c r="BM67" s="467" t="n"/>
      <c r="BN67" s="467" t="n"/>
      <c r="BO67" s="467" t="n"/>
      <c r="BP67" s="467" t="n"/>
      <c r="BQ67" s="467" t="n"/>
      <c r="BR67" s="467" t="n"/>
      <c r="BS67" s="467" t="n"/>
      <c r="BT67" s="467" t="inlineStr">
        <is>
          <t>Mumbai</t>
        </is>
      </c>
      <c r="BU67" s="467" t="inlineStr">
        <is>
          <t>Maharashtra</t>
        </is>
      </c>
      <c r="BV67" s="467" t="inlineStr">
        <is>
          <t>India</t>
        </is>
      </c>
      <c r="BW67" s="467" t="n"/>
      <c r="BX67" s="467" t="n"/>
      <c r="BY67" s="467" t="n"/>
      <c r="BZ67" s="467" t="n"/>
      <c r="CA67" s="467" t="n"/>
      <c r="CB67" s="467" t="n"/>
      <c r="CC67" s="467" t="inlineStr">
        <is>
          <t>Mumbai</t>
        </is>
      </c>
      <c r="CD67" s="467" t="inlineStr">
        <is>
          <t>Maharashtra</t>
        </is>
      </c>
      <c r="CE67" s="467" t="inlineStr">
        <is>
          <t>India</t>
        </is>
      </c>
      <c r="CF67" s="467" t="n"/>
      <c r="CG67" s="467" t="n"/>
      <c r="CH67" s="467" t="n"/>
      <c r="CI67" s="467" t="inlineStr">
        <is>
          <t>Coresphere100 Technologies Pvt. Ltd.</t>
        </is>
      </c>
      <c r="CJ67" s="467" t="inlineStr">
        <is>
          <t>09AALCC7037K1Z7</t>
        </is>
      </c>
      <c r="CK67" s="467" t="inlineStr">
        <is>
          <t>16026, 16th Floor, Tower Oakwood,</t>
        </is>
      </c>
      <c r="CL67" s="467" t="inlineStr">
        <is>
          <t>Greater Noida,</t>
        </is>
      </c>
      <c r="CM67" s="467" t="inlineStr">
        <is>
          <t>Uttar Pradesh</t>
        </is>
      </c>
      <c r="CN67" s="467" t="inlineStr">
        <is>
          <t>India</t>
        </is>
      </c>
      <c r="CO67" s="467" t="inlineStr">
        <is>
          <t>201306</t>
        </is>
      </c>
      <c r="CP67" s="467" t="inlineStr">
        <is>
          <t>8928163657</t>
        </is>
      </c>
      <c r="CQ67" s="467" t="inlineStr">
        <is>
          <t>manas@jurisphere.ai</t>
        </is>
      </c>
      <c r="CR67" s="467" t="inlineStr">
        <is>
          <t>0.00</t>
        </is>
      </c>
      <c r="CS67" s="467" t="inlineStr">
        <is>
          <t>0.00</t>
        </is>
      </c>
      <c r="CT67" s="467" t="inlineStr">
        <is>
          <t>18.00</t>
        </is>
      </c>
      <c r="CU67" s="467" t="inlineStr">
        <is>
          <t>0.00</t>
        </is>
      </c>
      <c r="CV67" s="467" t="inlineStr">
        <is>
          <t>0.00</t>
        </is>
      </c>
      <c r="CW67" s="467" t="inlineStr">
        <is>
          <t>0.00</t>
        </is>
      </c>
      <c r="CX67" s="467" t="inlineStr">
        <is>
          <t>3966.10</t>
        </is>
      </c>
      <c r="CY67" s="467" t="inlineStr">
        <is>
          <t>0.00</t>
        </is>
      </c>
      <c r="CZ67" s="467" t="inlineStr">
        <is>
          <t>0.00</t>
        </is>
      </c>
      <c r="DA67" s="467" t="inlineStr">
        <is>
          <t>0.00</t>
        </is>
      </c>
      <c r="DB67" s="467" t="inlineStr">
        <is>
          <t>3966.10</t>
        </is>
      </c>
      <c r="DC67" s="467" t="inlineStr">
        <is>
          <t>0.00</t>
        </is>
      </c>
      <c r="DD67" s="467" t="n"/>
      <c r="DE67" s="467" t="n"/>
      <c r="DF67" s="467" t="n"/>
      <c r="DG67" s="467" t="n"/>
      <c r="DH67" s="467" t="n"/>
      <c r="DI67" s="467" t="inlineStr">
        <is>
          <t>0.000</t>
        </is>
      </c>
      <c r="DJ67" s="467" t="n"/>
      <c r="DK67" s="467" t="n"/>
      <c r="DL67" s="467" t="n"/>
      <c r="DM67" s="467" t="n"/>
      <c r="DN67" s="467" t="n"/>
      <c r="DO67" s="467" t="n"/>
      <c r="DP67" s="467" t="inlineStr">
        <is>
          <t>998313</t>
        </is>
      </c>
      <c r="DQ67" s="467" t="n">
        <v>0</v>
      </c>
      <c r="DR67" s="467" t="n"/>
      <c r="DS67" s="467" t="n"/>
      <c r="DT67" s="467" t="n"/>
      <c r="DU67" s="467" t="n"/>
      <c r="DV67" s="467" t="n"/>
      <c r="DW67" s="467" t="n"/>
      <c r="DX67" s="467" t="inlineStr">
        <is>
          <t>service</t>
        </is>
      </c>
      <c r="DY67" s="467" t="n"/>
      <c r="DZ67" s="467" t="n"/>
      <c r="EA67" s="467" t="n"/>
      <c r="EB67" s="467" t="n"/>
      <c r="EC67" s="467" t="n"/>
      <c r="ED67" s="467" t="n"/>
      <c r="EE67" s="467" t="n"/>
      <c r="EF67" s="467" t="n"/>
      <c r="EG67" s="467" t="n"/>
      <c r="EH67" s="467" t="inlineStr">
        <is>
          <t>Others</t>
        </is>
      </c>
      <c r="EI67" s="467" t="n"/>
      <c r="EJ67" s="467" t="n"/>
      <c r="EK67" s="467" t="inlineStr">
        <is>
          <t>Sales</t>
        </is>
      </c>
      <c r="EL67" s="467" t="n"/>
      <c r="EM67" s="467" t="inlineStr">
        <is>
          <t>Taxable</t>
        </is>
      </c>
      <c r="EN67" s="467" t="inlineStr">
        <is>
          <t>2297152000000031111</t>
        </is>
      </c>
      <c r="EO67" s="467" t="inlineStr">
        <is>
          <t>IGST18</t>
        </is>
      </c>
      <c r="EP67" s="467" t="inlineStr">
        <is>
          <t>18.00</t>
        </is>
      </c>
      <c r="EQ67" s="467" t="n">
        <v>3966.1</v>
      </c>
      <c r="ER67" s="467" t="inlineStr">
        <is>
          <t>ItemAmount</t>
        </is>
      </c>
      <c r="ES67" s="467" t="n"/>
      <c r="ET67" s="467" t="n"/>
    </row>
    <row r="68" ht="52.2" customHeight="1" s="253">
      <c r="A68" s="466" t="n">
        <v>45776</v>
      </c>
      <c r="B68" s="467" t="inlineStr">
        <is>
          <t>2297152000000126528</t>
        </is>
      </c>
      <c r="C68" s="467" t="inlineStr">
        <is>
          <t>INV-25-26-000069</t>
        </is>
      </c>
      <c r="D68" s="467" t="inlineStr">
        <is>
          <t>Closed</t>
        </is>
      </c>
      <c r="E68" s="467" t="inlineStr">
        <is>
          <t>2297152000000126440</t>
        </is>
      </c>
      <c r="F68" s="467" t="inlineStr">
        <is>
          <t>Kazan Shroff</t>
        </is>
      </c>
      <c r="G68" s="467" t="inlineStr">
        <is>
          <t>MH</t>
        </is>
      </c>
      <c r="H68" s="467" t="inlineStr">
        <is>
          <t>27-Maharashtra</t>
        </is>
      </c>
      <c r="I68" s="467" t="inlineStr">
        <is>
          <t>business_none</t>
        </is>
      </c>
      <c r="J68" s="467" t="inlineStr">
        <is>
          <t>false</t>
        </is>
      </c>
      <c r="K68" s="466" t="n">
        <v>45776</v>
      </c>
      <c r="L68" s="467" t="n"/>
      <c r="M68" s="467" t="inlineStr">
        <is>
          <t>INR</t>
        </is>
      </c>
      <c r="N68" s="467" t="n">
        <v>1</v>
      </c>
      <c r="O68" s="467" t="inlineStr">
        <is>
          <t>item_level</t>
        </is>
      </c>
      <c r="P68" s="467" t="inlineStr">
        <is>
          <t>true</t>
        </is>
      </c>
      <c r="Q68" s="467" t="inlineStr">
        <is>
          <t>Tax Invoice</t>
        </is>
      </c>
      <c r="R68" s="467" t="inlineStr">
        <is>
          <t>0.00</t>
        </is>
      </c>
      <c r="S68" s="467" t="n"/>
      <c r="T68" s="467" t="n"/>
      <c r="U68" s="467" t="inlineStr">
        <is>
          <t>item_level</t>
        </is>
      </c>
      <c r="V68" s="467" t="n"/>
      <c r="W68" s="467" t="inlineStr">
        <is>
          <t>0.00</t>
        </is>
      </c>
      <c r="X68" s="467" t="n"/>
      <c r="Y68" s="467" t="n"/>
      <c r="Z68" s="467" t="inlineStr">
        <is>
          <t>0.000</t>
        </is>
      </c>
      <c r="AA68" s="467" t="n">
        <v>22033.9</v>
      </c>
      <c r="AB68" s="467" t="n">
        <v>26000</v>
      </c>
      <c r="AC68" s="467" t="n">
        <v>0</v>
      </c>
      <c r="AD68" s="467" t="n">
        <v>0</v>
      </c>
      <c r="AE68" s="467" t="inlineStr">
        <is>
          <t>Adjustment</t>
        </is>
      </c>
      <c r="AF68" s="467" t="n"/>
      <c r="AG68" s="466" t="n">
        <v>45776</v>
      </c>
      <c r="AH68" s="467" t="inlineStr">
        <is>
          <t>0</t>
        </is>
      </c>
      <c r="AI68" s="467" t="inlineStr">
        <is>
          <t>Due on Receipt</t>
        </is>
      </c>
      <c r="AJ68" s="467" t="inlineStr">
        <is>
          <t>Thanks for your business.</t>
        </is>
      </c>
      <c r="AK68" s="467" t="n"/>
      <c r="AL68" s="467" t="n"/>
      <c r="AM68" s="467" t="n"/>
      <c r="AN68" s="467" t="n"/>
      <c r="AO68" s="467" t="n"/>
      <c r="AP68" s="467" t="n"/>
      <c r="AQ68" s="467" t="n"/>
      <c r="AR68" s="467" t="n"/>
      <c r="AS68" s="467" t="n"/>
      <c r="AT68" s="467" t="inlineStr">
        <is>
          <t>Invoice</t>
        </is>
      </c>
      <c r="AU68" s="467" t="inlineStr">
        <is>
          <t>0.0</t>
        </is>
      </c>
      <c r="AV68" s="467" t="n">
        <v>0</v>
      </c>
      <c r="AW68" s="467" t="n"/>
      <c r="AX68" s="467" t="n"/>
      <c r="AY68" s="467" t="n"/>
      <c r="AZ68" s="467" t="n"/>
      <c r="BA68" s="467" t="n"/>
      <c r="BB68" s="467" t="n"/>
      <c r="BC68" s="467" t="n"/>
      <c r="BD68" s="467" t="inlineStr">
        <is>
          <t>Jurisphere Enterprise Subscription</t>
        </is>
      </c>
      <c r="BE68" s="468" t="inlineStr">
        <is>
          <t xml:space="preserve">Subscription Period- Annual subscription started from 29th Apr 2025 to 28th Apr 2026
Description- Single license for Unlimited usage (litigation) on the annual subscription value of Rs. 22,033.90/- </t>
        </is>
      </c>
      <c r="BF68" s="467" t="n">
        <v>1</v>
      </c>
      <c r="BG68" s="467" t="inlineStr">
        <is>
          <t>0.00</t>
        </is>
      </c>
      <c r="BH68" s="467" t="inlineStr">
        <is>
          <t>0.00</t>
        </is>
      </c>
      <c r="BI68" s="467" t="n">
        <v>22033.9</v>
      </c>
      <c r="BJ68" s="467" t="inlineStr">
        <is>
          <t>pcs</t>
        </is>
      </c>
      <c r="BK68" s="467" t="n">
        <v>22033.9</v>
      </c>
      <c r="BL68" s="467" t="inlineStr">
        <is>
          <t>2297152000000039748</t>
        </is>
      </c>
      <c r="BM68" s="467" t="n"/>
      <c r="BN68" s="467" t="n"/>
      <c r="BO68" s="467" t="n"/>
      <c r="BP68" s="467" t="n"/>
      <c r="BQ68" s="467" t="n"/>
      <c r="BR68" s="467" t="n"/>
      <c r="BS68" s="467" t="n"/>
      <c r="BT68" s="467" t="inlineStr">
        <is>
          <t>Mumbai</t>
        </is>
      </c>
      <c r="BU68" s="467" t="inlineStr">
        <is>
          <t>Maharashtra</t>
        </is>
      </c>
      <c r="BV68" s="467" t="inlineStr">
        <is>
          <t>India</t>
        </is>
      </c>
      <c r="BW68" s="467" t="n"/>
      <c r="BX68" s="467" t="n"/>
      <c r="BY68" s="467" t="n"/>
      <c r="BZ68" s="467" t="n"/>
      <c r="CA68" s="467" t="n"/>
      <c r="CB68" s="467" t="n"/>
      <c r="CC68" s="467" t="inlineStr">
        <is>
          <t>Mumbai</t>
        </is>
      </c>
      <c r="CD68" s="467" t="inlineStr">
        <is>
          <t>Maharashtra</t>
        </is>
      </c>
      <c r="CE68" s="467" t="inlineStr">
        <is>
          <t>India</t>
        </is>
      </c>
      <c r="CF68" s="467" t="n"/>
      <c r="CG68" s="467" t="n"/>
      <c r="CH68" s="467" t="n"/>
      <c r="CI68" s="467" t="inlineStr">
        <is>
          <t>Coresphere100 Technologies Pvt. Ltd.</t>
        </is>
      </c>
      <c r="CJ68" s="467" t="inlineStr">
        <is>
          <t>09AALCC7037K1Z7</t>
        </is>
      </c>
      <c r="CK68" s="467" t="inlineStr">
        <is>
          <t>16026, 16th Floor, Tower Oakwood,</t>
        </is>
      </c>
      <c r="CL68" s="467" t="inlineStr">
        <is>
          <t>Greater Noida,</t>
        </is>
      </c>
      <c r="CM68" s="467" t="inlineStr">
        <is>
          <t>Uttar Pradesh</t>
        </is>
      </c>
      <c r="CN68" s="467" t="inlineStr">
        <is>
          <t>India</t>
        </is>
      </c>
      <c r="CO68" s="467" t="inlineStr">
        <is>
          <t>201306</t>
        </is>
      </c>
      <c r="CP68" s="467" t="inlineStr">
        <is>
          <t>8928163657</t>
        </is>
      </c>
      <c r="CQ68" s="467" t="inlineStr">
        <is>
          <t>manas@jurisphere.ai</t>
        </is>
      </c>
      <c r="CR68" s="467" t="inlineStr">
        <is>
          <t>0.00</t>
        </is>
      </c>
      <c r="CS68" s="467" t="inlineStr">
        <is>
          <t>0.00</t>
        </is>
      </c>
      <c r="CT68" s="467" t="inlineStr">
        <is>
          <t>18.00</t>
        </is>
      </c>
      <c r="CU68" s="467" t="inlineStr">
        <is>
          <t>0.00</t>
        </is>
      </c>
      <c r="CV68" s="467" t="inlineStr">
        <is>
          <t>0.00</t>
        </is>
      </c>
      <c r="CW68" s="467" t="inlineStr">
        <is>
          <t>0.00</t>
        </is>
      </c>
      <c r="CX68" s="467" t="inlineStr">
        <is>
          <t>3966.10</t>
        </is>
      </c>
      <c r="CY68" s="467" t="inlineStr">
        <is>
          <t>0.00</t>
        </is>
      </c>
      <c r="CZ68" s="467" t="inlineStr">
        <is>
          <t>0.00</t>
        </is>
      </c>
      <c r="DA68" s="467" t="inlineStr">
        <is>
          <t>0.00</t>
        </is>
      </c>
      <c r="DB68" s="467" t="inlineStr">
        <is>
          <t>3966.10</t>
        </is>
      </c>
      <c r="DC68" s="467" t="inlineStr">
        <is>
          <t>0.00</t>
        </is>
      </c>
      <c r="DD68" s="467" t="n"/>
      <c r="DE68" s="467" t="n"/>
      <c r="DF68" s="467" t="n"/>
      <c r="DG68" s="467" t="n"/>
      <c r="DH68" s="467" t="n"/>
      <c r="DI68" s="467" t="inlineStr">
        <is>
          <t>0.000</t>
        </is>
      </c>
      <c r="DJ68" s="467" t="n"/>
      <c r="DK68" s="467" t="n"/>
      <c r="DL68" s="467" t="n"/>
      <c r="DM68" s="467" t="n"/>
      <c r="DN68" s="467" t="n"/>
      <c r="DO68" s="467" t="n"/>
      <c r="DP68" s="467" t="inlineStr">
        <is>
          <t>998313</t>
        </is>
      </c>
      <c r="DQ68" s="467" t="n">
        <v>0</v>
      </c>
      <c r="DR68" s="467" t="n"/>
      <c r="DS68" s="467" t="n"/>
      <c r="DT68" s="467" t="n"/>
      <c r="DU68" s="467" t="n"/>
      <c r="DV68" s="467" t="n"/>
      <c r="DW68" s="467" t="n"/>
      <c r="DX68" s="467" t="inlineStr">
        <is>
          <t>service</t>
        </is>
      </c>
      <c r="DY68" s="467" t="n"/>
      <c r="DZ68" s="467" t="n"/>
      <c r="EA68" s="467" t="n"/>
      <c r="EB68" s="467" t="n"/>
      <c r="EC68" s="467" t="n"/>
      <c r="ED68" s="467" t="n"/>
      <c r="EE68" s="467" t="n"/>
      <c r="EF68" s="467" t="n"/>
      <c r="EG68" s="467" t="n"/>
      <c r="EH68" s="467" t="inlineStr">
        <is>
          <t>Others</t>
        </is>
      </c>
      <c r="EI68" s="467" t="n"/>
      <c r="EJ68" s="467" t="n"/>
      <c r="EK68" s="467" t="inlineStr">
        <is>
          <t>Sales</t>
        </is>
      </c>
      <c r="EL68" s="467" t="n"/>
      <c r="EM68" s="467" t="inlineStr">
        <is>
          <t>Taxable</t>
        </is>
      </c>
      <c r="EN68" s="467" t="inlineStr">
        <is>
          <t>2297152000000031111</t>
        </is>
      </c>
      <c r="EO68" s="467" t="inlineStr">
        <is>
          <t>IGST18</t>
        </is>
      </c>
      <c r="EP68" s="467" t="inlineStr">
        <is>
          <t>18.00</t>
        </is>
      </c>
      <c r="EQ68" s="467" t="n">
        <v>3966.1</v>
      </c>
      <c r="ER68" s="467" t="inlineStr">
        <is>
          <t>ItemAmount</t>
        </is>
      </c>
      <c r="ES68" s="467" t="n"/>
      <c r="ET68" s="467" t="n"/>
    </row>
    <row r="69" ht="52.2" customHeight="1" s="253">
      <c r="A69" s="466" t="n">
        <v>45776</v>
      </c>
      <c r="B69" s="467" t="inlineStr">
        <is>
          <t>2297152000000126540</t>
        </is>
      </c>
      <c r="C69" s="467" t="inlineStr">
        <is>
          <t>INV-25-26-000070</t>
        </is>
      </c>
      <c r="D69" s="467" t="inlineStr">
        <is>
          <t>Closed</t>
        </is>
      </c>
      <c r="E69" s="467" t="inlineStr">
        <is>
          <t>2297152000000126456</t>
        </is>
      </c>
      <c r="F69" s="467" t="inlineStr">
        <is>
          <t>Kajol Punjabi</t>
        </is>
      </c>
      <c r="G69" s="467" t="inlineStr">
        <is>
          <t>MH</t>
        </is>
      </c>
      <c r="H69" s="467" t="inlineStr">
        <is>
          <t>27-Maharashtra</t>
        </is>
      </c>
      <c r="I69" s="467" t="inlineStr">
        <is>
          <t>business_none</t>
        </is>
      </c>
      <c r="J69" s="467" t="inlineStr">
        <is>
          <t>false</t>
        </is>
      </c>
      <c r="K69" s="466" t="n">
        <v>45776</v>
      </c>
      <c r="L69" s="467" t="n"/>
      <c r="M69" s="467" t="inlineStr">
        <is>
          <t>INR</t>
        </is>
      </c>
      <c r="N69" s="467" t="n">
        <v>1</v>
      </c>
      <c r="O69" s="467" t="inlineStr">
        <is>
          <t>item_level</t>
        </is>
      </c>
      <c r="P69" s="467" t="inlineStr">
        <is>
          <t>true</t>
        </is>
      </c>
      <c r="Q69" s="467" t="inlineStr">
        <is>
          <t>Tax Invoice</t>
        </is>
      </c>
      <c r="R69" s="467" t="inlineStr">
        <is>
          <t>0.00</t>
        </is>
      </c>
      <c r="S69" s="467" t="n"/>
      <c r="T69" s="467" t="n"/>
      <c r="U69" s="467" t="inlineStr">
        <is>
          <t>item_level</t>
        </is>
      </c>
      <c r="V69" s="467" t="n"/>
      <c r="W69" s="467" t="inlineStr">
        <is>
          <t>0.00</t>
        </is>
      </c>
      <c r="X69" s="467" t="n"/>
      <c r="Y69" s="467" t="n"/>
      <c r="Z69" s="467" t="inlineStr">
        <is>
          <t>0.000</t>
        </is>
      </c>
      <c r="AA69" s="467" t="n">
        <v>22033.9</v>
      </c>
      <c r="AB69" s="467" t="n">
        <v>26000</v>
      </c>
      <c r="AC69" s="467" t="n">
        <v>0</v>
      </c>
      <c r="AD69" s="467" t="n">
        <v>0</v>
      </c>
      <c r="AE69" s="467" t="inlineStr">
        <is>
          <t>Adjustment</t>
        </is>
      </c>
      <c r="AF69" s="467" t="n"/>
      <c r="AG69" s="466" t="n">
        <v>45776</v>
      </c>
      <c r="AH69" s="467" t="inlineStr">
        <is>
          <t>0</t>
        </is>
      </c>
      <c r="AI69" s="467" t="inlineStr">
        <is>
          <t>Due on Receipt</t>
        </is>
      </c>
      <c r="AJ69" s="467" t="inlineStr">
        <is>
          <t>Thanks for your business.</t>
        </is>
      </c>
      <c r="AK69" s="467" t="n"/>
      <c r="AL69" s="467" t="n"/>
      <c r="AM69" s="467" t="n"/>
      <c r="AN69" s="467" t="n"/>
      <c r="AO69" s="467" t="n"/>
      <c r="AP69" s="467" t="n"/>
      <c r="AQ69" s="467" t="n"/>
      <c r="AR69" s="467" t="n"/>
      <c r="AS69" s="467" t="n"/>
      <c r="AT69" s="467" t="inlineStr">
        <is>
          <t>Invoice</t>
        </is>
      </c>
      <c r="AU69" s="467" t="inlineStr">
        <is>
          <t>0.0</t>
        </is>
      </c>
      <c r="AV69" s="467" t="n">
        <v>0</v>
      </c>
      <c r="AW69" s="467" t="n"/>
      <c r="AX69" s="467" t="n"/>
      <c r="AY69" s="467" t="n"/>
      <c r="AZ69" s="467" t="n"/>
      <c r="BA69" s="467" t="n"/>
      <c r="BB69" s="467" t="n"/>
      <c r="BC69" s="467" t="n"/>
      <c r="BD69" s="467" t="inlineStr">
        <is>
          <t>Jurisphere Enterprise Subscription</t>
        </is>
      </c>
      <c r="BE69" s="468" t="inlineStr">
        <is>
          <t xml:space="preserve">Subscription Period- Annual subscription started from 29th Apr 2025 to 28th Apr 2026
Description- Single license for Unlimited usage (litigation) on the annual subscription value of Rs. 22,033.90/- </t>
        </is>
      </c>
      <c r="BF69" s="467" t="n">
        <v>1</v>
      </c>
      <c r="BG69" s="467" t="inlineStr">
        <is>
          <t>0.00</t>
        </is>
      </c>
      <c r="BH69" s="467" t="inlineStr">
        <is>
          <t>0.00</t>
        </is>
      </c>
      <c r="BI69" s="467" t="n">
        <v>22033.9</v>
      </c>
      <c r="BJ69" s="467" t="inlineStr">
        <is>
          <t>pcs</t>
        </is>
      </c>
      <c r="BK69" s="467" t="n">
        <v>22033.9</v>
      </c>
      <c r="BL69" s="467" t="inlineStr">
        <is>
          <t>2297152000000039748</t>
        </is>
      </c>
      <c r="BM69" s="467" t="n"/>
      <c r="BN69" s="467" t="n"/>
      <c r="BO69" s="467" t="n"/>
      <c r="BP69" s="467" t="n"/>
      <c r="BQ69" s="467" t="n"/>
      <c r="BR69" s="467" t="n"/>
      <c r="BS69" s="467" t="n"/>
      <c r="BT69" s="467" t="inlineStr">
        <is>
          <t>Mumbai</t>
        </is>
      </c>
      <c r="BU69" s="467" t="inlineStr">
        <is>
          <t>Maharashtra</t>
        </is>
      </c>
      <c r="BV69" s="467" t="inlineStr">
        <is>
          <t>India</t>
        </is>
      </c>
      <c r="BW69" s="467" t="n"/>
      <c r="BX69" s="467" t="n"/>
      <c r="BY69" s="467" t="n"/>
      <c r="BZ69" s="467" t="n"/>
      <c r="CA69" s="467" t="n"/>
      <c r="CB69" s="467" t="n"/>
      <c r="CC69" s="467" t="inlineStr">
        <is>
          <t>Mumbai</t>
        </is>
      </c>
      <c r="CD69" s="467" t="inlineStr">
        <is>
          <t>Maharashtra</t>
        </is>
      </c>
      <c r="CE69" s="467" t="inlineStr">
        <is>
          <t>India</t>
        </is>
      </c>
      <c r="CF69" s="467" t="n"/>
      <c r="CG69" s="467" t="n"/>
      <c r="CH69" s="467" t="n"/>
      <c r="CI69" s="467" t="inlineStr">
        <is>
          <t>Coresphere100 Technologies Pvt. Ltd.</t>
        </is>
      </c>
      <c r="CJ69" s="467" t="inlineStr">
        <is>
          <t>09AALCC7037K1Z7</t>
        </is>
      </c>
      <c r="CK69" s="467" t="inlineStr">
        <is>
          <t>16026, 16th Floor, Tower Oakwood,</t>
        </is>
      </c>
      <c r="CL69" s="467" t="inlineStr">
        <is>
          <t>Greater Noida,</t>
        </is>
      </c>
      <c r="CM69" s="467" t="inlineStr">
        <is>
          <t>Uttar Pradesh</t>
        </is>
      </c>
      <c r="CN69" s="467" t="inlineStr">
        <is>
          <t>India</t>
        </is>
      </c>
      <c r="CO69" s="467" t="inlineStr">
        <is>
          <t>201306</t>
        </is>
      </c>
      <c r="CP69" s="467" t="inlineStr">
        <is>
          <t>8928163657</t>
        </is>
      </c>
      <c r="CQ69" s="467" t="inlineStr">
        <is>
          <t>manas@jurisphere.ai</t>
        </is>
      </c>
      <c r="CR69" s="467" t="inlineStr">
        <is>
          <t>0.00</t>
        </is>
      </c>
      <c r="CS69" s="467" t="inlineStr">
        <is>
          <t>0.00</t>
        </is>
      </c>
      <c r="CT69" s="467" t="inlineStr">
        <is>
          <t>18.00</t>
        </is>
      </c>
      <c r="CU69" s="467" t="inlineStr">
        <is>
          <t>0.00</t>
        </is>
      </c>
      <c r="CV69" s="467" t="inlineStr">
        <is>
          <t>0.00</t>
        </is>
      </c>
      <c r="CW69" s="467" t="inlineStr">
        <is>
          <t>0.00</t>
        </is>
      </c>
      <c r="CX69" s="467" t="inlineStr">
        <is>
          <t>3966.10</t>
        </is>
      </c>
      <c r="CY69" s="467" t="inlineStr">
        <is>
          <t>0.00</t>
        </is>
      </c>
      <c r="CZ69" s="467" t="inlineStr">
        <is>
          <t>0.00</t>
        </is>
      </c>
      <c r="DA69" s="467" t="inlineStr">
        <is>
          <t>0.00</t>
        </is>
      </c>
      <c r="DB69" s="467" t="inlineStr">
        <is>
          <t>3966.10</t>
        </is>
      </c>
      <c r="DC69" s="467" t="inlineStr">
        <is>
          <t>0.00</t>
        </is>
      </c>
      <c r="DD69" s="467" t="n"/>
      <c r="DE69" s="467" t="n"/>
      <c r="DF69" s="467" t="n"/>
      <c r="DG69" s="467" t="n"/>
      <c r="DH69" s="467" t="n"/>
      <c r="DI69" s="467" t="inlineStr">
        <is>
          <t>0.000</t>
        </is>
      </c>
      <c r="DJ69" s="467" t="n"/>
      <c r="DK69" s="467" t="n"/>
      <c r="DL69" s="467" t="n"/>
      <c r="DM69" s="467" t="n"/>
      <c r="DN69" s="467" t="n"/>
      <c r="DO69" s="467" t="n"/>
      <c r="DP69" s="467" t="inlineStr">
        <is>
          <t>998313</t>
        </is>
      </c>
      <c r="DQ69" s="467" t="n">
        <v>0</v>
      </c>
      <c r="DR69" s="467" t="n"/>
      <c r="DS69" s="467" t="n"/>
      <c r="DT69" s="467" t="n"/>
      <c r="DU69" s="467" t="n"/>
      <c r="DV69" s="467" t="n"/>
      <c r="DW69" s="467" t="n"/>
      <c r="DX69" s="467" t="inlineStr">
        <is>
          <t>service</t>
        </is>
      </c>
      <c r="DY69" s="467" t="n"/>
      <c r="DZ69" s="467" t="n"/>
      <c r="EA69" s="467" t="n"/>
      <c r="EB69" s="467" t="n"/>
      <c r="EC69" s="467" t="n"/>
      <c r="ED69" s="467" t="n"/>
      <c r="EE69" s="467" t="n"/>
      <c r="EF69" s="467" t="n"/>
      <c r="EG69" s="467" t="n"/>
      <c r="EH69" s="467" t="inlineStr">
        <is>
          <t>Others</t>
        </is>
      </c>
      <c r="EI69" s="467" t="n"/>
      <c r="EJ69" s="467" t="n"/>
      <c r="EK69" s="467" t="inlineStr">
        <is>
          <t>Sales</t>
        </is>
      </c>
      <c r="EL69" s="467" t="n"/>
      <c r="EM69" s="467" t="inlineStr">
        <is>
          <t>Taxable</t>
        </is>
      </c>
      <c r="EN69" s="467" t="inlineStr">
        <is>
          <t>2297152000000031111</t>
        </is>
      </c>
      <c r="EO69" s="467" t="inlineStr">
        <is>
          <t>IGST18</t>
        </is>
      </c>
      <c r="EP69" s="467" t="inlineStr">
        <is>
          <t>18.00</t>
        </is>
      </c>
      <c r="EQ69" s="467" t="n">
        <v>3966.1</v>
      </c>
      <c r="ER69" s="467" t="inlineStr">
        <is>
          <t>ItemAmount</t>
        </is>
      </c>
      <c r="ES69" s="467" t="n"/>
      <c r="ET69" s="467" t="n"/>
    </row>
    <row r="70" ht="52.2" customHeight="1" s="253">
      <c r="A70" s="466" t="n">
        <v>45776</v>
      </c>
      <c r="B70" s="467" t="inlineStr">
        <is>
          <t>2297152000000126552</t>
        </is>
      </c>
      <c r="C70" s="467" t="inlineStr">
        <is>
          <t>INV-25-26-000071</t>
        </is>
      </c>
      <c r="D70" s="467" t="inlineStr">
        <is>
          <t>Closed</t>
        </is>
      </c>
      <c r="E70" s="467" t="inlineStr">
        <is>
          <t>2297152000000126472</t>
        </is>
      </c>
      <c r="F70" s="467" t="inlineStr">
        <is>
          <t>Neeta Jain</t>
        </is>
      </c>
      <c r="G70" s="467" t="inlineStr">
        <is>
          <t>MH</t>
        </is>
      </c>
      <c r="H70" s="467" t="inlineStr">
        <is>
          <t>27-Maharashtra</t>
        </is>
      </c>
      <c r="I70" s="467" t="inlineStr">
        <is>
          <t>business_none</t>
        </is>
      </c>
      <c r="J70" s="467" t="inlineStr">
        <is>
          <t>false</t>
        </is>
      </c>
      <c r="K70" s="466" t="n">
        <v>45776</v>
      </c>
      <c r="L70" s="467" t="n"/>
      <c r="M70" s="467" t="inlineStr">
        <is>
          <t>INR</t>
        </is>
      </c>
      <c r="N70" s="467" t="n">
        <v>1</v>
      </c>
      <c r="O70" s="467" t="inlineStr">
        <is>
          <t>item_level</t>
        </is>
      </c>
      <c r="P70" s="467" t="inlineStr">
        <is>
          <t>true</t>
        </is>
      </c>
      <c r="Q70" s="467" t="inlineStr">
        <is>
          <t>Tax Invoice</t>
        </is>
      </c>
      <c r="R70" s="467" t="inlineStr">
        <is>
          <t>0.00</t>
        </is>
      </c>
      <c r="S70" s="467" t="n"/>
      <c r="T70" s="467" t="n"/>
      <c r="U70" s="467" t="inlineStr">
        <is>
          <t>item_level</t>
        </is>
      </c>
      <c r="V70" s="467" t="n"/>
      <c r="W70" s="467" t="inlineStr">
        <is>
          <t>0.00</t>
        </is>
      </c>
      <c r="X70" s="467" t="n"/>
      <c r="Y70" s="467" t="n"/>
      <c r="Z70" s="467" t="inlineStr">
        <is>
          <t>0.000</t>
        </is>
      </c>
      <c r="AA70" s="467" t="n">
        <v>22033.9</v>
      </c>
      <c r="AB70" s="467" t="n">
        <v>26000</v>
      </c>
      <c r="AC70" s="467" t="n">
        <v>0</v>
      </c>
      <c r="AD70" s="467" t="n">
        <v>0</v>
      </c>
      <c r="AE70" s="467" t="inlineStr">
        <is>
          <t>Adjustment</t>
        </is>
      </c>
      <c r="AF70" s="467" t="n"/>
      <c r="AG70" s="466" t="n">
        <v>45776</v>
      </c>
      <c r="AH70" s="467" t="inlineStr">
        <is>
          <t>0</t>
        </is>
      </c>
      <c r="AI70" s="467" t="inlineStr">
        <is>
          <t>Due on Receipt</t>
        </is>
      </c>
      <c r="AJ70" s="467" t="inlineStr">
        <is>
          <t>Thanks for your business.</t>
        </is>
      </c>
      <c r="AK70" s="467" t="n"/>
      <c r="AL70" s="467" t="n"/>
      <c r="AM70" s="467" t="n"/>
      <c r="AN70" s="467" t="n"/>
      <c r="AO70" s="467" t="n"/>
      <c r="AP70" s="467" t="n"/>
      <c r="AQ70" s="467" t="n"/>
      <c r="AR70" s="467" t="n"/>
      <c r="AS70" s="467" t="n"/>
      <c r="AT70" s="467" t="inlineStr">
        <is>
          <t>Invoice</t>
        </is>
      </c>
      <c r="AU70" s="467" t="inlineStr">
        <is>
          <t>0.0</t>
        </is>
      </c>
      <c r="AV70" s="467" t="n">
        <v>0</v>
      </c>
      <c r="AW70" s="467" t="n"/>
      <c r="AX70" s="467" t="n"/>
      <c r="AY70" s="467" t="n"/>
      <c r="AZ70" s="467" t="n"/>
      <c r="BA70" s="467" t="n"/>
      <c r="BB70" s="467" t="n"/>
      <c r="BC70" s="467" t="n"/>
      <c r="BD70" s="467" t="inlineStr">
        <is>
          <t>Jurisphere Enterprise Subscription</t>
        </is>
      </c>
      <c r="BE70" s="468" t="inlineStr">
        <is>
          <t xml:space="preserve">Subscription Period- Annual subscription started from 29th Apr 2025 to 28th Apr 2026
Description- Single license for Unlimited usage (litigation) on the annual subscription value of Rs. 22,033.90/- </t>
        </is>
      </c>
      <c r="BF70" s="467" t="n">
        <v>1</v>
      </c>
      <c r="BG70" s="467" t="inlineStr">
        <is>
          <t>0.00</t>
        </is>
      </c>
      <c r="BH70" s="467" t="inlineStr">
        <is>
          <t>0.00</t>
        </is>
      </c>
      <c r="BI70" s="467" t="n">
        <v>22033.9</v>
      </c>
      <c r="BJ70" s="467" t="inlineStr">
        <is>
          <t>pcs</t>
        </is>
      </c>
      <c r="BK70" s="467" t="n">
        <v>22033.9</v>
      </c>
      <c r="BL70" s="467" t="inlineStr">
        <is>
          <t>2297152000000039748</t>
        </is>
      </c>
      <c r="BM70" s="467" t="n"/>
      <c r="BN70" s="467" t="n"/>
      <c r="BO70" s="467" t="n"/>
      <c r="BP70" s="467" t="n"/>
      <c r="BQ70" s="467" t="n"/>
      <c r="BR70" s="467" t="n"/>
      <c r="BS70" s="467" t="n"/>
      <c r="BT70" s="467" t="inlineStr">
        <is>
          <t>Mumbai</t>
        </is>
      </c>
      <c r="BU70" s="467" t="inlineStr">
        <is>
          <t>Maharashtra</t>
        </is>
      </c>
      <c r="BV70" s="467" t="inlineStr">
        <is>
          <t>India</t>
        </is>
      </c>
      <c r="BW70" s="467" t="n"/>
      <c r="BX70" s="467" t="n"/>
      <c r="BY70" s="467" t="n"/>
      <c r="BZ70" s="467" t="n"/>
      <c r="CA70" s="467" t="n"/>
      <c r="CB70" s="467" t="n"/>
      <c r="CC70" s="467" t="inlineStr">
        <is>
          <t>Mumbai</t>
        </is>
      </c>
      <c r="CD70" s="467" t="inlineStr">
        <is>
          <t>Maharashtra</t>
        </is>
      </c>
      <c r="CE70" s="467" t="inlineStr">
        <is>
          <t>India</t>
        </is>
      </c>
      <c r="CF70" s="467" t="n"/>
      <c r="CG70" s="467" t="n"/>
      <c r="CH70" s="467" t="n"/>
      <c r="CI70" s="467" t="inlineStr">
        <is>
          <t>Coresphere100 Technologies Pvt. Ltd.</t>
        </is>
      </c>
      <c r="CJ70" s="467" t="inlineStr">
        <is>
          <t>09AALCC7037K1Z7</t>
        </is>
      </c>
      <c r="CK70" s="467" t="inlineStr">
        <is>
          <t>16026, 16th Floor, Tower Oakwood,</t>
        </is>
      </c>
      <c r="CL70" s="467" t="inlineStr">
        <is>
          <t>Greater Noida,</t>
        </is>
      </c>
      <c r="CM70" s="467" t="inlineStr">
        <is>
          <t>Uttar Pradesh</t>
        </is>
      </c>
      <c r="CN70" s="467" t="inlineStr">
        <is>
          <t>India</t>
        </is>
      </c>
      <c r="CO70" s="467" t="inlineStr">
        <is>
          <t>201306</t>
        </is>
      </c>
      <c r="CP70" s="467" t="inlineStr">
        <is>
          <t>8928163657</t>
        </is>
      </c>
      <c r="CQ70" s="467" t="inlineStr">
        <is>
          <t>manas@jurisphere.ai</t>
        </is>
      </c>
      <c r="CR70" s="467" t="inlineStr">
        <is>
          <t>0.00</t>
        </is>
      </c>
      <c r="CS70" s="467" t="inlineStr">
        <is>
          <t>0.00</t>
        </is>
      </c>
      <c r="CT70" s="467" t="inlineStr">
        <is>
          <t>18.00</t>
        </is>
      </c>
      <c r="CU70" s="467" t="inlineStr">
        <is>
          <t>0.00</t>
        </is>
      </c>
      <c r="CV70" s="467" t="inlineStr">
        <is>
          <t>0.00</t>
        </is>
      </c>
      <c r="CW70" s="467" t="inlineStr">
        <is>
          <t>0.00</t>
        </is>
      </c>
      <c r="CX70" s="467" t="inlineStr">
        <is>
          <t>3966.10</t>
        </is>
      </c>
      <c r="CY70" s="467" t="inlineStr">
        <is>
          <t>0.00</t>
        </is>
      </c>
      <c r="CZ70" s="467" t="inlineStr">
        <is>
          <t>0.00</t>
        </is>
      </c>
      <c r="DA70" s="467" t="inlineStr">
        <is>
          <t>0.00</t>
        </is>
      </c>
      <c r="DB70" s="467" t="inlineStr">
        <is>
          <t>3966.10</t>
        </is>
      </c>
      <c r="DC70" s="467" t="inlineStr">
        <is>
          <t>0.00</t>
        </is>
      </c>
      <c r="DD70" s="467" t="n"/>
      <c r="DE70" s="467" t="n"/>
      <c r="DF70" s="467" t="n"/>
      <c r="DG70" s="467" t="n"/>
      <c r="DH70" s="467" t="n"/>
      <c r="DI70" s="467" t="inlineStr">
        <is>
          <t>0.000</t>
        </is>
      </c>
      <c r="DJ70" s="467" t="n"/>
      <c r="DK70" s="467" t="n"/>
      <c r="DL70" s="467" t="n"/>
      <c r="DM70" s="467" t="n"/>
      <c r="DN70" s="467" t="n"/>
      <c r="DO70" s="467" t="n"/>
      <c r="DP70" s="467" t="inlineStr">
        <is>
          <t>998313</t>
        </is>
      </c>
      <c r="DQ70" s="467" t="n">
        <v>0</v>
      </c>
      <c r="DR70" s="467" t="n"/>
      <c r="DS70" s="467" t="n"/>
      <c r="DT70" s="467" t="n"/>
      <c r="DU70" s="467" t="n"/>
      <c r="DV70" s="467" t="n"/>
      <c r="DW70" s="467" t="n"/>
      <c r="DX70" s="467" t="inlineStr">
        <is>
          <t>service</t>
        </is>
      </c>
      <c r="DY70" s="467" t="n"/>
      <c r="DZ70" s="467" t="n"/>
      <c r="EA70" s="467" t="n"/>
      <c r="EB70" s="467" t="n"/>
      <c r="EC70" s="467" t="n"/>
      <c r="ED70" s="467" t="n"/>
      <c r="EE70" s="467" t="n"/>
      <c r="EF70" s="467" t="n"/>
      <c r="EG70" s="467" t="n"/>
      <c r="EH70" s="467" t="inlineStr">
        <is>
          <t>Others</t>
        </is>
      </c>
      <c r="EI70" s="467" t="n"/>
      <c r="EJ70" s="467" t="n"/>
      <c r="EK70" s="467" t="inlineStr">
        <is>
          <t>Sales</t>
        </is>
      </c>
      <c r="EL70" s="467" t="n"/>
      <c r="EM70" s="467" t="inlineStr">
        <is>
          <t>Taxable</t>
        </is>
      </c>
      <c r="EN70" s="467" t="inlineStr">
        <is>
          <t>2297152000000031111</t>
        </is>
      </c>
      <c r="EO70" s="467" t="inlineStr">
        <is>
          <t>IGST18</t>
        </is>
      </c>
      <c r="EP70" s="467" t="inlineStr">
        <is>
          <t>18.00</t>
        </is>
      </c>
      <c r="EQ70" s="467" t="n">
        <v>3966.1</v>
      </c>
      <c r="ER70" s="467" t="inlineStr">
        <is>
          <t>ItemAmount</t>
        </is>
      </c>
      <c r="ES70" s="467" t="n"/>
      <c r="ET70" s="467" t="n"/>
    </row>
    <row r="71" ht="52.2" customHeight="1" s="253">
      <c r="A71" s="466" t="n">
        <v>45776</v>
      </c>
      <c r="B71" s="467" t="inlineStr">
        <is>
          <t>2297152000000126564</t>
        </is>
      </c>
      <c r="C71" s="467" t="inlineStr">
        <is>
          <t>INV-25-26-000072</t>
        </is>
      </c>
      <c r="D71" s="467" t="inlineStr">
        <is>
          <t>Closed</t>
        </is>
      </c>
      <c r="E71" s="467" t="inlineStr">
        <is>
          <t>2297152000000126488</t>
        </is>
      </c>
      <c r="F71" s="467" t="inlineStr">
        <is>
          <t>Amrut Joshi</t>
        </is>
      </c>
      <c r="G71" s="467" t="inlineStr">
        <is>
          <t>MH</t>
        </is>
      </c>
      <c r="H71" s="467" t="inlineStr">
        <is>
          <t>27-Maharashtra</t>
        </is>
      </c>
      <c r="I71" s="467" t="inlineStr">
        <is>
          <t>business_none</t>
        </is>
      </c>
      <c r="J71" s="467" t="inlineStr">
        <is>
          <t>false</t>
        </is>
      </c>
      <c r="K71" s="466" t="n">
        <v>45776</v>
      </c>
      <c r="L71" s="467" t="n"/>
      <c r="M71" s="467" t="inlineStr">
        <is>
          <t>INR</t>
        </is>
      </c>
      <c r="N71" s="467" t="n">
        <v>1</v>
      </c>
      <c r="O71" s="467" t="inlineStr">
        <is>
          <t>item_level</t>
        </is>
      </c>
      <c r="P71" s="467" t="inlineStr">
        <is>
          <t>true</t>
        </is>
      </c>
      <c r="Q71" s="467" t="inlineStr">
        <is>
          <t>Tax Invoice</t>
        </is>
      </c>
      <c r="R71" s="467" t="inlineStr">
        <is>
          <t>0.00</t>
        </is>
      </c>
      <c r="S71" s="467" t="n"/>
      <c r="T71" s="467" t="n"/>
      <c r="U71" s="467" t="inlineStr">
        <is>
          <t>item_level</t>
        </is>
      </c>
      <c r="V71" s="467" t="n"/>
      <c r="W71" s="467" t="inlineStr">
        <is>
          <t>0.00</t>
        </is>
      </c>
      <c r="X71" s="467" t="n"/>
      <c r="Y71" s="467" t="n"/>
      <c r="Z71" s="467" t="inlineStr">
        <is>
          <t>0.000</t>
        </is>
      </c>
      <c r="AA71" s="467" t="n">
        <v>22033.9</v>
      </c>
      <c r="AB71" s="467" t="n">
        <v>26000</v>
      </c>
      <c r="AC71" s="467" t="n">
        <v>0</v>
      </c>
      <c r="AD71" s="467" t="n">
        <v>0</v>
      </c>
      <c r="AE71" s="467" t="inlineStr">
        <is>
          <t>Adjustment</t>
        </is>
      </c>
      <c r="AF71" s="467" t="n"/>
      <c r="AG71" s="466" t="n">
        <v>45776</v>
      </c>
      <c r="AH71" s="467" t="inlineStr">
        <is>
          <t>0</t>
        </is>
      </c>
      <c r="AI71" s="467" t="inlineStr">
        <is>
          <t>Due on Receipt</t>
        </is>
      </c>
      <c r="AJ71" s="467" t="inlineStr">
        <is>
          <t>Thanks for your business.</t>
        </is>
      </c>
      <c r="AK71" s="467" t="n"/>
      <c r="AL71" s="467" t="n"/>
      <c r="AM71" s="467" t="n"/>
      <c r="AN71" s="467" t="n"/>
      <c r="AO71" s="467" t="n"/>
      <c r="AP71" s="467" t="n"/>
      <c r="AQ71" s="467" t="n"/>
      <c r="AR71" s="467" t="n"/>
      <c r="AS71" s="467" t="n"/>
      <c r="AT71" s="467" t="inlineStr">
        <is>
          <t>Invoice</t>
        </is>
      </c>
      <c r="AU71" s="467" t="inlineStr">
        <is>
          <t>0.0</t>
        </is>
      </c>
      <c r="AV71" s="467" t="n">
        <v>0</v>
      </c>
      <c r="AW71" s="467" t="n"/>
      <c r="AX71" s="467" t="n"/>
      <c r="AY71" s="467" t="n"/>
      <c r="AZ71" s="467" t="n"/>
      <c r="BA71" s="467" t="n"/>
      <c r="BB71" s="467" t="n"/>
      <c r="BC71" s="467" t="n"/>
      <c r="BD71" s="467" t="inlineStr">
        <is>
          <t>Jurisphere Enterprise Subscription</t>
        </is>
      </c>
      <c r="BE71" s="468" t="inlineStr">
        <is>
          <t xml:space="preserve">Subscription Period- Annual subscription started from 29th Apr 2025 to 28th Apr 2026
Description- Single license for Unlimited usage (litigation) on the annual subscription value of Rs. 22,033.90/- </t>
        </is>
      </c>
      <c r="BF71" s="467" t="n">
        <v>1</v>
      </c>
      <c r="BG71" s="467" t="inlineStr">
        <is>
          <t>0.00</t>
        </is>
      </c>
      <c r="BH71" s="467" t="inlineStr">
        <is>
          <t>0.00</t>
        </is>
      </c>
      <c r="BI71" s="467" t="n">
        <v>22033.9</v>
      </c>
      <c r="BJ71" s="467" t="inlineStr">
        <is>
          <t>pcs</t>
        </is>
      </c>
      <c r="BK71" s="467" t="n">
        <v>22033.9</v>
      </c>
      <c r="BL71" s="467" t="inlineStr">
        <is>
          <t>2297152000000039748</t>
        </is>
      </c>
      <c r="BM71" s="467" t="n"/>
      <c r="BN71" s="467" t="n"/>
      <c r="BO71" s="467" t="n"/>
      <c r="BP71" s="467" t="n"/>
      <c r="BQ71" s="467" t="n"/>
      <c r="BR71" s="467" t="n"/>
      <c r="BS71" s="467" t="n"/>
      <c r="BT71" s="467" t="inlineStr">
        <is>
          <t>Mumbai</t>
        </is>
      </c>
      <c r="BU71" s="467" t="inlineStr">
        <is>
          <t>Maharashtra</t>
        </is>
      </c>
      <c r="BV71" s="467" t="inlineStr">
        <is>
          <t>India</t>
        </is>
      </c>
      <c r="BW71" s="467" t="n"/>
      <c r="BX71" s="467" t="n"/>
      <c r="BY71" s="467" t="n"/>
      <c r="BZ71" s="467" t="n"/>
      <c r="CA71" s="467" t="n"/>
      <c r="CB71" s="467" t="n"/>
      <c r="CC71" s="467" t="inlineStr">
        <is>
          <t>Mumbai</t>
        </is>
      </c>
      <c r="CD71" s="467" t="inlineStr">
        <is>
          <t>Maharashtra</t>
        </is>
      </c>
      <c r="CE71" s="467" t="inlineStr">
        <is>
          <t>India</t>
        </is>
      </c>
      <c r="CF71" s="467" t="n"/>
      <c r="CG71" s="467" t="n"/>
      <c r="CH71" s="467" t="n"/>
      <c r="CI71" s="467" t="inlineStr">
        <is>
          <t>Coresphere100 Technologies Pvt. Ltd.</t>
        </is>
      </c>
      <c r="CJ71" s="467" t="inlineStr">
        <is>
          <t>09AALCC7037K1Z7</t>
        </is>
      </c>
      <c r="CK71" s="467" t="inlineStr">
        <is>
          <t>16026, 16th Floor, Tower Oakwood,</t>
        </is>
      </c>
      <c r="CL71" s="467" t="inlineStr">
        <is>
          <t>Greater Noida,</t>
        </is>
      </c>
      <c r="CM71" s="467" t="inlineStr">
        <is>
          <t>Uttar Pradesh</t>
        </is>
      </c>
      <c r="CN71" s="467" t="inlineStr">
        <is>
          <t>India</t>
        </is>
      </c>
      <c r="CO71" s="467" t="inlineStr">
        <is>
          <t>201306</t>
        </is>
      </c>
      <c r="CP71" s="467" t="inlineStr">
        <is>
          <t>8928163657</t>
        </is>
      </c>
      <c r="CQ71" s="467" t="inlineStr">
        <is>
          <t>manas@jurisphere.ai</t>
        </is>
      </c>
      <c r="CR71" s="467" t="inlineStr">
        <is>
          <t>0.00</t>
        </is>
      </c>
      <c r="CS71" s="467" t="inlineStr">
        <is>
          <t>0.00</t>
        </is>
      </c>
      <c r="CT71" s="467" t="inlineStr">
        <is>
          <t>18.00</t>
        </is>
      </c>
      <c r="CU71" s="467" t="inlineStr">
        <is>
          <t>0.00</t>
        </is>
      </c>
      <c r="CV71" s="467" t="inlineStr">
        <is>
          <t>0.00</t>
        </is>
      </c>
      <c r="CW71" s="467" t="inlineStr">
        <is>
          <t>0.00</t>
        </is>
      </c>
      <c r="CX71" s="467" t="inlineStr">
        <is>
          <t>3966.10</t>
        </is>
      </c>
      <c r="CY71" s="467" t="inlineStr">
        <is>
          <t>0.00</t>
        </is>
      </c>
      <c r="CZ71" s="467" t="inlineStr">
        <is>
          <t>0.00</t>
        </is>
      </c>
      <c r="DA71" s="467" t="inlineStr">
        <is>
          <t>0.00</t>
        </is>
      </c>
      <c r="DB71" s="467" t="inlineStr">
        <is>
          <t>3966.10</t>
        </is>
      </c>
      <c r="DC71" s="467" t="inlineStr">
        <is>
          <t>0.00</t>
        </is>
      </c>
      <c r="DD71" s="467" t="n"/>
      <c r="DE71" s="467" t="n"/>
      <c r="DF71" s="467" t="n"/>
      <c r="DG71" s="467" t="n"/>
      <c r="DH71" s="467" t="n"/>
      <c r="DI71" s="467" t="inlineStr">
        <is>
          <t>0.000</t>
        </is>
      </c>
      <c r="DJ71" s="467" t="n"/>
      <c r="DK71" s="467" t="n"/>
      <c r="DL71" s="467" t="n"/>
      <c r="DM71" s="467" t="n"/>
      <c r="DN71" s="467" t="n"/>
      <c r="DO71" s="467" t="n"/>
      <c r="DP71" s="467" t="inlineStr">
        <is>
          <t>998313</t>
        </is>
      </c>
      <c r="DQ71" s="467" t="n">
        <v>0</v>
      </c>
      <c r="DR71" s="467" t="n"/>
      <c r="DS71" s="467" t="n"/>
      <c r="DT71" s="467" t="n"/>
      <c r="DU71" s="467" t="n"/>
      <c r="DV71" s="467" t="n"/>
      <c r="DW71" s="467" t="n"/>
      <c r="DX71" s="467" t="inlineStr">
        <is>
          <t>service</t>
        </is>
      </c>
      <c r="DY71" s="467" t="n"/>
      <c r="DZ71" s="467" t="n"/>
      <c r="EA71" s="467" t="n"/>
      <c r="EB71" s="467" t="n"/>
      <c r="EC71" s="467" t="n"/>
      <c r="ED71" s="467" t="n"/>
      <c r="EE71" s="467" t="n"/>
      <c r="EF71" s="467" t="n"/>
      <c r="EG71" s="467" t="n"/>
      <c r="EH71" s="467" t="inlineStr">
        <is>
          <t>Others</t>
        </is>
      </c>
      <c r="EI71" s="467" t="n"/>
      <c r="EJ71" s="467" t="n"/>
      <c r="EK71" s="467" t="inlineStr">
        <is>
          <t>Sales</t>
        </is>
      </c>
      <c r="EL71" s="467" t="n"/>
      <c r="EM71" s="467" t="inlineStr">
        <is>
          <t>Taxable</t>
        </is>
      </c>
      <c r="EN71" s="467" t="inlineStr">
        <is>
          <t>2297152000000031111</t>
        </is>
      </c>
      <c r="EO71" s="467" t="inlineStr">
        <is>
          <t>IGST18</t>
        </is>
      </c>
      <c r="EP71" s="467" t="inlineStr">
        <is>
          <t>18.00</t>
        </is>
      </c>
      <c r="EQ71" s="467" t="n">
        <v>3966.1</v>
      </c>
      <c r="ER71" s="467" t="inlineStr">
        <is>
          <t>ItemAmount</t>
        </is>
      </c>
      <c r="ES71" s="467" t="n"/>
      <c r="ET71" s="467" t="n"/>
    </row>
    <row r="72" ht="52.2" customHeight="1" s="253">
      <c r="A72" s="466" t="n">
        <v>45776</v>
      </c>
      <c r="B72" s="467" t="inlineStr">
        <is>
          <t>2297152000000126582</t>
        </is>
      </c>
      <c r="C72" s="467" t="inlineStr">
        <is>
          <t>INV-25-26-000073</t>
        </is>
      </c>
      <c r="D72" s="467" t="inlineStr">
        <is>
          <t>Closed</t>
        </is>
      </c>
      <c r="E72" s="467" t="inlineStr">
        <is>
          <t>2297152000000097457</t>
        </is>
      </c>
      <c r="F72" s="467" t="inlineStr">
        <is>
          <t>Gaurav Joshi</t>
        </is>
      </c>
      <c r="G72" s="467" t="inlineStr">
        <is>
          <t>MH</t>
        </is>
      </c>
      <c r="H72" s="467" t="inlineStr">
        <is>
          <t>27-Maharashtra</t>
        </is>
      </c>
      <c r="I72" s="467" t="inlineStr">
        <is>
          <t>business_none</t>
        </is>
      </c>
      <c r="J72" s="467" t="inlineStr">
        <is>
          <t>false</t>
        </is>
      </c>
      <c r="K72" s="466" t="n">
        <v>45776</v>
      </c>
      <c r="L72" s="467" t="n"/>
      <c r="M72" s="467" t="inlineStr">
        <is>
          <t>INR</t>
        </is>
      </c>
      <c r="N72" s="467" t="n">
        <v>1</v>
      </c>
      <c r="O72" s="467" t="inlineStr">
        <is>
          <t>item_level</t>
        </is>
      </c>
      <c r="P72" s="467" t="inlineStr">
        <is>
          <t>true</t>
        </is>
      </c>
      <c r="Q72" s="467" t="inlineStr">
        <is>
          <t>Tax Invoice</t>
        </is>
      </c>
      <c r="R72" s="467" t="inlineStr">
        <is>
          <t>0.00</t>
        </is>
      </c>
      <c r="S72" s="467" t="n"/>
      <c r="T72" s="467" t="n"/>
      <c r="U72" s="467" t="inlineStr">
        <is>
          <t>item_level</t>
        </is>
      </c>
      <c r="V72" s="467" t="n"/>
      <c r="W72" s="467" t="inlineStr">
        <is>
          <t>0.00</t>
        </is>
      </c>
      <c r="X72" s="467" t="n"/>
      <c r="Y72" s="467" t="n"/>
      <c r="Z72" s="467" t="inlineStr">
        <is>
          <t>0.000</t>
        </is>
      </c>
      <c r="AA72" s="467" t="n">
        <v>44067.8</v>
      </c>
      <c r="AB72" s="467" t="n">
        <v>52000</v>
      </c>
      <c r="AC72" s="467" t="n">
        <v>0</v>
      </c>
      <c r="AD72" s="467" t="n">
        <v>0</v>
      </c>
      <c r="AE72" s="467" t="inlineStr">
        <is>
          <t>Adjustment</t>
        </is>
      </c>
      <c r="AF72" s="467" t="n"/>
      <c r="AG72" s="466" t="n">
        <v>45777</v>
      </c>
      <c r="AH72" s="467" t="inlineStr">
        <is>
          <t>0</t>
        </is>
      </c>
      <c r="AI72" s="467" t="inlineStr">
        <is>
          <t>Due on Receipt</t>
        </is>
      </c>
      <c r="AJ72" s="467" t="inlineStr">
        <is>
          <t>Thanks for your business.</t>
        </is>
      </c>
      <c r="AK72" s="467" t="n"/>
      <c r="AL72" s="467" t="n"/>
      <c r="AM72" s="467" t="n"/>
      <c r="AN72" s="467" t="n"/>
      <c r="AO72" s="467" t="n"/>
      <c r="AP72" s="467" t="n"/>
      <c r="AQ72" s="467" t="n"/>
      <c r="AR72" s="467" t="n"/>
      <c r="AS72" s="467" t="n"/>
      <c r="AT72" s="467" t="inlineStr">
        <is>
          <t>Invoice</t>
        </is>
      </c>
      <c r="AU72" s="467" t="inlineStr">
        <is>
          <t>0.0</t>
        </is>
      </c>
      <c r="AV72" s="467" t="n">
        <v>0</v>
      </c>
      <c r="AW72" s="467" t="n"/>
      <c r="AX72" s="467" t="n"/>
      <c r="AY72" s="467" t="n"/>
      <c r="AZ72" s="467" t="n"/>
      <c r="BA72" s="467" t="n"/>
      <c r="BB72" s="467" t="n"/>
      <c r="BC72" s="467" t="n"/>
      <c r="BD72" s="467" t="inlineStr">
        <is>
          <t>Jurisphere Enterprise Subscription</t>
        </is>
      </c>
      <c r="BE72" s="468" t="inlineStr">
        <is>
          <t xml:space="preserve">Subscription Period- Annual subscription started from 29th Apr 2025 to 28th Apr 2026
Description- 2 license for Unlimited usage (litigation) on the annual subscription value of Rs. 44,067.80/- </t>
        </is>
      </c>
      <c r="BF72" s="467" t="n">
        <v>1</v>
      </c>
      <c r="BG72" s="467" t="inlineStr">
        <is>
          <t>0.00</t>
        </is>
      </c>
      <c r="BH72" s="467" t="inlineStr">
        <is>
          <t>0.00</t>
        </is>
      </c>
      <c r="BI72" s="467" t="n">
        <v>44067.8</v>
      </c>
      <c r="BJ72" s="467" t="inlineStr">
        <is>
          <t>pcs</t>
        </is>
      </c>
      <c r="BK72" s="467" t="n">
        <v>44067.8</v>
      </c>
      <c r="BL72" s="467" t="inlineStr">
        <is>
          <t>2297152000000039748</t>
        </is>
      </c>
      <c r="BM72" s="467" t="n"/>
      <c r="BN72" s="467" t="n"/>
      <c r="BO72" s="467" t="n"/>
      <c r="BP72" s="467" t="n"/>
      <c r="BQ72" s="467" t="n"/>
      <c r="BR72" s="467" t="n"/>
      <c r="BS72" s="467" t="n"/>
      <c r="BT72" s="467" t="n"/>
      <c r="BU72" s="467" t="n"/>
      <c r="BV72" s="467" t="n"/>
      <c r="BW72" s="467" t="n"/>
      <c r="BX72" s="467" t="n"/>
      <c r="BY72" s="467" t="n"/>
      <c r="BZ72" s="467" t="n"/>
      <c r="CA72" s="467" t="n"/>
      <c r="CB72" s="467" t="n"/>
      <c r="CC72" s="467" t="n"/>
      <c r="CD72" s="467" t="n"/>
      <c r="CE72" s="467" t="n"/>
      <c r="CF72" s="467" t="n"/>
      <c r="CG72" s="467" t="n"/>
      <c r="CH72" s="467" t="n"/>
      <c r="CI72" s="467" t="inlineStr">
        <is>
          <t>Coresphere100 Technologies Pvt. Ltd.</t>
        </is>
      </c>
      <c r="CJ72" s="467" t="inlineStr">
        <is>
          <t>09AALCC7037K1Z7</t>
        </is>
      </c>
      <c r="CK72" s="467" t="inlineStr">
        <is>
          <t>16026, 16th Floor, Tower Oakwood,</t>
        </is>
      </c>
      <c r="CL72" s="467" t="inlineStr">
        <is>
          <t>Greater Noida,</t>
        </is>
      </c>
      <c r="CM72" s="467" t="inlineStr">
        <is>
          <t>Uttar Pradesh</t>
        </is>
      </c>
      <c r="CN72" s="467" t="inlineStr">
        <is>
          <t>India</t>
        </is>
      </c>
      <c r="CO72" s="467" t="inlineStr">
        <is>
          <t>201306</t>
        </is>
      </c>
      <c r="CP72" s="467" t="inlineStr">
        <is>
          <t>8928163657</t>
        </is>
      </c>
      <c r="CQ72" s="467" t="inlineStr">
        <is>
          <t>manas@jurisphere.ai</t>
        </is>
      </c>
      <c r="CR72" s="467" t="inlineStr">
        <is>
          <t>0.00</t>
        </is>
      </c>
      <c r="CS72" s="467" t="inlineStr">
        <is>
          <t>0.00</t>
        </is>
      </c>
      <c r="CT72" s="467" t="inlineStr">
        <is>
          <t>18.00</t>
        </is>
      </c>
      <c r="CU72" s="467" t="inlineStr">
        <is>
          <t>0.00</t>
        </is>
      </c>
      <c r="CV72" s="467" t="inlineStr">
        <is>
          <t>0.00</t>
        </is>
      </c>
      <c r="CW72" s="467" t="inlineStr">
        <is>
          <t>0.00</t>
        </is>
      </c>
      <c r="CX72" s="467" t="inlineStr">
        <is>
          <t>7932.20</t>
        </is>
      </c>
      <c r="CY72" s="467" t="inlineStr">
        <is>
          <t>0.00</t>
        </is>
      </c>
      <c r="CZ72" s="467" t="inlineStr">
        <is>
          <t>0.00</t>
        </is>
      </c>
      <c r="DA72" s="467" t="inlineStr">
        <is>
          <t>0.00</t>
        </is>
      </c>
      <c r="DB72" s="467" t="inlineStr">
        <is>
          <t>7932.20</t>
        </is>
      </c>
      <c r="DC72" s="467" t="inlineStr">
        <is>
          <t>0.00</t>
        </is>
      </c>
      <c r="DD72" s="467" t="n"/>
      <c r="DE72" s="467" t="n"/>
      <c r="DF72" s="467" t="n"/>
      <c r="DG72" s="467" t="n"/>
      <c r="DH72" s="467" t="n"/>
      <c r="DI72" s="467" t="inlineStr">
        <is>
          <t>0.000</t>
        </is>
      </c>
      <c r="DJ72" s="467" t="n"/>
      <c r="DK72" s="467" t="n"/>
      <c r="DL72" s="467" t="n"/>
      <c r="DM72" s="467" t="n"/>
      <c r="DN72" s="467" t="n"/>
      <c r="DO72" s="467" t="n"/>
      <c r="DP72" s="467" t="inlineStr">
        <is>
          <t>998313</t>
        </is>
      </c>
      <c r="DQ72" s="467" t="n">
        <v>0</v>
      </c>
      <c r="DR72" s="467" t="n"/>
      <c r="DS72" s="467" t="n"/>
      <c r="DT72" s="467" t="n"/>
      <c r="DU72" s="467" t="n"/>
      <c r="DV72" s="467" t="n"/>
      <c r="DW72" s="467" t="n"/>
      <c r="DX72" s="467" t="inlineStr">
        <is>
          <t>service</t>
        </is>
      </c>
      <c r="DY72" s="467" t="n"/>
      <c r="DZ72" s="467" t="n"/>
      <c r="EA72" s="467" t="n"/>
      <c r="EB72" s="467" t="n"/>
      <c r="EC72" s="467" t="n"/>
      <c r="ED72" s="467" t="n"/>
      <c r="EE72" s="467" t="n"/>
      <c r="EF72" s="467" t="n"/>
      <c r="EG72" s="467" t="n"/>
      <c r="EH72" s="467" t="inlineStr">
        <is>
          <t>Others</t>
        </is>
      </c>
      <c r="EI72" s="467" t="n"/>
      <c r="EJ72" s="467" t="n"/>
      <c r="EK72" s="467" t="inlineStr">
        <is>
          <t>Sales</t>
        </is>
      </c>
      <c r="EL72" s="467" t="n"/>
      <c r="EM72" s="467" t="inlineStr">
        <is>
          <t>Taxable</t>
        </is>
      </c>
      <c r="EN72" s="467" t="inlineStr">
        <is>
          <t>2297152000000031111</t>
        </is>
      </c>
      <c r="EO72" s="467" t="inlineStr">
        <is>
          <t>IGST18</t>
        </is>
      </c>
      <c r="EP72" s="467" t="inlineStr">
        <is>
          <t>18.00</t>
        </is>
      </c>
      <c r="EQ72" s="467" t="n">
        <v>7932.2</v>
      </c>
      <c r="ER72" s="467" t="inlineStr">
        <is>
          <t>ItemAmount</t>
        </is>
      </c>
      <c r="ES72" s="467" t="n"/>
      <c r="ET72" s="467" t="n"/>
    </row>
    <row r="73" ht="52.2" customHeight="1" s="253">
      <c r="A73" s="466" t="n">
        <v>45777</v>
      </c>
      <c r="B73" s="467" t="inlineStr">
        <is>
          <t>2297152000000132335</t>
        </is>
      </c>
      <c r="C73" s="467" t="inlineStr">
        <is>
          <t>INV-25-26-000074</t>
        </is>
      </c>
      <c r="D73" s="467" t="inlineStr">
        <is>
          <t>Closed</t>
        </is>
      </c>
      <c r="E73" s="467" t="inlineStr">
        <is>
          <t>2297152000000132319</t>
        </is>
      </c>
      <c r="F73" s="467" t="inlineStr">
        <is>
          <t>Kamaljeet Singh</t>
        </is>
      </c>
      <c r="G73" s="467" t="inlineStr">
        <is>
          <t>DL</t>
        </is>
      </c>
      <c r="H73" s="467" t="inlineStr">
        <is>
          <t>07-Delhi</t>
        </is>
      </c>
      <c r="I73" s="467" t="inlineStr">
        <is>
          <t>business_none</t>
        </is>
      </c>
      <c r="J73" s="467" t="inlineStr">
        <is>
          <t>false</t>
        </is>
      </c>
      <c r="K73" s="466" t="n">
        <v>45777</v>
      </c>
      <c r="L73" s="467" t="n"/>
      <c r="M73" s="467" t="inlineStr">
        <is>
          <t>INR</t>
        </is>
      </c>
      <c r="N73" s="467" t="n">
        <v>1</v>
      </c>
      <c r="O73" s="467" t="inlineStr">
        <is>
          <t>item_level</t>
        </is>
      </c>
      <c r="P73" s="467" t="inlineStr">
        <is>
          <t>true</t>
        </is>
      </c>
      <c r="Q73" s="467" t="inlineStr">
        <is>
          <t>Tax Invoice</t>
        </is>
      </c>
      <c r="R73" s="467" t="inlineStr">
        <is>
          <t>0.00</t>
        </is>
      </c>
      <c r="S73" s="467" t="n"/>
      <c r="T73" s="467" t="n"/>
      <c r="U73" s="467" t="inlineStr">
        <is>
          <t>item_level</t>
        </is>
      </c>
      <c r="V73" s="467" t="n"/>
      <c r="W73" s="467" t="inlineStr">
        <is>
          <t>0.00</t>
        </is>
      </c>
      <c r="X73" s="467" t="n"/>
      <c r="Y73" s="467" t="n"/>
      <c r="Z73" s="467" t="inlineStr">
        <is>
          <t>0.000</t>
        </is>
      </c>
      <c r="AA73" s="467" t="n">
        <v>36000</v>
      </c>
      <c r="AB73" s="467" t="n">
        <v>42480</v>
      </c>
      <c r="AC73" s="467" t="n">
        <v>0</v>
      </c>
      <c r="AD73" s="467" t="n">
        <v>0</v>
      </c>
      <c r="AE73" s="467" t="inlineStr">
        <is>
          <t>Adjustment</t>
        </is>
      </c>
      <c r="AF73" s="467" t="n"/>
      <c r="AG73" s="466" t="n">
        <v>45777</v>
      </c>
      <c r="AH73" s="467" t="inlineStr">
        <is>
          <t>0</t>
        </is>
      </c>
      <c r="AI73" s="467" t="inlineStr">
        <is>
          <t>Due on Receipt</t>
        </is>
      </c>
      <c r="AJ73" s="467" t="inlineStr">
        <is>
          <t>Thanks for your business.</t>
        </is>
      </c>
      <c r="AK73" s="467" t="n"/>
      <c r="AL73" s="467" t="n"/>
      <c r="AM73" s="467" t="n"/>
      <c r="AN73" s="467" t="n"/>
      <c r="AO73" s="467" t="n"/>
      <c r="AP73" s="467" t="n"/>
      <c r="AQ73" s="467" t="n"/>
      <c r="AR73" s="467" t="n"/>
      <c r="AS73" s="467" t="n"/>
      <c r="AT73" s="467" t="inlineStr">
        <is>
          <t>Invoice</t>
        </is>
      </c>
      <c r="AU73" s="467" t="inlineStr">
        <is>
          <t>0.0</t>
        </is>
      </c>
      <c r="AV73" s="467" t="n">
        <v>0</v>
      </c>
      <c r="AW73" s="467" t="n"/>
      <c r="AX73" s="467" t="n"/>
      <c r="AY73" s="467" t="n"/>
      <c r="AZ73" s="467" t="n"/>
      <c r="BA73" s="467" t="n"/>
      <c r="BB73" s="467" t="n"/>
      <c r="BC73" s="467" t="n"/>
      <c r="BD73" s="467" t="inlineStr">
        <is>
          <t>Jurisphere Enterprise Subscription</t>
        </is>
      </c>
      <c r="BE73" s="468" t="inlineStr">
        <is>
          <t xml:space="preserve">Subscription Period- 6 months contract started from 29th Apr 25 to 28th Oct 25
Description- Unlmited research, docreview, translation, redline analysis, list of dates. </t>
        </is>
      </c>
      <c r="BF73" s="467" t="n">
        <v>1</v>
      </c>
      <c r="BG73" s="467" t="inlineStr">
        <is>
          <t>0.00</t>
        </is>
      </c>
      <c r="BH73" s="467" t="inlineStr">
        <is>
          <t>0.00</t>
        </is>
      </c>
      <c r="BI73" s="467" t="n">
        <v>36000</v>
      </c>
      <c r="BJ73" s="467" t="inlineStr">
        <is>
          <t>pcs</t>
        </is>
      </c>
      <c r="BK73" s="467" t="n">
        <v>36000</v>
      </c>
      <c r="BL73" s="467" t="inlineStr">
        <is>
          <t>2297152000000039748</t>
        </is>
      </c>
      <c r="BM73" s="467" t="n"/>
      <c r="BN73" s="467" t="n"/>
      <c r="BO73" s="467" t="n"/>
      <c r="BP73" s="467" t="n"/>
      <c r="BQ73" s="467" t="n"/>
      <c r="BR73" s="467" t="n"/>
      <c r="BS73" s="467" t="n"/>
      <c r="BT73" s="467" t="n"/>
      <c r="BU73" s="467" t="inlineStr">
        <is>
          <t>Delhi</t>
        </is>
      </c>
      <c r="BV73" s="467" t="inlineStr">
        <is>
          <t>India</t>
        </is>
      </c>
      <c r="BW73" s="467" t="n"/>
      <c r="BX73" s="467" t="n"/>
      <c r="BY73" s="467" t="n"/>
      <c r="BZ73" s="467" t="n"/>
      <c r="CA73" s="467" t="n"/>
      <c r="CB73" s="467" t="n"/>
      <c r="CC73" s="467" t="n"/>
      <c r="CD73" s="467" t="inlineStr">
        <is>
          <t>Delhi</t>
        </is>
      </c>
      <c r="CE73" s="467" t="inlineStr">
        <is>
          <t>India</t>
        </is>
      </c>
      <c r="CF73" s="467" t="n"/>
      <c r="CG73" s="467" t="n"/>
      <c r="CH73" s="467" t="n"/>
      <c r="CI73" s="467" t="inlineStr">
        <is>
          <t>Coresphere100 Technologies Pvt. Ltd.</t>
        </is>
      </c>
      <c r="CJ73" s="467" t="inlineStr">
        <is>
          <t>09AALCC7037K1Z7</t>
        </is>
      </c>
      <c r="CK73" s="467" t="inlineStr">
        <is>
          <t>16026, 16th Floor, Tower Oakwood,</t>
        </is>
      </c>
      <c r="CL73" s="467" t="inlineStr">
        <is>
          <t>Greater Noida,</t>
        </is>
      </c>
      <c r="CM73" s="467" t="inlineStr">
        <is>
          <t>Uttar Pradesh</t>
        </is>
      </c>
      <c r="CN73" s="467" t="inlineStr">
        <is>
          <t>India</t>
        </is>
      </c>
      <c r="CO73" s="467" t="inlineStr">
        <is>
          <t>201306</t>
        </is>
      </c>
      <c r="CP73" s="467" t="inlineStr">
        <is>
          <t>8928163657</t>
        </is>
      </c>
      <c r="CQ73" s="467" t="inlineStr">
        <is>
          <t>manas@jurisphere.ai</t>
        </is>
      </c>
      <c r="CR73" s="467" t="inlineStr">
        <is>
          <t>0.00</t>
        </is>
      </c>
      <c r="CS73" s="467" t="inlineStr">
        <is>
          <t>0.00</t>
        </is>
      </c>
      <c r="CT73" s="467" t="inlineStr">
        <is>
          <t>18.00</t>
        </is>
      </c>
      <c r="CU73" s="467" t="inlineStr">
        <is>
          <t>0.00</t>
        </is>
      </c>
      <c r="CV73" s="467" t="inlineStr">
        <is>
          <t>0.00</t>
        </is>
      </c>
      <c r="CW73" s="467" t="inlineStr">
        <is>
          <t>0.00</t>
        </is>
      </c>
      <c r="CX73" s="467" t="inlineStr">
        <is>
          <t>6480.00</t>
        </is>
      </c>
      <c r="CY73" s="467" t="inlineStr">
        <is>
          <t>0.00</t>
        </is>
      </c>
      <c r="CZ73" s="467" t="inlineStr">
        <is>
          <t>0.00</t>
        </is>
      </c>
      <c r="DA73" s="467" t="inlineStr">
        <is>
          <t>0.00</t>
        </is>
      </c>
      <c r="DB73" s="467" t="inlineStr">
        <is>
          <t>6480.00</t>
        </is>
      </c>
      <c r="DC73" s="467" t="inlineStr">
        <is>
          <t>0.00</t>
        </is>
      </c>
      <c r="DD73" s="467" t="n"/>
      <c r="DE73" s="467" t="n"/>
      <c r="DF73" s="467" t="n"/>
      <c r="DG73" s="467" t="n"/>
      <c r="DH73" s="467" t="n"/>
      <c r="DI73" s="467" t="inlineStr">
        <is>
          <t>0.000</t>
        </is>
      </c>
      <c r="DJ73" s="467" t="n"/>
      <c r="DK73" s="467" t="n"/>
      <c r="DL73" s="467" t="n"/>
      <c r="DM73" s="467" t="n"/>
      <c r="DN73" s="467" t="n"/>
      <c r="DO73" s="467" t="n"/>
      <c r="DP73" s="467" t="inlineStr">
        <is>
          <t>998313</t>
        </is>
      </c>
      <c r="DQ73" s="467" t="n">
        <v>0</v>
      </c>
      <c r="DR73" s="467" t="n"/>
      <c r="DS73" s="467" t="n"/>
      <c r="DT73" s="467" t="n"/>
      <c r="DU73" s="467" t="n"/>
      <c r="DV73" s="467" t="n"/>
      <c r="DW73" s="467" t="n"/>
      <c r="DX73" s="467" t="inlineStr">
        <is>
          <t>service</t>
        </is>
      </c>
      <c r="DY73" s="467" t="n"/>
      <c r="DZ73" s="467" t="n"/>
      <c r="EA73" s="467" t="n"/>
      <c r="EB73" s="467" t="n"/>
      <c r="EC73" s="467" t="n"/>
      <c r="ED73" s="467" t="n"/>
      <c r="EE73" s="467" t="n"/>
      <c r="EF73" s="467" t="n"/>
      <c r="EG73" s="467" t="n"/>
      <c r="EH73" s="467" t="inlineStr">
        <is>
          <t>Others</t>
        </is>
      </c>
      <c r="EI73" s="467" t="n"/>
      <c r="EJ73" s="467" t="n"/>
      <c r="EK73" s="467" t="inlineStr">
        <is>
          <t>Sales</t>
        </is>
      </c>
      <c r="EL73" s="467" t="n"/>
      <c r="EM73" s="467" t="inlineStr">
        <is>
          <t>Taxable</t>
        </is>
      </c>
      <c r="EN73" s="467" t="inlineStr">
        <is>
          <t>2297152000000031111</t>
        </is>
      </c>
      <c r="EO73" s="467" t="inlineStr">
        <is>
          <t>IGST18</t>
        </is>
      </c>
      <c r="EP73" s="467" t="inlineStr">
        <is>
          <t>18.00</t>
        </is>
      </c>
      <c r="EQ73" s="467" t="n">
        <v>6480</v>
      </c>
      <c r="ER73" s="467" t="inlineStr">
        <is>
          <t>ItemAmount</t>
        </is>
      </c>
      <c r="ES73" s="467" t="n"/>
      <c r="ET73" s="467" t="n"/>
    </row>
    <row r="74" ht="52.2" customHeight="1" s="253">
      <c r="A74" s="466" t="n">
        <v>45777</v>
      </c>
      <c r="B74" s="467" t="inlineStr">
        <is>
          <t>2297152000000132367</t>
        </is>
      </c>
      <c r="C74" s="467" t="inlineStr">
        <is>
          <t>INV-25-26-000075</t>
        </is>
      </c>
      <c r="D74" s="467" t="inlineStr">
        <is>
          <t>Closed</t>
        </is>
      </c>
      <c r="E74" s="467" t="inlineStr">
        <is>
          <t>2297152000000132349</t>
        </is>
      </c>
      <c r="F74" s="467" t="inlineStr">
        <is>
          <t>Saraf and Partners</t>
        </is>
      </c>
      <c r="G74" s="467" t="inlineStr">
        <is>
          <t>UP</t>
        </is>
      </c>
      <c r="H74" s="467" t="inlineStr">
        <is>
          <t>09-Uttar Pradesh</t>
        </is>
      </c>
      <c r="I74" s="467" t="inlineStr">
        <is>
          <t>business_gst</t>
        </is>
      </c>
      <c r="J74" s="467" t="inlineStr">
        <is>
          <t>false</t>
        </is>
      </c>
      <c r="K74" s="466" t="n">
        <v>45777</v>
      </c>
      <c r="L74" s="467" t="n"/>
      <c r="M74" s="467" t="inlineStr">
        <is>
          <t>INR</t>
        </is>
      </c>
      <c r="N74" s="467" t="n">
        <v>1</v>
      </c>
      <c r="O74" s="467" t="inlineStr">
        <is>
          <t>item_level</t>
        </is>
      </c>
      <c r="P74" s="467" t="inlineStr">
        <is>
          <t>true</t>
        </is>
      </c>
      <c r="Q74" s="467" t="inlineStr">
        <is>
          <t>Tax Invoice</t>
        </is>
      </c>
      <c r="R74" s="467" t="inlineStr">
        <is>
          <t>0.00</t>
        </is>
      </c>
      <c r="S74" s="467" t="n"/>
      <c r="T74" s="467" t="n"/>
      <c r="U74" s="467" t="inlineStr">
        <is>
          <t>entity_level</t>
        </is>
      </c>
      <c r="V74" s="467" t="inlineStr">
        <is>
          <t>Professional Fees</t>
        </is>
      </c>
      <c r="W74" s="467" t="inlineStr">
        <is>
          <t>10.00</t>
        </is>
      </c>
      <c r="X74" s="467" t="inlineStr">
        <is>
          <t>194J</t>
        </is>
      </c>
      <c r="Y74" s="467" t="inlineStr">
        <is>
          <t>Section 194 J</t>
        </is>
      </c>
      <c r="Z74" s="467" t="inlineStr">
        <is>
          <t>4250.000</t>
        </is>
      </c>
      <c r="AA74" s="467" t="n">
        <v>42500</v>
      </c>
      <c r="AB74" s="467" t="n">
        <v>45900</v>
      </c>
      <c r="AC74" s="467" t="n">
        <v>0</v>
      </c>
      <c r="AD74" s="467" t="n">
        <v>0</v>
      </c>
      <c r="AE74" s="467" t="inlineStr">
        <is>
          <t>Adjustment</t>
        </is>
      </c>
      <c r="AF74" s="467" t="n"/>
      <c r="AG74" s="466" t="n">
        <v>45779</v>
      </c>
      <c r="AH74" s="467" t="inlineStr">
        <is>
          <t>0</t>
        </is>
      </c>
      <c r="AI74" s="467" t="inlineStr">
        <is>
          <t>Due on Receipt</t>
        </is>
      </c>
      <c r="AJ74" s="467" t="inlineStr">
        <is>
          <t>Thanks for your business.</t>
        </is>
      </c>
      <c r="AK74" s="467" t="n"/>
      <c r="AL74" s="467" t="n"/>
      <c r="AM74" s="467" t="n"/>
      <c r="AN74" s="467" t="n"/>
      <c r="AO74" s="467" t="n"/>
      <c r="AP74" s="467" t="n"/>
      <c r="AQ74" s="467" t="n"/>
      <c r="AR74" s="467" t="n"/>
      <c r="AS74" s="467" t="n"/>
      <c r="AT74" s="467" t="inlineStr">
        <is>
          <t>Invoice</t>
        </is>
      </c>
      <c r="AU74" s="467" t="inlineStr">
        <is>
          <t>0.0</t>
        </is>
      </c>
      <c r="AV74" s="467" t="n">
        <v>0</v>
      </c>
      <c r="AW74" s="467" t="n"/>
      <c r="AX74" s="467" t="n"/>
      <c r="AY74" s="467" t="n"/>
      <c r="AZ74" s="467" t="n"/>
      <c r="BA74" s="467" t="n"/>
      <c r="BB74" s="467" t="n"/>
      <c r="BC74" s="467" t="n"/>
      <c r="BD74" s="467" t="inlineStr">
        <is>
          <t>Jurisphere Enterprise Subscription</t>
        </is>
      </c>
      <c r="BE74" s="468" t="inlineStr">
        <is>
          <t>Subscription Period- 1 month Pilot started from 1st May 25 to 31st May 25
Description- 17 licenses of Rs 2500/- per license per month for Unlimited usage &amp; 5000 DocTable questions</t>
        </is>
      </c>
      <c r="BF74" s="467" t="n">
        <v>1</v>
      </c>
      <c r="BG74" s="467" t="inlineStr">
        <is>
          <t>0.00</t>
        </is>
      </c>
      <c r="BH74" s="467" t="inlineStr">
        <is>
          <t>0.00</t>
        </is>
      </c>
      <c r="BI74" s="467" t="n">
        <v>42500</v>
      </c>
      <c r="BJ74" s="467" t="inlineStr">
        <is>
          <t>pcs</t>
        </is>
      </c>
      <c r="BK74" s="467" t="n">
        <v>42500</v>
      </c>
      <c r="BL74" s="467" t="inlineStr">
        <is>
          <t>2297152000000039748</t>
        </is>
      </c>
      <c r="BM74" s="467" t="n"/>
      <c r="BN74" s="467" t="n"/>
      <c r="BO74" s="467" t="n"/>
      <c r="BP74" s="467" t="n"/>
      <c r="BQ74" s="467" t="n"/>
      <c r="BR74" s="467" t="inlineStr">
        <is>
          <t>FC-10 and 11, Sector16A</t>
        </is>
      </c>
      <c r="BS74" s="467" t="inlineStr">
        <is>
          <t>Film City,</t>
        </is>
      </c>
      <c r="BT74" s="467" t="inlineStr">
        <is>
          <t>Noida</t>
        </is>
      </c>
      <c r="BU74" s="467" t="inlineStr">
        <is>
          <t>Uttar Pradesh</t>
        </is>
      </c>
      <c r="BV74" s="467" t="inlineStr">
        <is>
          <t>India</t>
        </is>
      </c>
      <c r="BW74" s="467" t="inlineStr">
        <is>
          <t>201301</t>
        </is>
      </c>
      <c r="BX74" s="467" t="n"/>
      <c r="BY74" s="467" t="n"/>
      <c r="BZ74" s="467" t="n"/>
      <c r="CA74" s="467" t="inlineStr">
        <is>
          <t>FC-10 and 11, Sector16A</t>
        </is>
      </c>
      <c r="CB74" s="467" t="inlineStr">
        <is>
          <t>Film City,</t>
        </is>
      </c>
      <c r="CC74" s="467" t="inlineStr">
        <is>
          <t>Noida</t>
        </is>
      </c>
      <c r="CD74" s="467" t="inlineStr">
        <is>
          <t>Uttar Pradesh</t>
        </is>
      </c>
      <c r="CE74" s="467" t="inlineStr">
        <is>
          <t>India</t>
        </is>
      </c>
      <c r="CF74" s="467" t="inlineStr">
        <is>
          <t>201301</t>
        </is>
      </c>
      <c r="CG74" s="467" t="n"/>
      <c r="CH74" s="467" t="n"/>
      <c r="CI74" s="467" t="inlineStr">
        <is>
          <t>Coresphere100 Technologies Pvt. Ltd.</t>
        </is>
      </c>
      <c r="CJ74" s="467" t="inlineStr">
        <is>
          <t>09AALCC7037K1Z7</t>
        </is>
      </c>
      <c r="CK74" s="467" t="inlineStr">
        <is>
          <t>16026, 16th Floor, Tower Oakwood,</t>
        </is>
      </c>
      <c r="CL74" s="467" t="inlineStr">
        <is>
          <t>Greater Noida,</t>
        </is>
      </c>
      <c r="CM74" s="467" t="inlineStr">
        <is>
          <t>Uttar Pradesh</t>
        </is>
      </c>
      <c r="CN74" s="467" t="inlineStr">
        <is>
          <t>India</t>
        </is>
      </c>
      <c r="CO74" s="467" t="inlineStr">
        <is>
          <t>201306</t>
        </is>
      </c>
      <c r="CP74" s="467" t="inlineStr">
        <is>
          <t>8928163657</t>
        </is>
      </c>
      <c r="CQ74" s="467" t="inlineStr">
        <is>
          <t>manas@jurisphere.ai</t>
        </is>
      </c>
      <c r="CR74" s="467" t="inlineStr">
        <is>
          <t>9.00</t>
        </is>
      </c>
      <c r="CS74" s="467" t="inlineStr">
        <is>
          <t>9.00</t>
        </is>
      </c>
      <c r="CT74" s="467" t="inlineStr">
        <is>
          <t>0.00</t>
        </is>
      </c>
      <c r="CU74" s="467" t="inlineStr">
        <is>
          <t>0.00</t>
        </is>
      </c>
      <c r="CV74" s="467" t="inlineStr">
        <is>
          <t>3825.00</t>
        </is>
      </c>
      <c r="CW74" s="467" t="inlineStr">
        <is>
          <t>3825.00</t>
        </is>
      </c>
      <c r="CX74" s="467" t="inlineStr">
        <is>
          <t>0.00</t>
        </is>
      </c>
      <c r="CY74" s="467" t="inlineStr">
        <is>
          <t>0.00</t>
        </is>
      </c>
      <c r="CZ74" s="467" t="inlineStr">
        <is>
          <t>3825.00</t>
        </is>
      </c>
      <c r="DA74" s="467" t="inlineStr">
        <is>
          <t>3825.00</t>
        </is>
      </c>
      <c r="DB74" s="467" t="inlineStr">
        <is>
          <t>0.00</t>
        </is>
      </c>
      <c r="DC74" s="467" t="inlineStr">
        <is>
          <t>0.00</t>
        </is>
      </c>
      <c r="DD74" s="467" t="n"/>
      <c r="DE74" s="467" t="n"/>
      <c r="DF74" s="467" t="n"/>
      <c r="DG74" s="467" t="n"/>
      <c r="DH74" s="467" t="n"/>
      <c r="DI74" s="467" t="n"/>
      <c r="DJ74" s="467" t="n"/>
      <c r="DK74" s="467" t="n"/>
      <c r="DL74" s="467" t="inlineStr">
        <is>
          <t>09AELFS3206H1ZX</t>
        </is>
      </c>
      <c r="DM74" s="467" t="n"/>
      <c r="DN74" s="467" t="n"/>
      <c r="DO74" s="467" t="n"/>
      <c r="DP74" s="467" t="inlineStr">
        <is>
          <t>998313</t>
        </is>
      </c>
      <c r="DQ74" s="467" t="n">
        <v>0</v>
      </c>
      <c r="DR74" s="467" t="n"/>
      <c r="DS74" s="467" t="n"/>
      <c r="DT74" s="467" t="n"/>
      <c r="DU74" s="467" t="n"/>
      <c r="DV74" s="467" t="n"/>
      <c r="DW74" s="467" t="n"/>
      <c r="DX74" s="467" t="inlineStr">
        <is>
          <t>service</t>
        </is>
      </c>
      <c r="DY74" s="467" t="n"/>
      <c r="DZ74" s="467" t="n"/>
      <c r="EA74" s="467" t="n"/>
      <c r="EB74" s="467" t="n"/>
      <c r="EC74" s="467" t="n"/>
      <c r="ED74" s="467" t="n"/>
      <c r="EE74" s="467" t="n"/>
      <c r="EF74" s="467" t="n"/>
      <c r="EG74" s="467" t="n"/>
      <c r="EH74" s="467" t="inlineStr">
        <is>
          <t>Others</t>
        </is>
      </c>
      <c r="EI74" s="467" t="n"/>
      <c r="EJ74" s="467" t="n"/>
      <c r="EK74" s="467" t="inlineStr">
        <is>
          <t>Sales</t>
        </is>
      </c>
      <c r="EL74" s="467" t="n"/>
      <c r="EM74" s="467" t="inlineStr">
        <is>
          <t>Taxable</t>
        </is>
      </c>
      <c r="EN74" s="467" t="inlineStr">
        <is>
          <t>2297152000000031213</t>
        </is>
      </c>
      <c r="EO74" s="467" t="inlineStr">
        <is>
          <t>GST18</t>
        </is>
      </c>
      <c r="EP74" s="467" t="inlineStr">
        <is>
          <t>18.00</t>
        </is>
      </c>
      <c r="EQ74" s="467" t="n">
        <v>7650</v>
      </c>
      <c r="ER74" s="467" t="inlineStr">
        <is>
          <t>Tax Group</t>
        </is>
      </c>
      <c r="ES74" s="467" t="n"/>
      <c r="ET74" s="467" t="n"/>
    </row>
    <row r="75" ht="153.7" customHeight="1" s="253">
      <c r="A75" s="466" t="n">
        <v>45777</v>
      </c>
      <c r="B75" s="467" t="inlineStr">
        <is>
          <t>2297152000000132403</t>
        </is>
      </c>
      <c r="C75" s="467" t="inlineStr">
        <is>
          <t>INV-25-26-000076</t>
        </is>
      </c>
      <c r="D75" s="467" t="inlineStr">
        <is>
          <t>Overdue</t>
        </is>
      </c>
      <c r="E75" s="467" t="inlineStr">
        <is>
          <t>2297152000000132385</t>
        </is>
      </c>
      <c r="F75" s="467" t="inlineStr">
        <is>
          <t>Pioneer Legal</t>
        </is>
      </c>
      <c r="G75" s="467" t="inlineStr">
        <is>
          <t>MH</t>
        </is>
      </c>
      <c r="H75" s="467" t="inlineStr">
        <is>
          <t>27-Maharashtra</t>
        </is>
      </c>
      <c r="I75" s="467" t="inlineStr">
        <is>
          <t>business_gst</t>
        </is>
      </c>
      <c r="J75" s="467" t="inlineStr">
        <is>
          <t>false</t>
        </is>
      </c>
      <c r="K75" s="466" t="n">
        <v>45777</v>
      </c>
      <c r="L75" s="467" t="n"/>
      <c r="M75" s="467" t="inlineStr">
        <is>
          <t>INR</t>
        </is>
      </c>
      <c r="N75" s="467" t="n">
        <v>1</v>
      </c>
      <c r="O75" s="467" t="inlineStr">
        <is>
          <t>item_level</t>
        </is>
      </c>
      <c r="P75" s="467" t="inlineStr">
        <is>
          <t>true</t>
        </is>
      </c>
      <c r="Q75" s="467" t="inlineStr">
        <is>
          <t>Tax Invoice</t>
        </is>
      </c>
      <c r="R75" s="467" t="inlineStr">
        <is>
          <t>0.00</t>
        </is>
      </c>
      <c r="S75" s="467" t="n"/>
      <c r="T75" s="467" t="n"/>
      <c r="U75" s="467" t="inlineStr">
        <is>
          <t>item_level</t>
        </is>
      </c>
      <c r="V75" s="467" t="n"/>
      <c r="W75" s="467" t="inlineStr">
        <is>
          <t>0.00</t>
        </is>
      </c>
      <c r="X75" s="467" t="n"/>
      <c r="Y75" s="467" t="n"/>
      <c r="Z75" s="467" t="inlineStr">
        <is>
          <t>0.000</t>
        </is>
      </c>
      <c r="AA75" s="467" t="n">
        <v>15000</v>
      </c>
      <c r="AB75" s="467" t="n">
        <v>17700</v>
      </c>
      <c r="AC75" s="467" t="n">
        <v>17700</v>
      </c>
      <c r="AD75" s="467" t="n">
        <v>0</v>
      </c>
      <c r="AE75" s="467" t="inlineStr">
        <is>
          <t>Adjustment</t>
        </is>
      </c>
      <c r="AF75" s="467" t="n"/>
      <c r="AG75" s="467" t="n"/>
      <c r="AH75" s="467" t="inlineStr">
        <is>
          <t>0</t>
        </is>
      </c>
      <c r="AI75" s="467" t="inlineStr">
        <is>
          <t>Due on Receipt</t>
        </is>
      </c>
      <c r="AJ75" s="467" t="inlineStr">
        <is>
          <t>Thanks for your business.</t>
        </is>
      </c>
      <c r="AK75" s="467" t="n"/>
      <c r="AL75" s="467" t="n"/>
      <c r="AM75" s="467" t="n"/>
      <c r="AN75" s="467" t="n"/>
      <c r="AO75" s="467" t="n"/>
      <c r="AP75" s="467" t="n"/>
      <c r="AQ75" s="467" t="n"/>
      <c r="AR75" s="467" t="n"/>
      <c r="AS75" s="467" t="n"/>
      <c r="AT75" s="467" t="inlineStr">
        <is>
          <t>Invoice</t>
        </is>
      </c>
      <c r="AU75" s="467" t="inlineStr">
        <is>
          <t>0.0</t>
        </is>
      </c>
      <c r="AV75" s="467" t="n">
        <v>0</v>
      </c>
      <c r="AW75" s="467" t="n"/>
      <c r="AX75" s="467" t="n"/>
      <c r="AY75" s="467" t="n"/>
      <c r="AZ75" s="467" t="n"/>
      <c r="BA75" s="467" t="n"/>
      <c r="BB75" s="467" t="n"/>
      <c r="BC75" s="467" t="n"/>
      <c r="BD75" s="467" t="inlineStr">
        <is>
          <t>Jurisphere Enterprise Subscription</t>
        </is>
      </c>
      <c r="BE75" s="468" t="inlineStr">
        <is>
          <t xml:space="preserve">Subscription Period- 1 month pilot started from 29th April to 31st May 25
Description- 
DocReview - Unlimited
Research - Unlimited
Translation - Unlimited
Redline Analysis - Unlimited
File Library - Unlimited
Auto-folderize - Unlimited
Doc table - 2000 cells 
MCA Downloads - 10 </t>
        </is>
      </c>
      <c r="BF75" s="467" t="n">
        <v>1</v>
      </c>
      <c r="BG75" s="467" t="inlineStr">
        <is>
          <t>0.00</t>
        </is>
      </c>
      <c r="BH75" s="467" t="inlineStr">
        <is>
          <t>0.00</t>
        </is>
      </c>
      <c r="BI75" s="467" t="n">
        <v>15000</v>
      </c>
      <c r="BJ75" s="467" t="inlineStr">
        <is>
          <t>pcs</t>
        </is>
      </c>
      <c r="BK75" s="467" t="n">
        <v>15000</v>
      </c>
      <c r="BL75" s="467" t="inlineStr">
        <is>
          <t>2297152000000039748</t>
        </is>
      </c>
      <c r="BM75" s="467" t="n"/>
      <c r="BN75" s="467" t="n"/>
      <c r="BO75" s="467" t="n"/>
      <c r="BP75" s="467" t="n"/>
      <c r="BQ75" s="467" t="n"/>
      <c r="BR75" s="467" t="inlineStr">
        <is>
          <t>Nariman Bhavan, 901/9th Floor</t>
        </is>
      </c>
      <c r="BS75" s="468" t="inlineStr">
        <is>
          <t>227, Backbay Reclamation,
Nariman Point,</t>
        </is>
      </c>
      <c r="BT75" s="467" t="inlineStr">
        <is>
          <t>Mumbai</t>
        </is>
      </c>
      <c r="BU75" s="467" t="inlineStr">
        <is>
          <t>Maharashtra</t>
        </is>
      </c>
      <c r="BV75" s="467" t="inlineStr">
        <is>
          <t>India</t>
        </is>
      </c>
      <c r="BW75" s="467" t="inlineStr">
        <is>
          <t>400021</t>
        </is>
      </c>
      <c r="BX75" s="467" t="n"/>
      <c r="BY75" s="467" t="n"/>
      <c r="BZ75" s="467" t="n"/>
      <c r="CA75" s="467" t="inlineStr">
        <is>
          <t>Nariman Bhavan, 901/9th Floor</t>
        </is>
      </c>
      <c r="CB75" s="468" t="inlineStr">
        <is>
          <t>227, Backbay Reclamation,
Nariman Point,</t>
        </is>
      </c>
      <c r="CC75" s="467" t="inlineStr">
        <is>
          <t>Mumbai</t>
        </is>
      </c>
      <c r="CD75" s="467" t="inlineStr">
        <is>
          <t>Maharashtra</t>
        </is>
      </c>
      <c r="CE75" s="467" t="inlineStr">
        <is>
          <t>India</t>
        </is>
      </c>
      <c r="CF75" s="467" t="inlineStr">
        <is>
          <t>400021</t>
        </is>
      </c>
      <c r="CG75" s="467" t="n"/>
      <c r="CH75" s="467" t="n"/>
      <c r="CI75" s="467" t="inlineStr">
        <is>
          <t>Coresphere100 Technologies Pvt. Ltd.</t>
        </is>
      </c>
      <c r="CJ75" s="467" t="inlineStr">
        <is>
          <t>09AALCC7037K1Z7</t>
        </is>
      </c>
      <c r="CK75" s="467" t="inlineStr">
        <is>
          <t>16026, 16th Floor, Tower Oakwood,</t>
        </is>
      </c>
      <c r="CL75" s="467" t="inlineStr">
        <is>
          <t>Greater Noida,</t>
        </is>
      </c>
      <c r="CM75" s="467" t="inlineStr">
        <is>
          <t>Uttar Pradesh</t>
        </is>
      </c>
      <c r="CN75" s="467" t="inlineStr">
        <is>
          <t>India</t>
        </is>
      </c>
      <c r="CO75" s="467" t="inlineStr">
        <is>
          <t>201306</t>
        </is>
      </c>
      <c r="CP75" s="467" t="inlineStr">
        <is>
          <t>8928163657</t>
        </is>
      </c>
      <c r="CQ75" s="467" t="inlineStr">
        <is>
          <t>manas@jurisphere.ai</t>
        </is>
      </c>
      <c r="CR75" s="467" t="inlineStr">
        <is>
          <t>0.00</t>
        </is>
      </c>
      <c r="CS75" s="467" t="inlineStr">
        <is>
          <t>0.00</t>
        </is>
      </c>
      <c r="CT75" s="467" t="inlineStr">
        <is>
          <t>18.00</t>
        </is>
      </c>
      <c r="CU75" s="467" t="inlineStr">
        <is>
          <t>0.00</t>
        </is>
      </c>
      <c r="CV75" s="467" t="inlineStr">
        <is>
          <t>0.00</t>
        </is>
      </c>
      <c r="CW75" s="467" t="inlineStr">
        <is>
          <t>0.00</t>
        </is>
      </c>
      <c r="CX75" s="467" t="inlineStr">
        <is>
          <t>2700.00</t>
        </is>
      </c>
      <c r="CY75" s="467" t="inlineStr">
        <is>
          <t>0.00</t>
        </is>
      </c>
      <c r="CZ75" s="467" t="inlineStr">
        <is>
          <t>0.00</t>
        </is>
      </c>
      <c r="DA75" s="467" t="inlineStr">
        <is>
          <t>0.00</t>
        </is>
      </c>
      <c r="DB75" s="467" t="inlineStr">
        <is>
          <t>2700.00</t>
        </is>
      </c>
      <c r="DC75" s="467" t="inlineStr">
        <is>
          <t>0.00</t>
        </is>
      </c>
      <c r="DD75" s="467" t="n"/>
      <c r="DE75" s="467" t="n"/>
      <c r="DF75" s="467" t="n"/>
      <c r="DG75" s="467" t="n"/>
      <c r="DH75" s="467" t="n"/>
      <c r="DI75" s="467" t="inlineStr">
        <is>
          <t>0.000</t>
        </is>
      </c>
      <c r="DJ75" s="467" t="n"/>
      <c r="DK75" s="467" t="n"/>
      <c r="DL75" s="467" t="inlineStr">
        <is>
          <t>27AAXFP2308P1ZG</t>
        </is>
      </c>
      <c r="DM75" s="467" t="n"/>
      <c r="DN75" s="467" t="n"/>
      <c r="DO75" s="467" t="n"/>
      <c r="DP75" s="467" t="inlineStr">
        <is>
          <t>998313</t>
        </is>
      </c>
      <c r="DQ75" s="467" t="n">
        <v>0</v>
      </c>
      <c r="DR75" s="467" t="n"/>
      <c r="DS75" s="467" t="n"/>
      <c r="DT75" s="467" t="n"/>
      <c r="DU75" s="467" t="n"/>
      <c r="DV75" s="467" t="n"/>
      <c r="DW75" s="467" t="n"/>
      <c r="DX75" s="467" t="inlineStr">
        <is>
          <t>service</t>
        </is>
      </c>
      <c r="DY75" s="467" t="n"/>
      <c r="DZ75" s="467" t="n"/>
      <c r="EA75" s="467" t="n"/>
      <c r="EB75" s="467" t="n"/>
      <c r="EC75" s="467" t="n"/>
      <c r="ED75" s="467" t="n"/>
      <c r="EE75" s="467" t="n"/>
      <c r="EF75" s="467" t="n"/>
      <c r="EG75" s="467" t="n"/>
      <c r="EH75" s="467" t="inlineStr">
        <is>
          <t>Others</t>
        </is>
      </c>
      <c r="EI75" s="467" t="n"/>
      <c r="EJ75" s="467" t="n"/>
      <c r="EK75" s="467" t="inlineStr">
        <is>
          <t>Sales</t>
        </is>
      </c>
      <c r="EL75" s="467" t="n"/>
      <c r="EM75" s="467" t="inlineStr">
        <is>
          <t>Taxable</t>
        </is>
      </c>
      <c r="EN75" s="467" t="inlineStr">
        <is>
          <t>2297152000000031111</t>
        </is>
      </c>
      <c r="EO75" s="467" t="inlineStr">
        <is>
          <t>IGST18</t>
        </is>
      </c>
      <c r="EP75" s="467" t="inlineStr">
        <is>
          <t>18.00</t>
        </is>
      </c>
      <c r="EQ75" s="467" t="n">
        <v>2700</v>
      </c>
      <c r="ER75" s="467" t="inlineStr">
        <is>
          <t>ItemAmount</t>
        </is>
      </c>
      <c r="ES75" s="467" t="n"/>
      <c r="ET75" s="467" t="n"/>
    </row>
    <row r="76" ht="39.55" customHeight="1" s="253">
      <c r="A76" s="466" t="n">
        <v>45777</v>
      </c>
      <c r="B76" s="467" t="inlineStr">
        <is>
          <t>2297152000000132441</t>
        </is>
      </c>
      <c r="C76" s="467" t="inlineStr">
        <is>
          <t>INV-25-26-000077</t>
        </is>
      </c>
      <c r="D76" s="467" t="inlineStr">
        <is>
          <t>Overdue</t>
        </is>
      </c>
      <c r="E76" s="467" t="inlineStr">
        <is>
          <t>2297152000000132423</t>
        </is>
      </c>
      <c r="F76" s="467" t="inlineStr">
        <is>
          <t>Dua Associates</t>
        </is>
      </c>
      <c r="G76" s="467" t="inlineStr">
        <is>
          <t>DL</t>
        </is>
      </c>
      <c r="H76" s="467" t="inlineStr">
        <is>
          <t>07-Delhi</t>
        </is>
      </c>
      <c r="I76" s="467" t="inlineStr">
        <is>
          <t>business_gst</t>
        </is>
      </c>
      <c r="J76" s="467" t="inlineStr">
        <is>
          <t>false</t>
        </is>
      </c>
      <c r="K76" s="466" t="n">
        <v>45777</v>
      </c>
      <c r="L76" s="467" t="n"/>
      <c r="M76" s="467" t="inlineStr">
        <is>
          <t>INR</t>
        </is>
      </c>
      <c r="N76" s="467" t="n">
        <v>1</v>
      </c>
      <c r="O76" s="467" t="inlineStr">
        <is>
          <t>item_level</t>
        </is>
      </c>
      <c r="P76" s="467" t="inlineStr">
        <is>
          <t>true</t>
        </is>
      </c>
      <c r="Q76" s="467" t="inlineStr">
        <is>
          <t>Tax Invoice</t>
        </is>
      </c>
      <c r="R76" s="467" t="inlineStr">
        <is>
          <t>0.00</t>
        </is>
      </c>
      <c r="S76" s="467" t="n"/>
      <c r="T76" s="467" t="n"/>
      <c r="U76" s="467" t="inlineStr">
        <is>
          <t>item_level</t>
        </is>
      </c>
      <c r="V76" s="467" t="n"/>
      <c r="W76" s="467" t="inlineStr">
        <is>
          <t>0.00</t>
        </is>
      </c>
      <c r="X76" s="467" t="n"/>
      <c r="Y76" s="467" t="n"/>
      <c r="Z76" s="467" t="inlineStr">
        <is>
          <t>0.000</t>
        </is>
      </c>
      <c r="AA76" s="467" t="n">
        <v>16000</v>
      </c>
      <c r="AB76" s="467" t="n">
        <v>18880</v>
      </c>
      <c r="AC76" s="467" t="n">
        <v>18880</v>
      </c>
      <c r="AD76" s="467" t="n">
        <v>0</v>
      </c>
      <c r="AE76" s="467" t="inlineStr">
        <is>
          <t>Adjustment</t>
        </is>
      </c>
      <c r="AF76" s="467" t="n"/>
      <c r="AG76" s="467" t="n"/>
      <c r="AH76" s="467" t="inlineStr">
        <is>
          <t>0</t>
        </is>
      </c>
      <c r="AI76" s="467" t="inlineStr">
        <is>
          <t>Due on Receipt</t>
        </is>
      </c>
      <c r="AJ76" s="467" t="inlineStr">
        <is>
          <t>Thanks for your business.</t>
        </is>
      </c>
      <c r="AK76" s="467" t="n"/>
      <c r="AL76" s="467" t="n"/>
      <c r="AM76" s="467" t="n"/>
      <c r="AN76" s="467" t="n"/>
      <c r="AO76" s="467" t="n"/>
      <c r="AP76" s="467" t="n"/>
      <c r="AQ76" s="467" t="n"/>
      <c r="AR76" s="467" t="n"/>
      <c r="AS76" s="467" t="n"/>
      <c r="AT76" s="467" t="inlineStr">
        <is>
          <t>Invoice</t>
        </is>
      </c>
      <c r="AU76" s="467" t="inlineStr">
        <is>
          <t>0.0</t>
        </is>
      </c>
      <c r="AV76" s="467" t="n">
        <v>0</v>
      </c>
      <c r="AW76" s="467" t="n"/>
      <c r="AX76" s="467" t="n"/>
      <c r="AY76" s="467" t="n"/>
      <c r="AZ76" s="467" t="n"/>
      <c r="BA76" s="467" t="n"/>
      <c r="BB76" s="467" t="n"/>
      <c r="BC76" s="467" t="n"/>
      <c r="BD76" s="467" t="inlineStr">
        <is>
          <t>Jurisphere Enterprise Subscription</t>
        </is>
      </c>
      <c r="BE76" s="468" t="inlineStr">
        <is>
          <t xml:space="preserve">Subscription Period- 2 months subscription started from 1st May 2025 to 30th June 25
Description-  4 Licenses of Rs. 2000/license per month </t>
        </is>
      </c>
      <c r="BF76" s="467" t="n">
        <v>1</v>
      </c>
      <c r="BG76" s="467" t="inlineStr">
        <is>
          <t>0.00</t>
        </is>
      </c>
      <c r="BH76" s="467" t="inlineStr">
        <is>
          <t>0.00</t>
        </is>
      </c>
      <c r="BI76" s="467" t="n">
        <v>16000</v>
      </c>
      <c r="BJ76" s="467" t="inlineStr">
        <is>
          <t>pcs</t>
        </is>
      </c>
      <c r="BK76" s="467" t="n">
        <v>16000</v>
      </c>
      <c r="BL76" s="467" t="inlineStr">
        <is>
          <t>2297152000000039748</t>
        </is>
      </c>
      <c r="BM76" s="467" t="n"/>
      <c r="BN76" s="467" t="n"/>
      <c r="BO76" s="467" t="n"/>
      <c r="BP76" s="467" t="n"/>
      <c r="BQ76" s="467" t="n"/>
      <c r="BR76" s="467" t="inlineStr">
        <is>
          <t>202/206, Tolstoy House,</t>
        </is>
      </c>
      <c r="BS76" s="467" t="inlineStr">
        <is>
          <t>15, Tolstoy Marg,</t>
        </is>
      </c>
      <c r="BT76" s="467" t="inlineStr">
        <is>
          <t>New Delhi</t>
        </is>
      </c>
      <c r="BU76" s="467" t="inlineStr">
        <is>
          <t>Delhi</t>
        </is>
      </c>
      <c r="BV76" s="467" t="inlineStr">
        <is>
          <t>India</t>
        </is>
      </c>
      <c r="BW76" s="467" t="inlineStr">
        <is>
          <t>110001</t>
        </is>
      </c>
      <c r="BX76" s="467" t="n"/>
      <c r="BY76" s="467" t="n"/>
      <c r="BZ76" s="467" t="n"/>
      <c r="CA76" s="467" t="inlineStr">
        <is>
          <t>202/206, Tolstoy House,</t>
        </is>
      </c>
      <c r="CB76" s="467" t="inlineStr">
        <is>
          <t>15, Tolstoy Marg,</t>
        </is>
      </c>
      <c r="CC76" s="467" t="inlineStr">
        <is>
          <t>New Delhi</t>
        </is>
      </c>
      <c r="CD76" s="467" t="inlineStr">
        <is>
          <t>Delhi</t>
        </is>
      </c>
      <c r="CE76" s="467" t="inlineStr">
        <is>
          <t>India</t>
        </is>
      </c>
      <c r="CF76" s="467" t="inlineStr">
        <is>
          <t>110001</t>
        </is>
      </c>
      <c r="CG76" s="467" t="n"/>
      <c r="CH76" s="467" t="n"/>
      <c r="CI76" s="467" t="inlineStr">
        <is>
          <t>Coresphere100 Technologies Pvt. Ltd.</t>
        </is>
      </c>
      <c r="CJ76" s="467" t="inlineStr">
        <is>
          <t>09AALCC7037K1Z7</t>
        </is>
      </c>
      <c r="CK76" s="467" t="inlineStr">
        <is>
          <t>16026, 16th Floor, Tower Oakwood,</t>
        </is>
      </c>
      <c r="CL76" s="467" t="inlineStr">
        <is>
          <t>Greater Noida,</t>
        </is>
      </c>
      <c r="CM76" s="467" t="inlineStr">
        <is>
          <t>Uttar Pradesh</t>
        </is>
      </c>
      <c r="CN76" s="467" t="inlineStr">
        <is>
          <t>India</t>
        </is>
      </c>
      <c r="CO76" s="467" t="inlineStr">
        <is>
          <t>201306</t>
        </is>
      </c>
      <c r="CP76" s="467" t="inlineStr">
        <is>
          <t>8928163657</t>
        </is>
      </c>
      <c r="CQ76" s="467" t="inlineStr">
        <is>
          <t>manas@jurisphere.ai</t>
        </is>
      </c>
      <c r="CR76" s="467" t="inlineStr">
        <is>
          <t>0.00</t>
        </is>
      </c>
      <c r="CS76" s="467" t="inlineStr">
        <is>
          <t>0.00</t>
        </is>
      </c>
      <c r="CT76" s="467" t="inlineStr">
        <is>
          <t>18.00</t>
        </is>
      </c>
      <c r="CU76" s="467" t="inlineStr">
        <is>
          <t>0.00</t>
        </is>
      </c>
      <c r="CV76" s="467" t="inlineStr">
        <is>
          <t>0.00</t>
        </is>
      </c>
      <c r="CW76" s="467" t="inlineStr">
        <is>
          <t>0.00</t>
        </is>
      </c>
      <c r="CX76" s="467" t="inlineStr">
        <is>
          <t>2880.00</t>
        </is>
      </c>
      <c r="CY76" s="467" t="inlineStr">
        <is>
          <t>0.00</t>
        </is>
      </c>
      <c r="CZ76" s="467" t="inlineStr">
        <is>
          <t>0.00</t>
        </is>
      </c>
      <c r="DA76" s="467" t="inlineStr">
        <is>
          <t>0.00</t>
        </is>
      </c>
      <c r="DB76" s="467" t="inlineStr">
        <is>
          <t>2880.00</t>
        </is>
      </c>
      <c r="DC76" s="467" t="inlineStr">
        <is>
          <t>0.00</t>
        </is>
      </c>
      <c r="DD76" s="467" t="n"/>
      <c r="DE76" s="467" t="n"/>
      <c r="DF76" s="467" t="n"/>
      <c r="DG76" s="467" t="n"/>
      <c r="DH76" s="467" t="n"/>
      <c r="DI76" s="467" t="inlineStr">
        <is>
          <t>0.000</t>
        </is>
      </c>
      <c r="DJ76" s="467" t="n"/>
      <c r="DK76" s="467" t="n"/>
      <c r="DL76" s="467" t="inlineStr">
        <is>
          <t>07AAAFD2611A1ZE</t>
        </is>
      </c>
      <c r="DM76" s="467" t="n"/>
      <c r="DN76" s="467" t="n"/>
      <c r="DO76" s="467" t="n"/>
      <c r="DP76" s="467" t="inlineStr">
        <is>
          <t>998313</t>
        </is>
      </c>
      <c r="DQ76" s="467" t="n">
        <v>0</v>
      </c>
      <c r="DR76" s="467" t="n"/>
      <c r="DS76" s="467" t="n"/>
      <c r="DT76" s="467" t="n"/>
      <c r="DU76" s="467" t="n"/>
      <c r="DV76" s="467" t="n"/>
      <c r="DW76" s="467" t="n"/>
      <c r="DX76" s="467" t="inlineStr">
        <is>
          <t>service</t>
        </is>
      </c>
      <c r="DY76" s="467" t="n"/>
      <c r="DZ76" s="467" t="n"/>
      <c r="EA76" s="467" t="n"/>
      <c r="EB76" s="467" t="n"/>
      <c r="EC76" s="467" t="n"/>
      <c r="ED76" s="467" t="n"/>
      <c r="EE76" s="467" t="n"/>
      <c r="EF76" s="467" t="n"/>
      <c r="EG76" s="467" t="n"/>
      <c r="EH76" s="467" t="inlineStr">
        <is>
          <t>Others</t>
        </is>
      </c>
      <c r="EI76" s="467" t="n"/>
      <c r="EJ76" s="467" t="n"/>
      <c r="EK76" s="467" t="inlineStr">
        <is>
          <t>Sales</t>
        </is>
      </c>
      <c r="EL76" s="467" t="n"/>
      <c r="EM76" s="467" t="inlineStr">
        <is>
          <t>Taxable</t>
        </is>
      </c>
      <c r="EN76" s="467" t="inlineStr">
        <is>
          <t>2297152000000031111</t>
        </is>
      </c>
      <c r="EO76" s="467" t="inlineStr">
        <is>
          <t>IGST18</t>
        </is>
      </c>
      <c r="EP76" s="467" t="inlineStr">
        <is>
          <t>18.00</t>
        </is>
      </c>
      <c r="EQ76" s="467" t="n">
        <v>2880</v>
      </c>
      <c r="ER76" s="467" t="inlineStr">
        <is>
          <t>ItemAmount</t>
        </is>
      </c>
      <c r="ES76" s="467" t="n"/>
      <c r="ET76" s="467" t="n"/>
    </row>
    <row r="77" ht="26.85" customHeight="1" s="253">
      <c r="A77" s="466" t="n">
        <v>45777</v>
      </c>
      <c r="B77" s="467" t="inlineStr">
        <is>
          <t>2297152000000132479</t>
        </is>
      </c>
      <c r="C77" s="467" t="inlineStr">
        <is>
          <t>INV-25-26-000078</t>
        </is>
      </c>
      <c r="D77" s="467" t="inlineStr">
        <is>
          <t>Closed</t>
        </is>
      </c>
      <c r="E77" s="467" t="inlineStr">
        <is>
          <t>2297152000000062297</t>
        </is>
      </c>
      <c r="F77" s="467" t="inlineStr">
        <is>
          <t>Manish kelker</t>
        </is>
      </c>
      <c r="G77" s="467" t="inlineStr">
        <is>
          <t>DL</t>
        </is>
      </c>
      <c r="H77" s="467" t="inlineStr">
        <is>
          <t>07-Delhi</t>
        </is>
      </c>
      <c r="I77" s="467" t="inlineStr">
        <is>
          <t>business_none</t>
        </is>
      </c>
      <c r="J77" s="467" t="inlineStr">
        <is>
          <t>false</t>
        </is>
      </c>
      <c r="K77" s="466" t="n">
        <v>45777</v>
      </c>
      <c r="L77" s="467" t="n"/>
      <c r="M77" s="467" t="inlineStr">
        <is>
          <t>INR</t>
        </is>
      </c>
      <c r="N77" s="467" t="n">
        <v>1</v>
      </c>
      <c r="O77" s="467" t="inlineStr">
        <is>
          <t>item_level</t>
        </is>
      </c>
      <c r="P77" s="467" t="inlineStr">
        <is>
          <t>true</t>
        </is>
      </c>
      <c r="Q77" s="467" t="inlineStr">
        <is>
          <t>Tax Invoice</t>
        </is>
      </c>
      <c r="R77" s="467" t="inlineStr">
        <is>
          <t>0.00</t>
        </is>
      </c>
      <c r="S77" s="467" t="n"/>
      <c r="T77" s="467" t="n"/>
      <c r="U77" s="467" t="inlineStr">
        <is>
          <t>item_level</t>
        </is>
      </c>
      <c r="V77" s="467" t="n"/>
      <c r="W77" s="467" t="inlineStr">
        <is>
          <t>0.00</t>
        </is>
      </c>
      <c r="X77" s="467" t="n"/>
      <c r="Y77" s="467" t="n"/>
      <c r="Z77" s="467" t="inlineStr">
        <is>
          <t>0.000</t>
        </is>
      </c>
      <c r="AA77" s="467" t="n">
        <v>3388.98</v>
      </c>
      <c r="AB77" s="467" t="n">
        <v>3999</v>
      </c>
      <c r="AC77" s="467" t="n">
        <v>0</v>
      </c>
      <c r="AD77" s="467" t="n">
        <v>0</v>
      </c>
      <c r="AE77" s="467" t="inlineStr">
        <is>
          <t>Adjustment</t>
        </is>
      </c>
      <c r="AF77" s="467" t="n"/>
      <c r="AG77" s="466" t="n">
        <v>45777</v>
      </c>
      <c r="AH77" s="467" t="inlineStr">
        <is>
          <t>0</t>
        </is>
      </c>
      <c r="AI77" s="467" t="inlineStr">
        <is>
          <t>Due on Receipt</t>
        </is>
      </c>
      <c r="AJ77" s="467" t="inlineStr">
        <is>
          <t>Thanks for your business.</t>
        </is>
      </c>
      <c r="AK77" s="467" t="n"/>
      <c r="AL77" s="467" t="n"/>
      <c r="AM77" s="467" t="n"/>
      <c r="AN77" s="467" t="n"/>
      <c r="AO77" s="467" t="n"/>
      <c r="AP77" s="467" t="n"/>
      <c r="AQ77" s="467" t="n"/>
      <c r="AR77" s="467" t="n"/>
      <c r="AS77" s="467" t="n"/>
      <c r="AT77" s="467" t="inlineStr">
        <is>
          <t>Invoice</t>
        </is>
      </c>
      <c r="AU77" s="467" t="inlineStr">
        <is>
          <t>0.0</t>
        </is>
      </c>
      <c r="AV77" s="467" t="n">
        <v>0</v>
      </c>
      <c r="AW77" s="467" t="n"/>
      <c r="AX77" s="467" t="n"/>
      <c r="AY77" s="467" t="n"/>
      <c r="AZ77" s="467" t="n"/>
      <c r="BA77" s="467" t="n"/>
      <c r="BB77" s="467" t="n"/>
      <c r="BC77" s="467" t="n"/>
      <c r="BD77" s="467" t="inlineStr">
        <is>
          <t>Jurisphere Enterprise Subscription</t>
        </is>
      </c>
      <c r="BE77" s="468" t="inlineStr">
        <is>
          <t>Monthly Subscription for Apr 25 month 
Payment Id- pay_QGGnDtmfiSDKz3</t>
        </is>
      </c>
      <c r="BF77" s="467" t="n">
        <v>1</v>
      </c>
      <c r="BG77" s="467" t="inlineStr">
        <is>
          <t>0.00</t>
        </is>
      </c>
      <c r="BH77" s="467" t="inlineStr">
        <is>
          <t>0.00</t>
        </is>
      </c>
      <c r="BI77" s="467" t="n">
        <v>3388.98</v>
      </c>
      <c r="BJ77" s="467" t="inlineStr">
        <is>
          <t>pcs</t>
        </is>
      </c>
      <c r="BK77" s="467" t="n">
        <v>3388.98</v>
      </c>
      <c r="BL77" s="467" t="inlineStr">
        <is>
          <t>2297152000000039748</t>
        </is>
      </c>
      <c r="BM77" s="467" t="n"/>
      <c r="BN77" s="467" t="n"/>
      <c r="BO77" s="467" t="n"/>
      <c r="BP77" s="467" t="n"/>
      <c r="BQ77" s="467" t="n"/>
      <c r="BR77" s="467" t="n"/>
      <c r="BS77" s="467" t="n"/>
      <c r="BT77" s="467" t="n"/>
      <c r="BU77" s="467" t="n"/>
      <c r="BV77" s="467" t="n"/>
      <c r="BW77" s="467" t="n"/>
      <c r="BX77" s="467" t="n"/>
      <c r="BY77" s="467" t="n"/>
      <c r="BZ77" s="467" t="n"/>
      <c r="CA77" s="467" t="n"/>
      <c r="CB77" s="467" t="n"/>
      <c r="CC77" s="467" t="n"/>
      <c r="CD77" s="467" t="n"/>
      <c r="CE77" s="467" t="n"/>
      <c r="CF77" s="467" t="n"/>
      <c r="CG77" s="467" t="n"/>
      <c r="CH77" s="467" t="n"/>
      <c r="CI77" s="467" t="inlineStr">
        <is>
          <t>Coresphere100 Technologies Pvt. Ltd.</t>
        </is>
      </c>
      <c r="CJ77" s="467" t="inlineStr">
        <is>
          <t>09AALCC7037K1Z7</t>
        </is>
      </c>
      <c r="CK77" s="467" t="inlineStr">
        <is>
          <t>16026, 16th Floor, Tower Oakwood,</t>
        </is>
      </c>
      <c r="CL77" s="467" t="inlineStr">
        <is>
          <t>Greater Noida,</t>
        </is>
      </c>
      <c r="CM77" s="467" t="inlineStr">
        <is>
          <t>Uttar Pradesh</t>
        </is>
      </c>
      <c r="CN77" s="467" t="inlineStr">
        <is>
          <t>India</t>
        </is>
      </c>
      <c r="CO77" s="467" t="inlineStr">
        <is>
          <t>201306</t>
        </is>
      </c>
      <c r="CP77" s="467" t="inlineStr">
        <is>
          <t>8928163657</t>
        </is>
      </c>
      <c r="CQ77" s="467" t="inlineStr">
        <is>
          <t>manas@jurisphere.ai</t>
        </is>
      </c>
      <c r="CR77" s="467" t="inlineStr">
        <is>
          <t>0.00</t>
        </is>
      </c>
      <c r="CS77" s="467" t="inlineStr">
        <is>
          <t>0.00</t>
        </is>
      </c>
      <c r="CT77" s="467" t="inlineStr">
        <is>
          <t>18.00</t>
        </is>
      </c>
      <c r="CU77" s="467" t="inlineStr">
        <is>
          <t>0.00</t>
        </is>
      </c>
      <c r="CV77" s="467" t="inlineStr">
        <is>
          <t>0.00</t>
        </is>
      </c>
      <c r="CW77" s="467" t="inlineStr">
        <is>
          <t>0.00</t>
        </is>
      </c>
      <c r="CX77" s="467" t="inlineStr">
        <is>
          <t>610.02</t>
        </is>
      </c>
      <c r="CY77" s="467" t="inlineStr">
        <is>
          <t>0.00</t>
        </is>
      </c>
      <c r="CZ77" s="467" t="inlineStr">
        <is>
          <t>0.00</t>
        </is>
      </c>
      <c r="DA77" s="467" t="inlineStr">
        <is>
          <t>0.00</t>
        </is>
      </c>
      <c r="DB77" s="467" t="inlineStr">
        <is>
          <t>610.02</t>
        </is>
      </c>
      <c r="DC77" s="467" t="inlineStr">
        <is>
          <t>0.00</t>
        </is>
      </c>
      <c r="DD77" s="467" t="n"/>
      <c r="DE77" s="467" t="n"/>
      <c r="DF77" s="467" t="n"/>
      <c r="DG77" s="467" t="n"/>
      <c r="DH77" s="467" t="n"/>
      <c r="DI77" s="467" t="inlineStr">
        <is>
          <t>0.000</t>
        </is>
      </c>
      <c r="DJ77" s="467" t="n"/>
      <c r="DK77" s="467" t="n"/>
      <c r="DL77" s="467" t="n"/>
      <c r="DM77" s="467" t="n"/>
      <c r="DN77" s="467" t="n"/>
      <c r="DO77" s="467" t="n"/>
      <c r="DP77" s="467" t="inlineStr">
        <is>
          <t>998313</t>
        </is>
      </c>
      <c r="DQ77" s="467" t="n">
        <v>0</v>
      </c>
      <c r="DR77" s="467" t="n"/>
      <c r="DS77" s="467" t="n"/>
      <c r="DT77" s="467" t="n"/>
      <c r="DU77" s="467" t="n"/>
      <c r="DV77" s="467" t="n"/>
      <c r="DW77" s="467" t="n"/>
      <c r="DX77" s="467" t="inlineStr">
        <is>
          <t>service</t>
        </is>
      </c>
      <c r="DY77" s="467" t="n"/>
      <c r="DZ77" s="467" t="n"/>
      <c r="EA77" s="467" t="n"/>
      <c r="EB77" s="467" t="n"/>
      <c r="EC77" s="467" t="n"/>
      <c r="ED77" s="467" t="n"/>
      <c r="EE77" s="467" t="n"/>
      <c r="EF77" s="467" t="n"/>
      <c r="EG77" s="467" t="n"/>
      <c r="EH77" s="467" t="inlineStr">
        <is>
          <t>Others</t>
        </is>
      </c>
      <c r="EI77" s="467" t="n"/>
      <c r="EJ77" s="467" t="n"/>
      <c r="EK77" s="467" t="inlineStr">
        <is>
          <t>Sales</t>
        </is>
      </c>
      <c r="EL77" s="467" t="n"/>
      <c r="EM77" s="467" t="inlineStr">
        <is>
          <t>Taxable</t>
        </is>
      </c>
      <c r="EN77" s="467" t="inlineStr">
        <is>
          <t>2297152000000031111</t>
        </is>
      </c>
      <c r="EO77" s="467" t="inlineStr">
        <is>
          <t>IGST18</t>
        </is>
      </c>
      <c r="EP77" s="467" t="inlineStr">
        <is>
          <t>18.00</t>
        </is>
      </c>
      <c r="EQ77" s="467" t="n">
        <v>610.02</v>
      </c>
      <c r="ER77" s="467" t="inlineStr">
        <is>
          <t>ItemAmount</t>
        </is>
      </c>
      <c r="ES77" s="467" t="n"/>
      <c r="ET77" s="467" t="n"/>
    </row>
    <row r="78" ht="13.5" customHeight="1" s="253">
      <c r="A78" s="466" t="n">
        <v>45777</v>
      </c>
      <c r="B78" s="467" t="inlineStr">
        <is>
          <t>2297152000000132493</t>
        </is>
      </c>
      <c r="C78" s="467" t="inlineStr">
        <is>
          <t>INV-25-26-000079</t>
        </is>
      </c>
      <c r="D78" s="467" t="inlineStr">
        <is>
          <t>Closed</t>
        </is>
      </c>
      <c r="E78" s="467" t="inlineStr">
        <is>
          <t>2297152000000065001</t>
        </is>
      </c>
      <c r="F78" s="467" t="inlineStr">
        <is>
          <t>Diwan Law Associates</t>
        </is>
      </c>
      <c r="G78" s="467" t="inlineStr">
        <is>
          <t>UP</t>
        </is>
      </c>
      <c r="H78" s="467" t="inlineStr">
        <is>
          <t>09-Uttar Pradesh</t>
        </is>
      </c>
      <c r="I78" s="467" t="inlineStr">
        <is>
          <t>business_none</t>
        </is>
      </c>
      <c r="J78" s="467" t="inlineStr">
        <is>
          <t>false</t>
        </is>
      </c>
      <c r="K78" s="466" t="n">
        <v>45777</v>
      </c>
      <c r="L78" s="467" t="n"/>
      <c r="M78" s="467" t="inlineStr">
        <is>
          <t>INR</t>
        </is>
      </c>
      <c r="N78" s="467" t="n">
        <v>1</v>
      </c>
      <c r="O78" s="467" t="inlineStr">
        <is>
          <t>item_level</t>
        </is>
      </c>
      <c r="P78" s="467" t="inlineStr">
        <is>
          <t>true</t>
        </is>
      </c>
      <c r="Q78" s="467" t="inlineStr">
        <is>
          <t>Tax Invoice</t>
        </is>
      </c>
      <c r="R78" s="467" t="inlineStr">
        <is>
          <t>0.00</t>
        </is>
      </c>
      <c r="S78" s="467" t="n"/>
      <c r="T78" s="467" t="n"/>
      <c r="U78" s="467" t="inlineStr">
        <is>
          <t>item_level</t>
        </is>
      </c>
      <c r="V78" s="467" t="n"/>
      <c r="W78" s="467" t="inlineStr">
        <is>
          <t>0.00</t>
        </is>
      </c>
      <c r="X78" s="467" t="n"/>
      <c r="Y78" s="467" t="n"/>
      <c r="Z78" s="467" t="inlineStr">
        <is>
          <t>0.000</t>
        </is>
      </c>
      <c r="AA78" s="467" t="n">
        <v>4237.29</v>
      </c>
      <c r="AB78" s="467" t="n">
        <v>5000</v>
      </c>
      <c r="AC78" s="467" t="n">
        <v>0</v>
      </c>
      <c r="AD78" s="467" t="n">
        <v>-0.01</v>
      </c>
      <c r="AE78" s="467" t="inlineStr">
        <is>
          <t>Adjustment</t>
        </is>
      </c>
      <c r="AF78" s="467" t="n"/>
      <c r="AG78" s="466" t="n">
        <v>45777</v>
      </c>
      <c r="AH78" s="467" t="inlineStr">
        <is>
          <t>0</t>
        </is>
      </c>
      <c r="AI78" s="467" t="inlineStr">
        <is>
          <t>Due on Receipt</t>
        </is>
      </c>
      <c r="AJ78" s="467" t="inlineStr">
        <is>
          <t>Thanks for your business.</t>
        </is>
      </c>
      <c r="AK78" s="467" t="n"/>
      <c r="AL78" s="467" t="n"/>
      <c r="AM78" s="467" t="n"/>
      <c r="AN78" s="467" t="n"/>
      <c r="AO78" s="467" t="n"/>
      <c r="AP78" s="467" t="n"/>
      <c r="AQ78" s="467" t="n"/>
      <c r="AR78" s="467" t="n"/>
      <c r="AS78" s="467" t="n"/>
      <c r="AT78" s="467" t="inlineStr">
        <is>
          <t>Invoice</t>
        </is>
      </c>
      <c r="AU78" s="467" t="inlineStr">
        <is>
          <t>0.0</t>
        </is>
      </c>
      <c r="AV78" s="467" t="n">
        <v>0</v>
      </c>
      <c r="AW78" s="467" t="n"/>
      <c r="AX78" s="467" t="n"/>
      <c r="AY78" s="467" t="n"/>
      <c r="AZ78" s="467" t="n"/>
      <c r="BA78" s="467" t="n"/>
      <c r="BB78" s="467" t="n"/>
      <c r="BC78" s="467" t="n"/>
      <c r="BD78" s="467" t="inlineStr">
        <is>
          <t>Jurisphere Enterprise Subscription</t>
        </is>
      </c>
      <c r="BE78" s="467" t="inlineStr">
        <is>
          <t>Subscription Period- Monthly Invoicing for Anuual Subscription started from Dec 11, 2024 to Dec 11, 2025</t>
        </is>
      </c>
      <c r="BF78" s="467" t="n">
        <v>1</v>
      </c>
      <c r="BG78" s="467" t="inlineStr">
        <is>
          <t>0.00</t>
        </is>
      </c>
      <c r="BH78" s="467" t="inlineStr">
        <is>
          <t>0.00</t>
        </is>
      </c>
      <c r="BI78" s="467" t="n">
        <v>4237.29</v>
      </c>
      <c r="BJ78" s="467" t="inlineStr">
        <is>
          <t>pcs</t>
        </is>
      </c>
      <c r="BK78" s="467" t="n">
        <v>4237.29</v>
      </c>
      <c r="BL78" s="467" t="inlineStr">
        <is>
          <t>2297152000000039748</t>
        </is>
      </c>
      <c r="BM78" s="467" t="n"/>
      <c r="BN78" s="467" t="n"/>
      <c r="BO78" s="467" t="n"/>
      <c r="BP78" s="467" t="n"/>
      <c r="BQ78" s="467" t="n"/>
      <c r="BR78" s="467" t="n"/>
      <c r="BS78" s="467" t="n"/>
      <c r="BT78" s="467" t="n"/>
      <c r="BU78" s="467" t="n"/>
      <c r="BV78" s="467" t="n"/>
      <c r="BW78" s="467" t="n"/>
      <c r="BX78" s="467" t="n"/>
      <c r="BY78" s="467" t="n"/>
      <c r="BZ78" s="467" t="n"/>
      <c r="CA78" s="467" t="n"/>
      <c r="CB78" s="467" t="n"/>
      <c r="CC78" s="467" t="n"/>
      <c r="CD78" s="467" t="n"/>
      <c r="CE78" s="467" t="n"/>
      <c r="CF78" s="467" t="n"/>
      <c r="CG78" s="467" t="n"/>
      <c r="CH78" s="467" t="n"/>
      <c r="CI78" s="467" t="inlineStr">
        <is>
          <t>Coresphere100 Technologies Pvt. Ltd.</t>
        </is>
      </c>
      <c r="CJ78" s="467" t="inlineStr">
        <is>
          <t>09AALCC7037K1Z7</t>
        </is>
      </c>
      <c r="CK78" s="467" t="inlineStr">
        <is>
          <t>16026, 16th Floor, Tower Oakwood,</t>
        </is>
      </c>
      <c r="CL78" s="467" t="inlineStr">
        <is>
          <t>Greater Noida,</t>
        </is>
      </c>
      <c r="CM78" s="467" t="inlineStr">
        <is>
          <t>Uttar Pradesh</t>
        </is>
      </c>
      <c r="CN78" s="467" t="inlineStr">
        <is>
          <t>India</t>
        </is>
      </c>
      <c r="CO78" s="467" t="inlineStr">
        <is>
          <t>201306</t>
        </is>
      </c>
      <c r="CP78" s="467" t="inlineStr">
        <is>
          <t>8928163657</t>
        </is>
      </c>
      <c r="CQ78" s="467" t="inlineStr">
        <is>
          <t>manas@jurisphere.ai</t>
        </is>
      </c>
      <c r="CR78" s="467" t="inlineStr">
        <is>
          <t>9.00</t>
        </is>
      </c>
      <c r="CS78" s="467" t="inlineStr">
        <is>
          <t>9.00</t>
        </is>
      </c>
      <c r="CT78" s="467" t="inlineStr">
        <is>
          <t>0.00</t>
        </is>
      </c>
      <c r="CU78" s="467" t="inlineStr">
        <is>
          <t>0.00</t>
        </is>
      </c>
      <c r="CV78" s="467" t="inlineStr">
        <is>
          <t>381.36</t>
        </is>
      </c>
      <c r="CW78" s="467" t="inlineStr">
        <is>
          <t>381.36</t>
        </is>
      </c>
      <c r="CX78" s="467" t="inlineStr">
        <is>
          <t>0.00</t>
        </is>
      </c>
      <c r="CY78" s="467" t="inlineStr">
        <is>
          <t>0.00</t>
        </is>
      </c>
      <c r="CZ78" s="467" t="inlineStr">
        <is>
          <t>381.36</t>
        </is>
      </c>
      <c r="DA78" s="467" t="inlineStr">
        <is>
          <t>381.36</t>
        </is>
      </c>
      <c r="DB78" s="467" t="inlineStr">
        <is>
          <t>0.00</t>
        </is>
      </c>
      <c r="DC78" s="467" t="inlineStr">
        <is>
          <t>0.00</t>
        </is>
      </c>
      <c r="DD78" s="467" t="n"/>
      <c r="DE78" s="467" t="n"/>
      <c r="DF78" s="467" t="n"/>
      <c r="DG78" s="467" t="n"/>
      <c r="DH78" s="467" t="n"/>
      <c r="DI78" s="467" t="inlineStr">
        <is>
          <t>0.000</t>
        </is>
      </c>
      <c r="DJ78" s="467" t="n"/>
      <c r="DK78" s="467" t="n"/>
      <c r="DL78" s="467" t="n"/>
      <c r="DM78" s="467" t="n"/>
      <c r="DN78" s="467" t="n"/>
      <c r="DO78" s="467" t="n"/>
      <c r="DP78" s="467" t="inlineStr">
        <is>
          <t>998313</t>
        </is>
      </c>
      <c r="DQ78" s="467" t="n">
        <v>0</v>
      </c>
      <c r="DR78" s="467" t="n"/>
      <c r="DS78" s="467" t="n"/>
      <c r="DT78" s="467" t="n"/>
      <c r="DU78" s="467" t="n"/>
      <c r="DV78" s="467" t="n"/>
      <c r="DW78" s="467" t="n"/>
      <c r="DX78" s="467" t="inlineStr">
        <is>
          <t>service</t>
        </is>
      </c>
      <c r="DY78" s="467" t="n"/>
      <c r="DZ78" s="467" t="n"/>
      <c r="EA78" s="467" t="n"/>
      <c r="EB78" s="467" t="n"/>
      <c r="EC78" s="467" t="n"/>
      <c r="ED78" s="467" t="n"/>
      <c r="EE78" s="467" t="n"/>
      <c r="EF78" s="467" t="n"/>
      <c r="EG78" s="467" t="n"/>
      <c r="EH78" s="467" t="inlineStr">
        <is>
          <t>Others</t>
        </is>
      </c>
      <c r="EI78" s="467" t="n"/>
      <c r="EJ78" s="467" t="n"/>
      <c r="EK78" s="467" t="inlineStr">
        <is>
          <t>Sales</t>
        </is>
      </c>
      <c r="EL78" s="467" t="n"/>
      <c r="EM78" s="467" t="inlineStr">
        <is>
          <t>Taxable</t>
        </is>
      </c>
      <c r="EN78" s="467" t="inlineStr">
        <is>
          <t>2297152000000031213</t>
        </is>
      </c>
      <c r="EO78" s="467" t="inlineStr">
        <is>
          <t>GST18</t>
        </is>
      </c>
      <c r="EP78" s="467" t="inlineStr">
        <is>
          <t>18.00</t>
        </is>
      </c>
      <c r="EQ78" s="467" t="n">
        <v>762.72</v>
      </c>
      <c r="ER78" s="467" t="inlineStr">
        <is>
          <t>Tax Group</t>
        </is>
      </c>
      <c r="ES78" s="467" t="n"/>
      <c r="ET78" s="467" t="n"/>
    </row>
    <row r="79" ht="13.5" customHeight="1" s="253">
      <c r="A79" s="466" t="n">
        <v>45777</v>
      </c>
      <c r="B79" s="467" t="inlineStr">
        <is>
          <t>2297152000000132507</t>
        </is>
      </c>
      <c r="C79" s="467" t="inlineStr">
        <is>
          <t>INV-25-26-000080</t>
        </is>
      </c>
      <c r="D79" s="467" t="inlineStr">
        <is>
          <t>Closed</t>
        </is>
      </c>
      <c r="E79" s="467" t="inlineStr">
        <is>
          <t>2297152000000062113</t>
        </is>
      </c>
      <c r="F79" s="467" t="inlineStr">
        <is>
          <t>SRCO Legal / Salvador Raghav &amp; Co.</t>
        </is>
      </c>
      <c r="G79" s="467" t="inlineStr">
        <is>
          <t>DL</t>
        </is>
      </c>
      <c r="H79" s="467" t="inlineStr">
        <is>
          <t>07-Delhi</t>
        </is>
      </c>
      <c r="I79" s="467" t="inlineStr">
        <is>
          <t>business_none</t>
        </is>
      </c>
      <c r="J79" s="467" t="inlineStr">
        <is>
          <t>false</t>
        </is>
      </c>
      <c r="K79" s="466" t="n">
        <v>45777</v>
      </c>
      <c r="L79" s="467" t="n"/>
      <c r="M79" s="467" t="inlineStr">
        <is>
          <t>INR</t>
        </is>
      </c>
      <c r="N79" s="467" t="n">
        <v>1</v>
      </c>
      <c r="O79" s="467" t="inlineStr">
        <is>
          <t>item_level</t>
        </is>
      </c>
      <c r="P79" s="467" t="inlineStr">
        <is>
          <t>true</t>
        </is>
      </c>
      <c r="Q79" s="467" t="inlineStr">
        <is>
          <t>Tax Invoice</t>
        </is>
      </c>
      <c r="R79" s="467" t="inlineStr">
        <is>
          <t>0.00</t>
        </is>
      </c>
      <c r="S79" s="467" t="n"/>
      <c r="T79" s="467" t="n"/>
      <c r="U79" s="467" t="inlineStr">
        <is>
          <t>item_level</t>
        </is>
      </c>
      <c r="V79" s="467" t="n"/>
      <c r="W79" s="467" t="inlineStr">
        <is>
          <t>0.00</t>
        </is>
      </c>
      <c r="X79" s="467" t="n"/>
      <c r="Y79" s="467" t="n"/>
      <c r="Z79" s="467" t="inlineStr">
        <is>
          <t>0.000</t>
        </is>
      </c>
      <c r="AA79" s="467" t="n">
        <v>6779.66</v>
      </c>
      <c r="AB79" s="467" t="n">
        <v>8000</v>
      </c>
      <c r="AC79" s="467" t="n">
        <v>0</v>
      </c>
      <c r="AD79" s="467" t="n">
        <v>0</v>
      </c>
      <c r="AE79" s="467" t="inlineStr">
        <is>
          <t>Adjustment</t>
        </is>
      </c>
      <c r="AF79" s="467" t="n"/>
      <c r="AG79" s="466" t="n">
        <v>45777</v>
      </c>
      <c r="AH79" s="467" t="inlineStr">
        <is>
          <t>0</t>
        </is>
      </c>
      <c r="AI79" s="467" t="inlineStr">
        <is>
          <t>Due on Receipt</t>
        </is>
      </c>
      <c r="AJ79" s="467" t="inlineStr">
        <is>
          <t>Thanks for your business.</t>
        </is>
      </c>
      <c r="AK79" s="467" t="n"/>
      <c r="AL79" s="467" t="n"/>
      <c r="AM79" s="467" t="n"/>
      <c r="AN79" s="467" t="n"/>
      <c r="AO79" s="467" t="n"/>
      <c r="AP79" s="467" t="n"/>
      <c r="AQ79" s="467" t="n"/>
      <c r="AR79" s="467" t="n"/>
      <c r="AS79" s="467" t="n"/>
      <c r="AT79" s="467" t="inlineStr">
        <is>
          <t>Invoice</t>
        </is>
      </c>
      <c r="AU79" s="467" t="inlineStr">
        <is>
          <t>0.0</t>
        </is>
      </c>
      <c r="AV79" s="467" t="n">
        <v>0</v>
      </c>
      <c r="AW79" s="467" t="n"/>
      <c r="AX79" s="467" t="n"/>
      <c r="AY79" s="467" t="n"/>
      <c r="AZ79" s="467" t="n"/>
      <c r="BA79" s="467" t="n"/>
      <c r="BB79" s="467" t="n"/>
      <c r="BC79" s="467" t="n"/>
      <c r="BD79" s="467" t="inlineStr">
        <is>
          <t>Jurisphere Enterprise Subscription</t>
        </is>
      </c>
      <c r="BE79" s="467" t="inlineStr">
        <is>
          <t>Subscription Period- Apr 25 Monthly Invoicing for Annual Subscription from Oct 29, 2024 to Oct 29, 2025</t>
        </is>
      </c>
      <c r="BF79" s="467" t="n">
        <v>1</v>
      </c>
      <c r="BG79" s="467" t="inlineStr">
        <is>
          <t>0.00</t>
        </is>
      </c>
      <c r="BH79" s="467" t="inlineStr">
        <is>
          <t>0.00</t>
        </is>
      </c>
      <c r="BI79" s="467" t="n">
        <v>6779.66</v>
      </c>
      <c r="BJ79" s="467" t="inlineStr">
        <is>
          <t>pcs</t>
        </is>
      </c>
      <c r="BK79" s="467" t="n">
        <v>6779.66</v>
      </c>
      <c r="BL79" s="467" t="inlineStr">
        <is>
          <t>2297152000000039748</t>
        </is>
      </c>
      <c r="BM79" s="467" t="n"/>
      <c r="BN79" s="467" t="n"/>
      <c r="BO79" s="467" t="n"/>
      <c r="BP79" s="467" t="n"/>
      <c r="BQ79" s="467" t="n"/>
      <c r="BR79" s="467" t="n"/>
      <c r="BS79" s="467" t="n"/>
      <c r="BT79" s="467" t="n"/>
      <c r="BU79" s="467" t="n"/>
      <c r="BV79" s="467" t="n"/>
      <c r="BW79" s="467" t="n"/>
      <c r="BX79" s="467" t="n"/>
      <c r="BY79" s="467" t="n"/>
      <c r="BZ79" s="467" t="n"/>
      <c r="CA79" s="467" t="n"/>
      <c r="CB79" s="467" t="n"/>
      <c r="CC79" s="467" t="n"/>
      <c r="CD79" s="467" t="n"/>
      <c r="CE79" s="467" t="n"/>
      <c r="CF79" s="467" t="n"/>
      <c r="CG79" s="467" t="n"/>
      <c r="CH79" s="467" t="n"/>
      <c r="CI79" s="467" t="inlineStr">
        <is>
          <t>Coresphere100 Technologies Pvt. Ltd.</t>
        </is>
      </c>
      <c r="CJ79" s="467" t="inlineStr">
        <is>
          <t>09AALCC7037K1Z7</t>
        </is>
      </c>
      <c r="CK79" s="467" t="inlineStr">
        <is>
          <t>16026, 16th Floor, Tower Oakwood,</t>
        </is>
      </c>
      <c r="CL79" s="467" t="inlineStr">
        <is>
          <t>Greater Noida,</t>
        </is>
      </c>
      <c r="CM79" s="467" t="inlineStr">
        <is>
          <t>Uttar Pradesh</t>
        </is>
      </c>
      <c r="CN79" s="467" t="inlineStr">
        <is>
          <t>India</t>
        </is>
      </c>
      <c r="CO79" s="467" t="inlineStr">
        <is>
          <t>201306</t>
        </is>
      </c>
      <c r="CP79" s="467" t="inlineStr">
        <is>
          <t>8928163657</t>
        </is>
      </c>
      <c r="CQ79" s="467" t="inlineStr">
        <is>
          <t>manas@jurisphere.ai</t>
        </is>
      </c>
      <c r="CR79" s="467" t="inlineStr">
        <is>
          <t>0.00</t>
        </is>
      </c>
      <c r="CS79" s="467" t="inlineStr">
        <is>
          <t>0.00</t>
        </is>
      </c>
      <c r="CT79" s="467" t="inlineStr">
        <is>
          <t>18.00</t>
        </is>
      </c>
      <c r="CU79" s="467" t="inlineStr">
        <is>
          <t>0.00</t>
        </is>
      </c>
      <c r="CV79" s="467" t="inlineStr">
        <is>
          <t>0.00</t>
        </is>
      </c>
      <c r="CW79" s="467" t="inlineStr">
        <is>
          <t>0.00</t>
        </is>
      </c>
      <c r="CX79" s="467" t="inlineStr">
        <is>
          <t>1220.34</t>
        </is>
      </c>
      <c r="CY79" s="467" t="inlineStr">
        <is>
          <t>0.00</t>
        </is>
      </c>
      <c r="CZ79" s="467" t="inlineStr">
        <is>
          <t>0.00</t>
        </is>
      </c>
      <c r="DA79" s="467" t="inlineStr">
        <is>
          <t>0.00</t>
        </is>
      </c>
      <c r="DB79" s="467" t="inlineStr">
        <is>
          <t>1220.34</t>
        </is>
      </c>
      <c r="DC79" s="467" t="inlineStr">
        <is>
          <t>0.00</t>
        </is>
      </c>
      <c r="DD79" s="467" t="n"/>
      <c r="DE79" s="467" t="n"/>
      <c r="DF79" s="467" t="n"/>
      <c r="DG79" s="467" t="n"/>
      <c r="DH79" s="467" t="n"/>
      <c r="DI79" s="467" t="inlineStr">
        <is>
          <t>0.000</t>
        </is>
      </c>
      <c r="DJ79" s="467" t="n"/>
      <c r="DK79" s="467" t="n"/>
      <c r="DL79" s="467" t="n"/>
      <c r="DM79" s="467" t="n"/>
      <c r="DN79" s="467" t="n"/>
      <c r="DO79" s="467" t="n"/>
      <c r="DP79" s="467" t="inlineStr">
        <is>
          <t>998313</t>
        </is>
      </c>
      <c r="DQ79" s="467" t="n">
        <v>0</v>
      </c>
      <c r="DR79" s="467" t="n"/>
      <c r="DS79" s="467" t="n"/>
      <c r="DT79" s="467" t="n"/>
      <c r="DU79" s="467" t="n"/>
      <c r="DV79" s="467" t="n"/>
      <c r="DW79" s="467" t="n"/>
      <c r="DX79" s="467" t="inlineStr">
        <is>
          <t>service</t>
        </is>
      </c>
      <c r="DY79" s="467" t="n"/>
      <c r="DZ79" s="467" t="n"/>
      <c r="EA79" s="467" t="n"/>
      <c r="EB79" s="467" t="n"/>
      <c r="EC79" s="467" t="n"/>
      <c r="ED79" s="467" t="n"/>
      <c r="EE79" s="467" t="n"/>
      <c r="EF79" s="467" t="n"/>
      <c r="EG79" s="467" t="n"/>
      <c r="EH79" s="467" t="inlineStr">
        <is>
          <t>Others</t>
        </is>
      </c>
      <c r="EI79" s="467" t="n"/>
      <c r="EJ79" s="467" t="n"/>
      <c r="EK79" s="467" t="inlineStr">
        <is>
          <t>Sales</t>
        </is>
      </c>
      <c r="EL79" s="467" t="n"/>
      <c r="EM79" s="467" t="inlineStr">
        <is>
          <t>Taxable</t>
        </is>
      </c>
      <c r="EN79" s="467" t="inlineStr">
        <is>
          <t>2297152000000031111</t>
        </is>
      </c>
      <c r="EO79" s="467" t="inlineStr">
        <is>
          <t>IGST18</t>
        </is>
      </c>
      <c r="EP79" s="467" t="inlineStr">
        <is>
          <t>18.00</t>
        </is>
      </c>
      <c r="EQ79" s="467" t="n">
        <v>1220.34</v>
      </c>
      <c r="ER79" s="467" t="inlineStr">
        <is>
          <t>ItemAmount</t>
        </is>
      </c>
      <c r="ES79" s="467" t="n"/>
      <c r="ET79" s="467" t="n"/>
    </row>
    <row r="80" ht="13.5" customHeight="1" s="253">
      <c r="A80" s="466" t="n">
        <v>45777</v>
      </c>
      <c r="B80" s="467" t="inlineStr">
        <is>
          <t>2297152000000132521</t>
        </is>
      </c>
      <c r="C80" s="469" t="inlineStr">
        <is>
          <t>INV-25-26-000081</t>
        </is>
      </c>
      <c r="D80" s="467" t="inlineStr">
        <is>
          <t>Closed</t>
        </is>
      </c>
      <c r="E80" s="467" t="inlineStr">
        <is>
          <t>2297152000000061001</t>
        </is>
      </c>
      <c r="F80" s="467" t="inlineStr">
        <is>
          <t>B2C</t>
        </is>
      </c>
      <c r="G80" s="467" t="inlineStr">
        <is>
          <t>UP</t>
        </is>
      </c>
      <c r="H80" s="467" t="inlineStr">
        <is>
          <t>09-Uttar Pradesh</t>
        </is>
      </c>
      <c r="I80" s="467" t="inlineStr">
        <is>
          <t>business_none</t>
        </is>
      </c>
      <c r="J80" s="467" t="inlineStr">
        <is>
          <t>false</t>
        </is>
      </c>
      <c r="K80" s="466" t="n">
        <v>45777</v>
      </c>
      <c r="L80" s="467" t="n"/>
      <c r="M80" s="467" t="inlineStr">
        <is>
          <t>INR</t>
        </is>
      </c>
      <c r="N80" s="467" t="n">
        <v>1</v>
      </c>
      <c r="O80" s="467" t="inlineStr">
        <is>
          <t>item_level</t>
        </is>
      </c>
      <c r="P80" s="467" t="inlineStr">
        <is>
          <t>true</t>
        </is>
      </c>
      <c r="Q80" s="467" t="inlineStr">
        <is>
          <t>Tax Invoice</t>
        </is>
      </c>
      <c r="R80" s="467" t="inlineStr">
        <is>
          <t>0.00</t>
        </is>
      </c>
      <c r="S80" s="467" t="n"/>
      <c r="T80" s="467" t="n"/>
      <c r="U80" s="467" t="inlineStr">
        <is>
          <t>item_level</t>
        </is>
      </c>
      <c r="V80" s="467" t="n"/>
      <c r="W80" s="467" t="inlineStr">
        <is>
          <t>0.00</t>
        </is>
      </c>
      <c r="X80" s="467" t="n"/>
      <c r="Y80" s="467" t="n"/>
      <c r="Z80" s="467" t="inlineStr">
        <is>
          <t>0.000</t>
        </is>
      </c>
      <c r="AA80" s="467" t="n">
        <v>5497.46</v>
      </c>
      <c r="AB80" s="469" t="n">
        <v>6487</v>
      </c>
      <c r="AC80" s="467" t="n">
        <v>0</v>
      </c>
      <c r="AD80" s="467" t="n">
        <v>0</v>
      </c>
      <c r="AE80" s="467" t="inlineStr">
        <is>
          <t>Adjustment</t>
        </is>
      </c>
      <c r="AF80" s="467" t="n"/>
      <c r="AG80" s="466" t="n">
        <v>45777</v>
      </c>
      <c r="AH80" s="467" t="inlineStr">
        <is>
          <t>0</t>
        </is>
      </c>
      <c r="AI80" s="467" t="inlineStr">
        <is>
          <t>Due on Receipt</t>
        </is>
      </c>
      <c r="AJ80" s="467" t="inlineStr">
        <is>
          <t>Thanks for your business.</t>
        </is>
      </c>
      <c r="AK80" s="467" t="n"/>
      <c r="AL80" s="467" t="n"/>
      <c r="AM80" s="467" t="n"/>
      <c r="AN80" s="467" t="n"/>
      <c r="AO80" s="467" t="n"/>
      <c r="AP80" s="467" t="n"/>
      <c r="AQ80" s="467" t="n"/>
      <c r="AR80" s="467" t="n"/>
      <c r="AS80" s="467" t="n"/>
      <c r="AT80" s="467" t="inlineStr">
        <is>
          <t>Invoice</t>
        </is>
      </c>
      <c r="AU80" s="467" t="inlineStr">
        <is>
          <t>0.0</t>
        </is>
      </c>
      <c r="AV80" s="467" t="n">
        <v>0</v>
      </c>
      <c r="AW80" s="467" t="n"/>
      <c r="AX80" s="467" t="n"/>
      <c r="AY80" s="467" t="n"/>
      <c r="AZ80" s="467" t="n"/>
      <c r="BA80" s="467" t="n"/>
      <c r="BB80" s="467" t="n"/>
      <c r="BC80" s="467" t="n"/>
      <c r="BD80" s="467" t="inlineStr">
        <is>
          <t>Jurisphere Enterprise Subscription</t>
        </is>
      </c>
      <c r="BE80" s="467" t="inlineStr">
        <is>
          <t>B2C Sales from 17th Apr to 30th Apr 25</t>
        </is>
      </c>
      <c r="BF80" s="467" t="n">
        <v>1</v>
      </c>
      <c r="BG80" s="467" t="inlineStr">
        <is>
          <t>0.00</t>
        </is>
      </c>
      <c r="BH80" s="467" t="inlineStr">
        <is>
          <t>0.00</t>
        </is>
      </c>
      <c r="BI80" s="467" t="n">
        <v>5497.46</v>
      </c>
      <c r="BJ80" s="467" t="inlineStr">
        <is>
          <t>pcs</t>
        </is>
      </c>
      <c r="BK80" s="467" t="n">
        <v>5497.46</v>
      </c>
      <c r="BL80" s="467" t="inlineStr">
        <is>
          <t>2297152000000039748</t>
        </is>
      </c>
      <c r="BM80" s="467" t="n"/>
      <c r="BN80" s="467" t="n"/>
      <c r="BO80" s="467" t="n"/>
      <c r="BP80" s="467" t="n"/>
      <c r="BQ80" s="467" t="n"/>
      <c r="BR80" s="467" t="n"/>
      <c r="BS80" s="467" t="n"/>
      <c r="BT80" s="467" t="n"/>
      <c r="BU80" s="467" t="n"/>
      <c r="BV80" s="467" t="n"/>
      <c r="BW80" s="467" t="n"/>
      <c r="BX80" s="467" t="n"/>
      <c r="BY80" s="467" t="n"/>
      <c r="BZ80" s="467" t="n"/>
      <c r="CA80" s="467" t="n"/>
      <c r="CB80" s="467" t="n"/>
      <c r="CC80" s="467" t="n"/>
      <c r="CD80" s="467" t="n"/>
      <c r="CE80" s="467" t="n"/>
      <c r="CF80" s="467" t="n"/>
      <c r="CG80" s="467" t="n"/>
      <c r="CH80" s="467" t="n"/>
      <c r="CI80" s="467" t="inlineStr">
        <is>
          <t>Coresphere100 Technologies Pvt. Ltd.</t>
        </is>
      </c>
      <c r="CJ80" s="467" t="inlineStr">
        <is>
          <t>09AALCC7037K1Z7</t>
        </is>
      </c>
      <c r="CK80" s="467" t="inlineStr">
        <is>
          <t>16026, 16th Floor, Tower Oakwood,</t>
        </is>
      </c>
      <c r="CL80" s="467" t="inlineStr">
        <is>
          <t>Greater Noida,</t>
        </is>
      </c>
      <c r="CM80" s="467" t="inlineStr">
        <is>
          <t>Uttar Pradesh</t>
        </is>
      </c>
      <c r="CN80" s="467" t="inlineStr">
        <is>
          <t>India</t>
        </is>
      </c>
      <c r="CO80" s="467" t="inlineStr">
        <is>
          <t>201306</t>
        </is>
      </c>
      <c r="CP80" s="467" t="inlineStr">
        <is>
          <t>8928163657</t>
        </is>
      </c>
      <c r="CQ80" s="467" t="inlineStr">
        <is>
          <t>manas@jurisphere.ai</t>
        </is>
      </c>
      <c r="CR80" s="467" t="inlineStr">
        <is>
          <t>9.00</t>
        </is>
      </c>
      <c r="CS80" s="467" t="inlineStr">
        <is>
          <t>9.00</t>
        </is>
      </c>
      <c r="CT80" s="467" t="inlineStr">
        <is>
          <t>0.00</t>
        </is>
      </c>
      <c r="CU80" s="467" t="inlineStr">
        <is>
          <t>0.00</t>
        </is>
      </c>
      <c r="CV80" s="467" t="inlineStr">
        <is>
          <t>494.77</t>
        </is>
      </c>
      <c r="CW80" s="467" t="inlineStr">
        <is>
          <t>494.77</t>
        </is>
      </c>
      <c r="CX80" s="467" t="inlineStr">
        <is>
          <t>0.00</t>
        </is>
      </c>
      <c r="CY80" s="467" t="inlineStr">
        <is>
          <t>0.00</t>
        </is>
      </c>
      <c r="CZ80" s="467" t="inlineStr">
        <is>
          <t>494.77</t>
        </is>
      </c>
      <c r="DA80" s="467" t="inlineStr">
        <is>
          <t>494.77</t>
        </is>
      </c>
      <c r="DB80" s="467" t="inlineStr">
        <is>
          <t>0.00</t>
        </is>
      </c>
      <c r="DC80" s="467" t="inlineStr">
        <is>
          <t>0.00</t>
        </is>
      </c>
      <c r="DD80" s="467" t="n"/>
      <c r="DE80" s="467" t="n"/>
      <c r="DF80" s="467" t="n"/>
      <c r="DG80" s="467" t="n"/>
      <c r="DH80" s="467" t="n"/>
      <c r="DI80" s="467" t="inlineStr">
        <is>
          <t>0.000</t>
        </is>
      </c>
      <c r="DJ80" s="467" t="n"/>
      <c r="DK80" s="467" t="n"/>
      <c r="DL80" s="467" t="n"/>
      <c r="DM80" s="467" t="n"/>
      <c r="DN80" s="467" t="n"/>
      <c r="DO80" s="467" t="n"/>
      <c r="DP80" s="467" t="inlineStr">
        <is>
          <t>998313</t>
        </is>
      </c>
      <c r="DQ80" s="467" t="n">
        <v>0</v>
      </c>
      <c r="DR80" s="467" t="n"/>
      <c r="DS80" s="467" t="n"/>
      <c r="DT80" s="467" t="n"/>
      <c r="DU80" s="467" t="n"/>
      <c r="DV80" s="467" t="n"/>
      <c r="DW80" s="467" t="n"/>
      <c r="DX80" s="467" t="inlineStr">
        <is>
          <t>service</t>
        </is>
      </c>
      <c r="DY80" s="467" t="n"/>
      <c r="DZ80" s="467" t="n"/>
      <c r="EA80" s="467" t="n"/>
      <c r="EB80" s="467" t="n"/>
      <c r="EC80" s="467" t="n"/>
      <c r="ED80" s="467" t="n"/>
      <c r="EE80" s="467" t="n"/>
      <c r="EF80" s="467" t="n"/>
      <c r="EG80" s="467" t="n"/>
      <c r="EH80" s="467" t="inlineStr">
        <is>
          <t>Others</t>
        </is>
      </c>
      <c r="EI80" s="467" t="n"/>
      <c r="EJ80" s="467" t="n"/>
      <c r="EK80" s="467" t="inlineStr">
        <is>
          <t>Sales</t>
        </is>
      </c>
      <c r="EL80" s="467" t="n"/>
      <c r="EM80" s="467" t="inlineStr">
        <is>
          <t>Taxable</t>
        </is>
      </c>
      <c r="EN80" s="467" t="inlineStr">
        <is>
          <t>2297152000000031213</t>
        </is>
      </c>
      <c r="EO80" s="467" t="inlineStr">
        <is>
          <t>GST18</t>
        </is>
      </c>
      <c r="EP80" s="467" t="inlineStr">
        <is>
          <t>18.00</t>
        </is>
      </c>
      <c r="EQ80" s="467" t="n">
        <v>989.54</v>
      </c>
      <c r="ER80" s="467" t="inlineStr">
        <is>
          <t>Tax Group</t>
        </is>
      </c>
      <c r="ES80" s="467" t="n"/>
      <c r="ET80" s="467" t="n"/>
    </row>
    <row r="81" ht="13.5" customHeight="1" s="253">
      <c r="A81" s="466" t="n">
        <v>45777</v>
      </c>
      <c r="B81" s="467" t="inlineStr">
        <is>
          <t>2297152000000132535</t>
        </is>
      </c>
      <c r="C81" s="469" t="inlineStr">
        <is>
          <t>INV-25-26-000082</t>
        </is>
      </c>
      <c r="D81" s="467" t="inlineStr">
        <is>
          <t>Closed</t>
        </is>
      </c>
      <c r="E81" s="467" t="inlineStr">
        <is>
          <t>2297152000000061001</t>
        </is>
      </c>
      <c r="F81" s="467" t="inlineStr">
        <is>
          <t>B2C</t>
        </is>
      </c>
      <c r="G81" s="467" t="inlineStr">
        <is>
          <t>UP</t>
        </is>
      </c>
      <c r="H81" s="467" t="inlineStr">
        <is>
          <t>09-Uttar Pradesh</t>
        </is>
      </c>
      <c r="I81" s="467" t="inlineStr">
        <is>
          <t>business_none</t>
        </is>
      </c>
      <c r="J81" s="467" t="inlineStr">
        <is>
          <t>false</t>
        </is>
      </c>
      <c r="K81" s="466" t="n">
        <v>45777</v>
      </c>
      <c r="L81" s="467" t="n"/>
      <c r="M81" s="467" t="inlineStr">
        <is>
          <t>INR</t>
        </is>
      </c>
      <c r="N81" s="467" t="n">
        <v>1</v>
      </c>
      <c r="O81" s="467" t="inlineStr">
        <is>
          <t>item_level</t>
        </is>
      </c>
      <c r="P81" s="467" t="inlineStr">
        <is>
          <t>true</t>
        </is>
      </c>
      <c r="Q81" s="467" t="inlineStr">
        <is>
          <t>Tax Invoice</t>
        </is>
      </c>
      <c r="R81" s="467" t="inlineStr">
        <is>
          <t>0.00</t>
        </is>
      </c>
      <c r="S81" s="467" t="n"/>
      <c r="T81" s="467" t="n"/>
      <c r="U81" s="467" t="inlineStr">
        <is>
          <t>item_level</t>
        </is>
      </c>
      <c r="V81" s="467" t="n"/>
      <c r="W81" s="467" t="inlineStr">
        <is>
          <t>0.00</t>
        </is>
      </c>
      <c r="X81" s="467" t="n"/>
      <c r="Y81" s="467" t="n"/>
      <c r="Z81" s="467" t="inlineStr">
        <is>
          <t>0.000</t>
        </is>
      </c>
      <c r="AA81" s="467" t="n">
        <v>5000</v>
      </c>
      <c r="AB81" s="470" t="n">
        <v>5900</v>
      </c>
      <c r="AC81" s="467" t="n">
        <v>0</v>
      </c>
      <c r="AD81" s="467" t="n">
        <v>0</v>
      </c>
      <c r="AE81" s="467" t="inlineStr">
        <is>
          <t>Adjustment</t>
        </is>
      </c>
      <c r="AF81" s="467" t="n"/>
      <c r="AG81" s="466" t="n">
        <v>45777</v>
      </c>
      <c r="AH81" s="467" t="inlineStr">
        <is>
          <t>0</t>
        </is>
      </c>
      <c r="AI81" s="467" t="inlineStr">
        <is>
          <t>Due on Receipt</t>
        </is>
      </c>
      <c r="AJ81" s="467" t="inlineStr">
        <is>
          <t>Thanks for your business.</t>
        </is>
      </c>
      <c r="AK81" s="467" t="n"/>
      <c r="AL81" s="467" t="n"/>
      <c r="AM81" s="467" t="n"/>
      <c r="AN81" s="467" t="n"/>
      <c r="AO81" s="467" t="n"/>
      <c r="AP81" s="467" t="n"/>
      <c r="AQ81" s="467" t="n"/>
      <c r="AR81" s="467" t="n"/>
      <c r="AS81" s="467" t="n"/>
      <c r="AT81" s="467" t="inlineStr">
        <is>
          <t>Invoice</t>
        </is>
      </c>
      <c r="AU81" s="467" t="inlineStr">
        <is>
          <t>0.0</t>
        </is>
      </c>
      <c r="AV81" s="467" t="n">
        <v>0</v>
      </c>
      <c r="AW81" s="467" t="n"/>
      <c r="AX81" s="467" t="n"/>
      <c r="AY81" s="467" t="n"/>
      <c r="AZ81" s="467" t="n"/>
      <c r="BA81" s="467" t="n"/>
      <c r="BB81" s="467" t="n"/>
      <c r="BC81" s="467" t="n"/>
      <c r="BD81" s="467" t="inlineStr">
        <is>
          <t>Jurisphere Enterprise Subscription</t>
        </is>
      </c>
      <c r="BE81" s="467" t="inlineStr">
        <is>
          <t>awaisahmedji@gmail.com</t>
        </is>
      </c>
      <c r="BF81" s="467" t="n">
        <v>1</v>
      </c>
      <c r="BG81" s="467" t="inlineStr">
        <is>
          <t>0.00</t>
        </is>
      </c>
      <c r="BH81" s="467" t="inlineStr">
        <is>
          <t>0.00</t>
        </is>
      </c>
      <c r="BI81" s="467" t="n">
        <v>5000</v>
      </c>
      <c r="BJ81" s="467" t="inlineStr">
        <is>
          <t>pcs</t>
        </is>
      </c>
      <c r="BK81" s="467" t="n">
        <v>5000</v>
      </c>
      <c r="BL81" s="467" t="inlineStr">
        <is>
          <t>2297152000000039748</t>
        </is>
      </c>
      <c r="BM81" s="467" t="n"/>
      <c r="BN81" s="467" t="n"/>
      <c r="BO81" s="467" t="n"/>
      <c r="BP81" s="467" t="n"/>
      <c r="BQ81" s="467" t="n"/>
      <c r="BR81" s="467" t="n"/>
      <c r="BS81" s="467" t="n"/>
      <c r="BT81" s="467" t="n"/>
      <c r="BU81" s="467" t="n"/>
      <c r="BV81" s="467" t="n"/>
      <c r="BW81" s="467" t="n"/>
      <c r="BX81" s="467" t="n"/>
      <c r="BY81" s="467" t="n"/>
      <c r="BZ81" s="467" t="n"/>
      <c r="CA81" s="467" t="n"/>
      <c r="CB81" s="467" t="n"/>
      <c r="CC81" s="467" t="n"/>
      <c r="CD81" s="467" t="n"/>
      <c r="CE81" s="467" t="n"/>
      <c r="CF81" s="467" t="n"/>
      <c r="CG81" s="467" t="n"/>
      <c r="CH81" s="467" t="n"/>
      <c r="CI81" s="467" t="inlineStr">
        <is>
          <t>Coresphere100 Technologies Pvt. Ltd.</t>
        </is>
      </c>
      <c r="CJ81" s="467" t="inlineStr">
        <is>
          <t>09AALCC7037K1Z7</t>
        </is>
      </c>
      <c r="CK81" s="467" t="inlineStr">
        <is>
          <t>16026, 16th Floor, Tower Oakwood,</t>
        </is>
      </c>
      <c r="CL81" s="467" t="inlineStr">
        <is>
          <t>Greater Noida,</t>
        </is>
      </c>
      <c r="CM81" s="467" t="inlineStr">
        <is>
          <t>Uttar Pradesh</t>
        </is>
      </c>
      <c r="CN81" s="467" t="inlineStr">
        <is>
          <t>India</t>
        </is>
      </c>
      <c r="CO81" s="467" t="inlineStr">
        <is>
          <t>201306</t>
        </is>
      </c>
      <c r="CP81" s="467" t="inlineStr">
        <is>
          <t>8928163657</t>
        </is>
      </c>
      <c r="CQ81" s="467" t="inlineStr">
        <is>
          <t>manas@jurisphere.ai</t>
        </is>
      </c>
      <c r="CR81" s="467" t="inlineStr">
        <is>
          <t>9.00</t>
        </is>
      </c>
      <c r="CS81" s="467" t="inlineStr">
        <is>
          <t>9.00</t>
        </is>
      </c>
      <c r="CT81" s="467" t="inlineStr">
        <is>
          <t>0.00</t>
        </is>
      </c>
      <c r="CU81" s="467" t="inlineStr">
        <is>
          <t>0.00</t>
        </is>
      </c>
      <c r="CV81" s="467" t="inlineStr">
        <is>
          <t>450.00</t>
        </is>
      </c>
      <c r="CW81" s="467" t="inlineStr">
        <is>
          <t>450.00</t>
        </is>
      </c>
      <c r="CX81" s="467" t="inlineStr">
        <is>
          <t>0.00</t>
        </is>
      </c>
      <c r="CY81" s="467" t="inlineStr">
        <is>
          <t>0.00</t>
        </is>
      </c>
      <c r="CZ81" s="467" t="inlineStr">
        <is>
          <t>450.00</t>
        </is>
      </c>
      <c r="DA81" s="467" t="inlineStr">
        <is>
          <t>450.00</t>
        </is>
      </c>
      <c r="DB81" s="467" t="inlineStr">
        <is>
          <t>0.00</t>
        </is>
      </c>
      <c r="DC81" s="467" t="inlineStr">
        <is>
          <t>0.00</t>
        </is>
      </c>
      <c r="DD81" s="467" t="n"/>
      <c r="DE81" s="467" t="n"/>
      <c r="DF81" s="467" t="n"/>
      <c r="DG81" s="467" t="n"/>
      <c r="DH81" s="467" t="n"/>
      <c r="DI81" s="467" t="inlineStr">
        <is>
          <t>0.000</t>
        </is>
      </c>
      <c r="DJ81" s="467" t="n"/>
      <c r="DK81" s="467" t="n"/>
      <c r="DL81" s="467" t="n"/>
      <c r="DM81" s="467" t="n"/>
      <c r="DN81" s="467" t="n"/>
      <c r="DO81" s="467" t="n"/>
      <c r="DP81" s="467" t="inlineStr">
        <is>
          <t>998313</t>
        </is>
      </c>
      <c r="DQ81" s="467" t="n">
        <v>0</v>
      </c>
      <c r="DR81" s="467" t="n"/>
      <c r="DS81" s="467" t="n"/>
      <c r="DT81" s="467" t="n"/>
      <c r="DU81" s="467" t="n"/>
      <c r="DV81" s="467" t="n"/>
      <c r="DW81" s="467" t="n"/>
      <c r="DX81" s="467" t="inlineStr">
        <is>
          <t>service</t>
        </is>
      </c>
      <c r="DY81" s="467" t="n"/>
      <c r="DZ81" s="467" t="n"/>
      <c r="EA81" s="467" t="n"/>
      <c r="EB81" s="467" t="n"/>
      <c r="EC81" s="467" t="n"/>
      <c r="ED81" s="467" t="n"/>
      <c r="EE81" s="467" t="n"/>
      <c r="EF81" s="467" t="n"/>
      <c r="EG81" s="467" t="n"/>
      <c r="EH81" s="467" t="inlineStr">
        <is>
          <t>Others</t>
        </is>
      </c>
      <c r="EI81" s="467" t="n"/>
      <c r="EJ81" s="467" t="n"/>
      <c r="EK81" s="467" t="inlineStr">
        <is>
          <t>Sales</t>
        </is>
      </c>
      <c r="EL81" s="467" t="n"/>
      <c r="EM81" s="467" t="inlineStr">
        <is>
          <t>Taxable</t>
        </is>
      </c>
      <c r="EN81" s="467" t="inlineStr">
        <is>
          <t>2297152000000031213</t>
        </is>
      </c>
      <c r="EO81" s="467" t="inlineStr">
        <is>
          <t>GST18</t>
        </is>
      </c>
      <c r="EP81" s="467" t="inlineStr">
        <is>
          <t>18.00</t>
        </is>
      </c>
      <c r="EQ81" s="467" t="n">
        <v>900</v>
      </c>
      <c r="ER81" s="467" t="inlineStr">
        <is>
          <t>Tax Group</t>
        </is>
      </c>
      <c r="ES81" s="467" t="n"/>
      <c r="ET81" s="467" t="n"/>
    </row>
    <row r="82" ht="13.5" customHeight="1" s="253">
      <c r="A82" s="466" t="n">
        <v>45777</v>
      </c>
      <c r="B82" s="467" t="inlineStr">
        <is>
          <t>2297152000000132549</t>
        </is>
      </c>
      <c r="C82" s="467" t="inlineStr">
        <is>
          <t>INV-25-26-000083</t>
        </is>
      </c>
      <c r="D82" s="467" t="inlineStr">
        <is>
          <t>Draft</t>
        </is>
      </c>
      <c r="E82" s="467" t="inlineStr">
        <is>
          <t>2297152000000061001</t>
        </is>
      </c>
      <c r="F82" s="467" t="inlineStr">
        <is>
          <t>B2C</t>
        </is>
      </c>
      <c r="G82" s="467" t="inlineStr">
        <is>
          <t>UP</t>
        </is>
      </c>
      <c r="H82" s="467" t="inlineStr">
        <is>
          <t>09-Uttar Pradesh</t>
        </is>
      </c>
      <c r="I82" s="467" t="inlineStr">
        <is>
          <t>business_none</t>
        </is>
      </c>
      <c r="J82" s="467" t="inlineStr">
        <is>
          <t>false</t>
        </is>
      </c>
      <c r="K82" s="466" t="n">
        <v>45777</v>
      </c>
      <c r="L82" s="467" t="n"/>
      <c r="M82" s="467" t="inlineStr">
        <is>
          <t>INR</t>
        </is>
      </c>
      <c r="N82" s="467" t="n">
        <v>1</v>
      </c>
      <c r="O82" s="467" t="inlineStr">
        <is>
          <t>item_level</t>
        </is>
      </c>
      <c r="P82" s="467" t="inlineStr">
        <is>
          <t>true</t>
        </is>
      </c>
      <c r="Q82" s="467" t="inlineStr">
        <is>
          <t>Tax Invoice</t>
        </is>
      </c>
      <c r="R82" s="467" t="inlineStr">
        <is>
          <t>0.00</t>
        </is>
      </c>
      <c r="S82" s="467" t="n"/>
      <c r="T82" s="467" t="n"/>
      <c r="U82" s="467" t="inlineStr">
        <is>
          <t>item_level</t>
        </is>
      </c>
      <c r="V82" s="467" t="n"/>
      <c r="W82" s="467" t="inlineStr">
        <is>
          <t>0.00</t>
        </is>
      </c>
      <c r="X82" s="467" t="n"/>
      <c r="Y82" s="467" t="n"/>
      <c r="Z82" s="467" t="inlineStr">
        <is>
          <t>0.000</t>
        </is>
      </c>
      <c r="AA82" s="467" t="n">
        <v>1</v>
      </c>
      <c r="AB82" s="467" t="n">
        <v>1.18</v>
      </c>
      <c r="AC82" s="467" t="n">
        <v>1.18</v>
      </c>
      <c r="AD82" s="467" t="n">
        <v>0</v>
      </c>
      <c r="AE82" s="467" t="inlineStr">
        <is>
          <t>Adjustment</t>
        </is>
      </c>
      <c r="AF82" s="467" t="n"/>
      <c r="AG82" s="467" t="n"/>
      <c r="AH82" s="467" t="inlineStr">
        <is>
          <t>0</t>
        </is>
      </c>
      <c r="AI82" s="467" t="inlineStr">
        <is>
          <t>Due on Receipt</t>
        </is>
      </c>
      <c r="AJ82" s="467" t="inlineStr">
        <is>
          <t>Thanks for your business.</t>
        </is>
      </c>
      <c r="AK82" s="467" t="n"/>
      <c r="AL82" s="467" t="n"/>
      <c r="AM82" s="467" t="n"/>
      <c r="AN82" s="467" t="n"/>
      <c r="AO82" s="467" t="n"/>
      <c r="AP82" s="467" t="n"/>
      <c r="AQ82" s="467" t="n"/>
      <c r="AR82" s="467" t="n"/>
      <c r="AS82" s="467" t="n"/>
      <c r="AT82" s="467" t="inlineStr">
        <is>
          <t>Invoice</t>
        </is>
      </c>
      <c r="AU82" s="467" t="inlineStr">
        <is>
          <t>0.0</t>
        </is>
      </c>
      <c r="AV82" s="467" t="n">
        <v>0</v>
      </c>
      <c r="AW82" s="467" t="n"/>
      <c r="AX82" s="467" t="n"/>
      <c r="AY82" s="467" t="n"/>
      <c r="AZ82" s="467" t="n"/>
      <c r="BA82" s="467" t="n"/>
      <c r="BB82" s="467" t="n"/>
      <c r="BC82" s="467" t="n"/>
      <c r="BD82" s="467" t="inlineStr">
        <is>
          <t>Jurisphere Enterprise Subscription</t>
        </is>
      </c>
      <c r="BE82" s="467" t="n"/>
      <c r="BF82" s="467" t="n">
        <v>1</v>
      </c>
      <c r="BG82" s="467" t="inlineStr">
        <is>
          <t>0.00</t>
        </is>
      </c>
      <c r="BH82" s="467" t="inlineStr">
        <is>
          <t>0.00</t>
        </is>
      </c>
      <c r="BI82" s="467" t="n">
        <v>1</v>
      </c>
      <c r="BJ82" s="467" t="inlineStr">
        <is>
          <t>pcs</t>
        </is>
      </c>
      <c r="BK82" s="467" t="n">
        <v>1</v>
      </c>
      <c r="BL82" s="467" t="inlineStr">
        <is>
          <t>2297152000000039748</t>
        </is>
      </c>
      <c r="BM82" s="467" t="n"/>
      <c r="BN82" s="467" t="n"/>
      <c r="BO82" s="467" t="n"/>
      <c r="BP82" s="467" t="n"/>
      <c r="BQ82" s="467" t="n"/>
      <c r="BR82" s="467" t="n"/>
      <c r="BS82" s="467" t="n"/>
      <c r="BT82" s="467" t="n"/>
      <c r="BU82" s="467" t="n"/>
      <c r="BV82" s="467" t="n"/>
      <c r="BW82" s="467" t="n"/>
      <c r="BX82" s="467" t="n"/>
      <c r="BY82" s="467" t="n"/>
      <c r="BZ82" s="467" t="n"/>
      <c r="CA82" s="467" t="n"/>
      <c r="CB82" s="467" t="n"/>
      <c r="CC82" s="467" t="n"/>
      <c r="CD82" s="467" t="n"/>
      <c r="CE82" s="467" t="n"/>
      <c r="CF82" s="467" t="n"/>
      <c r="CG82" s="467" t="n"/>
      <c r="CH82" s="467" t="n"/>
      <c r="CI82" s="467" t="inlineStr">
        <is>
          <t>Coresphere100 Technologies Pvt. Ltd.</t>
        </is>
      </c>
      <c r="CJ82" s="467" t="inlineStr">
        <is>
          <t>09AALCC7037K1Z7</t>
        </is>
      </c>
      <c r="CK82" s="467" t="inlineStr">
        <is>
          <t>16026, 16th Floor, Tower Oakwood,</t>
        </is>
      </c>
      <c r="CL82" s="467" t="inlineStr">
        <is>
          <t>Greater Noida,</t>
        </is>
      </c>
      <c r="CM82" s="467" t="inlineStr">
        <is>
          <t>Uttar Pradesh</t>
        </is>
      </c>
      <c r="CN82" s="467" t="inlineStr">
        <is>
          <t>India</t>
        </is>
      </c>
      <c r="CO82" s="467" t="inlineStr">
        <is>
          <t>201306</t>
        </is>
      </c>
      <c r="CP82" s="467" t="inlineStr">
        <is>
          <t>8928163657</t>
        </is>
      </c>
      <c r="CQ82" s="467" t="inlineStr">
        <is>
          <t>manas@jurisphere.ai</t>
        </is>
      </c>
      <c r="CR82" s="467" t="inlineStr">
        <is>
          <t>9.00</t>
        </is>
      </c>
      <c r="CS82" s="467" t="inlineStr">
        <is>
          <t>9.00</t>
        </is>
      </c>
      <c r="CT82" s="467" t="inlineStr">
        <is>
          <t>0.00</t>
        </is>
      </c>
      <c r="CU82" s="467" t="inlineStr">
        <is>
          <t>0.00</t>
        </is>
      </c>
      <c r="CV82" s="467" t="inlineStr">
        <is>
          <t>0.09</t>
        </is>
      </c>
      <c r="CW82" s="467" t="inlineStr">
        <is>
          <t>0.09</t>
        </is>
      </c>
      <c r="CX82" s="467" t="inlineStr">
        <is>
          <t>0.00</t>
        </is>
      </c>
      <c r="CY82" s="467" t="inlineStr">
        <is>
          <t>0.00</t>
        </is>
      </c>
      <c r="CZ82" s="467" t="inlineStr">
        <is>
          <t>0.09</t>
        </is>
      </c>
      <c r="DA82" s="467" t="inlineStr">
        <is>
          <t>0.09</t>
        </is>
      </c>
      <c r="DB82" s="467" t="inlineStr">
        <is>
          <t>0.00</t>
        </is>
      </c>
      <c r="DC82" s="467" t="inlineStr">
        <is>
          <t>0.00</t>
        </is>
      </c>
      <c r="DD82" s="467" t="n"/>
      <c r="DE82" s="467" t="n"/>
      <c r="DF82" s="467" t="n"/>
      <c r="DG82" s="467" t="n"/>
      <c r="DH82" s="467" t="n"/>
      <c r="DI82" s="467" t="inlineStr">
        <is>
          <t>0.000</t>
        </is>
      </c>
      <c r="DJ82" s="467" t="n"/>
      <c r="DK82" s="467" t="n"/>
      <c r="DL82" s="467" t="n"/>
      <c r="DM82" s="467" t="n"/>
      <c r="DN82" s="467" t="n"/>
      <c r="DO82" s="467" t="n"/>
      <c r="DP82" s="467" t="inlineStr">
        <is>
          <t>998313</t>
        </is>
      </c>
      <c r="DQ82" s="467" t="n">
        <v>0</v>
      </c>
      <c r="DR82" s="467" t="n"/>
      <c r="DS82" s="467" t="n"/>
      <c r="DT82" s="467" t="n"/>
      <c r="DU82" s="467" t="n"/>
      <c r="DV82" s="467" t="n"/>
      <c r="DW82" s="467" t="n"/>
      <c r="DX82" s="467" t="inlineStr">
        <is>
          <t>service</t>
        </is>
      </c>
      <c r="DY82" s="467" t="n"/>
      <c r="DZ82" s="467" t="n"/>
      <c r="EA82" s="467" t="n"/>
      <c r="EB82" s="467" t="n"/>
      <c r="EC82" s="467" t="n"/>
      <c r="ED82" s="467" t="n"/>
      <c r="EE82" s="467" t="n"/>
      <c r="EF82" s="467" t="n"/>
      <c r="EG82" s="467" t="n"/>
      <c r="EH82" s="467" t="inlineStr">
        <is>
          <t>Others</t>
        </is>
      </c>
      <c r="EI82" s="467" t="n"/>
      <c r="EJ82" s="467" t="n"/>
      <c r="EK82" s="467" t="inlineStr">
        <is>
          <t>Sales</t>
        </is>
      </c>
      <c r="EL82" s="467" t="n"/>
      <c r="EM82" s="467" t="inlineStr">
        <is>
          <t>Taxable</t>
        </is>
      </c>
      <c r="EN82" s="467" t="inlineStr">
        <is>
          <t>2297152000000031213</t>
        </is>
      </c>
      <c r="EO82" s="467" t="inlineStr">
        <is>
          <t>GST18</t>
        </is>
      </c>
      <c r="EP82" s="467" t="inlineStr">
        <is>
          <t>18.00</t>
        </is>
      </c>
      <c r="EQ82" s="467" t="n">
        <v>0.18</v>
      </c>
      <c r="ER82" s="467" t="inlineStr">
        <is>
          <t>Tax Group</t>
        </is>
      </c>
      <c r="ES82" s="467" t="n"/>
      <c r="ET82" s="467" t="n"/>
    </row>
    <row r="83" ht="13.5" customHeight="1" s="253">
      <c r="A83" s="466" t="n">
        <v>45777</v>
      </c>
      <c r="B83" s="467" t="inlineStr">
        <is>
          <t>2297152000000132563</t>
        </is>
      </c>
      <c r="C83" s="467" t="inlineStr">
        <is>
          <t>INV-25-26-000084</t>
        </is>
      </c>
      <c r="D83" s="467" t="inlineStr">
        <is>
          <t>Draft</t>
        </is>
      </c>
      <c r="E83" s="467" t="inlineStr">
        <is>
          <t>2297152000000061001</t>
        </is>
      </c>
      <c r="F83" s="467" t="inlineStr">
        <is>
          <t>B2C</t>
        </is>
      </c>
      <c r="G83" s="467" t="inlineStr">
        <is>
          <t>UP</t>
        </is>
      </c>
      <c r="H83" s="467" t="inlineStr">
        <is>
          <t>09-Uttar Pradesh</t>
        </is>
      </c>
      <c r="I83" s="467" t="inlineStr">
        <is>
          <t>business_none</t>
        </is>
      </c>
      <c r="J83" s="467" t="inlineStr">
        <is>
          <t>false</t>
        </is>
      </c>
      <c r="K83" s="466" t="n">
        <v>45777</v>
      </c>
      <c r="L83" s="467" t="n"/>
      <c r="M83" s="467" t="inlineStr">
        <is>
          <t>INR</t>
        </is>
      </c>
      <c r="N83" s="467" t="n">
        <v>1</v>
      </c>
      <c r="O83" s="467" t="inlineStr">
        <is>
          <t>item_level</t>
        </is>
      </c>
      <c r="P83" s="467" t="inlineStr">
        <is>
          <t>true</t>
        </is>
      </c>
      <c r="Q83" s="467" t="inlineStr">
        <is>
          <t>Tax Invoice</t>
        </is>
      </c>
      <c r="R83" s="467" t="inlineStr">
        <is>
          <t>0.00</t>
        </is>
      </c>
      <c r="S83" s="467" t="n"/>
      <c r="T83" s="467" t="n"/>
      <c r="U83" s="467" t="inlineStr">
        <is>
          <t>item_level</t>
        </is>
      </c>
      <c r="V83" s="467" t="n"/>
      <c r="W83" s="467" t="inlineStr">
        <is>
          <t>0.00</t>
        </is>
      </c>
      <c r="X83" s="467" t="n"/>
      <c r="Y83" s="467" t="n"/>
      <c r="Z83" s="467" t="inlineStr">
        <is>
          <t>0.000</t>
        </is>
      </c>
      <c r="AA83" s="467" t="n">
        <v>1</v>
      </c>
      <c r="AB83" s="467" t="n">
        <v>1.18</v>
      </c>
      <c r="AC83" s="467" t="n">
        <v>1.18</v>
      </c>
      <c r="AD83" s="467" t="n">
        <v>0</v>
      </c>
      <c r="AE83" s="467" t="inlineStr">
        <is>
          <t>Adjustment</t>
        </is>
      </c>
      <c r="AF83" s="467" t="n"/>
      <c r="AG83" s="467" t="n"/>
      <c r="AH83" s="467" t="inlineStr">
        <is>
          <t>0</t>
        </is>
      </c>
      <c r="AI83" s="467" t="inlineStr">
        <is>
          <t>Due on Receipt</t>
        </is>
      </c>
      <c r="AJ83" s="467" t="inlineStr">
        <is>
          <t>Thanks for your business.</t>
        </is>
      </c>
      <c r="AK83" s="467" t="n"/>
      <c r="AL83" s="467" t="n"/>
      <c r="AM83" s="467" t="n"/>
      <c r="AN83" s="467" t="n"/>
      <c r="AO83" s="467" t="n"/>
      <c r="AP83" s="467" t="n"/>
      <c r="AQ83" s="467" t="n"/>
      <c r="AR83" s="467" t="n"/>
      <c r="AS83" s="467" t="n"/>
      <c r="AT83" s="467" t="inlineStr">
        <is>
          <t>Invoice</t>
        </is>
      </c>
      <c r="AU83" s="467" t="inlineStr">
        <is>
          <t>0.0</t>
        </is>
      </c>
      <c r="AV83" s="467" t="n">
        <v>0</v>
      </c>
      <c r="AW83" s="467" t="n"/>
      <c r="AX83" s="467" t="n"/>
      <c r="AY83" s="467" t="n"/>
      <c r="AZ83" s="467" t="n"/>
      <c r="BA83" s="467" t="n"/>
      <c r="BB83" s="467" t="n"/>
      <c r="BC83" s="467" t="n"/>
      <c r="BD83" s="467" t="inlineStr">
        <is>
          <t>Jurisphere Enterprise Subscription</t>
        </is>
      </c>
      <c r="BE83" s="467" t="n"/>
      <c r="BF83" s="467" t="n">
        <v>1</v>
      </c>
      <c r="BG83" s="467" t="inlineStr">
        <is>
          <t>0.00</t>
        </is>
      </c>
      <c r="BH83" s="467" t="inlineStr">
        <is>
          <t>0.00</t>
        </is>
      </c>
      <c r="BI83" s="467" t="n">
        <v>1</v>
      </c>
      <c r="BJ83" s="467" t="inlineStr">
        <is>
          <t>pcs</t>
        </is>
      </c>
      <c r="BK83" s="467" t="n">
        <v>1</v>
      </c>
      <c r="BL83" s="467" t="inlineStr">
        <is>
          <t>2297152000000039748</t>
        </is>
      </c>
      <c r="BM83" s="467" t="n"/>
      <c r="BN83" s="467" t="n"/>
      <c r="BO83" s="467" t="n"/>
      <c r="BP83" s="467" t="n"/>
      <c r="BQ83" s="467" t="n"/>
      <c r="BR83" s="467" t="n"/>
      <c r="BS83" s="467" t="n"/>
      <c r="BT83" s="467" t="n"/>
      <c r="BU83" s="467" t="n"/>
      <c r="BV83" s="467" t="n"/>
      <c r="BW83" s="467" t="n"/>
      <c r="BX83" s="467" t="n"/>
      <c r="BY83" s="467" t="n"/>
      <c r="BZ83" s="467" t="n"/>
      <c r="CA83" s="467" t="n"/>
      <c r="CB83" s="467" t="n"/>
      <c r="CC83" s="467" t="n"/>
      <c r="CD83" s="467" t="n"/>
      <c r="CE83" s="467" t="n"/>
      <c r="CF83" s="467" t="n"/>
      <c r="CG83" s="467" t="n"/>
      <c r="CH83" s="467" t="n"/>
      <c r="CI83" s="467" t="inlineStr">
        <is>
          <t>Coresphere100 Technologies Pvt. Ltd.</t>
        </is>
      </c>
      <c r="CJ83" s="467" t="inlineStr">
        <is>
          <t>09AALCC7037K1Z7</t>
        </is>
      </c>
      <c r="CK83" s="467" t="inlineStr">
        <is>
          <t>16026, 16th Floor, Tower Oakwood,</t>
        </is>
      </c>
      <c r="CL83" s="467" t="inlineStr">
        <is>
          <t>Greater Noida,</t>
        </is>
      </c>
      <c r="CM83" s="467" t="inlineStr">
        <is>
          <t>Uttar Pradesh</t>
        </is>
      </c>
      <c r="CN83" s="467" t="inlineStr">
        <is>
          <t>India</t>
        </is>
      </c>
      <c r="CO83" s="467" t="inlineStr">
        <is>
          <t>201306</t>
        </is>
      </c>
      <c r="CP83" s="467" t="inlineStr">
        <is>
          <t>8928163657</t>
        </is>
      </c>
      <c r="CQ83" s="467" t="inlineStr">
        <is>
          <t>manas@jurisphere.ai</t>
        </is>
      </c>
      <c r="CR83" s="467" t="inlineStr">
        <is>
          <t>9.00</t>
        </is>
      </c>
      <c r="CS83" s="467" t="inlineStr">
        <is>
          <t>9.00</t>
        </is>
      </c>
      <c r="CT83" s="467" t="inlineStr">
        <is>
          <t>0.00</t>
        </is>
      </c>
      <c r="CU83" s="467" t="inlineStr">
        <is>
          <t>0.00</t>
        </is>
      </c>
      <c r="CV83" s="467" t="inlineStr">
        <is>
          <t>0.09</t>
        </is>
      </c>
      <c r="CW83" s="467" t="inlineStr">
        <is>
          <t>0.09</t>
        </is>
      </c>
      <c r="CX83" s="467" t="inlineStr">
        <is>
          <t>0.00</t>
        </is>
      </c>
      <c r="CY83" s="467" t="inlineStr">
        <is>
          <t>0.00</t>
        </is>
      </c>
      <c r="CZ83" s="467" t="inlineStr">
        <is>
          <t>0.09</t>
        </is>
      </c>
      <c r="DA83" s="467" t="inlineStr">
        <is>
          <t>0.09</t>
        </is>
      </c>
      <c r="DB83" s="467" t="inlineStr">
        <is>
          <t>0.00</t>
        </is>
      </c>
      <c r="DC83" s="467" t="inlineStr">
        <is>
          <t>0.00</t>
        </is>
      </c>
      <c r="DD83" s="467" t="n"/>
      <c r="DE83" s="467" t="n"/>
      <c r="DF83" s="467" t="n"/>
      <c r="DG83" s="467" t="n"/>
      <c r="DH83" s="467" t="n"/>
      <c r="DI83" s="467" t="inlineStr">
        <is>
          <t>0.000</t>
        </is>
      </c>
      <c r="DJ83" s="467" t="n"/>
      <c r="DK83" s="467" t="n"/>
      <c r="DL83" s="467" t="n"/>
      <c r="DM83" s="467" t="n"/>
      <c r="DN83" s="467" t="n"/>
      <c r="DO83" s="467" t="n"/>
      <c r="DP83" s="467" t="inlineStr">
        <is>
          <t>998313</t>
        </is>
      </c>
      <c r="DQ83" s="467" t="n">
        <v>0</v>
      </c>
      <c r="DR83" s="467" t="n"/>
      <c r="DS83" s="467" t="n"/>
      <c r="DT83" s="467" t="n"/>
      <c r="DU83" s="467" t="n"/>
      <c r="DV83" s="467" t="n"/>
      <c r="DW83" s="467" t="n"/>
      <c r="DX83" s="467" t="inlineStr">
        <is>
          <t>service</t>
        </is>
      </c>
      <c r="DY83" s="467" t="n"/>
      <c r="DZ83" s="467" t="n"/>
      <c r="EA83" s="467" t="n"/>
      <c r="EB83" s="467" t="n"/>
      <c r="EC83" s="467" t="n"/>
      <c r="ED83" s="467" t="n"/>
      <c r="EE83" s="467" t="n"/>
      <c r="EF83" s="467" t="n"/>
      <c r="EG83" s="467" t="n"/>
      <c r="EH83" s="467" t="inlineStr">
        <is>
          <t>Others</t>
        </is>
      </c>
      <c r="EI83" s="467" t="n"/>
      <c r="EJ83" s="467" t="n"/>
      <c r="EK83" s="467" t="inlineStr">
        <is>
          <t>Sales</t>
        </is>
      </c>
      <c r="EL83" s="467" t="n"/>
      <c r="EM83" s="467" t="inlineStr">
        <is>
          <t>Taxable</t>
        </is>
      </c>
      <c r="EN83" s="467" t="inlineStr">
        <is>
          <t>2297152000000031213</t>
        </is>
      </c>
      <c r="EO83" s="467" t="inlineStr">
        <is>
          <t>GST18</t>
        </is>
      </c>
      <c r="EP83" s="467" t="inlineStr">
        <is>
          <t>18.00</t>
        </is>
      </c>
      <c r="EQ83" s="467" t="n">
        <v>0.18</v>
      </c>
      <c r="ER83" s="467" t="inlineStr">
        <is>
          <t>Tax Group</t>
        </is>
      </c>
      <c r="ES83" s="467" t="n"/>
      <c r="ET83" s="467" t="n"/>
    </row>
    <row r="84" ht="13.5" customHeight="1" s="253">
      <c r="A84" s="466" t="n">
        <v>45777</v>
      </c>
      <c r="B84" s="467" t="inlineStr">
        <is>
          <t>2297152000000132577</t>
        </is>
      </c>
      <c r="C84" s="467" t="inlineStr">
        <is>
          <t>INV-25-26-000085</t>
        </is>
      </c>
      <c r="D84" s="467" t="inlineStr">
        <is>
          <t>Draft</t>
        </is>
      </c>
      <c r="E84" s="467" t="inlineStr">
        <is>
          <t>2297152000000061001</t>
        </is>
      </c>
      <c r="F84" s="467" t="inlineStr">
        <is>
          <t>B2C</t>
        </is>
      </c>
      <c r="G84" s="467" t="inlineStr">
        <is>
          <t>UP</t>
        </is>
      </c>
      <c r="H84" s="467" t="inlineStr">
        <is>
          <t>09-Uttar Pradesh</t>
        </is>
      </c>
      <c r="I84" s="467" t="inlineStr">
        <is>
          <t>business_none</t>
        </is>
      </c>
      <c r="J84" s="467" t="inlineStr">
        <is>
          <t>false</t>
        </is>
      </c>
      <c r="K84" s="466" t="n">
        <v>45777</v>
      </c>
      <c r="L84" s="467" t="n"/>
      <c r="M84" s="467" t="inlineStr">
        <is>
          <t>INR</t>
        </is>
      </c>
      <c r="N84" s="467" t="n">
        <v>1</v>
      </c>
      <c r="O84" s="467" t="inlineStr">
        <is>
          <t>item_level</t>
        </is>
      </c>
      <c r="P84" s="467" t="inlineStr">
        <is>
          <t>true</t>
        </is>
      </c>
      <c r="Q84" s="467" t="inlineStr">
        <is>
          <t>Tax Invoice</t>
        </is>
      </c>
      <c r="R84" s="467" t="inlineStr">
        <is>
          <t>0.00</t>
        </is>
      </c>
      <c r="S84" s="467" t="n"/>
      <c r="T84" s="467" t="n"/>
      <c r="U84" s="467" t="inlineStr">
        <is>
          <t>item_level</t>
        </is>
      </c>
      <c r="V84" s="467" t="n"/>
      <c r="W84" s="467" t="inlineStr">
        <is>
          <t>0.00</t>
        </is>
      </c>
      <c r="X84" s="467" t="n"/>
      <c r="Y84" s="467" t="n"/>
      <c r="Z84" s="467" t="inlineStr">
        <is>
          <t>0.000</t>
        </is>
      </c>
      <c r="AA84" s="467" t="n">
        <v>1</v>
      </c>
      <c r="AB84" s="467" t="n">
        <v>1.18</v>
      </c>
      <c r="AC84" s="467" t="n">
        <v>1.18</v>
      </c>
      <c r="AD84" s="467" t="n">
        <v>0</v>
      </c>
      <c r="AE84" s="467" t="inlineStr">
        <is>
          <t>Adjustment</t>
        </is>
      </c>
      <c r="AF84" s="467" t="n"/>
      <c r="AG84" s="467" t="n"/>
      <c r="AH84" s="467" t="inlineStr">
        <is>
          <t>0</t>
        </is>
      </c>
      <c r="AI84" s="467" t="inlineStr">
        <is>
          <t>Due on Receipt</t>
        </is>
      </c>
      <c r="AJ84" s="467" t="inlineStr">
        <is>
          <t>Thanks for your business.</t>
        </is>
      </c>
      <c r="AK84" s="467" t="n"/>
      <c r="AL84" s="467" t="n"/>
      <c r="AM84" s="467" t="n"/>
      <c r="AN84" s="467" t="n"/>
      <c r="AO84" s="467" t="n"/>
      <c r="AP84" s="467" t="n"/>
      <c r="AQ84" s="467" t="n"/>
      <c r="AR84" s="467" t="n"/>
      <c r="AS84" s="467" t="n"/>
      <c r="AT84" s="467" t="inlineStr">
        <is>
          <t>Invoice</t>
        </is>
      </c>
      <c r="AU84" s="467" t="inlineStr">
        <is>
          <t>0.0</t>
        </is>
      </c>
      <c r="AV84" s="467" t="n">
        <v>0</v>
      </c>
      <c r="AW84" s="467" t="n"/>
      <c r="AX84" s="467" t="n"/>
      <c r="AY84" s="467" t="n"/>
      <c r="AZ84" s="467" t="n"/>
      <c r="BA84" s="467" t="n"/>
      <c r="BB84" s="467" t="n"/>
      <c r="BC84" s="467" t="n"/>
      <c r="BD84" s="467" t="inlineStr">
        <is>
          <t>Jurisphere Enterprise Subscription</t>
        </is>
      </c>
      <c r="BE84" s="467" t="n"/>
      <c r="BF84" s="467" t="n">
        <v>1</v>
      </c>
      <c r="BG84" s="467" t="inlineStr">
        <is>
          <t>0.00</t>
        </is>
      </c>
      <c r="BH84" s="467" t="inlineStr">
        <is>
          <t>0.00</t>
        </is>
      </c>
      <c r="BI84" s="467" t="n">
        <v>1</v>
      </c>
      <c r="BJ84" s="467" t="inlineStr">
        <is>
          <t>pcs</t>
        </is>
      </c>
      <c r="BK84" s="467" t="n">
        <v>1</v>
      </c>
      <c r="BL84" s="467" t="inlineStr">
        <is>
          <t>2297152000000039748</t>
        </is>
      </c>
      <c r="BM84" s="467" t="n"/>
      <c r="BN84" s="467" t="n"/>
      <c r="BO84" s="467" t="n"/>
      <c r="BP84" s="467" t="n"/>
      <c r="BQ84" s="467" t="n"/>
      <c r="BR84" s="467" t="n"/>
      <c r="BS84" s="467" t="n"/>
      <c r="BT84" s="467" t="n"/>
      <c r="BU84" s="467" t="n"/>
      <c r="BV84" s="467" t="n"/>
      <c r="BW84" s="467" t="n"/>
      <c r="BX84" s="467" t="n"/>
      <c r="BY84" s="467" t="n"/>
      <c r="BZ84" s="467" t="n"/>
      <c r="CA84" s="467" t="n"/>
      <c r="CB84" s="467" t="n"/>
      <c r="CC84" s="467" t="n"/>
      <c r="CD84" s="467" t="n"/>
      <c r="CE84" s="467" t="n"/>
      <c r="CF84" s="467" t="n"/>
      <c r="CG84" s="467" t="n"/>
      <c r="CH84" s="467" t="n"/>
      <c r="CI84" s="467" t="inlineStr">
        <is>
          <t>Coresphere100 Technologies Pvt. Ltd.</t>
        </is>
      </c>
      <c r="CJ84" s="467" t="inlineStr">
        <is>
          <t>09AALCC7037K1Z7</t>
        </is>
      </c>
      <c r="CK84" s="467" t="inlineStr">
        <is>
          <t>16026, 16th Floor, Tower Oakwood,</t>
        </is>
      </c>
      <c r="CL84" s="467" t="inlineStr">
        <is>
          <t>Greater Noida,</t>
        </is>
      </c>
      <c r="CM84" s="467" t="inlineStr">
        <is>
          <t>Uttar Pradesh</t>
        </is>
      </c>
      <c r="CN84" s="467" t="inlineStr">
        <is>
          <t>India</t>
        </is>
      </c>
      <c r="CO84" s="467" t="inlineStr">
        <is>
          <t>201306</t>
        </is>
      </c>
      <c r="CP84" s="467" t="inlineStr">
        <is>
          <t>8928163657</t>
        </is>
      </c>
      <c r="CQ84" s="467" t="inlineStr">
        <is>
          <t>manas@jurisphere.ai</t>
        </is>
      </c>
      <c r="CR84" s="467" t="inlineStr">
        <is>
          <t>9.00</t>
        </is>
      </c>
      <c r="CS84" s="467" t="inlineStr">
        <is>
          <t>9.00</t>
        </is>
      </c>
      <c r="CT84" s="467" t="inlineStr">
        <is>
          <t>0.00</t>
        </is>
      </c>
      <c r="CU84" s="467" t="inlineStr">
        <is>
          <t>0.00</t>
        </is>
      </c>
      <c r="CV84" s="467" t="inlineStr">
        <is>
          <t>0.09</t>
        </is>
      </c>
      <c r="CW84" s="467" t="inlineStr">
        <is>
          <t>0.09</t>
        </is>
      </c>
      <c r="CX84" s="467" t="inlineStr">
        <is>
          <t>0.00</t>
        </is>
      </c>
      <c r="CY84" s="467" t="inlineStr">
        <is>
          <t>0.00</t>
        </is>
      </c>
      <c r="CZ84" s="467" t="inlineStr">
        <is>
          <t>0.09</t>
        </is>
      </c>
      <c r="DA84" s="467" t="inlineStr">
        <is>
          <t>0.09</t>
        </is>
      </c>
      <c r="DB84" s="467" t="inlineStr">
        <is>
          <t>0.00</t>
        </is>
      </c>
      <c r="DC84" s="467" t="inlineStr">
        <is>
          <t>0.00</t>
        </is>
      </c>
      <c r="DD84" s="467" t="n"/>
      <c r="DE84" s="467" t="n"/>
      <c r="DF84" s="467" t="n"/>
      <c r="DG84" s="467" t="n"/>
      <c r="DH84" s="467" t="n"/>
      <c r="DI84" s="467" t="inlineStr">
        <is>
          <t>0.000</t>
        </is>
      </c>
      <c r="DJ84" s="467" t="n"/>
      <c r="DK84" s="467" t="n"/>
      <c r="DL84" s="467" t="n"/>
      <c r="DM84" s="467" t="n"/>
      <c r="DN84" s="467" t="n"/>
      <c r="DO84" s="467" t="n"/>
      <c r="DP84" s="467" t="inlineStr">
        <is>
          <t>998313</t>
        </is>
      </c>
      <c r="DQ84" s="467" t="n">
        <v>0</v>
      </c>
      <c r="DR84" s="467" t="n"/>
      <c r="DS84" s="467" t="n"/>
      <c r="DT84" s="467" t="n"/>
      <c r="DU84" s="467" t="n"/>
      <c r="DV84" s="467" t="n"/>
      <c r="DW84" s="467" t="n"/>
      <c r="DX84" s="467" t="inlineStr">
        <is>
          <t>service</t>
        </is>
      </c>
      <c r="DY84" s="467" t="n"/>
      <c r="DZ84" s="467" t="n"/>
      <c r="EA84" s="467" t="n"/>
      <c r="EB84" s="467" t="n"/>
      <c r="EC84" s="467" t="n"/>
      <c r="ED84" s="467" t="n"/>
      <c r="EE84" s="467" t="n"/>
      <c r="EF84" s="467" t="n"/>
      <c r="EG84" s="467" t="n"/>
      <c r="EH84" s="467" t="inlineStr">
        <is>
          <t>Others</t>
        </is>
      </c>
      <c r="EI84" s="467" t="n"/>
      <c r="EJ84" s="467" t="n"/>
      <c r="EK84" s="467" t="inlineStr">
        <is>
          <t>Sales</t>
        </is>
      </c>
      <c r="EL84" s="467" t="n"/>
      <c r="EM84" s="467" t="inlineStr">
        <is>
          <t>Taxable</t>
        </is>
      </c>
      <c r="EN84" s="467" t="inlineStr">
        <is>
          <t>2297152000000031213</t>
        </is>
      </c>
      <c r="EO84" s="467" t="inlineStr">
        <is>
          <t>GST18</t>
        </is>
      </c>
      <c r="EP84" s="467" t="inlineStr">
        <is>
          <t>18.00</t>
        </is>
      </c>
      <c r="EQ84" s="467" t="n">
        <v>0.18</v>
      </c>
      <c r="ER84" s="467" t="inlineStr">
        <is>
          <t>Tax Group</t>
        </is>
      </c>
      <c r="ES84" s="467" t="n"/>
      <c r="ET84" s="467" t="n"/>
    </row>
    <row r="85" ht="13.5" customHeight="1" s="253">
      <c r="A85" s="466" t="n">
        <v>45777</v>
      </c>
      <c r="B85" s="467" t="inlineStr">
        <is>
          <t>2297152000000132591</t>
        </is>
      </c>
      <c r="C85" s="467" t="inlineStr">
        <is>
          <t>INV-25-26-000086</t>
        </is>
      </c>
      <c r="D85" s="467" t="inlineStr">
        <is>
          <t>Draft</t>
        </is>
      </c>
      <c r="E85" s="467" t="inlineStr">
        <is>
          <t>2297152000000061001</t>
        </is>
      </c>
      <c r="F85" s="467" t="inlineStr">
        <is>
          <t>B2C</t>
        </is>
      </c>
      <c r="G85" s="467" t="inlineStr">
        <is>
          <t>UP</t>
        </is>
      </c>
      <c r="H85" s="467" t="inlineStr">
        <is>
          <t>09-Uttar Pradesh</t>
        </is>
      </c>
      <c r="I85" s="467" t="inlineStr">
        <is>
          <t>business_none</t>
        </is>
      </c>
      <c r="J85" s="467" t="inlineStr">
        <is>
          <t>false</t>
        </is>
      </c>
      <c r="K85" s="466" t="n">
        <v>45777</v>
      </c>
      <c r="L85" s="467" t="n"/>
      <c r="M85" s="467" t="inlineStr">
        <is>
          <t>INR</t>
        </is>
      </c>
      <c r="N85" s="467" t="n">
        <v>1</v>
      </c>
      <c r="O85" s="467" t="inlineStr">
        <is>
          <t>item_level</t>
        </is>
      </c>
      <c r="P85" s="467" t="inlineStr">
        <is>
          <t>true</t>
        </is>
      </c>
      <c r="Q85" s="467" t="inlineStr">
        <is>
          <t>Tax Invoice</t>
        </is>
      </c>
      <c r="R85" s="467" t="inlineStr">
        <is>
          <t>0.00</t>
        </is>
      </c>
      <c r="S85" s="467" t="n"/>
      <c r="T85" s="467" t="n"/>
      <c r="U85" s="467" t="inlineStr">
        <is>
          <t>item_level</t>
        </is>
      </c>
      <c r="V85" s="467" t="n"/>
      <c r="W85" s="467" t="inlineStr">
        <is>
          <t>0.00</t>
        </is>
      </c>
      <c r="X85" s="467" t="n"/>
      <c r="Y85" s="467" t="n"/>
      <c r="Z85" s="467" t="inlineStr">
        <is>
          <t>0.000</t>
        </is>
      </c>
      <c r="AA85" s="467" t="n">
        <v>1</v>
      </c>
      <c r="AB85" s="467" t="n">
        <v>1.18</v>
      </c>
      <c r="AC85" s="467" t="n">
        <v>1.18</v>
      </c>
      <c r="AD85" s="467" t="n">
        <v>0</v>
      </c>
      <c r="AE85" s="467" t="inlineStr">
        <is>
          <t>Adjustment</t>
        </is>
      </c>
      <c r="AF85" s="467" t="n"/>
      <c r="AG85" s="467" t="n"/>
      <c r="AH85" s="467" t="inlineStr">
        <is>
          <t>0</t>
        </is>
      </c>
      <c r="AI85" s="467" t="inlineStr">
        <is>
          <t>Due on Receipt</t>
        </is>
      </c>
      <c r="AJ85" s="467" t="inlineStr">
        <is>
          <t>Thanks for your business.</t>
        </is>
      </c>
      <c r="AK85" s="467" t="n"/>
      <c r="AL85" s="467" t="n"/>
      <c r="AM85" s="467" t="n"/>
      <c r="AN85" s="467" t="n"/>
      <c r="AO85" s="467" t="n"/>
      <c r="AP85" s="467" t="n"/>
      <c r="AQ85" s="467" t="n"/>
      <c r="AR85" s="467" t="n"/>
      <c r="AS85" s="467" t="n"/>
      <c r="AT85" s="467" t="inlineStr">
        <is>
          <t>Invoice</t>
        </is>
      </c>
      <c r="AU85" s="467" t="inlineStr">
        <is>
          <t>0.0</t>
        </is>
      </c>
      <c r="AV85" s="467" t="n">
        <v>0</v>
      </c>
      <c r="AW85" s="467" t="n"/>
      <c r="AX85" s="467" t="n"/>
      <c r="AY85" s="467" t="n"/>
      <c r="AZ85" s="467" t="n"/>
      <c r="BA85" s="467" t="n"/>
      <c r="BB85" s="467" t="n"/>
      <c r="BC85" s="467" t="n"/>
      <c r="BD85" s="467" t="inlineStr">
        <is>
          <t>Jurisphere Enterprise Subscription</t>
        </is>
      </c>
      <c r="BE85" s="467" t="n"/>
      <c r="BF85" s="467" t="n">
        <v>1</v>
      </c>
      <c r="BG85" s="467" t="inlineStr">
        <is>
          <t>0.00</t>
        </is>
      </c>
      <c r="BH85" s="467" t="inlineStr">
        <is>
          <t>0.00</t>
        </is>
      </c>
      <c r="BI85" s="467" t="n">
        <v>1</v>
      </c>
      <c r="BJ85" s="467" t="inlineStr">
        <is>
          <t>pcs</t>
        </is>
      </c>
      <c r="BK85" s="467" t="n">
        <v>1</v>
      </c>
      <c r="BL85" s="467" t="inlineStr">
        <is>
          <t>2297152000000039748</t>
        </is>
      </c>
      <c r="BM85" s="467" t="n"/>
      <c r="BN85" s="467" t="n"/>
      <c r="BO85" s="467" t="n"/>
      <c r="BP85" s="467" t="n"/>
      <c r="BQ85" s="467" t="n"/>
      <c r="BR85" s="467" t="n"/>
      <c r="BS85" s="467" t="n"/>
      <c r="BT85" s="467" t="n"/>
      <c r="BU85" s="467" t="n"/>
      <c r="BV85" s="467" t="n"/>
      <c r="BW85" s="467" t="n"/>
      <c r="BX85" s="467" t="n"/>
      <c r="BY85" s="467" t="n"/>
      <c r="BZ85" s="467" t="n"/>
      <c r="CA85" s="467" t="n"/>
      <c r="CB85" s="467" t="n"/>
      <c r="CC85" s="467" t="n"/>
      <c r="CD85" s="467" t="n"/>
      <c r="CE85" s="467" t="n"/>
      <c r="CF85" s="467" t="n"/>
      <c r="CG85" s="467" t="n"/>
      <c r="CH85" s="467" t="n"/>
      <c r="CI85" s="467" t="inlineStr">
        <is>
          <t>Coresphere100 Technologies Pvt. Ltd.</t>
        </is>
      </c>
      <c r="CJ85" s="467" t="inlineStr">
        <is>
          <t>09AALCC7037K1Z7</t>
        </is>
      </c>
      <c r="CK85" s="467" t="inlineStr">
        <is>
          <t>16026, 16th Floor, Tower Oakwood,</t>
        </is>
      </c>
      <c r="CL85" s="467" t="inlineStr">
        <is>
          <t>Greater Noida,</t>
        </is>
      </c>
      <c r="CM85" s="467" t="inlineStr">
        <is>
          <t>Uttar Pradesh</t>
        </is>
      </c>
      <c r="CN85" s="467" t="inlineStr">
        <is>
          <t>India</t>
        </is>
      </c>
      <c r="CO85" s="467" t="inlineStr">
        <is>
          <t>201306</t>
        </is>
      </c>
      <c r="CP85" s="467" t="inlineStr">
        <is>
          <t>8928163657</t>
        </is>
      </c>
      <c r="CQ85" s="467" t="inlineStr">
        <is>
          <t>manas@jurisphere.ai</t>
        </is>
      </c>
      <c r="CR85" s="467" t="inlineStr">
        <is>
          <t>9.00</t>
        </is>
      </c>
      <c r="CS85" s="467" t="inlineStr">
        <is>
          <t>9.00</t>
        </is>
      </c>
      <c r="CT85" s="467" t="inlineStr">
        <is>
          <t>0.00</t>
        </is>
      </c>
      <c r="CU85" s="467" t="inlineStr">
        <is>
          <t>0.00</t>
        </is>
      </c>
      <c r="CV85" s="467" t="inlineStr">
        <is>
          <t>0.09</t>
        </is>
      </c>
      <c r="CW85" s="467" t="inlineStr">
        <is>
          <t>0.09</t>
        </is>
      </c>
      <c r="CX85" s="467" t="inlineStr">
        <is>
          <t>0.00</t>
        </is>
      </c>
      <c r="CY85" s="467" t="inlineStr">
        <is>
          <t>0.00</t>
        </is>
      </c>
      <c r="CZ85" s="467" t="inlineStr">
        <is>
          <t>0.09</t>
        </is>
      </c>
      <c r="DA85" s="467" t="inlineStr">
        <is>
          <t>0.09</t>
        </is>
      </c>
      <c r="DB85" s="467" t="inlineStr">
        <is>
          <t>0.00</t>
        </is>
      </c>
      <c r="DC85" s="467" t="inlineStr">
        <is>
          <t>0.00</t>
        </is>
      </c>
      <c r="DD85" s="467" t="n"/>
      <c r="DE85" s="467" t="n"/>
      <c r="DF85" s="467" t="n"/>
      <c r="DG85" s="467" t="n"/>
      <c r="DH85" s="467" t="n"/>
      <c r="DI85" s="467" t="inlineStr">
        <is>
          <t>0.000</t>
        </is>
      </c>
      <c r="DJ85" s="467" t="n"/>
      <c r="DK85" s="467" t="n"/>
      <c r="DL85" s="467" t="n"/>
      <c r="DM85" s="467" t="n"/>
      <c r="DN85" s="467" t="n"/>
      <c r="DO85" s="467" t="n"/>
      <c r="DP85" s="467" t="inlineStr">
        <is>
          <t>998313</t>
        </is>
      </c>
      <c r="DQ85" s="467" t="n">
        <v>0</v>
      </c>
      <c r="DR85" s="467" t="n"/>
      <c r="DS85" s="467" t="n"/>
      <c r="DT85" s="467" t="n"/>
      <c r="DU85" s="467" t="n"/>
      <c r="DV85" s="467" t="n"/>
      <c r="DW85" s="467" t="n"/>
      <c r="DX85" s="467" t="inlineStr">
        <is>
          <t>service</t>
        </is>
      </c>
      <c r="DY85" s="467" t="n"/>
      <c r="DZ85" s="467" t="n"/>
      <c r="EA85" s="467" t="n"/>
      <c r="EB85" s="467" t="n"/>
      <c r="EC85" s="467" t="n"/>
      <c r="ED85" s="467" t="n"/>
      <c r="EE85" s="467" t="n"/>
      <c r="EF85" s="467" t="n"/>
      <c r="EG85" s="467" t="n"/>
      <c r="EH85" s="467" t="inlineStr">
        <is>
          <t>Others</t>
        </is>
      </c>
      <c r="EI85" s="467" t="n"/>
      <c r="EJ85" s="467" t="n"/>
      <c r="EK85" s="467" t="inlineStr">
        <is>
          <t>Sales</t>
        </is>
      </c>
      <c r="EL85" s="467" t="n"/>
      <c r="EM85" s="467" t="inlineStr">
        <is>
          <t>Taxable</t>
        </is>
      </c>
      <c r="EN85" s="467" t="inlineStr">
        <is>
          <t>2297152000000031213</t>
        </is>
      </c>
      <c r="EO85" s="467" t="inlineStr">
        <is>
          <t>GST18</t>
        </is>
      </c>
      <c r="EP85" s="467" t="inlineStr">
        <is>
          <t>18.00</t>
        </is>
      </c>
      <c r="EQ85" s="467" t="n">
        <v>0.18</v>
      </c>
      <c r="ER85" s="467" t="inlineStr">
        <is>
          <t>Tax Group</t>
        </is>
      </c>
      <c r="ES85" s="467" t="n"/>
      <c r="ET85" s="467" t="n"/>
    </row>
    <row r="86" ht="13.5" customHeight="1" s="253">
      <c r="A86" s="466" t="n">
        <v>45777</v>
      </c>
      <c r="B86" s="467" t="inlineStr">
        <is>
          <t>2297152000000132605</t>
        </is>
      </c>
      <c r="C86" s="467" t="inlineStr">
        <is>
          <t>INV-25-26-000087</t>
        </is>
      </c>
      <c r="D86" s="467" t="inlineStr">
        <is>
          <t>Draft</t>
        </is>
      </c>
      <c r="E86" s="467" t="inlineStr">
        <is>
          <t>2297152000000061001</t>
        </is>
      </c>
      <c r="F86" s="467" t="inlineStr">
        <is>
          <t>B2C</t>
        </is>
      </c>
      <c r="G86" s="467" t="inlineStr">
        <is>
          <t>UP</t>
        </is>
      </c>
      <c r="H86" s="467" t="inlineStr">
        <is>
          <t>09-Uttar Pradesh</t>
        </is>
      </c>
      <c r="I86" s="467" t="inlineStr">
        <is>
          <t>business_none</t>
        </is>
      </c>
      <c r="J86" s="467" t="inlineStr">
        <is>
          <t>false</t>
        </is>
      </c>
      <c r="K86" s="466" t="n">
        <v>45777</v>
      </c>
      <c r="L86" s="467" t="n"/>
      <c r="M86" s="467" t="inlineStr">
        <is>
          <t>INR</t>
        </is>
      </c>
      <c r="N86" s="467" t="n">
        <v>1</v>
      </c>
      <c r="O86" s="467" t="inlineStr">
        <is>
          <t>item_level</t>
        </is>
      </c>
      <c r="P86" s="467" t="inlineStr">
        <is>
          <t>true</t>
        </is>
      </c>
      <c r="Q86" s="467" t="inlineStr">
        <is>
          <t>Tax Invoice</t>
        </is>
      </c>
      <c r="R86" s="467" t="inlineStr">
        <is>
          <t>0.00</t>
        </is>
      </c>
      <c r="S86" s="467" t="n"/>
      <c r="T86" s="467" t="n"/>
      <c r="U86" s="467" t="inlineStr">
        <is>
          <t>item_level</t>
        </is>
      </c>
      <c r="V86" s="467" t="n"/>
      <c r="W86" s="467" t="inlineStr">
        <is>
          <t>0.00</t>
        </is>
      </c>
      <c r="X86" s="467" t="n"/>
      <c r="Y86" s="467" t="n"/>
      <c r="Z86" s="467" t="inlineStr">
        <is>
          <t>0.000</t>
        </is>
      </c>
      <c r="AA86" s="467" t="n">
        <v>1</v>
      </c>
      <c r="AB86" s="467" t="n">
        <v>1.18</v>
      </c>
      <c r="AC86" s="467" t="n">
        <v>1.18</v>
      </c>
      <c r="AD86" s="467" t="n">
        <v>0</v>
      </c>
      <c r="AE86" s="467" t="inlineStr">
        <is>
          <t>Adjustment</t>
        </is>
      </c>
      <c r="AF86" s="467" t="n"/>
      <c r="AG86" s="467" t="n"/>
      <c r="AH86" s="467" t="inlineStr">
        <is>
          <t>0</t>
        </is>
      </c>
      <c r="AI86" s="467" t="inlineStr">
        <is>
          <t>Due on Receipt</t>
        </is>
      </c>
      <c r="AJ86" s="467" t="inlineStr">
        <is>
          <t>Thanks for your business.</t>
        </is>
      </c>
      <c r="AK86" s="467" t="n"/>
      <c r="AL86" s="467" t="n"/>
      <c r="AM86" s="467" t="n"/>
      <c r="AN86" s="467" t="n"/>
      <c r="AO86" s="467" t="n"/>
      <c r="AP86" s="467" t="n"/>
      <c r="AQ86" s="467" t="n"/>
      <c r="AR86" s="467" t="n"/>
      <c r="AS86" s="467" t="n"/>
      <c r="AT86" s="467" t="inlineStr">
        <is>
          <t>Invoice</t>
        </is>
      </c>
      <c r="AU86" s="467" t="inlineStr">
        <is>
          <t>0.0</t>
        </is>
      </c>
      <c r="AV86" s="467" t="n">
        <v>0</v>
      </c>
      <c r="AW86" s="467" t="n"/>
      <c r="AX86" s="467" t="n"/>
      <c r="AY86" s="467" t="n"/>
      <c r="AZ86" s="467" t="n"/>
      <c r="BA86" s="467" t="n"/>
      <c r="BB86" s="467" t="n"/>
      <c r="BC86" s="467" t="n"/>
      <c r="BD86" s="467" t="inlineStr">
        <is>
          <t>Jurisphere Enterprise Subscription</t>
        </is>
      </c>
      <c r="BE86" s="467" t="n"/>
      <c r="BF86" s="467" t="n">
        <v>1</v>
      </c>
      <c r="BG86" s="467" t="inlineStr">
        <is>
          <t>0.00</t>
        </is>
      </c>
      <c r="BH86" s="467" t="inlineStr">
        <is>
          <t>0.00</t>
        </is>
      </c>
      <c r="BI86" s="467" t="n">
        <v>1</v>
      </c>
      <c r="BJ86" s="467" t="inlineStr">
        <is>
          <t>pcs</t>
        </is>
      </c>
      <c r="BK86" s="467" t="n">
        <v>1</v>
      </c>
      <c r="BL86" s="467" t="inlineStr">
        <is>
          <t>2297152000000039748</t>
        </is>
      </c>
      <c r="BM86" s="467" t="n"/>
      <c r="BN86" s="467" t="n"/>
      <c r="BO86" s="467" t="n"/>
      <c r="BP86" s="467" t="n"/>
      <c r="BQ86" s="467" t="n"/>
      <c r="BR86" s="467" t="n"/>
      <c r="BS86" s="467" t="n"/>
      <c r="BT86" s="467" t="n"/>
      <c r="BU86" s="467" t="n"/>
      <c r="BV86" s="467" t="n"/>
      <c r="BW86" s="467" t="n"/>
      <c r="BX86" s="467" t="n"/>
      <c r="BY86" s="467" t="n"/>
      <c r="BZ86" s="467" t="n"/>
      <c r="CA86" s="467" t="n"/>
      <c r="CB86" s="467" t="n"/>
      <c r="CC86" s="467" t="n"/>
      <c r="CD86" s="467" t="n"/>
      <c r="CE86" s="467" t="n"/>
      <c r="CF86" s="467" t="n"/>
      <c r="CG86" s="467" t="n"/>
      <c r="CH86" s="467" t="n"/>
      <c r="CI86" s="467" t="inlineStr">
        <is>
          <t>Coresphere100 Technologies Pvt. Ltd.</t>
        </is>
      </c>
      <c r="CJ86" s="467" t="inlineStr">
        <is>
          <t>09AALCC7037K1Z7</t>
        </is>
      </c>
      <c r="CK86" s="467" t="inlineStr">
        <is>
          <t>16026, 16th Floor, Tower Oakwood,</t>
        </is>
      </c>
      <c r="CL86" s="467" t="inlineStr">
        <is>
          <t>Greater Noida,</t>
        </is>
      </c>
      <c r="CM86" s="467" t="inlineStr">
        <is>
          <t>Uttar Pradesh</t>
        </is>
      </c>
      <c r="CN86" s="467" t="inlineStr">
        <is>
          <t>India</t>
        </is>
      </c>
      <c r="CO86" s="467" t="inlineStr">
        <is>
          <t>201306</t>
        </is>
      </c>
      <c r="CP86" s="467" t="inlineStr">
        <is>
          <t>8928163657</t>
        </is>
      </c>
      <c r="CQ86" s="467" t="inlineStr">
        <is>
          <t>manas@jurisphere.ai</t>
        </is>
      </c>
      <c r="CR86" s="467" t="inlineStr">
        <is>
          <t>9.00</t>
        </is>
      </c>
      <c r="CS86" s="467" t="inlineStr">
        <is>
          <t>9.00</t>
        </is>
      </c>
      <c r="CT86" s="467" t="inlineStr">
        <is>
          <t>0.00</t>
        </is>
      </c>
      <c r="CU86" s="467" t="inlineStr">
        <is>
          <t>0.00</t>
        </is>
      </c>
      <c r="CV86" s="467" t="inlineStr">
        <is>
          <t>0.09</t>
        </is>
      </c>
      <c r="CW86" s="467" t="inlineStr">
        <is>
          <t>0.09</t>
        </is>
      </c>
      <c r="CX86" s="467" t="inlineStr">
        <is>
          <t>0.00</t>
        </is>
      </c>
      <c r="CY86" s="467" t="inlineStr">
        <is>
          <t>0.00</t>
        </is>
      </c>
      <c r="CZ86" s="467" t="inlineStr">
        <is>
          <t>0.09</t>
        </is>
      </c>
      <c r="DA86" s="467" t="inlineStr">
        <is>
          <t>0.09</t>
        </is>
      </c>
      <c r="DB86" s="467" t="inlineStr">
        <is>
          <t>0.00</t>
        </is>
      </c>
      <c r="DC86" s="467" t="inlineStr">
        <is>
          <t>0.00</t>
        </is>
      </c>
      <c r="DD86" s="467" t="n"/>
      <c r="DE86" s="467" t="n"/>
      <c r="DF86" s="467" t="n"/>
      <c r="DG86" s="467" t="n"/>
      <c r="DH86" s="467" t="n"/>
      <c r="DI86" s="467" t="inlineStr">
        <is>
          <t>0.000</t>
        </is>
      </c>
      <c r="DJ86" s="467" t="n"/>
      <c r="DK86" s="467" t="n"/>
      <c r="DL86" s="467" t="n"/>
      <c r="DM86" s="467" t="n"/>
      <c r="DN86" s="467" t="n"/>
      <c r="DO86" s="467" t="n"/>
      <c r="DP86" s="467" t="inlineStr">
        <is>
          <t>998313</t>
        </is>
      </c>
      <c r="DQ86" s="467" t="n">
        <v>0</v>
      </c>
      <c r="DR86" s="467" t="n"/>
      <c r="DS86" s="467" t="n"/>
      <c r="DT86" s="467" t="n"/>
      <c r="DU86" s="467" t="n"/>
      <c r="DV86" s="467" t="n"/>
      <c r="DW86" s="467" t="n"/>
      <c r="DX86" s="467" t="inlineStr">
        <is>
          <t>service</t>
        </is>
      </c>
      <c r="DY86" s="467" t="n"/>
      <c r="DZ86" s="467" t="n"/>
      <c r="EA86" s="467" t="n"/>
      <c r="EB86" s="467" t="n"/>
      <c r="EC86" s="467" t="n"/>
      <c r="ED86" s="467" t="n"/>
      <c r="EE86" s="467" t="n"/>
      <c r="EF86" s="467" t="n"/>
      <c r="EG86" s="467" t="n"/>
      <c r="EH86" s="467" t="inlineStr">
        <is>
          <t>Others</t>
        </is>
      </c>
      <c r="EI86" s="467" t="n"/>
      <c r="EJ86" s="467" t="n"/>
      <c r="EK86" s="467" t="inlineStr">
        <is>
          <t>Sales</t>
        </is>
      </c>
      <c r="EL86" s="467" t="n"/>
      <c r="EM86" s="467" t="inlineStr">
        <is>
          <t>Taxable</t>
        </is>
      </c>
      <c r="EN86" s="467" t="inlineStr">
        <is>
          <t>2297152000000031213</t>
        </is>
      </c>
      <c r="EO86" s="467" t="inlineStr">
        <is>
          <t>GST18</t>
        </is>
      </c>
      <c r="EP86" s="467" t="inlineStr">
        <is>
          <t>18.00</t>
        </is>
      </c>
      <c r="EQ86" s="467" t="n">
        <v>0.18</v>
      </c>
      <c r="ER86" s="467" t="inlineStr">
        <is>
          <t>Tax Group</t>
        </is>
      </c>
      <c r="ES86" s="467" t="n"/>
      <c r="ET86" s="467" t="n"/>
    </row>
    <row r="87" ht="13.5" customHeight="1" s="253">
      <c r="A87" s="466" t="n">
        <v>45777</v>
      </c>
      <c r="B87" s="467" t="inlineStr">
        <is>
          <t>2297152000000132619</t>
        </is>
      </c>
      <c r="C87" s="467" t="inlineStr">
        <is>
          <t>INV-25-26-000088</t>
        </is>
      </c>
      <c r="D87" s="467" t="inlineStr">
        <is>
          <t>Draft</t>
        </is>
      </c>
      <c r="E87" s="467" t="inlineStr">
        <is>
          <t>2297152000000061001</t>
        </is>
      </c>
      <c r="F87" s="467" t="inlineStr">
        <is>
          <t>B2C</t>
        </is>
      </c>
      <c r="G87" s="467" t="inlineStr">
        <is>
          <t>UP</t>
        </is>
      </c>
      <c r="H87" s="467" t="inlineStr">
        <is>
          <t>09-Uttar Pradesh</t>
        </is>
      </c>
      <c r="I87" s="467" t="inlineStr">
        <is>
          <t>business_none</t>
        </is>
      </c>
      <c r="J87" s="467" t="inlineStr">
        <is>
          <t>false</t>
        </is>
      </c>
      <c r="K87" s="466" t="n">
        <v>45777</v>
      </c>
      <c r="L87" s="467" t="n"/>
      <c r="M87" s="467" t="inlineStr">
        <is>
          <t>INR</t>
        </is>
      </c>
      <c r="N87" s="467" t="n">
        <v>1</v>
      </c>
      <c r="O87" s="467" t="inlineStr">
        <is>
          <t>item_level</t>
        </is>
      </c>
      <c r="P87" s="467" t="inlineStr">
        <is>
          <t>true</t>
        </is>
      </c>
      <c r="Q87" s="467" t="inlineStr">
        <is>
          <t>Tax Invoice</t>
        </is>
      </c>
      <c r="R87" s="467" t="inlineStr">
        <is>
          <t>0.00</t>
        </is>
      </c>
      <c r="S87" s="467" t="n"/>
      <c r="T87" s="467" t="n"/>
      <c r="U87" s="467" t="inlineStr">
        <is>
          <t>item_level</t>
        </is>
      </c>
      <c r="V87" s="467" t="n"/>
      <c r="W87" s="467" t="inlineStr">
        <is>
          <t>0.00</t>
        </is>
      </c>
      <c r="X87" s="467" t="n"/>
      <c r="Y87" s="467" t="n"/>
      <c r="Z87" s="467" t="inlineStr">
        <is>
          <t>0.000</t>
        </is>
      </c>
      <c r="AA87" s="467" t="n">
        <v>1</v>
      </c>
      <c r="AB87" s="467" t="n">
        <v>1.18</v>
      </c>
      <c r="AC87" s="467" t="n">
        <v>1.18</v>
      </c>
      <c r="AD87" s="467" t="n">
        <v>0</v>
      </c>
      <c r="AE87" s="467" t="inlineStr">
        <is>
          <t>Adjustment</t>
        </is>
      </c>
      <c r="AF87" s="467" t="n"/>
      <c r="AG87" s="467" t="n"/>
      <c r="AH87" s="467" t="inlineStr">
        <is>
          <t>0</t>
        </is>
      </c>
      <c r="AI87" s="467" t="inlineStr">
        <is>
          <t>Due on Receipt</t>
        </is>
      </c>
      <c r="AJ87" s="467" t="inlineStr">
        <is>
          <t>Thanks for your business.</t>
        </is>
      </c>
      <c r="AK87" s="467" t="n"/>
      <c r="AL87" s="467" t="n"/>
      <c r="AM87" s="467" t="n"/>
      <c r="AN87" s="467" t="n"/>
      <c r="AO87" s="467" t="n"/>
      <c r="AP87" s="467" t="n"/>
      <c r="AQ87" s="467" t="n"/>
      <c r="AR87" s="467" t="n"/>
      <c r="AS87" s="467" t="n"/>
      <c r="AT87" s="467" t="inlineStr">
        <is>
          <t>Invoice</t>
        </is>
      </c>
      <c r="AU87" s="467" t="inlineStr">
        <is>
          <t>0.0</t>
        </is>
      </c>
      <c r="AV87" s="467" t="n">
        <v>0</v>
      </c>
      <c r="AW87" s="467" t="n"/>
      <c r="AX87" s="467" t="n"/>
      <c r="AY87" s="467" t="n"/>
      <c r="AZ87" s="467" t="n"/>
      <c r="BA87" s="467" t="n"/>
      <c r="BB87" s="467" t="n"/>
      <c r="BC87" s="467" t="n"/>
      <c r="BD87" s="467" t="inlineStr">
        <is>
          <t>Jurisphere Enterprise Subscription</t>
        </is>
      </c>
      <c r="BE87" s="467" t="n"/>
      <c r="BF87" s="467" t="n">
        <v>1</v>
      </c>
      <c r="BG87" s="467" t="inlineStr">
        <is>
          <t>0.00</t>
        </is>
      </c>
      <c r="BH87" s="467" t="inlineStr">
        <is>
          <t>0.00</t>
        </is>
      </c>
      <c r="BI87" s="467" t="n">
        <v>1</v>
      </c>
      <c r="BJ87" s="467" t="inlineStr">
        <is>
          <t>pcs</t>
        </is>
      </c>
      <c r="BK87" s="467" t="n">
        <v>1</v>
      </c>
      <c r="BL87" s="467" t="inlineStr">
        <is>
          <t>2297152000000039748</t>
        </is>
      </c>
      <c r="BM87" s="467" t="n"/>
      <c r="BN87" s="467" t="n"/>
      <c r="BO87" s="467" t="n"/>
      <c r="BP87" s="467" t="n"/>
      <c r="BQ87" s="467" t="n"/>
      <c r="BR87" s="467" t="n"/>
      <c r="BS87" s="467" t="n"/>
      <c r="BT87" s="467" t="n"/>
      <c r="BU87" s="467" t="n"/>
      <c r="BV87" s="467" t="n"/>
      <c r="BW87" s="467" t="n"/>
      <c r="BX87" s="467" t="n"/>
      <c r="BY87" s="467" t="n"/>
      <c r="BZ87" s="467" t="n"/>
      <c r="CA87" s="467" t="n"/>
      <c r="CB87" s="467" t="n"/>
      <c r="CC87" s="467" t="n"/>
      <c r="CD87" s="467" t="n"/>
      <c r="CE87" s="467" t="n"/>
      <c r="CF87" s="467" t="n"/>
      <c r="CG87" s="467" t="n"/>
      <c r="CH87" s="467" t="n"/>
      <c r="CI87" s="467" t="inlineStr">
        <is>
          <t>Coresphere100 Technologies Pvt. Ltd.</t>
        </is>
      </c>
      <c r="CJ87" s="467" t="inlineStr">
        <is>
          <t>09AALCC7037K1Z7</t>
        </is>
      </c>
      <c r="CK87" s="467" t="inlineStr">
        <is>
          <t>16026, 16th Floor, Tower Oakwood,</t>
        </is>
      </c>
      <c r="CL87" s="467" t="inlineStr">
        <is>
          <t>Greater Noida,</t>
        </is>
      </c>
      <c r="CM87" s="467" t="inlineStr">
        <is>
          <t>Uttar Pradesh</t>
        </is>
      </c>
      <c r="CN87" s="467" t="inlineStr">
        <is>
          <t>India</t>
        </is>
      </c>
      <c r="CO87" s="467" t="inlineStr">
        <is>
          <t>201306</t>
        </is>
      </c>
      <c r="CP87" s="467" t="inlineStr">
        <is>
          <t>8928163657</t>
        </is>
      </c>
      <c r="CQ87" s="467" t="inlineStr">
        <is>
          <t>manas@jurisphere.ai</t>
        </is>
      </c>
      <c r="CR87" s="467" t="inlineStr">
        <is>
          <t>9.00</t>
        </is>
      </c>
      <c r="CS87" s="467" t="inlineStr">
        <is>
          <t>9.00</t>
        </is>
      </c>
      <c r="CT87" s="467" t="inlineStr">
        <is>
          <t>0.00</t>
        </is>
      </c>
      <c r="CU87" s="467" t="inlineStr">
        <is>
          <t>0.00</t>
        </is>
      </c>
      <c r="CV87" s="467" t="inlineStr">
        <is>
          <t>0.09</t>
        </is>
      </c>
      <c r="CW87" s="467" t="inlineStr">
        <is>
          <t>0.09</t>
        </is>
      </c>
      <c r="CX87" s="467" t="inlineStr">
        <is>
          <t>0.00</t>
        </is>
      </c>
      <c r="CY87" s="467" t="inlineStr">
        <is>
          <t>0.00</t>
        </is>
      </c>
      <c r="CZ87" s="467" t="inlineStr">
        <is>
          <t>0.09</t>
        </is>
      </c>
      <c r="DA87" s="467" t="inlineStr">
        <is>
          <t>0.09</t>
        </is>
      </c>
      <c r="DB87" s="467" t="inlineStr">
        <is>
          <t>0.00</t>
        </is>
      </c>
      <c r="DC87" s="467" t="inlineStr">
        <is>
          <t>0.00</t>
        </is>
      </c>
      <c r="DD87" s="467" t="n"/>
      <c r="DE87" s="467" t="n"/>
      <c r="DF87" s="467" t="n"/>
      <c r="DG87" s="467" t="n"/>
      <c r="DH87" s="467" t="n"/>
      <c r="DI87" s="467" t="inlineStr">
        <is>
          <t>0.000</t>
        </is>
      </c>
      <c r="DJ87" s="467" t="n"/>
      <c r="DK87" s="467" t="n"/>
      <c r="DL87" s="467" t="n"/>
      <c r="DM87" s="467" t="n"/>
      <c r="DN87" s="467" t="n"/>
      <c r="DO87" s="467" t="n"/>
      <c r="DP87" s="467" t="inlineStr">
        <is>
          <t>998313</t>
        </is>
      </c>
      <c r="DQ87" s="467" t="n">
        <v>0</v>
      </c>
      <c r="DR87" s="467" t="n"/>
      <c r="DS87" s="467" t="n"/>
      <c r="DT87" s="467" t="n"/>
      <c r="DU87" s="467" t="n"/>
      <c r="DV87" s="467" t="n"/>
      <c r="DW87" s="467" t="n"/>
      <c r="DX87" s="467" t="inlineStr">
        <is>
          <t>service</t>
        </is>
      </c>
      <c r="DY87" s="467" t="n"/>
      <c r="DZ87" s="467" t="n"/>
      <c r="EA87" s="467" t="n"/>
      <c r="EB87" s="467" t="n"/>
      <c r="EC87" s="467" t="n"/>
      <c r="ED87" s="467" t="n"/>
      <c r="EE87" s="467" t="n"/>
      <c r="EF87" s="467" t="n"/>
      <c r="EG87" s="467" t="n"/>
      <c r="EH87" s="467" t="inlineStr">
        <is>
          <t>Others</t>
        </is>
      </c>
      <c r="EI87" s="467" t="n"/>
      <c r="EJ87" s="467" t="n"/>
      <c r="EK87" s="467" t="inlineStr">
        <is>
          <t>Sales</t>
        </is>
      </c>
      <c r="EL87" s="467" t="n"/>
      <c r="EM87" s="467" t="inlineStr">
        <is>
          <t>Taxable</t>
        </is>
      </c>
      <c r="EN87" s="467" t="inlineStr">
        <is>
          <t>2297152000000031213</t>
        </is>
      </c>
      <c r="EO87" s="467" t="inlineStr">
        <is>
          <t>GST18</t>
        </is>
      </c>
      <c r="EP87" s="467" t="inlineStr">
        <is>
          <t>18.00</t>
        </is>
      </c>
      <c r="EQ87" s="467" t="n">
        <v>0.18</v>
      </c>
      <c r="ER87" s="467" t="inlineStr">
        <is>
          <t>Tax Group</t>
        </is>
      </c>
      <c r="ES87" s="467" t="n"/>
      <c r="ET87" s="467" t="n"/>
    </row>
    <row r="88" ht="39.55" customHeight="1" s="253">
      <c r="A88" s="466" t="n">
        <v>45777</v>
      </c>
      <c r="B88" s="467" t="inlineStr">
        <is>
          <t>2297152000000132633</t>
        </is>
      </c>
      <c r="C88" s="469" t="inlineStr">
        <is>
          <t>INV-25-26-000089</t>
        </is>
      </c>
      <c r="D88" s="467" t="inlineStr">
        <is>
          <t>Closed</t>
        </is>
      </c>
      <c r="E88" s="467" t="inlineStr">
        <is>
          <t>2297152000000061001</t>
        </is>
      </c>
      <c r="F88" s="467" t="inlineStr">
        <is>
          <t>B2C</t>
        </is>
      </c>
      <c r="G88" s="467" t="inlineStr">
        <is>
          <t>UP</t>
        </is>
      </c>
      <c r="H88" s="467" t="inlineStr">
        <is>
          <t>09-Uttar Pradesh</t>
        </is>
      </c>
      <c r="I88" s="467" t="inlineStr">
        <is>
          <t>business_none</t>
        </is>
      </c>
      <c r="J88" s="467" t="inlineStr">
        <is>
          <t>false</t>
        </is>
      </c>
      <c r="K88" s="466" t="n">
        <v>45777</v>
      </c>
      <c r="L88" s="467" t="n"/>
      <c r="M88" s="467" t="inlineStr">
        <is>
          <t>INR</t>
        </is>
      </c>
      <c r="N88" s="467" t="n">
        <v>1</v>
      </c>
      <c r="O88" s="467" t="inlineStr">
        <is>
          <t>item_level</t>
        </is>
      </c>
      <c r="P88" s="467" t="inlineStr">
        <is>
          <t>true</t>
        </is>
      </c>
      <c r="Q88" s="467" t="inlineStr">
        <is>
          <t>Tax Invoice</t>
        </is>
      </c>
      <c r="R88" s="467" t="inlineStr">
        <is>
          <t>0.00</t>
        </is>
      </c>
      <c r="S88" s="467" t="n"/>
      <c r="T88" s="467" t="n"/>
      <c r="U88" s="467" t="inlineStr">
        <is>
          <t>item_level</t>
        </is>
      </c>
      <c r="V88" s="467" t="n"/>
      <c r="W88" s="467" t="inlineStr">
        <is>
          <t>0.00</t>
        </is>
      </c>
      <c r="X88" s="467" t="n"/>
      <c r="Y88" s="467" t="n"/>
      <c r="Z88" s="467" t="inlineStr">
        <is>
          <t>0.000</t>
        </is>
      </c>
      <c r="AA88" s="467" t="n">
        <v>2117.8</v>
      </c>
      <c r="AB88" s="467" t="n">
        <v>2499</v>
      </c>
      <c r="AC88" s="467" t="n">
        <v>0</v>
      </c>
      <c r="AD88" s="467" t="n">
        <v>0</v>
      </c>
      <c r="AE88" s="467" t="inlineStr">
        <is>
          <t>Adjustment</t>
        </is>
      </c>
      <c r="AF88" s="467" t="n"/>
      <c r="AG88" s="466" t="n">
        <v>45777</v>
      </c>
      <c r="AH88" s="467" t="inlineStr">
        <is>
          <t>0</t>
        </is>
      </c>
      <c r="AI88" s="467" t="inlineStr">
        <is>
          <t>Due on Receipt</t>
        </is>
      </c>
      <c r="AJ88" s="467" t="inlineStr">
        <is>
          <t>Thanks for your business.</t>
        </is>
      </c>
      <c r="AK88" s="467" t="n"/>
      <c r="AL88" s="467" t="n"/>
      <c r="AM88" s="467" t="n"/>
      <c r="AN88" s="467" t="n"/>
      <c r="AO88" s="467" t="n"/>
      <c r="AP88" s="467" t="n"/>
      <c r="AQ88" s="467" t="n"/>
      <c r="AR88" s="467" t="n"/>
      <c r="AS88" s="467" t="n"/>
      <c r="AT88" s="467" t="inlineStr">
        <is>
          <t>Invoice</t>
        </is>
      </c>
      <c r="AU88" s="467" t="inlineStr">
        <is>
          <t>0.0</t>
        </is>
      </c>
      <c r="AV88" s="467" t="n">
        <v>0</v>
      </c>
      <c r="AW88" s="467" t="n"/>
      <c r="AX88" s="467" t="n"/>
      <c r="AY88" s="467" t="n"/>
      <c r="AZ88" s="467" t="n"/>
      <c r="BA88" s="467" t="n"/>
      <c r="BB88" s="467" t="n"/>
      <c r="BC88" s="467" t="n"/>
      <c r="BD88" s="467" t="inlineStr">
        <is>
          <t>Jurisphere Enterprise Subscription</t>
        </is>
      </c>
      <c r="BE88" s="468" t="inlineStr">
        <is>
          <t xml:space="preserve">adv.rohitjaiswal@gmail.com
pay_QIfxOi0VTq3sGw
</t>
        </is>
      </c>
      <c r="BF88" s="467" t="n">
        <v>1</v>
      </c>
      <c r="BG88" s="467" t="inlineStr">
        <is>
          <t>0.00</t>
        </is>
      </c>
      <c r="BH88" s="467" t="inlineStr">
        <is>
          <t>0.00</t>
        </is>
      </c>
      <c r="BI88" s="467" t="n">
        <v>2117.8</v>
      </c>
      <c r="BJ88" s="467" t="inlineStr">
        <is>
          <t>pcs</t>
        </is>
      </c>
      <c r="BK88" s="467" t="n">
        <v>2117.8</v>
      </c>
      <c r="BL88" s="467" t="inlineStr">
        <is>
          <t>2297152000000039748</t>
        </is>
      </c>
      <c r="BM88" s="467" t="n"/>
      <c r="BN88" s="467" t="n"/>
      <c r="BO88" s="467" t="n"/>
      <c r="BP88" s="467" t="n"/>
      <c r="BQ88" s="467" t="n"/>
      <c r="BR88" s="467" t="n"/>
      <c r="BS88" s="467" t="n"/>
      <c r="BT88" s="467" t="n"/>
      <c r="BU88" s="467" t="n"/>
      <c r="BV88" s="467" t="n"/>
      <c r="BW88" s="467" t="n"/>
      <c r="BX88" s="467" t="n"/>
      <c r="BY88" s="467" t="n"/>
      <c r="BZ88" s="467" t="n"/>
      <c r="CA88" s="467" t="n"/>
      <c r="CB88" s="467" t="n"/>
      <c r="CC88" s="467" t="n"/>
      <c r="CD88" s="467" t="n"/>
      <c r="CE88" s="467" t="n"/>
      <c r="CF88" s="467" t="n"/>
      <c r="CG88" s="467" t="n"/>
      <c r="CH88" s="467" t="n"/>
      <c r="CI88" s="467" t="inlineStr">
        <is>
          <t>Coresphere100 Technologies Pvt. Ltd.</t>
        </is>
      </c>
      <c r="CJ88" s="467" t="inlineStr">
        <is>
          <t>09AALCC7037K1Z7</t>
        </is>
      </c>
      <c r="CK88" s="467" t="inlineStr">
        <is>
          <t>16026, 16th Floor, Tower Oakwood,</t>
        </is>
      </c>
      <c r="CL88" s="467" t="inlineStr">
        <is>
          <t>Greater Noida,</t>
        </is>
      </c>
      <c r="CM88" s="467" t="inlineStr">
        <is>
          <t>Uttar Pradesh</t>
        </is>
      </c>
      <c r="CN88" s="467" t="inlineStr">
        <is>
          <t>India</t>
        </is>
      </c>
      <c r="CO88" s="467" t="inlineStr">
        <is>
          <t>201306</t>
        </is>
      </c>
      <c r="CP88" s="467" t="inlineStr">
        <is>
          <t>8928163657</t>
        </is>
      </c>
      <c r="CQ88" s="467" t="inlineStr">
        <is>
          <t>manas@jurisphere.ai</t>
        </is>
      </c>
      <c r="CR88" s="467" t="inlineStr">
        <is>
          <t>9.00</t>
        </is>
      </c>
      <c r="CS88" s="467" t="inlineStr">
        <is>
          <t>9.00</t>
        </is>
      </c>
      <c r="CT88" s="467" t="inlineStr">
        <is>
          <t>0.00</t>
        </is>
      </c>
      <c r="CU88" s="467" t="inlineStr">
        <is>
          <t>0.00</t>
        </is>
      </c>
      <c r="CV88" s="467" t="inlineStr">
        <is>
          <t>190.60</t>
        </is>
      </c>
      <c r="CW88" s="467" t="inlineStr">
        <is>
          <t>190.60</t>
        </is>
      </c>
      <c r="CX88" s="467" t="inlineStr">
        <is>
          <t>0.00</t>
        </is>
      </c>
      <c r="CY88" s="467" t="inlineStr">
        <is>
          <t>0.00</t>
        </is>
      </c>
      <c r="CZ88" s="467" t="inlineStr">
        <is>
          <t>190.60</t>
        </is>
      </c>
      <c r="DA88" s="467" t="inlineStr">
        <is>
          <t>190.60</t>
        </is>
      </c>
      <c r="DB88" s="467" t="inlineStr">
        <is>
          <t>0.00</t>
        </is>
      </c>
      <c r="DC88" s="467" t="inlineStr">
        <is>
          <t>0.00</t>
        </is>
      </c>
      <c r="DD88" s="467" t="n"/>
      <c r="DE88" s="467" t="n"/>
      <c r="DF88" s="467" t="n"/>
      <c r="DG88" s="467" t="n"/>
      <c r="DH88" s="467" t="n"/>
      <c r="DI88" s="467" t="inlineStr">
        <is>
          <t>0.000</t>
        </is>
      </c>
      <c r="DJ88" s="467" t="n"/>
      <c r="DK88" s="467" t="n"/>
      <c r="DL88" s="467" t="n"/>
      <c r="DM88" s="467" t="n"/>
      <c r="DN88" s="467" t="n"/>
      <c r="DO88" s="467" t="n"/>
      <c r="DP88" s="467" t="inlineStr">
        <is>
          <t>998313</t>
        </is>
      </c>
      <c r="DQ88" s="467" t="n">
        <v>0</v>
      </c>
      <c r="DR88" s="467" t="n"/>
      <c r="DS88" s="467" t="n"/>
      <c r="DT88" s="467" t="n"/>
      <c r="DU88" s="467" t="n"/>
      <c r="DV88" s="467" t="n"/>
      <c r="DW88" s="467" t="n"/>
      <c r="DX88" s="467" t="inlineStr">
        <is>
          <t>service</t>
        </is>
      </c>
      <c r="DY88" s="467" t="n"/>
      <c r="DZ88" s="467" t="n"/>
      <c r="EA88" s="467" t="n"/>
      <c r="EB88" s="467" t="n"/>
      <c r="EC88" s="467" t="n"/>
      <c r="ED88" s="467" t="n"/>
      <c r="EE88" s="467" t="n"/>
      <c r="EF88" s="467" t="n"/>
      <c r="EG88" s="467" t="n"/>
      <c r="EH88" s="467" t="inlineStr">
        <is>
          <t>Others</t>
        </is>
      </c>
      <c r="EI88" s="467" t="n"/>
      <c r="EJ88" s="467" t="n"/>
      <c r="EK88" s="467" t="inlineStr">
        <is>
          <t>Sales</t>
        </is>
      </c>
      <c r="EL88" s="467" t="n"/>
      <c r="EM88" s="467" t="inlineStr">
        <is>
          <t>Taxable</t>
        </is>
      </c>
      <c r="EN88" s="467" t="inlineStr">
        <is>
          <t>2297152000000031213</t>
        </is>
      </c>
      <c r="EO88" s="467" t="inlineStr">
        <is>
          <t>GST18</t>
        </is>
      </c>
      <c r="EP88" s="467" t="inlineStr">
        <is>
          <t>18.00</t>
        </is>
      </c>
      <c r="EQ88" s="467" t="n">
        <v>381.2</v>
      </c>
      <c r="ER88" s="467" t="inlineStr">
        <is>
          <t>Tax Group</t>
        </is>
      </c>
      <c r="ES88" s="467" t="n"/>
      <c r="ET88" s="467" t="n"/>
    </row>
    <row r="89" ht="39.55" customHeight="1" s="253">
      <c r="A89" s="466" t="n">
        <v>45777</v>
      </c>
      <c r="B89" s="467" t="inlineStr">
        <is>
          <t>2297152000000132647</t>
        </is>
      </c>
      <c r="C89" s="469" t="inlineStr">
        <is>
          <t>INV-25-26-000090</t>
        </is>
      </c>
      <c r="D89" s="467" t="inlineStr">
        <is>
          <t>Closed</t>
        </is>
      </c>
      <c r="E89" s="467" t="inlineStr">
        <is>
          <t>2297152000000061001</t>
        </is>
      </c>
      <c r="F89" s="467" t="inlineStr">
        <is>
          <t>B2C</t>
        </is>
      </c>
      <c r="G89" s="467" t="inlineStr">
        <is>
          <t>UP</t>
        </is>
      </c>
      <c r="H89" s="467" t="inlineStr">
        <is>
          <t>09-Uttar Pradesh</t>
        </is>
      </c>
      <c r="I89" s="467" t="inlineStr">
        <is>
          <t>business_none</t>
        </is>
      </c>
      <c r="J89" s="467" t="inlineStr">
        <is>
          <t>false</t>
        </is>
      </c>
      <c r="K89" s="466" t="n">
        <v>45777</v>
      </c>
      <c r="L89" s="467" t="n"/>
      <c r="M89" s="467" t="inlineStr">
        <is>
          <t>INR</t>
        </is>
      </c>
      <c r="N89" s="467" t="n">
        <v>1</v>
      </c>
      <c r="O89" s="467" t="inlineStr">
        <is>
          <t>item_level</t>
        </is>
      </c>
      <c r="P89" s="467" t="inlineStr">
        <is>
          <t>true</t>
        </is>
      </c>
      <c r="Q89" s="467" t="inlineStr">
        <is>
          <t>Tax Invoice</t>
        </is>
      </c>
      <c r="R89" s="467" t="inlineStr">
        <is>
          <t>0.00</t>
        </is>
      </c>
      <c r="S89" s="467" t="n"/>
      <c r="T89" s="467" t="n"/>
      <c r="U89" s="467" t="inlineStr">
        <is>
          <t>item_level</t>
        </is>
      </c>
      <c r="V89" s="467" t="n"/>
      <c r="W89" s="467" t="inlineStr">
        <is>
          <t>0.00</t>
        </is>
      </c>
      <c r="X89" s="467" t="n"/>
      <c r="Y89" s="467" t="n"/>
      <c r="Z89" s="467" t="inlineStr">
        <is>
          <t>0.000</t>
        </is>
      </c>
      <c r="AA89" s="467" t="n">
        <v>2117.8</v>
      </c>
      <c r="AB89" s="467" t="n">
        <v>2499</v>
      </c>
      <c r="AC89" s="467" t="n">
        <v>0</v>
      </c>
      <c r="AD89" s="467" t="n">
        <v>0</v>
      </c>
      <c r="AE89" s="467" t="inlineStr">
        <is>
          <t>Adjustment</t>
        </is>
      </c>
      <c r="AF89" s="467" t="n"/>
      <c r="AG89" s="466" t="n">
        <v>45777</v>
      </c>
      <c r="AH89" s="467" t="inlineStr">
        <is>
          <t>0</t>
        </is>
      </c>
      <c r="AI89" s="467" t="inlineStr">
        <is>
          <t>Due on Receipt</t>
        </is>
      </c>
      <c r="AJ89" s="467" t="inlineStr">
        <is>
          <t>Thanks for your business.</t>
        </is>
      </c>
      <c r="AK89" s="467" t="n"/>
      <c r="AL89" s="467" t="n"/>
      <c r="AM89" s="467" t="n"/>
      <c r="AN89" s="467" t="n"/>
      <c r="AO89" s="467" t="n"/>
      <c r="AP89" s="467" t="n"/>
      <c r="AQ89" s="467" t="n"/>
      <c r="AR89" s="467" t="n"/>
      <c r="AS89" s="467" t="n"/>
      <c r="AT89" s="467" t="inlineStr">
        <is>
          <t>Invoice</t>
        </is>
      </c>
      <c r="AU89" s="467" t="inlineStr">
        <is>
          <t>0.0</t>
        </is>
      </c>
      <c r="AV89" s="467" t="n">
        <v>0</v>
      </c>
      <c r="AW89" s="467" t="n"/>
      <c r="AX89" s="467" t="n"/>
      <c r="AY89" s="467" t="n"/>
      <c r="AZ89" s="467" t="n"/>
      <c r="BA89" s="467" t="n"/>
      <c r="BB89" s="467" t="n"/>
      <c r="BC89" s="467" t="n"/>
      <c r="BD89" s="467" t="inlineStr">
        <is>
          <t>Jurisphere Enterprise Subscription</t>
        </is>
      </c>
      <c r="BE89" s="468" t="inlineStr">
        <is>
          <t xml:space="preserve">alinasujith21@gmail.com
pay_QJT2zaZqJgcWwF
</t>
        </is>
      </c>
      <c r="BF89" s="467" t="n">
        <v>1</v>
      </c>
      <c r="BG89" s="467" t="inlineStr">
        <is>
          <t>0.00</t>
        </is>
      </c>
      <c r="BH89" s="467" t="inlineStr">
        <is>
          <t>0.00</t>
        </is>
      </c>
      <c r="BI89" s="467" t="n">
        <v>2117.8</v>
      </c>
      <c r="BJ89" s="467" t="inlineStr">
        <is>
          <t>pcs</t>
        </is>
      </c>
      <c r="BK89" s="467" t="n">
        <v>2117.8</v>
      </c>
      <c r="BL89" s="467" t="inlineStr">
        <is>
          <t>2297152000000039748</t>
        </is>
      </c>
      <c r="BM89" s="467" t="n"/>
      <c r="BN89" s="467" t="n"/>
      <c r="BO89" s="467" t="n"/>
      <c r="BP89" s="467" t="n"/>
      <c r="BQ89" s="467" t="n"/>
      <c r="BR89" s="467" t="n"/>
      <c r="BS89" s="467" t="n"/>
      <c r="BT89" s="467" t="n"/>
      <c r="BU89" s="467" t="n"/>
      <c r="BV89" s="467" t="n"/>
      <c r="BW89" s="467" t="n"/>
      <c r="BX89" s="467" t="n"/>
      <c r="BY89" s="467" t="n"/>
      <c r="BZ89" s="467" t="n"/>
      <c r="CA89" s="467" t="n"/>
      <c r="CB89" s="467" t="n"/>
      <c r="CC89" s="467" t="n"/>
      <c r="CD89" s="467" t="n"/>
      <c r="CE89" s="467" t="n"/>
      <c r="CF89" s="467" t="n"/>
      <c r="CG89" s="467" t="n"/>
      <c r="CH89" s="467" t="n"/>
      <c r="CI89" s="467" t="inlineStr">
        <is>
          <t>Coresphere100 Technologies Pvt. Ltd.</t>
        </is>
      </c>
      <c r="CJ89" s="467" t="inlineStr">
        <is>
          <t>09AALCC7037K1Z7</t>
        </is>
      </c>
      <c r="CK89" s="467" t="inlineStr">
        <is>
          <t>16026, 16th Floor, Tower Oakwood,</t>
        </is>
      </c>
      <c r="CL89" s="467" t="inlineStr">
        <is>
          <t>Greater Noida,</t>
        </is>
      </c>
      <c r="CM89" s="467" t="inlineStr">
        <is>
          <t>Uttar Pradesh</t>
        </is>
      </c>
      <c r="CN89" s="467" t="inlineStr">
        <is>
          <t>India</t>
        </is>
      </c>
      <c r="CO89" s="467" t="inlineStr">
        <is>
          <t>201306</t>
        </is>
      </c>
      <c r="CP89" s="467" t="inlineStr">
        <is>
          <t>8928163657</t>
        </is>
      </c>
      <c r="CQ89" s="467" t="inlineStr">
        <is>
          <t>manas@jurisphere.ai</t>
        </is>
      </c>
      <c r="CR89" s="467" t="inlineStr">
        <is>
          <t>9.00</t>
        </is>
      </c>
      <c r="CS89" s="467" t="inlineStr">
        <is>
          <t>9.00</t>
        </is>
      </c>
      <c r="CT89" s="467" t="inlineStr">
        <is>
          <t>0.00</t>
        </is>
      </c>
      <c r="CU89" s="467" t="inlineStr">
        <is>
          <t>0.00</t>
        </is>
      </c>
      <c r="CV89" s="467" t="inlineStr">
        <is>
          <t>190.60</t>
        </is>
      </c>
      <c r="CW89" s="467" t="inlineStr">
        <is>
          <t>190.60</t>
        </is>
      </c>
      <c r="CX89" s="467" t="inlineStr">
        <is>
          <t>0.00</t>
        </is>
      </c>
      <c r="CY89" s="467" t="inlineStr">
        <is>
          <t>0.00</t>
        </is>
      </c>
      <c r="CZ89" s="467" t="inlineStr">
        <is>
          <t>190.60</t>
        </is>
      </c>
      <c r="DA89" s="467" t="inlineStr">
        <is>
          <t>190.60</t>
        </is>
      </c>
      <c r="DB89" s="467" t="inlineStr">
        <is>
          <t>0.00</t>
        </is>
      </c>
      <c r="DC89" s="467" t="inlineStr">
        <is>
          <t>0.00</t>
        </is>
      </c>
      <c r="DD89" s="467" t="n"/>
      <c r="DE89" s="467" t="n"/>
      <c r="DF89" s="467" t="n"/>
      <c r="DG89" s="467" t="n"/>
      <c r="DH89" s="467" t="n"/>
      <c r="DI89" s="467" t="inlineStr">
        <is>
          <t>0.000</t>
        </is>
      </c>
      <c r="DJ89" s="467" t="n"/>
      <c r="DK89" s="467" t="n"/>
      <c r="DL89" s="467" t="n"/>
      <c r="DM89" s="467" t="n"/>
      <c r="DN89" s="467" t="n"/>
      <c r="DO89" s="467" t="n"/>
      <c r="DP89" s="467" t="inlineStr">
        <is>
          <t>998313</t>
        </is>
      </c>
      <c r="DQ89" s="467" t="n">
        <v>0</v>
      </c>
      <c r="DR89" s="467" t="n"/>
      <c r="DS89" s="467" t="n"/>
      <c r="DT89" s="467" t="n"/>
      <c r="DU89" s="467" t="n"/>
      <c r="DV89" s="467" t="n"/>
      <c r="DW89" s="467" t="n"/>
      <c r="DX89" s="467" t="inlineStr">
        <is>
          <t>service</t>
        </is>
      </c>
      <c r="DY89" s="467" t="n"/>
      <c r="DZ89" s="467" t="n"/>
      <c r="EA89" s="467" t="n"/>
      <c r="EB89" s="467" t="n"/>
      <c r="EC89" s="467" t="n"/>
      <c r="ED89" s="467" t="n"/>
      <c r="EE89" s="467" t="n"/>
      <c r="EF89" s="467" t="n"/>
      <c r="EG89" s="467" t="n"/>
      <c r="EH89" s="467" t="inlineStr">
        <is>
          <t>Others</t>
        </is>
      </c>
      <c r="EI89" s="467" t="n"/>
      <c r="EJ89" s="467" t="n"/>
      <c r="EK89" s="467" t="inlineStr">
        <is>
          <t>Sales</t>
        </is>
      </c>
      <c r="EL89" s="467" t="n"/>
      <c r="EM89" s="467" t="inlineStr">
        <is>
          <t>Taxable</t>
        </is>
      </c>
      <c r="EN89" s="467" t="inlineStr">
        <is>
          <t>2297152000000031213</t>
        </is>
      </c>
      <c r="EO89" s="467" t="inlineStr">
        <is>
          <t>GST18</t>
        </is>
      </c>
      <c r="EP89" s="467" t="inlineStr">
        <is>
          <t>18.00</t>
        </is>
      </c>
      <c r="EQ89" s="467" t="n">
        <v>381.2</v>
      </c>
      <c r="ER89" s="467" t="inlineStr">
        <is>
          <t>Tax Group</t>
        </is>
      </c>
      <c r="ES89" s="467" t="n"/>
      <c r="ET89" s="467" t="n"/>
    </row>
    <row r="90" ht="39.55" customHeight="1" s="253">
      <c r="A90" s="466" t="n">
        <v>45777</v>
      </c>
      <c r="B90" s="467" t="inlineStr">
        <is>
          <t>2297152000000132661</t>
        </is>
      </c>
      <c r="C90" s="469" t="inlineStr">
        <is>
          <t>INV-25-26-000091</t>
        </is>
      </c>
      <c r="D90" s="467" t="inlineStr">
        <is>
          <t>Closed</t>
        </is>
      </c>
      <c r="E90" s="467" t="inlineStr">
        <is>
          <t>2297152000000061001</t>
        </is>
      </c>
      <c r="F90" s="467" t="inlineStr">
        <is>
          <t>B2C</t>
        </is>
      </c>
      <c r="G90" s="467" t="inlineStr">
        <is>
          <t>UP</t>
        </is>
      </c>
      <c r="H90" s="467" t="inlineStr">
        <is>
          <t>09-Uttar Pradesh</t>
        </is>
      </c>
      <c r="I90" s="467" t="inlineStr">
        <is>
          <t>business_none</t>
        </is>
      </c>
      <c r="J90" s="467" t="inlineStr">
        <is>
          <t>false</t>
        </is>
      </c>
      <c r="K90" s="466" t="n">
        <v>45777</v>
      </c>
      <c r="L90" s="467" t="n"/>
      <c r="M90" s="467" t="inlineStr">
        <is>
          <t>INR</t>
        </is>
      </c>
      <c r="N90" s="467" t="n">
        <v>1</v>
      </c>
      <c r="O90" s="467" t="inlineStr">
        <is>
          <t>item_level</t>
        </is>
      </c>
      <c r="P90" s="467" t="inlineStr">
        <is>
          <t>true</t>
        </is>
      </c>
      <c r="Q90" s="467" t="inlineStr">
        <is>
          <t>Tax Invoice</t>
        </is>
      </c>
      <c r="R90" s="467" t="inlineStr">
        <is>
          <t>0.00</t>
        </is>
      </c>
      <c r="S90" s="467" t="n"/>
      <c r="T90" s="467" t="n"/>
      <c r="U90" s="467" t="inlineStr">
        <is>
          <t>item_level</t>
        </is>
      </c>
      <c r="V90" s="467" t="n"/>
      <c r="W90" s="467" t="inlineStr">
        <is>
          <t>0.00</t>
        </is>
      </c>
      <c r="X90" s="467" t="n"/>
      <c r="Y90" s="467" t="n"/>
      <c r="Z90" s="467" t="inlineStr">
        <is>
          <t>0.000</t>
        </is>
      </c>
      <c r="AA90" s="467" t="n">
        <v>2117.8</v>
      </c>
      <c r="AB90" s="467" t="n">
        <v>2499</v>
      </c>
      <c r="AC90" s="467" t="n">
        <v>0</v>
      </c>
      <c r="AD90" s="467" t="n">
        <v>0</v>
      </c>
      <c r="AE90" s="467" t="inlineStr">
        <is>
          <t>Adjustment</t>
        </is>
      </c>
      <c r="AF90" s="467" t="n"/>
      <c r="AG90" s="466" t="n">
        <v>45777</v>
      </c>
      <c r="AH90" s="467" t="inlineStr">
        <is>
          <t>0</t>
        </is>
      </c>
      <c r="AI90" s="467" t="inlineStr">
        <is>
          <t>Due on Receipt</t>
        </is>
      </c>
      <c r="AJ90" s="467" t="inlineStr">
        <is>
          <t>Thanks for your business.</t>
        </is>
      </c>
      <c r="AK90" s="467" t="n"/>
      <c r="AL90" s="467" t="n"/>
      <c r="AM90" s="467" t="n"/>
      <c r="AN90" s="467" t="n"/>
      <c r="AO90" s="467" t="n"/>
      <c r="AP90" s="467" t="n"/>
      <c r="AQ90" s="467" t="n"/>
      <c r="AR90" s="467" t="n"/>
      <c r="AS90" s="467" t="n"/>
      <c r="AT90" s="467" t="inlineStr">
        <is>
          <t>Invoice</t>
        </is>
      </c>
      <c r="AU90" s="467" t="inlineStr">
        <is>
          <t>0.0</t>
        </is>
      </c>
      <c r="AV90" s="467" t="n">
        <v>0</v>
      </c>
      <c r="AW90" s="467" t="n"/>
      <c r="AX90" s="467" t="n"/>
      <c r="AY90" s="467" t="n"/>
      <c r="AZ90" s="467" t="n"/>
      <c r="BA90" s="467" t="n"/>
      <c r="BB90" s="467" t="n"/>
      <c r="BC90" s="467" t="n"/>
      <c r="BD90" s="467" t="inlineStr">
        <is>
          <t>Jurisphere Enterprise Subscription</t>
        </is>
      </c>
      <c r="BE90" s="468" t="inlineStr">
        <is>
          <t xml:space="preserve">gaurivikram045@gmail.com
pay_QK0vPjtExlmPsW
</t>
        </is>
      </c>
      <c r="BF90" s="467" t="n">
        <v>1</v>
      </c>
      <c r="BG90" s="467" t="inlineStr">
        <is>
          <t>0.00</t>
        </is>
      </c>
      <c r="BH90" s="467" t="inlineStr">
        <is>
          <t>0.00</t>
        </is>
      </c>
      <c r="BI90" s="467" t="n">
        <v>2117.8</v>
      </c>
      <c r="BJ90" s="467" t="inlineStr">
        <is>
          <t>pcs</t>
        </is>
      </c>
      <c r="BK90" s="467" t="n">
        <v>2117.8</v>
      </c>
      <c r="BL90" s="467" t="inlineStr">
        <is>
          <t>2297152000000039748</t>
        </is>
      </c>
      <c r="BM90" s="467" t="n"/>
      <c r="BN90" s="467" t="n"/>
      <c r="BO90" s="467" t="n"/>
      <c r="BP90" s="467" t="n"/>
      <c r="BQ90" s="467" t="n"/>
      <c r="BR90" s="467" t="n"/>
      <c r="BS90" s="467" t="n"/>
      <c r="BT90" s="467" t="n"/>
      <c r="BU90" s="467" t="n"/>
      <c r="BV90" s="467" t="n"/>
      <c r="BW90" s="467" t="n"/>
      <c r="BX90" s="467" t="n"/>
      <c r="BY90" s="467" t="n"/>
      <c r="BZ90" s="467" t="n"/>
      <c r="CA90" s="467" t="n"/>
      <c r="CB90" s="467" t="n"/>
      <c r="CC90" s="467" t="n"/>
      <c r="CD90" s="467" t="n"/>
      <c r="CE90" s="467" t="n"/>
      <c r="CF90" s="467" t="n"/>
      <c r="CG90" s="467" t="n"/>
      <c r="CH90" s="467" t="n"/>
      <c r="CI90" s="467" t="inlineStr">
        <is>
          <t>Coresphere100 Technologies Pvt. Ltd.</t>
        </is>
      </c>
      <c r="CJ90" s="467" t="inlineStr">
        <is>
          <t>09AALCC7037K1Z7</t>
        </is>
      </c>
      <c r="CK90" s="467" t="inlineStr">
        <is>
          <t>16026, 16th Floor, Tower Oakwood,</t>
        </is>
      </c>
      <c r="CL90" s="467" t="inlineStr">
        <is>
          <t>Greater Noida,</t>
        </is>
      </c>
      <c r="CM90" s="467" t="inlineStr">
        <is>
          <t>Uttar Pradesh</t>
        </is>
      </c>
      <c r="CN90" s="467" t="inlineStr">
        <is>
          <t>India</t>
        </is>
      </c>
      <c r="CO90" s="467" t="inlineStr">
        <is>
          <t>201306</t>
        </is>
      </c>
      <c r="CP90" s="467" t="inlineStr">
        <is>
          <t>8928163657</t>
        </is>
      </c>
      <c r="CQ90" s="467" t="inlineStr">
        <is>
          <t>manas@jurisphere.ai</t>
        </is>
      </c>
      <c r="CR90" s="467" t="inlineStr">
        <is>
          <t>9.00</t>
        </is>
      </c>
      <c r="CS90" s="467" t="inlineStr">
        <is>
          <t>9.00</t>
        </is>
      </c>
      <c r="CT90" s="467" t="inlineStr">
        <is>
          <t>0.00</t>
        </is>
      </c>
      <c r="CU90" s="467" t="inlineStr">
        <is>
          <t>0.00</t>
        </is>
      </c>
      <c r="CV90" s="467" t="inlineStr">
        <is>
          <t>190.60</t>
        </is>
      </c>
      <c r="CW90" s="467" t="inlineStr">
        <is>
          <t>190.60</t>
        </is>
      </c>
      <c r="CX90" s="467" t="inlineStr">
        <is>
          <t>0.00</t>
        </is>
      </c>
      <c r="CY90" s="467" t="inlineStr">
        <is>
          <t>0.00</t>
        </is>
      </c>
      <c r="CZ90" s="467" t="inlineStr">
        <is>
          <t>190.60</t>
        </is>
      </c>
      <c r="DA90" s="467" t="inlineStr">
        <is>
          <t>190.60</t>
        </is>
      </c>
      <c r="DB90" s="467" t="inlineStr">
        <is>
          <t>0.00</t>
        </is>
      </c>
      <c r="DC90" s="467" t="inlineStr">
        <is>
          <t>0.00</t>
        </is>
      </c>
      <c r="DD90" s="467" t="n"/>
      <c r="DE90" s="467" t="n"/>
      <c r="DF90" s="467" t="n"/>
      <c r="DG90" s="467" t="n"/>
      <c r="DH90" s="467" t="n"/>
      <c r="DI90" s="467" t="inlineStr">
        <is>
          <t>0.000</t>
        </is>
      </c>
      <c r="DJ90" s="467" t="n"/>
      <c r="DK90" s="467" t="n"/>
      <c r="DL90" s="467" t="n"/>
      <c r="DM90" s="467" t="n"/>
      <c r="DN90" s="467" t="n"/>
      <c r="DO90" s="467" t="n"/>
      <c r="DP90" s="467" t="inlineStr">
        <is>
          <t>998313</t>
        </is>
      </c>
      <c r="DQ90" s="467" t="n">
        <v>0</v>
      </c>
      <c r="DR90" s="467" t="n"/>
      <c r="DS90" s="467" t="n"/>
      <c r="DT90" s="467" t="n"/>
      <c r="DU90" s="467" t="n"/>
      <c r="DV90" s="467" t="n"/>
      <c r="DW90" s="467" t="n"/>
      <c r="DX90" s="467" t="inlineStr">
        <is>
          <t>service</t>
        </is>
      </c>
      <c r="DY90" s="467" t="n"/>
      <c r="DZ90" s="467" t="n"/>
      <c r="EA90" s="467" t="n"/>
      <c r="EB90" s="467" t="n"/>
      <c r="EC90" s="467" t="n"/>
      <c r="ED90" s="467" t="n"/>
      <c r="EE90" s="467" t="n"/>
      <c r="EF90" s="467" t="n"/>
      <c r="EG90" s="467" t="n"/>
      <c r="EH90" s="467" t="inlineStr">
        <is>
          <t>Others</t>
        </is>
      </c>
      <c r="EI90" s="467" t="n"/>
      <c r="EJ90" s="467" t="n"/>
      <c r="EK90" s="467" t="inlineStr">
        <is>
          <t>Sales</t>
        </is>
      </c>
      <c r="EL90" s="467" t="n"/>
      <c r="EM90" s="467" t="inlineStr">
        <is>
          <t>Taxable</t>
        </is>
      </c>
      <c r="EN90" s="467" t="inlineStr">
        <is>
          <t>2297152000000031213</t>
        </is>
      </c>
      <c r="EO90" s="467" t="inlineStr">
        <is>
          <t>GST18</t>
        </is>
      </c>
      <c r="EP90" s="467" t="inlineStr">
        <is>
          <t>18.00</t>
        </is>
      </c>
      <c r="EQ90" s="467" t="n">
        <v>381.2</v>
      </c>
      <c r="ER90" s="467" t="inlineStr">
        <is>
          <t>Tax Group</t>
        </is>
      </c>
      <c r="ES90" s="467" t="n"/>
      <c r="ET90" s="467" t="n"/>
    </row>
    <row r="91" ht="39.55" customHeight="1" s="253">
      <c r="A91" s="466" t="n">
        <v>45777</v>
      </c>
      <c r="B91" s="467" t="inlineStr">
        <is>
          <t>2297152000000132675</t>
        </is>
      </c>
      <c r="C91" s="469" t="inlineStr">
        <is>
          <t>INV-25-26-000092</t>
        </is>
      </c>
      <c r="D91" s="467" t="inlineStr">
        <is>
          <t>Closed</t>
        </is>
      </c>
      <c r="E91" s="467" t="inlineStr">
        <is>
          <t>2297152000000061001</t>
        </is>
      </c>
      <c r="F91" s="467" t="inlineStr">
        <is>
          <t>B2C</t>
        </is>
      </c>
      <c r="G91" s="467" t="inlineStr">
        <is>
          <t>UP</t>
        </is>
      </c>
      <c r="H91" s="467" t="inlineStr">
        <is>
          <t>09-Uttar Pradesh</t>
        </is>
      </c>
      <c r="I91" s="467" t="inlineStr">
        <is>
          <t>business_none</t>
        </is>
      </c>
      <c r="J91" s="467" t="inlineStr">
        <is>
          <t>false</t>
        </is>
      </c>
      <c r="K91" s="466" t="n">
        <v>45777</v>
      </c>
      <c r="L91" s="467" t="n"/>
      <c r="M91" s="467" t="inlineStr">
        <is>
          <t>INR</t>
        </is>
      </c>
      <c r="N91" s="467" t="n">
        <v>1</v>
      </c>
      <c r="O91" s="467" t="inlineStr">
        <is>
          <t>item_level</t>
        </is>
      </c>
      <c r="P91" s="467" t="inlineStr">
        <is>
          <t>true</t>
        </is>
      </c>
      <c r="Q91" s="467" t="inlineStr">
        <is>
          <t>Tax Invoice</t>
        </is>
      </c>
      <c r="R91" s="467" t="inlineStr">
        <is>
          <t>0.00</t>
        </is>
      </c>
      <c r="S91" s="467" t="n"/>
      <c r="T91" s="467" t="n"/>
      <c r="U91" s="467" t="inlineStr">
        <is>
          <t>item_level</t>
        </is>
      </c>
      <c r="V91" s="467" t="n"/>
      <c r="W91" s="467" t="inlineStr">
        <is>
          <t>0.00</t>
        </is>
      </c>
      <c r="X91" s="467" t="n"/>
      <c r="Y91" s="467" t="n"/>
      <c r="Z91" s="467" t="inlineStr">
        <is>
          <t>0.000</t>
        </is>
      </c>
      <c r="AA91" s="467" t="n">
        <v>2117.8</v>
      </c>
      <c r="AB91" s="467" t="n">
        <v>2499</v>
      </c>
      <c r="AC91" s="467" t="n">
        <v>0</v>
      </c>
      <c r="AD91" s="467" t="n">
        <v>0</v>
      </c>
      <c r="AE91" s="467" t="inlineStr">
        <is>
          <t>Adjustment</t>
        </is>
      </c>
      <c r="AF91" s="467" t="n"/>
      <c r="AG91" s="466" t="n">
        <v>45777</v>
      </c>
      <c r="AH91" s="467" t="inlineStr">
        <is>
          <t>0</t>
        </is>
      </c>
      <c r="AI91" s="467" t="inlineStr">
        <is>
          <t>Due on Receipt</t>
        </is>
      </c>
      <c r="AJ91" s="467" t="inlineStr">
        <is>
          <t>Thanks for your business.</t>
        </is>
      </c>
      <c r="AK91" s="467" t="n"/>
      <c r="AL91" s="467" t="n"/>
      <c r="AM91" s="467" t="n"/>
      <c r="AN91" s="467" t="n"/>
      <c r="AO91" s="467" t="n"/>
      <c r="AP91" s="467" t="n"/>
      <c r="AQ91" s="467" t="n"/>
      <c r="AR91" s="467" t="n"/>
      <c r="AS91" s="467" t="n"/>
      <c r="AT91" s="467" t="inlineStr">
        <is>
          <t>Invoice</t>
        </is>
      </c>
      <c r="AU91" s="467" t="inlineStr">
        <is>
          <t>0.0</t>
        </is>
      </c>
      <c r="AV91" s="467" t="n">
        <v>0</v>
      </c>
      <c r="AW91" s="467" t="n"/>
      <c r="AX91" s="467" t="n"/>
      <c r="AY91" s="467" t="n"/>
      <c r="AZ91" s="467" t="n"/>
      <c r="BA91" s="467" t="n"/>
      <c r="BB91" s="467" t="n"/>
      <c r="BC91" s="467" t="n"/>
      <c r="BD91" s="467" t="inlineStr">
        <is>
          <t>Jurisphere Enterprise Subscription</t>
        </is>
      </c>
      <c r="BE91" s="468" t="inlineStr">
        <is>
          <t xml:space="preserve">kumar2204ram@gmail.com
pay_QNR9M4jy96ippU
</t>
        </is>
      </c>
      <c r="BF91" s="467" t="n">
        <v>1</v>
      </c>
      <c r="BG91" s="467" t="inlineStr">
        <is>
          <t>0.00</t>
        </is>
      </c>
      <c r="BH91" s="467" t="inlineStr">
        <is>
          <t>0.00</t>
        </is>
      </c>
      <c r="BI91" s="467" t="n">
        <v>2117.8</v>
      </c>
      <c r="BJ91" s="467" t="inlineStr">
        <is>
          <t>pcs</t>
        </is>
      </c>
      <c r="BK91" s="467" t="n">
        <v>2117.8</v>
      </c>
      <c r="BL91" s="467" t="inlineStr">
        <is>
          <t>2297152000000039748</t>
        </is>
      </c>
      <c r="BM91" s="467" t="n"/>
      <c r="BN91" s="467" t="n"/>
      <c r="BO91" s="467" t="n"/>
      <c r="BP91" s="467" t="n"/>
      <c r="BQ91" s="467" t="n"/>
      <c r="BR91" s="467" t="n"/>
      <c r="BS91" s="467" t="n"/>
      <c r="BT91" s="467" t="n"/>
      <c r="BU91" s="467" t="n"/>
      <c r="BV91" s="467" t="n"/>
      <c r="BW91" s="467" t="n"/>
      <c r="BX91" s="467" t="n"/>
      <c r="BY91" s="467" t="n"/>
      <c r="BZ91" s="467" t="n"/>
      <c r="CA91" s="467" t="n"/>
      <c r="CB91" s="467" t="n"/>
      <c r="CC91" s="467" t="n"/>
      <c r="CD91" s="467" t="n"/>
      <c r="CE91" s="467" t="n"/>
      <c r="CF91" s="467" t="n"/>
      <c r="CG91" s="467" t="n"/>
      <c r="CH91" s="467" t="n"/>
      <c r="CI91" s="467" t="inlineStr">
        <is>
          <t>Coresphere100 Technologies Pvt. Ltd.</t>
        </is>
      </c>
      <c r="CJ91" s="467" t="inlineStr">
        <is>
          <t>09AALCC7037K1Z7</t>
        </is>
      </c>
      <c r="CK91" s="467" t="inlineStr">
        <is>
          <t>16026, 16th Floor, Tower Oakwood,</t>
        </is>
      </c>
      <c r="CL91" s="467" t="inlineStr">
        <is>
          <t>Greater Noida,</t>
        </is>
      </c>
      <c r="CM91" s="467" t="inlineStr">
        <is>
          <t>Uttar Pradesh</t>
        </is>
      </c>
      <c r="CN91" s="467" t="inlineStr">
        <is>
          <t>India</t>
        </is>
      </c>
      <c r="CO91" s="467" t="inlineStr">
        <is>
          <t>201306</t>
        </is>
      </c>
      <c r="CP91" s="467" t="inlineStr">
        <is>
          <t>8928163657</t>
        </is>
      </c>
      <c r="CQ91" s="467" t="inlineStr">
        <is>
          <t>manas@jurisphere.ai</t>
        </is>
      </c>
      <c r="CR91" s="467" t="inlineStr">
        <is>
          <t>9.00</t>
        </is>
      </c>
      <c r="CS91" s="467" t="inlineStr">
        <is>
          <t>9.00</t>
        </is>
      </c>
      <c r="CT91" s="467" t="inlineStr">
        <is>
          <t>0.00</t>
        </is>
      </c>
      <c r="CU91" s="467" t="inlineStr">
        <is>
          <t>0.00</t>
        </is>
      </c>
      <c r="CV91" s="467" t="inlineStr">
        <is>
          <t>190.60</t>
        </is>
      </c>
      <c r="CW91" s="467" t="inlineStr">
        <is>
          <t>190.60</t>
        </is>
      </c>
      <c r="CX91" s="467" t="inlineStr">
        <is>
          <t>0.00</t>
        </is>
      </c>
      <c r="CY91" s="467" t="inlineStr">
        <is>
          <t>0.00</t>
        </is>
      </c>
      <c r="CZ91" s="467" t="inlineStr">
        <is>
          <t>190.60</t>
        </is>
      </c>
      <c r="DA91" s="467" t="inlineStr">
        <is>
          <t>190.60</t>
        </is>
      </c>
      <c r="DB91" s="467" t="inlineStr">
        <is>
          <t>0.00</t>
        </is>
      </c>
      <c r="DC91" s="467" t="inlineStr">
        <is>
          <t>0.00</t>
        </is>
      </c>
      <c r="DD91" s="467" t="n"/>
      <c r="DE91" s="467" t="n"/>
      <c r="DF91" s="467" t="n"/>
      <c r="DG91" s="467" t="n"/>
      <c r="DH91" s="467" t="n"/>
      <c r="DI91" s="467" t="inlineStr">
        <is>
          <t>0.000</t>
        </is>
      </c>
      <c r="DJ91" s="467" t="n"/>
      <c r="DK91" s="467" t="n"/>
      <c r="DL91" s="467" t="n"/>
      <c r="DM91" s="467" t="n"/>
      <c r="DN91" s="467" t="n"/>
      <c r="DO91" s="467" t="n"/>
      <c r="DP91" s="467" t="inlineStr">
        <is>
          <t>998313</t>
        </is>
      </c>
      <c r="DQ91" s="467" t="n">
        <v>0</v>
      </c>
      <c r="DR91" s="467" t="n"/>
      <c r="DS91" s="467" t="n"/>
      <c r="DT91" s="467" t="n"/>
      <c r="DU91" s="467" t="n"/>
      <c r="DV91" s="467" t="n"/>
      <c r="DW91" s="467" t="n"/>
      <c r="DX91" s="467" t="inlineStr">
        <is>
          <t>service</t>
        </is>
      </c>
      <c r="DY91" s="467" t="n"/>
      <c r="DZ91" s="467" t="n"/>
      <c r="EA91" s="467" t="n"/>
      <c r="EB91" s="467" t="n"/>
      <c r="EC91" s="467" t="n"/>
      <c r="ED91" s="467" t="n"/>
      <c r="EE91" s="467" t="n"/>
      <c r="EF91" s="467" t="n"/>
      <c r="EG91" s="467" t="n"/>
      <c r="EH91" s="467" t="inlineStr">
        <is>
          <t>Others</t>
        </is>
      </c>
      <c r="EI91" s="467" t="n"/>
      <c r="EJ91" s="467" t="n"/>
      <c r="EK91" s="467" t="inlineStr">
        <is>
          <t>Sales</t>
        </is>
      </c>
      <c r="EL91" s="467" t="n"/>
      <c r="EM91" s="467" t="inlineStr">
        <is>
          <t>Taxable</t>
        </is>
      </c>
      <c r="EN91" s="467" t="inlineStr">
        <is>
          <t>2297152000000031213</t>
        </is>
      </c>
      <c r="EO91" s="467" t="inlineStr">
        <is>
          <t>GST18</t>
        </is>
      </c>
      <c r="EP91" s="467" t="inlineStr">
        <is>
          <t>18.00</t>
        </is>
      </c>
      <c r="EQ91" s="467" t="n">
        <v>381.2</v>
      </c>
      <c r="ER91" s="467" t="inlineStr">
        <is>
          <t>Tax Group</t>
        </is>
      </c>
      <c r="ES91" s="467" t="n"/>
      <c r="ET91" s="467" t="n"/>
    </row>
    <row r="92" ht="39.55" customHeight="1" s="253">
      <c r="A92" s="466" t="n">
        <v>45777</v>
      </c>
      <c r="B92" s="467" t="inlineStr">
        <is>
          <t>2297152000000132689</t>
        </is>
      </c>
      <c r="C92" s="469" t="inlineStr">
        <is>
          <t>INV-25-26-000093</t>
        </is>
      </c>
      <c r="D92" s="467" t="inlineStr">
        <is>
          <t>Closed</t>
        </is>
      </c>
      <c r="E92" s="467" t="inlineStr">
        <is>
          <t>2297152000000061001</t>
        </is>
      </c>
      <c r="F92" s="467" t="inlineStr">
        <is>
          <t>B2C</t>
        </is>
      </c>
      <c r="G92" s="467" t="inlineStr">
        <is>
          <t>UP</t>
        </is>
      </c>
      <c r="H92" s="467" t="inlineStr">
        <is>
          <t>09-Uttar Pradesh</t>
        </is>
      </c>
      <c r="I92" s="467" t="inlineStr">
        <is>
          <t>business_none</t>
        </is>
      </c>
      <c r="J92" s="467" t="inlineStr">
        <is>
          <t>false</t>
        </is>
      </c>
      <c r="K92" s="466" t="n">
        <v>45777</v>
      </c>
      <c r="L92" s="467" t="n"/>
      <c r="M92" s="467" t="inlineStr">
        <is>
          <t>INR</t>
        </is>
      </c>
      <c r="N92" s="467" t="n">
        <v>1</v>
      </c>
      <c r="O92" s="467" t="inlineStr">
        <is>
          <t>item_level</t>
        </is>
      </c>
      <c r="P92" s="467" t="inlineStr">
        <is>
          <t>true</t>
        </is>
      </c>
      <c r="Q92" s="467" t="inlineStr">
        <is>
          <t>Tax Invoice</t>
        </is>
      </c>
      <c r="R92" s="467" t="inlineStr">
        <is>
          <t>0.00</t>
        </is>
      </c>
      <c r="S92" s="467" t="n"/>
      <c r="T92" s="467" t="n"/>
      <c r="U92" s="467" t="inlineStr">
        <is>
          <t>item_level</t>
        </is>
      </c>
      <c r="V92" s="467" t="n"/>
      <c r="W92" s="467" t="inlineStr">
        <is>
          <t>0.00</t>
        </is>
      </c>
      <c r="X92" s="467" t="n"/>
      <c r="Y92" s="467" t="n"/>
      <c r="Z92" s="467" t="inlineStr">
        <is>
          <t>0.000</t>
        </is>
      </c>
      <c r="AA92" s="467" t="n">
        <v>2117.8</v>
      </c>
      <c r="AB92" s="467" t="n">
        <v>2499</v>
      </c>
      <c r="AC92" s="467" t="n">
        <v>0</v>
      </c>
      <c r="AD92" s="467" t="n">
        <v>0</v>
      </c>
      <c r="AE92" s="467" t="inlineStr">
        <is>
          <t>Adjustment</t>
        </is>
      </c>
      <c r="AF92" s="467" t="n"/>
      <c r="AG92" s="466" t="n">
        <v>45777</v>
      </c>
      <c r="AH92" s="467" t="inlineStr">
        <is>
          <t>0</t>
        </is>
      </c>
      <c r="AI92" s="467" t="inlineStr">
        <is>
          <t>Due on Receipt</t>
        </is>
      </c>
      <c r="AJ92" s="467" t="inlineStr">
        <is>
          <t>Thanks for your business.</t>
        </is>
      </c>
      <c r="AK92" s="467" t="n"/>
      <c r="AL92" s="467" t="n"/>
      <c r="AM92" s="467" t="n"/>
      <c r="AN92" s="467" t="n"/>
      <c r="AO92" s="467" t="n"/>
      <c r="AP92" s="467" t="n"/>
      <c r="AQ92" s="467" t="n"/>
      <c r="AR92" s="467" t="n"/>
      <c r="AS92" s="467" t="n"/>
      <c r="AT92" s="467" t="inlineStr">
        <is>
          <t>Invoice</t>
        </is>
      </c>
      <c r="AU92" s="467" t="inlineStr">
        <is>
          <t>0.0</t>
        </is>
      </c>
      <c r="AV92" s="467" t="n">
        <v>0</v>
      </c>
      <c r="AW92" s="467" t="n"/>
      <c r="AX92" s="467" t="n"/>
      <c r="AY92" s="467" t="n"/>
      <c r="AZ92" s="467" t="n"/>
      <c r="BA92" s="467" t="n"/>
      <c r="BB92" s="467" t="n"/>
      <c r="BC92" s="467" t="n"/>
      <c r="BD92" s="467" t="inlineStr">
        <is>
          <t>Jurisphere Enterprise Subscription</t>
        </is>
      </c>
      <c r="BE92" s="468" t="inlineStr">
        <is>
          <t xml:space="preserve">samarthlakra@gmail.com
pay_QNpEIqd0ykzL69
</t>
        </is>
      </c>
      <c r="BF92" s="467" t="n">
        <v>1</v>
      </c>
      <c r="BG92" s="467" t="inlineStr">
        <is>
          <t>0.00</t>
        </is>
      </c>
      <c r="BH92" s="467" t="inlineStr">
        <is>
          <t>0.00</t>
        </is>
      </c>
      <c r="BI92" s="467" t="n">
        <v>2117.8</v>
      </c>
      <c r="BJ92" s="467" t="inlineStr">
        <is>
          <t>pcs</t>
        </is>
      </c>
      <c r="BK92" s="467" t="n">
        <v>2117.8</v>
      </c>
      <c r="BL92" s="467" t="inlineStr">
        <is>
          <t>2297152000000039748</t>
        </is>
      </c>
      <c r="BM92" s="467" t="n"/>
      <c r="BN92" s="467" t="n"/>
      <c r="BO92" s="467" t="n"/>
      <c r="BP92" s="467" t="n"/>
      <c r="BQ92" s="467" t="n"/>
      <c r="BR92" s="467" t="n"/>
      <c r="BS92" s="467" t="n"/>
      <c r="BT92" s="467" t="n"/>
      <c r="BU92" s="467" t="n"/>
      <c r="BV92" s="467" t="n"/>
      <c r="BW92" s="467" t="n"/>
      <c r="BX92" s="467" t="n"/>
      <c r="BY92" s="467" t="n"/>
      <c r="BZ92" s="467" t="n"/>
      <c r="CA92" s="467" t="n"/>
      <c r="CB92" s="467" t="n"/>
      <c r="CC92" s="467" t="n"/>
      <c r="CD92" s="467" t="n"/>
      <c r="CE92" s="467" t="n"/>
      <c r="CF92" s="467" t="n"/>
      <c r="CG92" s="467" t="n"/>
      <c r="CH92" s="467" t="n"/>
      <c r="CI92" s="467" t="inlineStr">
        <is>
          <t>Coresphere100 Technologies Pvt. Ltd.</t>
        </is>
      </c>
      <c r="CJ92" s="467" t="inlineStr">
        <is>
          <t>09AALCC7037K1Z7</t>
        </is>
      </c>
      <c r="CK92" s="467" t="inlineStr">
        <is>
          <t>16026, 16th Floor, Tower Oakwood,</t>
        </is>
      </c>
      <c r="CL92" s="467" t="inlineStr">
        <is>
          <t>Greater Noida,</t>
        </is>
      </c>
      <c r="CM92" s="467" t="inlineStr">
        <is>
          <t>Uttar Pradesh</t>
        </is>
      </c>
      <c r="CN92" s="467" t="inlineStr">
        <is>
          <t>India</t>
        </is>
      </c>
      <c r="CO92" s="467" t="inlineStr">
        <is>
          <t>201306</t>
        </is>
      </c>
      <c r="CP92" s="467" t="inlineStr">
        <is>
          <t>8928163657</t>
        </is>
      </c>
      <c r="CQ92" s="467" t="inlineStr">
        <is>
          <t>manas@jurisphere.ai</t>
        </is>
      </c>
      <c r="CR92" s="467" t="inlineStr">
        <is>
          <t>9.00</t>
        </is>
      </c>
      <c r="CS92" s="467" t="inlineStr">
        <is>
          <t>9.00</t>
        </is>
      </c>
      <c r="CT92" s="467" t="inlineStr">
        <is>
          <t>0.00</t>
        </is>
      </c>
      <c r="CU92" s="467" t="inlineStr">
        <is>
          <t>0.00</t>
        </is>
      </c>
      <c r="CV92" s="467" t="inlineStr">
        <is>
          <t>190.60</t>
        </is>
      </c>
      <c r="CW92" s="467" t="inlineStr">
        <is>
          <t>190.60</t>
        </is>
      </c>
      <c r="CX92" s="467" t="inlineStr">
        <is>
          <t>0.00</t>
        </is>
      </c>
      <c r="CY92" s="467" t="inlineStr">
        <is>
          <t>0.00</t>
        </is>
      </c>
      <c r="CZ92" s="467" t="inlineStr">
        <is>
          <t>190.60</t>
        </is>
      </c>
      <c r="DA92" s="467" t="inlineStr">
        <is>
          <t>190.60</t>
        </is>
      </c>
      <c r="DB92" s="467" t="inlineStr">
        <is>
          <t>0.00</t>
        </is>
      </c>
      <c r="DC92" s="467" t="inlineStr">
        <is>
          <t>0.00</t>
        </is>
      </c>
      <c r="DD92" s="467" t="n"/>
      <c r="DE92" s="467" t="n"/>
      <c r="DF92" s="467" t="n"/>
      <c r="DG92" s="467" t="n"/>
      <c r="DH92" s="467" t="n"/>
      <c r="DI92" s="467" t="inlineStr">
        <is>
          <t>0.000</t>
        </is>
      </c>
      <c r="DJ92" s="467" t="n"/>
      <c r="DK92" s="467" t="n"/>
      <c r="DL92" s="467" t="n"/>
      <c r="DM92" s="467" t="n"/>
      <c r="DN92" s="467" t="n"/>
      <c r="DO92" s="467" t="n"/>
      <c r="DP92" s="467" t="inlineStr">
        <is>
          <t>998313</t>
        </is>
      </c>
      <c r="DQ92" s="467" t="n">
        <v>0</v>
      </c>
      <c r="DR92" s="467" t="n"/>
      <c r="DS92" s="467" t="n"/>
      <c r="DT92" s="467" t="n"/>
      <c r="DU92" s="467" t="n"/>
      <c r="DV92" s="467" t="n"/>
      <c r="DW92" s="467" t="n"/>
      <c r="DX92" s="467" t="inlineStr">
        <is>
          <t>service</t>
        </is>
      </c>
      <c r="DY92" s="467" t="n"/>
      <c r="DZ92" s="467" t="n"/>
      <c r="EA92" s="467" t="n"/>
      <c r="EB92" s="467" t="n"/>
      <c r="EC92" s="467" t="n"/>
      <c r="ED92" s="467" t="n"/>
      <c r="EE92" s="467" t="n"/>
      <c r="EF92" s="467" t="n"/>
      <c r="EG92" s="467" t="n"/>
      <c r="EH92" s="467" t="inlineStr">
        <is>
          <t>Others</t>
        </is>
      </c>
      <c r="EI92" s="467" t="n"/>
      <c r="EJ92" s="467" t="n"/>
      <c r="EK92" s="467" t="inlineStr">
        <is>
          <t>Sales</t>
        </is>
      </c>
      <c r="EL92" s="467" t="n"/>
      <c r="EM92" s="467" t="inlineStr">
        <is>
          <t>Taxable</t>
        </is>
      </c>
      <c r="EN92" s="467" t="inlineStr">
        <is>
          <t>2297152000000031213</t>
        </is>
      </c>
      <c r="EO92" s="467" t="inlineStr">
        <is>
          <t>GST18</t>
        </is>
      </c>
      <c r="EP92" s="467" t="inlineStr">
        <is>
          <t>18.00</t>
        </is>
      </c>
      <c r="EQ92" s="467" t="n">
        <v>381.2</v>
      </c>
      <c r="ER92" s="467" t="inlineStr">
        <is>
          <t>Tax Group</t>
        </is>
      </c>
      <c r="ES92" s="467" t="n"/>
      <c r="ET92" s="467" t="n"/>
    </row>
    <row r="93" ht="39.55" customHeight="1" s="253">
      <c r="A93" s="466" t="n">
        <v>45777</v>
      </c>
      <c r="B93" s="467" t="inlineStr">
        <is>
          <t>2297152000000132703</t>
        </is>
      </c>
      <c r="C93" s="469" t="inlineStr">
        <is>
          <t>INV-25-26-000094</t>
        </is>
      </c>
      <c r="D93" s="467" t="inlineStr">
        <is>
          <t>Closed</t>
        </is>
      </c>
      <c r="E93" s="467" t="inlineStr">
        <is>
          <t>2297152000000061001</t>
        </is>
      </c>
      <c r="F93" s="467" t="inlineStr">
        <is>
          <t>B2C</t>
        </is>
      </c>
      <c r="G93" s="467" t="inlineStr">
        <is>
          <t>UP</t>
        </is>
      </c>
      <c r="H93" s="467" t="inlineStr">
        <is>
          <t>09-Uttar Pradesh</t>
        </is>
      </c>
      <c r="I93" s="467" t="inlineStr">
        <is>
          <t>business_none</t>
        </is>
      </c>
      <c r="J93" s="467" t="inlineStr">
        <is>
          <t>false</t>
        </is>
      </c>
      <c r="K93" s="466" t="n">
        <v>45777</v>
      </c>
      <c r="L93" s="467" t="n"/>
      <c r="M93" s="467" t="inlineStr">
        <is>
          <t>INR</t>
        </is>
      </c>
      <c r="N93" s="467" t="n">
        <v>1</v>
      </c>
      <c r="O93" s="467" t="inlineStr">
        <is>
          <t>item_level</t>
        </is>
      </c>
      <c r="P93" s="467" t="inlineStr">
        <is>
          <t>true</t>
        </is>
      </c>
      <c r="Q93" s="467" t="inlineStr">
        <is>
          <t>Tax Invoice</t>
        </is>
      </c>
      <c r="R93" s="467" t="inlineStr">
        <is>
          <t>0.00</t>
        </is>
      </c>
      <c r="S93" s="467" t="n"/>
      <c r="T93" s="467" t="n"/>
      <c r="U93" s="467" t="inlineStr">
        <is>
          <t>item_level</t>
        </is>
      </c>
      <c r="V93" s="467" t="n"/>
      <c r="W93" s="467" t="inlineStr">
        <is>
          <t>0.00</t>
        </is>
      </c>
      <c r="X93" s="467" t="n"/>
      <c r="Y93" s="467" t="n"/>
      <c r="Z93" s="467" t="inlineStr">
        <is>
          <t>0.000</t>
        </is>
      </c>
      <c r="AA93" s="467" t="n">
        <v>2117.8</v>
      </c>
      <c r="AB93" s="467" t="n">
        <v>2499</v>
      </c>
      <c r="AC93" s="467" t="n">
        <v>0</v>
      </c>
      <c r="AD93" s="467" t="n">
        <v>0</v>
      </c>
      <c r="AE93" s="467" t="inlineStr">
        <is>
          <t>Adjustment</t>
        </is>
      </c>
      <c r="AF93" s="467" t="n"/>
      <c r="AG93" s="466" t="n">
        <v>45777</v>
      </c>
      <c r="AH93" s="467" t="inlineStr">
        <is>
          <t>0</t>
        </is>
      </c>
      <c r="AI93" s="467" t="inlineStr">
        <is>
          <t>Due on Receipt</t>
        </is>
      </c>
      <c r="AJ93" s="467" t="inlineStr">
        <is>
          <t>Thanks for your business.</t>
        </is>
      </c>
      <c r="AK93" s="467" t="n"/>
      <c r="AL93" s="467" t="n"/>
      <c r="AM93" s="467" t="n"/>
      <c r="AN93" s="467" t="n"/>
      <c r="AO93" s="467" t="n"/>
      <c r="AP93" s="467" t="n"/>
      <c r="AQ93" s="467" t="n"/>
      <c r="AR93" s="467" t="n"/>
      <c r="AS93" s="467" t="n"/>
      <c r="AT93" s="467" t="inlineStr">
        <is>
          <t>Invoice</t>
        </is>
      </c>
      <c r="AU93" s="467" t="inlineStr">
        <is>
          <t>0.0</t>
        </is>
      </c>
      <c r="AV93" s="467" t="n">
        <v>0</v>
      </c>
      <c r="AW93" s="467" t="n"/>
      <c r="AX93" s="467" t="n"/>
      <c r="AY93" s="467" t="n"/>
      <c r="AZ93" s="467" t="n"/>
      <c r="BA93" s="467" t="n"/>
      <c r="BB93" s="467" t="n"/>
      <c r="BC93" s="467" t="n"/>
      <c r="BD93" s="467" t="inlineStr">
        <is>
          <t>Jurisphere Enterprise Subscription</t>
        </is>
      </c>
      <c r="BE93" s="468" t="inlineStr">
        <is>
          <t xml:space="preserve">rohit@brasdesa.net
pay_QOcDz5cWKf71Fh
</t>
        </is>
      </c>
      <c r="BF93" s="467" t="n">
        <v>1</v>
      </c>
      <c r="BG93" s="467" t="inlineStr">
        <is>
          <t>0.00</t>
        </is>
      </c>
      <c r="BH93" s="467" t="inlineStr">
        <is>
          <t>0.00</t>
        </is>
      </c>
      <c r="BI93" s="467" t="n">
        <v>2117.8</v>
      </c>
      <c r="BJ93" s="467" t="inlineStr">
        <is>
          <t>pcs</t>
        </is>
      </c>
      <c r="BK93" s="467" t="n">
        <v>2117.8</v>
      </c>
      <c r="BL93" s="467" t="inlineStr">
        <is>
          <t>2297152000000039748</t>
        </is>
      </c>
      <c r="BM93" s="467" t="n"/>
      <c r="BN93" s="467" t="n"/>
      <c r="BO93" s="467" t="n"/>
      <c r="BP93" s="467" t="n"/>
      <c r="BQ93" s="467" t="n"/>
      <c r="BR93" s="467" t="n"/>
      <c r="BS93" s="467" t="n"/>
      <c r="BT93" s="467" t="n"/>
      <c r="BU93" s="467" t="n"/>
      <c r="BV93" s="467" t="n"/>
      <c r="BW93" s="467" t="n"/>
      <c r="BX93" s="467" t="n"/>
      <c r="BY93" s="467" t="n"/>
      <c r="BZ93" s="467" t="n"/>
      <c r="CA93" s="467" t="n"/>
      <c r="CB93" s="467" t="n"/>
      <c r="CC93" s="467" t="n"/>
      <c r="CD93" s="467" t="n"/>
      <c r="CE93" s="467" t="n"/>
      <c r="CF93" s="467" t="n"/>
      <c r="CG93" s="467" t="n"/>
      <c r="CH93" s="467" t="n"/>
      <c r="CI93" s="467" t="inlineStr">
        <is>
          <t>Coresphere100 Technologies Pvt. Ltd.</t>
        </is>
      </c>
      <c r="CJ93" s="467" t="inlineStr">
        <is>
          <t>09AALCC7037K1Z7</t>
        </is>
      </c>
      <c r="CK93" s="467" t="inlineStr">
        <is>
          <t>16026, 16th Floor, Tower Oakwood,</t>
        </is>
      </c>
      <c r="CL93" s="467" t="inlineStr">
        <is>
          <t>Greater Noida,</t>
        </is>
      </c>
      <c r="CM93" s="467" t="inlineStr">
        <is>
          <t>Uttar Pradesh</t>
        </is>
      </c>
      <c r="CN93" s="467" t="inlineStr">
        <is>
          <t>India</t>
        </is>
      </c>
      <c r="CO93" s="467" t="inlineStr">
        <is>
          <t>201306</t>
        </is>
      </c>
      <c r="CP93" s="467" t="inlineStr">
        <is>
          <t>8928163657</t>
        </is>
      </c>
      <c r="CQ93" s="467" t="inlineStr">
        <is>
          <t>manas@jurisphere.ai</t>
        </is>
      </c>
      <c r="CR93" s="467" t="inlineStr">
        <is>
          <t>9.00</t>
        </is>
      </c>
      <c r="CS93" s="467" t="inlineStr">
        <is>
          <t>9.00</t>
        </is>
      </c>
      <c r="CT93" s="467" t="inlineStr">
        <is>
          <t>0.00</t>
        </is>
      </c>
      <c r="CU93" s="467" t="inlineStr">
        <is>
          <t>0.00</t>
        </is>
      </c>
      <c r="CV93" s="467" t="inlineStr">
        <is>
          <t>190.60</t>
        </is>
      </c>
      <c r="CW93" s="467" t="inlineStr">
        <is>
          <t>190.60</t>
        </is>
      </c>
      <c r="CX93" s="467" t="inlineStr">
        <is>
          <t>0.00</t>
        </is>
      </c>
      <c r="CY93" s="467" t="inlineStr">
        <is>
          <t>0.00</t>
        </is>
      </c>
      <c r="CZ93" s="467" t="inlineStr">
        <is>
          <t>190.60</t>
        </is>
      </c>
      <c r="DA93" s="467" t="inlineStr">
        <is>
          <t>190.60</t>
        </is>
      </c>
      <c r="DB93" s="467" t="inlineStr">
        <is>
          <t>0.00</t>
        </is>
      </c>
      <c r="DC93" s="467" t="inlineStr">
        <is>
          <t>0.00</t>
        </is>
      </c>
      <c r="DD93" s="467" t="n"/>
      <c r="DE93" s="467" t="n"/>
      <c r="DF93" s="467" t="n"/>
      <c r="DG93" s="467" t="n"/>
      <c r="DH93" s="467" t="n"/>
      <c r="DI93" s="467" t="inlineStr">
        <is>
          <t>0.000</t>
        </is>
      </c>
      <c r="DJ93" s="467" t="n"/>
      <c r="DK93" s="467" t="n"/>
      <c r="DL93" s="467" t="n"/>
      <c r="DM93" s="467" t="n"/>
      <c r="DN93" s="467" t="n"/>
      <c r="DO93" s="467" t="n"/>
      <c r="DP93" s="467" t="inlineStr">
        <is>
          <t>998313</t>
        </is>
      </c>
      <c r="DQ93" s="467" t="n">
        <v>0</v>
      </c>
      <c r="DR93" s="467" t="n"/>
      <c r="DS93" s="467" t="n"/>
      <c r="DT93" s="467" t="n"/>
      <c r="DU93" s="467" t="n"/>
      <c r="DV93" s="467" t="n"/>
      <c r="DW93" s="467" t="n"/>
      <c r="DX93" s="467" t="inlineStr">
        <is>
          <t>service</t>
        </is>
      </c>
      <c r="DY93" s="467" t="n"/>
      <c r="DZ93" s="467" t="n"/>
      <c r="EA93" s="467" t="n"/>
      <c r="EB93" s="467" t="n"/>
      <c r="EC93" s="467" t="n"/>
      <c r="ED93" s="467" t="n"/>
      <c r="EE93" s="467" t="n"/>
      <c r="EF93" s="467" t="n"/>
      <c r="EG93" s="467" t="n"/>
      <c r="EH93" s="467" t="inlineStr">
        <is>
          <t>Others</t>
        </is>
      </c>
      <c r="EI93" s="467" t="n"/>
      <c r="EJ93" s="467" t="n"/>
      <c r="EK93" s="467" t="inlineStr">
        <is>
          <t>Sales</t>
        </is>
      </c>
      <c r="EL93" s="467" t="n"/>
      <c r="EM93" s="467" t="inlineStr">
        <is>
          <t>Taxable</t>
        </is>
      </c>
      <c r="EN93" s="467" t="inlineStr">
        <is>
          <t>2297152000000031213</t>
        </is>
      </c>
      <c r="EO93" s="467" t="inlineStr">
        <is>
          <t>GST18</t>
        </is>
      </c>
      <c r="EP93" s="467" t="inlineStr">
        <is>
          <t>18.00</t>
        </is>
      </c>
      <c r="EQ93" s="467" t="n">
        <v>381.2</v>
      </c>
      <c r="ER93" s="467" t="inlineStr">
        <is>
          <t>Tax Group</t>
        </is>
      </c>
      <c r="ES93" s="467" t="n"/>
      <c r="ET93" s="467" t="n"/>
    </row>
    <row r="94" ht="39.55" customHeight="1" s="253">
      <c r="A94" s="466" t="n">
        <v>45777</v>
      </c>
      <c r="B94" s="467" t="inlineStr">
        <is>
          <t>2297152000000132717</t>
        </is>
      </c>
      <c r="C94" s="469" t="inlineStr">
        <is>
          <t>INV-25-26-000095</t>
        </is>
      </c>
      <c r="D94" s="467" t="inlineStr">
        <is>
          <t>Closed</t>
        </is>
      </c>
      <c r="E94" s="467" t="inlineStr">
        <is>
          <t>2297152000000061001</t>
        </is>
      </c>
      <c r="F94" s="467" t="inlineStr">
        <is>
          <t>B2C</t>
        </is>
      </c>
      <c r="G94" s="467" t="inlineStr">
        <is>
          <t>UP</t>
        </is>
      </c>
      <c r="H94" s="467" t="inlineStr">
        <is>
          <t>09-Uttar Pradesh</t>
        </is>
      </c>
      <c r="I94" s="467" t="inlineStr">
        <is>
          <t>business_none</t>
        </is>
      </c>
      <c r="J94" s="467" t="inlineStr">
        <is>
          <t>false</t>
        </is>
      </c>
      <c r="K94" s="466" t="n">
        <v>45777</v>
      </c>
      <c r="L94" s="467" t="n"/>
      <c r="M94" s="467" t="inlineStr">
        <is>
          <t>INR</t>
        </is>
      </c>
      <c r="N94" s="467" t="n">
        <v>1</v>
      </c>
      <c r="O94" s="467" t="inlineStr">
        <is>
          <t>item_level</t>
        </is>
      </c>
      <c r="P94" s="467" t="inlineStr">
        <is>
          <t>true</t>
        </is>
      </c>
      <c r="Q94" s="467" t="inlineStr">
        <is>
          <t>Tax Invoice</t>
        </is>
      </c>
      <c r="R94" s="467" t="inlineStr">
        <is>
          <t>0.00</t>
        </is>
      </c>
      <c r="S94" s="467" t="n"/>
      <c r="T94" s="467" t="n"/>
      <c r="U94" s="467" t="inlineStr">
        <is>
          <t>item_level</t>
        </is>
      </c>
      <c r="V94" s="467" t="n"/>
      <c r="W94" s="467" t="inlineStr">
        <is>
          <t>0.00</t>
        </is>
      </c>
      <c r="X94" s="467" t="n"/>
      <c r="Y94" s="467" t="n"/>
      <c r="Z94" s="467" t="inlineStr">
        <is>
          <t>0.000</t>
        </is>
      </c>
      <c r="AA94" s="467" t="n">
        <v>2117.8</v>
      </c>
      <c r="AB94" s="467" t="n">
        <v>2499</v>
      </c>
      <c r="AC94" s="467" t="n">
        <v>0</v>
      </c>
      <c r="AD94" s="467" t="n">
        <v>0</v>
      </c>
      <c r="AE94" s="467" t="inlineStr">
        <is>
          <t>Adjustment</t>
        </is>
      </c>
      <c r="AF94" s="467" t="n"/>
      <c r="AG94" s="466" t="n">
        <v>45777</v>
      </c>
      <c r="AH94" s="467" t="inlineStr">
        <is>
          <t>0</t>
        </is>
      </c>
      <c r="AI94" s="467" t="inlineStr">
        <is>
          <t>Due on Receipt</t>
        </is>
      </c>
      <c r="AJ94" s="467" t="inlineStr">
        <is>
          <t>Thanks for your business.</t>
        </is>
      </c>
      <c r="AK94" s="467" t="n"/>
      <c r="AL94" s="467" t="n"/>
      <c r="AM94" s="467" t="n"/>
      <c r="AN94" s="467" t="n"/>
      <c r="AO94" s="467" t="n"/>
      <c r="AP94" s="467" t="n"/>
      <c r="AQ94" s="467" t="n"/>
      <c r="AR94" s="467" t="n"/>
      <c r="AS94" s="467" t="n"/>
      <c r="AT94" s="467" t="inlineStr">
        <is>
          <t>Invoice</t>
        </is>
      </c>
      <c r="AU94" s="467" t="inlineStr">
        <is>
          <t>0.0</t>
        </is>
      </c>
      <c r="AV94" s="467" t="n">
        <v>0</v>
      </c>
      <c r="AW94" s="467" t="n"/>
      <c r="AX94" s="467" t="n"/>
      <c r="AY94" s="467" t="n"/>
      <c r="AZ94" s="467" t="n"/>
      <c r="BA94" s="467" t="n"/>
      <c r="BB94" s="467" t="n"/>
      <c r="BC94" s="467" t="n"/>
      <c r="BD94" s="467" t="inlineStr">
        <is>
          <t>Jurisphere Enterprise Subscription</t>
        </is>
      </c>
      <c r="BE94" s="468" t="inlineStr">
        <is>
          <t xml:space="preserve">sahaj219090@nujs.edu
pay_QOeWKYFuRIMqpn
</t>
        </is>
      </c>
      <c r="BF94" s="467" t="n">
        <v>1</v>
      </c>
      <c r="BG94" s="467" t="inlineStr">
        <is>
          <t>0.00</t>
        </is>
      </c>
      <c r="BH94" s="467" t="inlineStr">
        <is>
          <t>0.00</t>
        </is>
      </c>
      <c r="BI94" s="467" t="n">
        <v>2117.8</v>
      </c>
      <c r="BJ94" s="467" t="inlineStr">
        <is>
          <t>pcs</t>
        </is>
      </c>
      <c r="BK94" s="467" t="n">
        <v>2117.8</v>
      </c>
      <c r="BL94" s="467" t="inlineStr">
        <is>
          <t>2297152000000039748</t>
        </is>
      </c>
      <c r="BM94" s="467" t="n"/>
      <c r="BN94" s="467" t="n"/>
      <c r="BO94" s="467" t="n"/>
      <c r="BP94" s="467" t="n"/>
      <c r="BQ94" s="467" t="n"/>
      <c r="BR94" s="467" t="n"/>
      <c r="BS94" s="467" t="n"/>
      <c r="BT94" s="467" t="n"/>
      <c r="BU94" s="467" t="n"/>
      <c r="BV94" s="467" t="n"/>
      <c r="BW94" s="467" t="n"/>
      <c r="BX94" s="467" t="n"/>
      <c r="BY94" s="467" t="n"/>
      <c r="BZ94" s="467" t="n"/>
      <c r="CA94" s="467" t="n"/>
      <c r="CB94" s="467" t="n"/>
      <c r="CC94" s="467" t="n"/>
      <c r="CD94" s="467" t="n"/>
      <c r="CE94" s="467" t="n"/>
      <c r="CF94" s="467" t="n"/>
      <c r="CG94" s="467" t="n"/>
      <c r="CH94" s="467" t="n"/>
      <c r="CI94" s="467" t="inlineStr">
        <is>
          <t>Coresphere100 Technologies Pvt. Ltd.</t>
        </is>
      </c>
      <c r="CJ94" s="467" t="inlineStr">
        <is>
          <t>09AALCC7037K1Z7</t>
        </is>
      </c>
      <c r="CK94" s="467" t="inlineStr">
        <is>
          <t>16026, 16th Floor, Tower Oakwood,</t>
        </is>
      </c>
      <c r="CL94" s="467" t="inlineStr">
        <is>
          <t>Greater Noida,</t>
        </is>
      </c>
      <c r="CM94" s="467" t="inlineStr">
        <is>
          <t>Uttar Pradesh</t>
        </is>
      </c>
      <c r="CN94" s="467" t="inlineStr">
        <is>
          <t>India</t>
        </is>
      </c>
      <c r="CO94" s="467" t="inlineStr">
        <is>
          <t>201306</t>
        </is>
      </c>
      <c r="CP94" s="467" t="inlineStr">
        <is>
          <t>8928163657</t>
        </is>
      </c>
      <c r="CQ94" s="467" t="inlineStr">
        <is>
          <t>manas@jurisphere.ai</t>
        </is>
      </c>
      <c r="CR94" s="467" t="inlineStr">
        <is>
          <t>9.00</t>
        </is>
      </c>
      <c r="CS94" s="467" t="inlineStr">
        <is>
          <t>9.00</t>
        </is>
      </c>
      <c r="CT94" s="467" t="inlineStr">
        <is>
          <t>0.00</t>
        </is>
      </c>
      <c r="CU94" s="467" t="inlineStr">
        <is>
          <t>0.00</t>
        </is>
      </c>
      <c r="CV94" s="467" t="inlineStr">
        <is>
          <t>190.60</t>
        </is>
      </c>
      <c r="CW94" s="467" t="inlineStr">
        <is>
          <t>190.60</t>
        </is>
      </c>
      <c r="CX94" s="467" t="inlineStr">
        <is>
          <t>0.00</t>
        </is>
      </c>
      <c r="CY94" s="467" t="inlineStr">
        <is>
          <t>0.00</t>
        </is>
      </c>
      <c r="CZ94" s="467" t="inlineStr">
        <is>
          <t>190.60</t>
        </is>
      </c>
      <c r="DA94" s="467" t="inlineStr">
        <is>
          <t>190.60</t>
        </is>
      </c>
      <c r="DB94" s="467" t="inlineStr">
        <is>
          <t>0.00</t>
        </is>
      </c>
      <c r="DC94" s="467" t="inlineStr">
        <is>
          <t>0.00</t>
        </is>
      </c>
      <c r="DD94" s="467" t="n"/>
      <c r="DE94" s="467" t="n"/>
      <c r="DF94" s="467" t="n"/>
      <c r="DG94" s="467" t="n"/>
      <c r="DH94" s="467" t="n"/>
      <c r="DI94" s="467" t="inlineStr">
        <is>
          <t>0.000</t>
        </is>
      </c>
      <c r="DJ94" s="467" t="n"/>
      <c r="DK94" s="467" t="n"/>
      <c r="DL94" s="467" t="n"/>
      <c r="DM94" s="467" t="n"/>
      <c r="DN94" s="467" t="n"/>
      <c r="DO94" s="467" t="n"/>
      <c r="DP94" s="467" t="inlineStr">
        <is>
          <t>998313</t>
        </is>
      </c>
      <c r="DQ94" s="467" t="n">
        <v>0</v>
      </c>
      <c r="DR94" s="467" t="n"/>
      <c r="DS94" s="467" t="n"/>
      <c r="DT94" s="467" t="n"/>
      <c r="DU94" s="467" t="n"/>
      <c r="DV94" s="467" t="n"/>
      <c r="DW94" s="467" t="n"/>
      <c r="DX94" s="467" t="inlineStr">
        <is>
          <t>service</t>
        </is>
      </c>
      <c r="DY94" s="467" t="n"/>
      <c r="DZ94" s="467" t="n"/>
      <c r="EA94" s="467" t="n"/>
      <c r="EB94" s="467" t="n"/>
      <c r="EC94" s="467" t="n"/>
      <c r="ED94" s="467" t="n"/>
      <c r="EE94" s="467" t="n"/>
      <c r="EF94" s="467" t="n"/>
      <c r="EG94" s="467" t="n"/>
      <c r="EH94" s="467" t="inlineStr">
        <is>
          <t>Others</t>
        </is>
      </c>
      <c r="EI94" s="467" t="n"/>
      <c r="EJ94" s="467" t="n"/>
      <c r="EK94" s="467" t="inlineStr">
        <is>
          <t>Sales</t>
        </is>
      </c>
      <c r="EL94" s="467" t="n"/>
      <c r="EM94" s="467" t="inlineStr">
        <is>
          <t>Taxable</t>
        </is>
      </c>
      <c r="EN94" s="467" t="inlineStr">
        <is>
          <t>2297152000000031213</t>
        </is>
      </c>
      <c r="EO94" s="467" t="inlineStr">
        <is>
          <t>GST18</t>
        </is>
      </c>
      <c r="EP94" s="467" t="inlineStr">
        <is>
          <t>18.00</t>
        </is>
      </c>
      <c r="EQ94" s="467" t="n">
        <v>381.2</v>
      </c>
      <c r="ER94" s="467" t="inlineStr">
        <is>
          <t>Tax Group</t>
        </is>
      </c>
      <c r="ES94" s="467" t="n"/>
      <c r="ET94" s="467" t="n"/>
    </row>
    <row r="96" ht="13.5" customHeight="1" s="253">
      <c r="AA96" s="464">
        <f>SUM(AA2:AA94)</f>
        <v/>
      </c>
      <c r="AB96" s="464">
        <f>SUBTOTAL(9,AB1:AB95)</f>
        <v/>
      </c>
    </row>
    <row r="97" ht="13.5" customHeight="1" s="253">
      <c r="AA97" s="471" t="n"/>
      <c r="AB97" s="464" t="n">
        <v>43956</v>
      </c>
    </row>
    <row r="98" ht="13.5" customHeight="1" s="253">
      <c r="AA98" s="471" t="n"/>
      <c r="AB98" s="464">
        <f>AB96-AB97</f>
        <v/>
      </c>
    </row>
  </sheetData>
  <autoFilter ref="A1:ET94"/>
  <conditionalFormatting sqref="C1:C1048576">
    <cfRule type="duplicateValues" rank="0" priority="2" equalAverage="0" aboveAverage="0" dxfId="9" text="" percent="0" bottom="0"/>
  </conditionalFormatting>
  <conditionalFormatting sqref="F1:F1048576">
    <cfRule type="duplicateValues" rank="0" priority="3" equalAverage="0" aboveAverage="0" dxfId="9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N83"/>
  <sheetViews>
    <sheetView showFormulas="0" showGridLines="1" showRowColHeaders="1" showZeros="1" rightToLeft="0" tabSelected="0" showOutlineSymbols="1" defaultGridColor="1" view="normal" topLeftCell="C1" colorId="64" zoomScale="100" zoomScaleNormal="100" zoomScalePageLayoutView="100" workbookViewId="0">
      <selection pane="topLeft" activeCell="AI1" activeCellId="0" sqref="AI1"/>
    </sheetView>
  </sheetViews>
  <sheetFormatPr baseColWidth="8" defaultColWidth="8.73046875" defaultRowHeight="13.5" zeroHeight="0" outlineLevelRow="0"/>
  <cols>
    <col width="10.09" customWidth="1" style="490" min="1" max="1"/>
    <col width="10.09" customWidth="1" style="472" min="2" max="2"/>
    <col width="11.82" customWidth="1" style="472" min="3" max="3"/>
    <col width="8.73" customWidth="1" style="490" min="4" max="4"/>
    <col width="8.73" customWidth="1" style="472" min="5" max="11"/>
    <col width="8.73" customWidth="1" style="490" min="12" max="12"/>
    <col width="8.73" customWidth="1" style="472" min="13" max="13"/>
    <col hidden="1" width="10.16" customWidth="1" style="472" min="14" max="28"/>
    <col width="8.73" customWidth="1" style="490" min="29" max="29"/>
    <col width="8.73" customWidth="1" style="472" min="30" max="16384"/>
  </cols>
  <sheetData>
    <row r="1" ht="13.5" customHeight="1" s="253">
      <c r="A1" s="490" t="inlineStr">
        <is>
          <t>Bill Date</t>
        </is>
      </c>
      <c r="B1" s="472" t="inlineStr">
        <is>
          <t>Due Date</t>
        </is>
      </c>
      <c r="C1" s="472" t="inlineStr">
        <is>
          <t>Bill ID</t>
        </is>
      </c>
      <c r="D1" s="490" t="inlineStr">
        <is>
          <t>Vendor Name</t>
        </is>
      </c>
      <c r="E1" s="472" t="inlineStr">
        <is>
          <t>Entity Discount Percent</t>
        </is>
      </c>
      <c r="F1" s="472" t="inlineStr">
        <is>
          <t>Payment Terms</t>
        </is>
      </c>
      <c r="G1" s="472" t="inlineStr">
        <is>
          <t>Payment Terms Label</t>
        </is>
      </c>
      <c r="H1" s="472" t="inlineStr">
        <is>
          <t>Bill Number</t>
        </is>
      </c>
      <c r="I1" s="472" t="inlineStr">
        <is>
          <t>PurchaseOrder</t>
        </is>
      </c>
      <c r="J1" s="472" t="inlineStr">
        <is>
          <t>Currency Code</t>
        </is>
      </c>
      <c r="K1" s="472" t="inlineStr">
        <is>
          <t>Exchange Rate</t>
        </is>
      </c>
      <c r="L1" s="490" t="inlineStr">
        <is>
          <t>SubTotal</t>
        </is>
      </c>
      <c r="M1" s="472" t="inlineStr">
        <is>
          <t>Total</t>
        </is>
      </c>
      <c r="N1" s="472" t="inlineStr">
        <is>
          <t>Balance</t>
        </is>
      </c>
      <c r="O1" s="472" t="inlineStr">
        <is>
          <t>TCS Amount</t>
        </is>
      </c>
      <c r="P1" s="472" t="inlineStr">
        <is>
          <t>Vendor Notes</t>
        </is>
      </c>
      <c r="Q1" s="472" t="inlineStr">
        <is>
          <t>Terms &amp; Conditions</t>
        </is>
      </c>
      <c r="R1" s="472" t="inlineStr">
        <is>
          <t>Adjustment</t>
        </is>
      </c>
      <c r="S1" s="472" t="inlineStr">
        <is>
          <t>Adjustment Description</t>
        </is>
      </c>
      <c r="T1" s="472" t="inlineStr">
        <is>
          <t>Is Inclusive Tax</t>
        </is>
      </c>
      <c r="U1" s="472" t="inlineStr">
        <is>
          <t>Submitted By</t>
        </is>
      </c>
      <c r="V1" s="472" t="inlineStr">
        <is>
          <t>Approved By</t>
        </is>
      </c>
      <c r="W1" s="472" t="inlineStr">
        <is>
          <t>Submitted Date</t>
        </is>
      </c>
      <c r="X1" s="472" t="inlineStr">
        <is>
          <t>Approved Date</t>
        </is>
      </c>
      <c r="Y1" s="472" t="inlineStr">
        <is>
          <t>Bill Status</t>
        </is>
      </c>
      <c r="Z1" s="472" t="inlineStr">
        <is>
          <t>Created By</t>
        </is>
      </c>
      <c r="AA1" s="472" t="inlineStr">
        <is>
          <t>Product ID</t>
        </is>
      </c>
      <c r="AB1" s="472" t="inlineStr">
        <is>
          <t>Item Name</t>
        </is>
      </c>
      <c r="AC1" s="490" t="inlineStr">
        <is>
          <t>Account</t>
        </is>
      </c>
      <c r="AD1" s="472" t="inlineStr">
        <is>
          <t>Account Code</t>
        </is>
      </c>
      <c r="AE1" s="472" t="inlineStr">
        <is>
          <t>Description</t>
        </is>
      </c>
      <c r="AF1" s="472" t="inlineStr">
        <is>
          <t>Quantity</t>
        </is>
      </c>
      <c r="AG1" s="472" t="inlineStr">
        <is>
          <t>Usage unit</t>
        </is>
      </c>
      <c r="AH1" s="472" t="inlineStr">
        <is>
          <t>Tax Amount</t>
        </is>
      </c>
      <c r="AI1" s="472" t="inlineStr">
        <is>
          <t>Item Total</t>
        </is>
      </c>
      <c r="AJ1" s="472" t="inlineStr">
        <is>
          <t>Is Billable</t>
        </is>
      </c>
      <c r="AK1" s="472" t="inlineStr">
        <is>
          <t>Reference Invoice Type</t>
        </is>
      </c>
      <c r="AL1" s="472" t="inlineStr">
        <is>
          <t>Source of Supply</t>
        </is>
      </c>
      <c r="AM1" s="472" t="inlineStr">
        <is>
          <t>Destination of Supply</t>
        </is>
      </c>
      <c r="AN1" s="472" t="inlineStr">
        <is>
          <t>GST Treatment</t>
        </is>
      </c>
      <c r="AO1" s="472" t="inlineStr">
        <is>
          <t>GST Identification Number (GSTIN)</t>
        </is>
      </c>
      <c r="AP1" s="472" t="inlineStr">
        <is>
          <t>TDS Calculation Type</t>
        </is>
      </c>
      <c r="AQ1" s="472" t="inlineStr">
        <is>
          <t>TDS TaxID</t>
        </is>
      </c>
      <c r="AR1" s="472" t="inlineStr">
        <is>
          <t>TDS Name</t>
        </is>
      </c>
      <c r="AS1" s="472" t="inlineStr">
        <is>
          <t>TDS Percentage</t>
        </is>
      </c>
      <c r="AT1" s="472" t="inlineStr">
        <is>
          <t>TDS Section Code</t>
        </is>
      </c>
      <c r="AU1" s="472" t="inlineStr">
        <is>
          <t>TDS Section</t>
        </is>
      </c>
      <c r="AV1" s="472" t="inlineStr">
        <is>
          <t>TDS Amount</t>
        </is>
      </c>
      <c r="AW1" s="472" t="inlineStr">
        <is>
          <t>TCS Tax Name</t>
        </is>
      </c>
      <c r="AX1" s="472" t="inlineStr">
        <is>
          <t>TCS Percentage</t>
        </is>
      </c>
      <c r="AY1" s="472" t="inlineStr">
        <is>
          <t>Nature Of Collection</t>
        </is>
      </c>
      <c r="AZ1" s="472" t="inlineStr">
        <is>
          <t>Rate</t>
        </is>
      </c>
      <c r="BA1" s="472" t="inlineStr">
        <is>
          <t>Discount Type</t>
        </is>
      </c>
      <c r="BB1" s="472" t="inlineStr">
        <is>
          <t>Is Discount Before Tax</t>
        </is>
      </c>
      <c r="BC1" s="472" t="inlineStr">
        <is>
          <t>Discount</t>
        </is>
      </c>
      <c r="BD1" s="472" t="inlineStr">
        <is>
          <t>Discount Amount</t>
        </is>
      </c>
      <c r="BE1" s="472" t="inlineStr">
        <is>
          <t>HSN/SAC</t>
        </is>
      </c>
      <c r="BF1" s="472" t="inlineStr">
        <is>
          <t>Purchase Order Number</t>
        </is>
      </c>
      <c r="BG1" s="472" t="inlineStr">
        <is>
          <t>Tax ID</t>
        </is>
      </c>
      <c r="BH1" s="472" t="inlineStr">
        <is>
          <t>Tax Name</t>
        </is>
      </c>
      <c r="BI1" s="472" t="inlineStr">
        <is>
          <t>Tax Percentage</t>
        </is>
      </c>
      <c r="BJ1" s="472" t="inlineStr">
        <is>
          <t>Tax Type</t>
        </is>
      </c>
      <c r="BK1" s="472" t="inlineStr">
        <is>
          <t>Item TDS Name</t>
        </is>
      </c>
      <c r="BL1" s="472" t="inlineStr">
        <is>
          <t>Item TDS Percentage</t>
        </is>
      </c>
      <c r="BM1" s="472" t="inlineStr">
        <is>
          <t>Item TDS Amount</t>
        </is>
      </c>
      <c r="BN1" s="472" t="inlineStr">
        <is>
          <t>Item TDS Section Code</t>
        </is>
      </c>
      <c r="BO1" s="472" t="inlineStr">
        <is>
          <t>Item TDS Section</t>
        </is>
      </c>
      <c r="BP1" s="472" t="inlineStr">
        <is>
          <t>Item Exemption Code</t>
        </is>
      </c>
      <c r="BQ1" s="472" t="inlineStr">
        <is>
          <t>Item Type</t>
        </is>
      </c>
      <c r="BR1" s="472" t="inlineStr">
        <is>
          <t>Reverse Charge Tax Name</t>
        </is>
      </c>
      <c r="BS1" s="472" t="inlineStr">
        <is>
          <t>Reverse Charge Tax Rate</t>
        </is>
      </c>
      <c r="BT1" s="472" t="inlineStr">
        <is>
          <t>Reverse Charge Tax Type</t>
        </is>
      </c>
      <c r="BU1" s="472" t="inlineStr">
        <is>
          <t>Supply Type</t>
        </is>
      </c>
      <c r="BV1" s="472" t="inlineStr">
        <is>
          <t>ITC Eligibility</t>
        </is>
      </c>
      <c r="BW1" s="472" t="inlineStr">
        <is>
          <t>Entity Discount Amount</t>
        </is>
      </c>
      <c r="BX1" s="472" t="inlineStr">
        <is>
          <t>Discount Account</t>
        </is>
      </c>
      <c r="BY1" s="472" t="inlineStr">
        <is>
          <t>Discount Account Code</t>
        </is>
      </c>
      <c r="BZ1" s="472" t="inlineStr">
        <is>
          <t>Is Landed Cost</t>
        </is>
      </c>
      <c r="CA1" s="472" t="inlineStr">
        <is>
          <t>Customer Name</t>
        </is>
      </c>
      <c r="CB1" s="472" t="inlineStr">
        <is>
          <t>Project Name</t>
        </is>
      </c>
      <c r="CC1" s="472" t="inlineStr">
        <is>
          <t>CGST Rate %</t>
        </is>
      </c>
      <c r="CD1" s="472" t="inlineStr">
        <is>
          <t>SGST Rate %</t>
        </is>
      </c>
      <c r="CE1" s="472" t="inlineStr">
        <is>
          <t>IGST Rate %</t>
        </is>
      </c>
      <c r="CF1" s="472" t="inlineStr">
        <is>
          <t>CESS Rate %</t>
        </is>
      </c>
      <c r="CG1" s="472" t="inlineStr">
        <is>
          <t>CGST(FCY)</t>
        </is>
      </c>
      <c r="CH1" s="472" t="inlineStr">
        <is>
          <t>SGST(FCY)</t>
        </is>
      </c>
      <c r="CI1" s="472" t="inlineStr">
        <is>
          <t>IGST(FCY)</t>
        </is>
      </c>
      <c r="CJ1" s="472" t="inlineStr">
        <is>
          <t>CESS(FCY)</t>
        </is>
      </c>
      <c r="CK1" s="472" t="inlineStr">
        <is>
          <t>CGST</t>
        </is>
      </c>
      <c r="CL1" s="472" t="inlineStr">
        <is>
          <t>SGST</t>
        </is>
      </c>
      <c r="CM1" s="472" t="inlineStr">
        <is>
          <t>IGST</t>
        </is>
      </c>
      <c r="CN1" s="472" t="inlineStr">
        <is>
          <t>CESS</t>
        </is>
      </c>
    </row>
    <row r="2" ht="13.5" customHeight="1" s="253">
      <c r="A2" s="491" t="n">
        <v>45734</v>
      </c>
      <c r="B2" s="491" t="n">
        <v>45734</v>
      </c>
      <c r="C2" s="472" t="n">
        <v>2.29715200000003e+18</v>
      </c>
      <c r="D2" s="472" t="inlineStr">
        <is>
          <t>ZOHO Corporation Private Limited</t>
        </is>
      </c>
      <c r="E2" s="472" t="n">
        <v>0</v>
      </c>
      <c r="F2" s="472" t="n">
        <v>0</v>
      </c>
      <c r="G2" s="472" t="inlineStr">
        <is>
          <t>Due On Receipt</t>
        </is>
      </c>
      <c r="H2" s="472" t="n">
        <v>1024250439264</v>
      </c>
      <c r="J2" s="472" t="inlineStr">
        <is>
          <t>INR</t>
        </is>
      </c>
      <c r="K2" s="472" t="n">
        <v>1</v>
      </c>
      <c r="L2" s="472" t="n">
        <v>8988</v>
      </c>
      <c r="M2" s="472" t="n">
        <v>10605.84</v>
      </c>
      <c r="N2" s="472" t="n">
        <v>0.84</v>
      </c>
      <c r="R2" s="472" t="n">
        <v>0</v>
      </c>
      <c r="S2" s="472" t="inlineStr">
        <is>
          <t>Adjustment</t>
        </is>
      </c>
      <c r="T2" s="472">
        <f>FALSE()</f>
        <v/>
      </c>
      <c r="Y2" s="472" t="inlineStr">
        <is>
          <t>Overdue</t>
        </is>
      </c>
      <c r="Z2" s="472" t="inlineStr">
        <is>
          <t>ridhi25madan</t>
        </is>
      </c>
      <c r="AC2" s="472" t="inlineStr">
        <is>
          <t>Subscription charges</t>
        </is>
      </c>
      <c r="AF2" s="472" t="n">
        <v>1</v>
      </c>
      <c r="AH2" s="472" t="n">
        <v>1617.84</v>
      </c>
      <c r="AI2" s="472" t="n">
        <v>8988</v>
      </c>
      <c r="AJ2" s="472">
        <f>FALSE()</f>
        <v/>
      </c>
      <c r="AL2" s="472" t="inlineStr">
        <is>
          <t>TN</t>
        </is>
      </c>
      <c r="AM2" s="472" t="inlineStr">
        <is>
          <t>UP</t>
        </is>
      </c>
      <c r="AN2" s="472" t="inlineStr">
        <is>
          <t>business_gst</t>
        </is>
      </c>
      <c r="AO2" s="472" t="inlineStr">
        <is>
          <t>33AAACZ4322M2Z9</t>
        </is>
      </c>
      <c r="AP2" s="472" t="inlineStr">
        <is>
          <t>item_level</t>
        </is>
      </c>
      <c r="AS2" s="472" t="n">
        <v>0</v>
      </c>
      <c r="AV2" s="472" t="n">
        <v>0</v>
      </c>
      <c r="AZ2" s="472" t="n">
        <v>8988</v>
      </c>
      <c r="BA2" s="472" t="inlineStr">
        <is>
          <t>entity_level</t>
        </is>
      </c>
      <c r="BB2" s="472">
        <f>TRUE()</f>
        <v/>
      </c>
      <c r="BC2" s="472" t="n">
        <v>0</v>
      </c>
      <c r="BD2" s="472" t="n">
        <v>0</v>
      </c>
      <c r="BG2" s="472" t="n">
        <v>2.29715200000003e+18</v>
      </c>
      <c r="BH2" s="472" t="inlineStr">
        <is>
          <t>IGST18</t>
        </is>
      </c>
      <c r="BI2" s="472" t="n">
        <v>18</v>
      </c>
      <c r="BJ2" s="472" t="inlineStr">
        <is>
          <t>ItemAmount</t>
        </is>
      </c>
      <c r="BM2" s="472" t="n">
        <v>0</v>
      </c>
      <c r="BQ2" s="472" t="inlineStr">
        <is>
          <t>service</t>
        </is>
      </c>
      <c r="BV2" s="472" t="inlineStr">
        <is>
          <t>eligible</t>
        </is>
      </c>
      <c r="BW2" s="472" t="n">
        <v>0</v>
      </c>
      <c r="BZ2" s="472">
        <f>FALSE()</f>
        <v/>
      </c>
      <c r="CC2" s="472" t="n">
        <v>0</v>
      </c>
      <c r="CD2" s="472" t="n">
        <v>0</v>
      </c>
      <c r="CE2" s="472" t="n">
        <v>18</v>
      </c>
      <c r="CF2" s="472" t="n">
        <v>0</v>
      </c>
      <c r="CG2" s="472" t="n">
        <v>0</v>
      </c>
      <c r="CH2" s="472" t="n">
        <v>0</v>
      </c>
      <c r="CI2" s="472" t="n">
        <v>1617.84</v>
      </c>
      <c r="CJ2" s="472" t="n">
        <v>0</v>
      </c>
      <c r="CK2" s="472" t="n">
        <v>0</v>
      </c>
      <c r="CL2" s="472" t="n">
        <v>0</v>
      </c>
      <c r="CM2" s="472" t="n">
        <v>1617.84</v>
      </c>
      <c r="CN2" s="472" t="n">
        <v>0</v>
      </c>
    </row>
    <row r="3" ht="13.5" customHeight="1" s="253">
      <c r="A3" s="491" t="n">
        <v>45734</v>
      </c>
      <c r="B3" s="491" t="n">
        <v>45734</v>
      </c>
      <c r="C3" s="472" t="n">
        <v>2.29715200000003e+18</v>
      </c>
      <c r="D3" s="472" t="inlineStr">
        <is>
          <t>OLAMBIT CONSULTING PRIVATE LIMITED</t>
        </is>
      </c>
      <c r="E3" s="472" t="n">
        <v>0</v>
      </c>
      <c r="F3" s="472" t="n">
        <v>0</v>
      </c>
      <c r="G3" s="472" t="inlineStr">
        <is>
          <t>Due On Receipt</t>
        </is>
      </c>
      <c r="H3" s="472" t="inlineStr">
        <is>
          <t>GST/2024/126</t>
        </is>
      </c>
      <c r="J3" s="472" t="inlineStr">
        <is>
          <t>INR</t>
        </is>
      </c>
      <c r="K3" s="472" t="n">
        <v>1</v>
      </c>
      <c r="L3" s="472" t="n">
        <v>80605</v>
      </c>
      <c r="M3" s="472" t="n">
        <v>86205</v>
      </c>
      <c r="N3" s="472" t="n">
        <v>0</v>
      </c>
      <c r="R3" s="472" t="n">
        <v>0</v>
      </c>
      <c r="S3" s="472" t="inlineStr">
        <is>
          <t>Adjustment</t>
        </is>
      </c>
      <c r="T3" s="472">
        <f>FALSE()</f>
        <v/>
      </c>
      <c r="Y3" s="472" t="inlineStr">
        <is>
          <t>Paid</t>
        </is>
      </c>
      <c r="Z3" s="472" t="inlineStr">
        <is>
          <t>ridhi25madan</t>
        </is>
      </c>
      <c r="AC3" s="472" t="inlineStr">
        <is>
          <t>Legal &amp; Professional Charges</t>
        </is>
      </c>
      <c r="AE3" s="472" t="inlineStr">
        <is>
          <t>Legal &amp; Professional</t>
        </is>
      </c>
      <c r="AF3" s="472" t="n">
        <v>1</v>
      </c>
      <c r="AH3" s="472" t="n">
        <v>12600</v>
      </c>
      <c r="AI3" s="472" t="n">
        <v>70000</v>
      </c>
      <c r="AJ3" s="472">
        <f>FALSE()</f>
        <v/>
      </c>
      <c r="AL3" s="472" t="inlineStr">
        <is>
          <t>DL</t>
        </is>
      </c>
      <c r="AM3" s="472" t="inlineStr">
        <is>
          <t>UP</t>
        </is>
      </c>
      <c r="AN3" s="472" t="inlineStr">
        <is>
          <t>business_gst</t>
        </is>
      </c>
      <c r="AO3" s="472" t="inlineStr">
        <is>
          <t>07AADCO7267R1ZL</t>
        </is>
      </c>
      <c r="AP3" s="472" t="inlineStr">
        <is>
          <t>entity_level</t>
        </is>
      </c>
      <c r="AQ3" s="472" t="n">
        <v>2.29715200000003e+18</v>
      </c>
      <c r="AR3" s="472" t="inlineStr">
        <is>
          <t>Professional Fees</t>
        </is>
      </c>
      <c r="AS3" s="472" t="n">
        <v>10</v>
      </c>
      <c r="AT3" s="472" t="inlineStr">
        <is>
          <t>194J</t>
        </is>
      </c>
      <c r="AU3" s="472" t="inlineStr">
        <is>
          <t>Section 194 J</t>
        </is>
      </c>
      <c r="AV3" s="472" t="n">
        <v>7000</v>
      </c>
      <c r="AZ3" s="472" t="n">
        <v>70000</v>
      </c>
      <c r="BA3" s="472" t="inlineStr">
        <is>
          <t>entity_level</t>
        </is>
      </c>
      <c r="BB3" s="472">
        <f>TRUE()</f>
        <v/>
      </c>
      <c r="BC3" s="472" t="n">
        <v>0</v>
      </c>
      <c r="BD3" s="472" t="n">
        <v>0</v>
      </c>
      <c r="BG3" s="472" t="n">
        <v>2.29715200000003e+18</v>
      </c>
      <c r="BH3" s="472" t="inlineStr">
        <is>
          <t>IGST18</t>
        </is>
      </c>
      <c r="BI3" s="472" t="n">
        <v>18</v>
      </c>
      <c r="BJ3" s="472" t="inlineStr">
        <is>
          <t>ItemAmount</t>
        </is>
      </c>
      <c r="BQ3" s="472" t="inlineStr">
        <is>
          <t>service</t>
        </is>
      </c>
      <c r="BV3" s="472" t="inlineStr">
        <is>
          <t>eligible</t>
        </is>
      </c>
      <c r="BW3" s="472" t="n">
        <v>0</v>
      </c>
      <c r="BZ3" s="472">
        <f>FALSE()</f>
        <v/>
      </c>
      <c r="CC3" s="472" t="n">
        <v>0</v>
      </c>
      <c r="CD3" s="472" t="n">
        <v>0</v>
      </c>
      <c r="CE3" s="472" t="n">
        <v>18</v>
      </c>
      <c r="CF3" s="472" t="n">
        <v>0</v>
      </c>
      <c r="CG3" s="472" t="n">
        <v>0</v>
      </c>
      <c r="CH3" s="472" t="n">
        <v>0</v>
      </c>
      <c r="CI3" s="472" t="n">
        <v>12600</v>
      </c>
      <c r="CJ3" s="472" t="n">
        <v>0</v>
      </c>
      <c r="CK3" s="472" t="n">
        <v>0</v>
      </c>
      <c r="CL3" s="472" t="n">
        <v>0</v>
      </c>
      <c r="CM3" s="472" t="n">
        <v>12600</v>
      </c>
      <c r="CN3" s="472" t="n">
        <v>0</v>
      </c>
    </row>
    <row r="4" ht="13.5" customHeight="1" s="253">
      <c r="A4" s="491" t="n">
        <v>45734</v>
      </c>
      <c r="B4" s="491" t="n">
        <v>45734</v>
      </c>
      <c r="C4" s="472" t="n">
        <v>2.29715200000003e+18</v>
      </c>
      <c r="D4" s="472" t="inlineStr">
        <is>
          <t>OLAMBIT CONSULTING PRIVATE LIMITED</t>
        </is>
      </c>
      <c r="E4" s="472" t="n">
        <v>0</v>
      </c>
      <c r="F4" s="472" t="n">
        <v>0</v>
      </c>
      <c r="G4" s="472" t="inlineStr">
        <is>
          <t>Due On Receipt</t>
        </is>
      </c>
      <c r="H4" s="472" t="inlineStr">
        <is>
          <t>GST/2024/126</t>
        </is>
      </c>
      <c r="J4" s="472" t="inlineStr">
        <is>
          <t>INR</t>
        </is>
      </c>
      <c r="K4" s="472" t="n">
        <v>1</v>
      </c>
      <c r="L4" s="472" t="n">
        <v>80605</v>
      </c>
      <c r="M4" s="472" t="n">
        <v>86205</v>
      </c>
      <c r="N4" s="472" t="n">
        <v>0</v>
      </c>
      <c r="R4" s="472" t="n">
        <v>0</v>
      </c>
      <c r="S4" s="472" t="inlineStr">
        <is>
          <t>Adjustment</t>
        </is>
      </c>
      <c r="T4" s="472">
        <f>FALSE()</f>
        <v/>
      </c>
      <c r="Y4" s="472" t="inlineStr">
        <is>
          <t>Paid</t>
        </is>
      </c>
      <c r="Z4" s="472" t="inlineStr">
        <is>
          <t>ridhi25madan</t>
        </is>
      </c>
      <c r="AC4" s="472" t="inlineStr">
        <is>
          <t>Reimbursement</t>
        </is>
      </c>
      <c r="AE4" s="472" t="inlineStr">
        <is>
          <t>Reimbursement</t>
        </is>
      </c>
      <c r="AF4" s="472" t="n">
        <v>1</v>
      </c>
      <c r="AH4" s="472" t="n">
        <v>0</v>
      </c>
      <c r="AI4" s="472" t="n">
        <v>10605</v>
      </c>
      <c r="AJ4" s="472">
        <f>FALSE()</f>
        <v/>
      </c>
      <c r="AL4" s="472" t="inlineStr">
        <is>
          <t>DL</t>
        </is>
      </c>
      <c r="AM4" s="472" t="inlineStr">
        <is>
          <t>UP</t>
        </is>
      </c>
      <c r="AN4" s="472" t="inlineStr">
        <is>
          <t>business_gst</t>
        </is>
      </c>
      <c r="AO4" s="472" t="inlineStr">
        <is>
          <t>07AADCO7267R1ZL</t>
        </is>
      </c>
      <c r="AP4" s="472" t="inlineStr">
        <is>
          <t>entity_level</t>
        </is>
      </c>
      <c r="AQ4" s="472" t="n">
        <v>2.29715200000003e+18</v>
      </c>
      <c r="AR4" s="472" t="inlineStr">
        <is>
          <t>Professional Fees</t>
        </is>
      </c>
      <c r="AS4" s="472" t="n">
        <v>10</v>
      </c>
      <c r="AT4" s="472" t="inlineStr">
        <is>
          <t>194J</t>
        </is>
      </c>
      <c r="AU4" s="472" t="inlineStr">
        <is>
          <t>Section 194 J</t>
        </is>
      </c>
      <c r="AV4" s="472" t="n">
        <v>7000</v>
      </c>
      <c r="AZ4" s="472" t="n">
        <v>10605</v>
      </c>
      <c r="BA4" s="472" t="inlineStr">
        <is>
          <t>entity_level</t>
        </is>
      </c>
      <c r="BB4" s="472">
        <f>TRUE()</f>
        <v/>
      </c>
      <c r="BC4" s="472" t="n">
        <v>0</v>
      </c>
      <c r="BD4" s="472" t="n">
        <v>0</v>
      </c>
      <c r="BG4" s="472" t="n">
        <v>2.29715200000003e+18</v>
      </c>
      <c r="BH4" s="472" t="inlineStr">
        <is>
          <t>IGST0</t>
        </is>
      </c>
      <c r="BI4" s="472" t="n">
        <v>0</v>
      </c>
      <c r="BJ4" s="472" t="inlineStr">
        <is>
          <t>ItemAmount</t>
        </is>
      </c>
      <c r="BQ4" s="472" t="inlineStr">
        <is>
          <t>service</t>
        </is>
      </c>
      <c r="BV4" s="472" t="inlineStr">
        <is>
          <t>eligible</t>
        </is>
      </c>
      <c r="BW4" s="472" t="n">
        <v>0</v>
      </c>
      <c r="BZ4" s="472">
        <f>FALSE()</f>
        <v/>
      </c>
      <c r="CC4" s="472" t="n">
        <v>0</v>
      </c>
      <c r="CD4" s="472" t="n">
        <v>0</v>
      </c>
      <c r="CE4" s="472" t="n">
        <v>0</v>
      </c>
      <c r="CF4" s="472" t="n">
        <v>0</v>
      </c>
      <c r="CG4" s="472" t="n">
        <v>0</v>
      </c>
      <c r="CH4" s="472" t="n">
        <v>0</v>
      </c>
      <c r="CI4" s="472" t="n">
        <v>0</v>
      </c>
      <c r="CJ4" s="472" t="n">
        <v>0</v>
      </c>
      <c r="CK4" s="472" t="n">
        <v>0</v>
      </c>
      <c r="CL4" s="472" t="n">
        <v>0</v>
      </c>
      <c r="CM4" s="472" t="n">
        <v>0</v>
      </c>
      <c r="CN4" s="472" t="n">
        <v>0</v>
      </c>
    </row>
    <row r="5" ht="13.5" customHeight="1" s="253">
      <c r="A5" s="491" t="n">
        <v>45747</v>
      </c>
      <c r="B5" s="491" t="n">
        <v>45747</v>
      </c>
      <c r="C5" s="472" t="n">
        <v>2.29715200000005e+18</v>
      </c>
      <c r="D5" s="472" t="inlineStr">
        <is>
          <t>JAYANTH BJ</t>
        </is>
      </c>
      <c r="E5" s="472" t="n">
        <v>0</v>
      </c>
      <c r="F5" s="472" t="n">
        <v>0</v>
      </c>
      <c r="G5" s="472" t="inlineStr">
        <is>
          <t>Due On Receipt</t>
        </is>
      </c>
      <c r="H5" s="472" t="inlineStr">
        <is>
          <t>2/2025-26</t>
        </is>
      </c>
      <c r="J5" s="472" t="inlineStr">
        <is>
          <t>INR</t>
        </is>
      </c>
      <c r="K5" s="472" t="n">
        <v>1</v>
      </c>
      <c r="L5" s="472" t="n">
        <v>121651</v>
      </c>
      <c r="M5" s="472" t="n">
        <v>120651</v>
      </c>
      <c r="N5" s="472" t="n">
        <v>0</v>
      </c>
      <c r="R5" s="472" t="n">
        <v>0</v>
      </c>
      <c r="S5" s="472" t="inlineStr">
        <is>
          <t>Adjustment</t>
        </is>
      </c>
      <c r="T5" s="472">
        <f>FALSE()</f>
        <v/>
      </c>
      <c r="Y5" s="472" t="inlineStr">
        <is>
          <t>Paid</t>
        </is>
      </c>
      <c r="Z5" s="472" t="inlineStr">
        <is>
          <t>ridhi25madan</t>
        </is>
      </c>
      <c r="AC5" s="472" t="inlineStr">
        <is>
          <t>Content Writing Exp.</t>
        </is>
      </c>
      <c r="AE5" s="472" t="inlineStr">
        <is>
          <t>content Writing</t>
        </is>
      </c>
      <c r="AF5" s="472" t="n">
        <v>1</v>
      </c>
      <c r="AH5" s="472" t="n">
        <v>0</v>
      </c>
      <c r="AI5" s="472" t="n">
        <v>100000</v>
      </c>
      <c r="AJ5" s="472">
        <f>FALSE()</f>
        <v/>
      </c>
      <c r="AL5" s="472" t="inlineStr">
        <is>
          <t>UP</t>
        </is>
      </c>
      <c r="AM5" s="472" t="inlineStr">
        <is>
          <t>UP</t>
        </is>
      </c>
      <c r="AN5" s="472" t="inlineStr">
        <is>
          <t>business_none</t>
        </is>
      </c>
      <c r="AP5" s="472" t="inlineStr">
        <is>
          <t>entity_level</t>
        </is>
      </c>
      <c r="AQ5" s="472" t="n">
        <v>2.29715200000003e+18</v>
      </c>
      <c r="AR5" s="472" t="inlineStr">
        <is>
          <t>Payment of contractors HUF/Indiv</t>
        </is>
      </c>
      <c r="AS5" s="472" t="n">
        <v>1</v>
      </c>
      <c r="AT5" s="472" t="inlineStr">
        <is>
          <t>194C</t>
        </is>
      </c>
      <c r="AU5" s="472" t="inlineStr">
        <is>
          <t>Section 194 C</t>
        </is>
      </c>
      <c r="AV5" s="472" t="n">
        <v>1000</v>
      </c>
      <c r="AZ5" s="472" t="n">
        <v>100000</v>
      </c>
      <c r="BA5" s="472" t="inlineStr">
        <is>
          <t>entity_level</t>
        </is>
      </c>
      <c r="BB5" s="472">
        <f>TRUE()</f>
        <v/>
      </c>
      <c r="BC5" s="472" t="n">
        <v>0</v>
      </c>
      <c r="BD5" s="472" t="n">
        <v>0</v>
      </c>
      <c r="BQ5" s="472" t="inlineStr">
        <is>
          <t>service</t>
        </is>
      </c>
      <c r="BV5" s="472" t="inlineStr">
        <is>
          <t>eligible</t>
        </is>
      </c>
      <c r="BW5" s="472" t="n">
        <v>0</v>
      </c>
      <c r="BZ5" s="472">
        <f>FALSE()</f>
        <v/>
      </c>
    </row>
    <row r="6" ht="13.5" customHeight="1" s="253">
      <c r="A6" s="491" t="n">
        <v>45747</v>
      </c>
      <c r="B6" s="491" t="n">
        <v>45747</v>
      </c>
      <c r="C6" s="472" t="n">
        <v>2.29715200000005e+18</v>
      </c>
      <c r="D6" s="472" t="inlineStr">
        <is>
          <t>JAYANTH BJ</t>
        </is>
      </c>
      <c r="E6" s="472" t="n">
        <v>0</v>
      </c>
      <c r="F6" s="472" t="n">
        <v>0</v>
      </c>
      <c r="G6" s="472" t="inlineStr">
        <is>
          <t>Due On Receipt</t>
        </is>
      </c>
      <c r="H6" s="472" t="inlineStr">
        <is>
          <t>2/2025-26</t>
        </is>
      </c>
      <c r="J6" s="472" t="inlineStr">
        <is>
          <t>INR</t>
        </is>
      </c>
      <c r="K6" s="472" t="n">
        <v>1</v>
      </c>
      <c r="L6" s="472" t="n">
        <v>121651</v>
      </c>
      <c r="M6" s="472" t="n">
        <v>120651</v>
      </c>
      <c r="N6" s="472" t="n">
        <v>0</v>
      </c>
      <c r="R6" s="472" t="n">
        <v>0</v>
      </c>
      <c r="S6" s="472" t="inlineStr">
        <is>
          <t>Adjustment</t>
        </is>
      </c>
      <c r="T6" s="472">
        <f>FALSE()</f>
        <v/>
      </c>
      <c r="Y6" s="472" t="inlineStr">
        <is>
          <t>Paid</t>
        </is>
      </c>
      <c r="Z6" s="472" t="inlineStr">
        <is>
          <t>ridhi25madan</t>
        </is>
      </c>
      <c r="AC6" s="472" t="inlineStr">
        <is>
          <t>Employee Reimbursements</t>
        </is>
      </c>
      <c r="AF6" s="472" t="n">
        <v>1</v>
      </c>
      <c r="AH6" s="472" t="n">
        <v>0</v>
      </c>
      <c r="AI6" s="472" t="n">
        <v>21651</v>
      </c>
      <c r="AJ6" s="472">
        <f>FALSE()</f>
        <v/>
      </c>
      <c r="AL6" s="472" t="inlineStr">
        <is>
          <t>UP</t>
        </is>
      </c>
      <c r="AM6" s="472" t="inlineStr">
        <is>
          <t>UP</t>
        </is>
      </c>
      <c r="AN6" s="472" t="inlineStr">
        <is>
          <t>business_none</t>
        </is>
      </c>
      <c r="AP6" s="472" t="inlineStr">
        <is>
          <t>entity_level</t>
        </is>
      </c>
      <c r="AQ6" s="472" t="n">
        <v>2.29715200000003e+18</v>
      </c>
      <c r="AR6" s="472" t="inlineStr">
        <is>
          <t>Payment of contractors HUF/Indiv</t>
        </is>
      </c>
      <c r="AS6" s="472" t="n">
        <v>1</v>
      </c>
      <c r="AT6" s="472" t="inlineStr">
        <is>
          <t>194C</t>
        </is>
      </c>
      <c r="AU6" s="472" t="inlineStr">
        <is>
          <t>Section 194 C</t>
        </is>
      </c>
      <c r="AV6" s="472" t="n">
        <v>1000</v>
      </c>
      <c r="AZ6" s="472" t="n">
        <v>21651</v>
      </c>
      <c r="BA6" s="472" t="inlineStr">
        <is>
          <t>entity_level</t>
        </is>
      </c>
      <c r="BB6" s="472">
        <f>TRUE()</f>
        <v/>
      </c>
      <c r="BC6" s="472" t="n">
        <v>0</v>
      </c>
      <c r="BD6" s="472" t="n">
        <v>0</v>
      </c>
      <c r="BQ6" s="472" t="inlineStr">
        <is>
          <t>service</t>
        </is>
      </c>
      <c r="BV6" s="472" t="inlineStr">
        <is>
          <t>eligible</t>
        </is>
      </c>
      <c r="BW6" s="472" t="n">
        <v>0</v>
      </c>
      <c r="BZ6" s="472">
        <f>FALSE()</f>
        <v/>
      </c>
    </row>
    <row r="7" ht="13.5" customHeight="1" s="253">
      <c r="A7" s="492" t="n">
        <v>45657</v>
      </c>
      <c r="B7" s="491" t="n">
        <v>45657</v>
      </c>
      <c r="C7" s="472" t="n">
        <v>2.29715200000005e+18</v>
      </c>
      <c r="D7" s="490" t="inlineStr">
        <is>
          <t>JAYANTH BJ</t>
        </is>
      </c>
      <c r="E7" s="472" t="n">
        <v>0</v>
      </c>
      <c r="F7" s="472" t="n">
        <v>0</v>
      </c>
      <c r="G7" s="472" t="inlineStr">
        <is>
          <t>Due On Receipt</t>
        </is>
      </c>
      <c r="H7" s="472" t="n">
        <v>5</v>
      </c>
      <c r="J7" s="472" t="inlineStr">
        <is>
          <t>INR</t>
        </is>
      </c>
      <c r="K7" s="472" t="n">
        <v>1</v>
      </c>
      <c r="L7" s="490" t="n">
        <v>50000</v>
      </c>
      <c r="M7" s="472" t="n">
        <v>50000</v>
      </c>
      <c r="N7" s="472" t="n">
        <v>46125</v>
      </c>
      <c r="R7" s="472" t="n">
        <v>0</v>
      </c>
      <c r="S7" s="472" t="inlineStr">
        <is>
          <t>Adjustment</t>
        </is>
      </c>
      <c r="T7" s="472">
        <f>FALSE()</f>
        <v/>
      </c>
      <c r="Y7" s="472" t="inlineStr">
        <is>
          <t>Overdue</t>
        </is>
      </c>
      <c r="Z7" s="472" t="inlineStr">
        <is>
          <t>ridhi25madan</t>
        </is>
      </c>
      <c r="AC7" s="490" t="inlineStr">
        <is>
          <t>Content Writing Exp.</t>
        </is>
      </c>
      <c r="AE7" s="472" t="inlineStr">
        <is>
          <t>content Writing</t>
        </is>
      </c>
      <c r="AF7" s="472" t="n">
        <v>1</v>
      </c>
      <c r="AH7" s="472" t="n">
        <v>0</v>
      </c>
      <c r="AI7" s="472" t="n">
        <v>50000</v>
      </c>
      <c r="AJ7" s="472">
        <f>FALSE()</f>
        <v/>
      </c>
      <c r="AL7" s="472" t="inlineStr">
        <is>
          <t>UP</t>
        </is>
      </c>
      <c r="AM7" s="472" t="inlineStr">
        <is>
          <t>UP</t>
        </is>
      </c>
      <c r="AN7" s="472" t="inlineStr">
        <is>
          <t>business_none</t>
        </is>
      </c>
      <c r="AP7" s="472" t="inlineStr">
        <is>
          <t>item_level</t>
        </is>
      </c>
      <c r="AS7" s="472" t="n">
        <v>0</v>
      </c>
      <c r="AV7" s="472" t="n">
        <v>0</v>
      </c>
      <c r="AZ7" s="472" t="n">
        <v>50000</v>
      </c>
      <c r="BA7" s="472" t="inlineStr">
        <is>
          <t>entity_level</t>
        </is>
      </c>
      <c r="BB7" s="472">
        <f>TRUE()</f>
        <v/>
      </c>
      <c r="BC7" s="472" t="n">
        <v>0</v>
      </c>
      <c r="BD7" s="472" t="n">
        <v>0</v>
      </c>
      <c r="BM7" s="472" t="n">
        <v>0</v>
      </c>
      <c r="BQ7" s="472" t="inlineStr">
        <is>
          <t>service</t>
        </is>
      </c>
      <c r="BV7" s="472" t="inlineStr">
        <is>
          <t>eligible</t>
        </is>
      </c>
      <c r="BW7" s="472" t="n">
        <v>0</v>
      </c>
      <c r="BZ7" s="472">
        <f>FALSE()</f>
        <v/>
      </c>
    </row>
    <row r="8" ht="13.5" customHeight="1" s="253">
      <c r="A8" s="492" t="n">
        <v>45626</v>
      </c>
      <c r="B8" s="491" t="n">
        <v>45626</v>
      </c>
      <c r="C8" s="472" t="n">
        <v>2.29715200000005e+18</v>
      </c>
      <c r="D8" s="490" t="inlineStr">
        <is>
          <t>JAYANTH BJ</t>
        </is>
      </c>
      <c r="E8" s="472" t="n">
        <v>0</v>
      </c>
      <c r="F8" s="472" t="n">
        <v>0</v>
      </c>
      <c r="G8" s="472" t="inlineStr">
        <is>
          <t>Due On Receipt</t>
        </is>
      </c>
      <c r="H8" s="472" t="n">
        <v>4</v>
      </c>
      <c r="J8" s="472" t="inlineStr">
        <is>
          <t>INR</t>
        </is>
      </c>
      <c r="K8" s="472" t="n">
        <v>1</v>
      </c>
      <c r="L8" s="490" t="n">
        <v>40000</v>
      </c>
      <c r="M8" s="472" t="n">
        <v>40000</v>
      </c>
      <c r="N8" s="472" t="n">
        <v>0</v>
      </c>
      <c r="R8" s="472" t="n">
        <v>0</v>
      </c>
      <c r="S8" s="472" t="inlineStr">
        <is>
          <t>Adjustment</t>
        </is>
      </c>
      <c r="T8" s="472">
        <f>FALSE()</f>
        <v/>
      </c>
      <c r="Y8" s="472" t="inlineStr">
        <is>
          <t>Paid</t>
        </is>
      </c>
      <c r="Z8" s="472" t="inlineStr">
        <is>
          <t>ridhi25madan</t>
        </is>
      </c>
      <c r="AC8" s="490" t="inlineStr">
        <is>
          <t>Content Writing Exp.</t>
        </is>
      </c>
      <c r="AE8" s="472" t="inlineStr">
        <is>
          <t>content Writing</t>
        </is>
      </c>
      <c r="AF8" s="472" t="n">
        <v>1</v>
      </c>
      <c r="AH8" s="472" t="n">
        <v>0</v>
      </c>
      <c r="AI8" s="472" t="n">
        <v>40000</v>
      </c>
      <c r="AJ8" s="472">
        <f>FALSE()</f>
        <v/>
      </c>
      <c r="AL8" s="472" t="inlineStr">
        <is>
          <t>UP</t>
        </is>
      </c>
      <c r="AM8" s="472" t="inlineStr">
        <is>
          <t>UP</t>
        </is>
      </c>
      <c r="AN8" s="472" t="inlineStr">
        <is>
          <t>business_none</t>
        </is>
      </c>
      <c r="AP8" s="472" t="inlineStr">
        <is>
          <t>item_level</t>
        </is>
      </c>
      <c r="AS8" s="472" t="n">
        <v>0</v>
      </c>
      <c r="AV8" s="472" t="n">
        <v>0</v>
      </c>
      <c r="AZ8" s="472" t="n">
        <v>40000</v>
      </c>
      <c r="BA8" s="472" t="inlineStr">
        <is>
          <t>entity_level</t>
        </is>
      </c>
      <c r="BB8" s="472">
        <f>TRUE()</f>
        <v/>
      </c>
      <c r="BC8" s="472" t="n">
        <v>0</v>
      </c>
      <c r="BD8" s="472" t="n">
        <v>0</v>
      </c>
      <c r="BM8" s="472" t="n">
        <v>0</v>
      </c>
      <c r="BQ8" s="472" t="inlineStr">
        <is>
          <t>service</t>
        </is>
      </c>
      <c r="BV8" s="472" t="inlineStr">
        <is>
          <t>eligible</t>
        </is>
      </c>
      <c r="BW8" s="472" t="n">
        <v>0</v>
      </c>
      <c r="BZ8" s="472">
        <f>FALSE()</f>
        <v/>
      </c>
    </row>
    <row r="9" ht="13.5" customHeight="1" s="253">
      <c r="A9" s="492" t="n">
        <v>45596</v>
      </c>
      <c r="B9" s="491" t="n">
        <v>45596</v>
      </c>
      <c r="C9" s="472" t="n">
        <v>2.29715200000005e+18</v>
      </c>
      <c r="D9" s="490" t="inlineStr">
        <is>
          <t>JAYANTH BJ</t>
        </is>
      </c>
      <c r="E9" s="472" t="n">
        <v>0</v>
      </c>
      <c r="F9" s="472" t="n">
        <v>0</v>
      </c>
      <c r="G9" s="472" t="inlineStr">
        <is>
          <t>Due On Receipt</t>
        </is>
      </c>
      <c r="H9" s="472" t="n">
        <v>3</v>
      </c>
      <c r="J9" s="472" t="inlineStr">
        <is>
          <t>INR</t>
        </is>
      </c>
      <c r="K9" s="472" t="n">
        <v>1</v>
      </c>
      <c r="L9" s="490" t="n">
        <v>25000</v>
      </c>
      <c r="M9" s="472" t="n">
        <v>25000</v>
      </c>
      <c r="N9" s="472" t="n">
        <v>0</v>
      </c>
      <c r="R9" s="472" t="n">
        <v>0</v>
      </c>
      <c r="S9" s="472" t="inlineStr">
        <is>
          <t>Adjustment</t>
        </is>
      </c>
      <c r="T9" s="472">
        <f>FALSE()</f>
        <v/>
      </c>
      <c r="Y9" s="472" t="inlineStr">
        <is>
          <t>Paid</t>
        </is>
      </c>
      <c r="Z9" s="472" t="inlineStr">
        <is>
          <t>ridhi25madan</t>
        </is>
      </c>
      <c r="AC9" s="490" t="inlineStr">
        <is>
          <t>Content Writing Exp.</t>
        </is>
      </c>
      <c r="AE9" s="472" t="inlineStr">
        <is>
          <t>content Writing</t>
        </is>
      </c>
      <c r="AF9" s="472" t="n">
        <v>1</v>
      </c>
      <c r="AH9" s="472" t="n">
        <v>0</v>
      </c>
      <c r="AI9" s="472" t="n">
        <v>25000</v>
      </c>
      <c r="AJ9" s="472">
        <f>FALSE()</f>
        <v/>
      </c>
      <c r="AL9" s="472" t="inlineStr">
        <is>
          <t>UP</t>
        </is>
      </c>
      <c r="AM9" s="472" t="inlineStr">
        <is>
          <t>UP</t>
        </is>
      </c>
      <c r="AN9" s="472" t="inlineStr">
        <is>
          <t>business_none</t>
        </is>
      </c>
      <c r="AP9" s="472" t="inlineStr">
        <is>
          <t>item_level</t>
        </is>
      </c>
      <c r="AS9" s="472" t="n">
        <v>0</v>
      </c>
      <c r="AV9" s="472" t="n">
        <v>0</v>
      </c>
      <c r="AZ9" s="472" t="n">
        <v>25000</v>
      </c>
      <c r="BA9" s="472" t="inlineStr">
        <is>
          <t>entity_level</t>
        </is>
      </c>
      <c r="BB9" s="472">
        <f>TRUE()</f>
        <v/>
      </c>
      <c r="BC9" s="472" t="n">
        <v>0</v>
      </c>
      <c r="BD9" s="472" t="n">
        <v>0</v>
      </c>
      <c r="BM9" s="472" t="n">
        <v>0</v>
      </c>
      <c r="BQ9" s="472" t="inlineStr">
        <is>
          <t>service</t>
        </is>
      </c>
      <c r="BV9" s="472" t="inlineStr">
        <is>
          <t>eligible</t>
        </is>
      </c>
      <c r="BW9" s="472" t="n">
        <v>0</v>
      </c>
      <c r="BZ9" s="472">
        <f>FALSE()</f>
        <v/>
      </c>
    </row>
    <row r="10" ht="13.5" customHeight="1" s="253">
      <c r="A10" s="492" t="n">
        <v>45565</v>
      </c>
      <c r="B10" s="491" t="n">
        <v>45565</v>
      </c>
      <c r="C10" s="472" t="n">
        <v>2.29715200000005e+18</v>
      </c>
      <c r="D10" s="490" t="inlineStr">
        <is>
          <t>JAYANTH BJ</t>
        </is>
      </c>
      <c r="E10" s="472" t="n">
        <v>0</v>
      </c>
      <c r="F10" s="472" t="n">
        <v>0</v>
      </c>
      <c r="G10" s="472" t="inlineStr">
        <is>
          <t>Due On Receipt</t>
        </is>
      </c>
      <c r="H10" s="472" t="n">
        <v>2</v>
      </c>
      <c r="J10" s="472" t="inlineStr">
        <is>
          <t>INR</t>
        </is>
      </c>
      <c r="K10" s="472" t="n">
        <v>1</v>
      </c>
      <c r="L10" s="490" t="n">
        <v>25000</v>
      </c>
      <c r="M10" s="472" t="n">
        <v>25000</v>
      </c>
      <c r="N10" s="472" t="n">
        <v>0</v>
      </c>
      <c r="R10" s="472" t="n">
        <v>0</v>
      </c>
      <c r="S10" s="472" t="inlineStr">
        <is>
          <t>Adjustment</t>
        </is>
      </c>
      <c r="T10" s="472">
        <f>FALSE()</f>
        <v/>
      </c>
      <c r="Y10" s="472" t="inlineStr">
        <is>
          <t>Paid</t>
        </is>
      </c>
      <c r="Z10" s="472" t="inlineStr">
        <is>
          <t>ridhi25madan</t>
        </is>
      </c>
      <c r="AC10" s="490" t="inlineStr">
        <is>
          <t>Content Writing Exp.</t>
        </is>
      </c>
      <c r="AE10" s="472" t="inlineStr">
        <is>
          <t>content Writing</t>
        </is>
      </c>
      <c r="AF10" s="472" t="n">
        <v>1</v>
      </c>
      <c r="AH10" s="472" t="n">
        <v>0</v>
      </c>
      <c r="AI10" s="472" t="n">
        <v>25000</v>
      </c>
      <c r="AJ10" s="472">
        <f>FALSE()</f>
        <v/>
      </c>
      <c r="AL10" s="472" t="inlineStr">
        <is>
          <t>UP</t>
        </is>
      </c>
      <c r="AM10" s="472" t="inlineStr">
        <is>
          <t>UP</t>
        </is>
      </c>
      <c r="AN10" s="472" t="inlineStr">
        <is>
          <t>business_none</t>
        </is>
      </c>
      <c r="AP10" s="472" t="inlineStr">
        <is>
          <t>item_level</t>
        </is>
      </c>
      <c r="AS10" s="472" t="n">
        <v>0</v>
      </c>
      <c r="AV10" s="472" t="n">
        <v>0</v>
      </c>
      <c r="AZ10" s="472" t="n">
        <v>25000</v>
      </c>
      <c r="BA10" s="472" t="inlineStr">
        <is>
          <t>entity_level</t>
        </is>
      </c>
      <c r="BB10" s="472">
        <f>TRUE()</f>
        <v/>
      </c>
      <c r="BC10" s="472" t="n">
        <v>0</v>
      </c>
      <c r="BD10" s="472" t="n">
        <v>0</v>
      </c>
      <c r="BM10" s="472" t="n">
        <v>0</v>
      </c>
      <c r="BQ10" s="472" t="inlineStr">
        <is>
          <t>service</t>
        </is>
      </c>
      <c r="BV10" s="472" t="inlineStr">
        <is>
          <t>eligible</t>
        </is>
      </c>
      <c r="BW10" s="472" t="n">
        <v>0</v>
      </c>
      <c r="BZ10" s="472">
        <f>FALSE()</f>
        <v/>
      </c>
    </row>
    <row r="11" ht="13.5" customHeight="1" s="253">
      <c r="A11" s="492" t="n">
        <v>45535</v>
      </c>
      <c r="B11" s="491" t="n">
        <v>45535</v>
      </c>
      <c r="C11" s="472" t="n">
        <v>2.29715200000005e+18</v>
      </c>
      <c r="D11" s="490" t="inlineStr">
        <is>
          <t>JAYANTH BJ</t>
        </is>
      </c>
      <c r="E11" s="472" t="n">
        <v>0</v>
      </c>
      <c r="F11" s="472" t="n">
        <v>0</v>
      </c>
      <c r="G11" s="472" t="inlineStr">
        <is>
          <t>Due On Receipt</t>
        </is>
      </c>
      <c r="H11" s="472" t="n">
        <v>1</v>
      </c>
      <c r="J11" s="472" t="inlineStr">
        <is>
          <t>INR</t>
        </is>
      </c>
      <c r="K11" s="472" t="n">
        <v>1</v>
      </c>
      <c r="L11" s="490" t="n">
        <v>20000</v>
      </c>
      <c r="M11" s="472" t="n">
        <v>20000</v>
      </c>
      <c r="N11" s="472" t="n">
        <v>0</v>
      </c>
      <c r="R11" s="472" t="n">
        <v>0</v>
      </c>
      <c r="S11" s="472" t="inlineStr">
        <is>
          <t>Adjustment</t>
        </is>
      </c>
      <c r="T11" s="472">
        <f>FALSE()</f>
        <v/>
      </c>
      <c r="Y11" s="472" t="inlineStr">
        <is>
          <t>Paid</t>
        </is>
      </c>
      <c r="Z11" s="472" t="inlineStr">
        <is>
          <t>ridhi25madan</t>
        </is>
      </c>
      <c r="AC11" s="490" t="inlineStr">
        <is>
          <t>Content Writing Exp.</t>
        </is>
      </c>
      <c r="AE11" s="472" t="inlineStr">
        <is>
          <t>content Writing</t>
        </is>
      </c>
      <c r="AF11" s="472" t="n">
        <v>1</v>
      </c>
      <c r="AH11" s="472" t="n">
        <v>0</v>
      </c>
      <c r="AI11" s="472" t="n">
        <v>20000</v>
      </c>
      <c r="AJ11" s="472">
        <f>FALSE()</f>
        <v/>
      </c>
      <c r="AL11" s="472" t="inlineStr">
        <is>
          <t>UP</t>
        </is>
      </c>
      <c r="AM11" s="472" t="inlineStr">
        <is>
          <t>UP</t>
        </is>
      </c>
      <c r="AN11" s="472" t="inlineStr">
        <is>
          <t>business_none</t>
        </is>
      </c>
      <c r="AP11" s="472" t="inlineStr">
        <is>
          <t>item_level</t>
        </is>
      </c>
      <c r="AS11" s="472" t="n">
        <v>0</v>
      </c>
      <c r="AV11" s="472" t="n">
        <v>0</v>
      </c>
      <c r="AZ11" s="472" t="n">
        <v>20000</v>
      </c>
      <c r="BA11" s="472" t="inlineStr">
        <is>
          <t>entity_level</t>
        </is>
      </c>
      <c r="BB11" s="472">
        <f>TRUE()</f>
        <v/>
      </c>
      <c r="BC11" s="472" t="n">
        <v>0</v>
      </c>
      <c r="BD11" s="472" t="n">
        <v>0</v>
      </c>
      <c r="BM11" s="472" t="n">
        <v>0</v>
      </c>
      <c r="BQ11" s="472" t="inlineStr">
        <is>
          <t>service</t>
        </is>
      </c>
      <c r="BV11" s="472" t="inlineStr">
        <is>
          <t>eligible</t>
        </is>
      </c>
      <c r="BW11" s="472" t="n">
        <v>0</v>
      </c>
      <c r="BZ11" s="472">
        <f>FALSE()</f>
        <v/>
      </c>
    </row>
    <row r="12" ht="13.5" customHeight="1" s="253">
      <c r="A12" s="491" t="n">
        <v>45685</v>
      </c>
      <c r="B12" s="491" t="n">
        <v>45685</v>
      </c>
      <c r="C12" s="472" t="n">
        <v>2.29715200000005e+18</v>
      </c>
      <c r="D12" s="472" t="inlineStr">
        <is>
          <t>Treelife Ventures Services Private Limited</t>
        </is>
      </c>
      <c r="E12" s="472" t="n">
        <v>0</v>
      </c>
      <c r="F12" s="472" t="n">
        <v>0</v>
      </c>
      <c r="G12" s="472" t="inlineStr">
        <is>
          <t>Due On Receipt</t>
        </is>
      </c>
      <c r="H12" s="472" t="n">
        <v>10070</v>
      </c>
      <c r="J12" s="472" t="inlineStr">
        <is>
          <t>INR</t>
        </is>
      </c>
      <c r="K12" s="472" t="n">
        <v>1</v>
      </c>
      <c r="L12" s="472" t="n">
        <v>30680</v>
      </c>
      <c r="M12" s="472" t="n">
        <v>28080</v>
      </c>
      <c r="N12" s="472" t="n">
        <v>0</v>
      </c>
      <c r="R12" s="472" t="n">
        <v>0</v>
      </c>
      <c r="S12" s="472" t="inlineStr">
        <is>
          <t>Adjustment</t>
        </is>
      </c>
      <c r="T12" s="472">
        <f>FALSE()</f>
        <v/>
      </c>
      <c r="Y12" s="472" t="inlineStr">
        <is>
          <t>Paid</t>
        </is>
      </c>
      <c r="Z12" s="472" t="inlineStr">
        <is>
          <t>ridhi25madan</t>
        </is>
      </c>
      <c r="AC12" s="472" t="inlineStr">
        <is>
          <t>Legal &amp; Professional Charges</t>
        </is>
      </c>
      <c r="AF12" s="472" t="n">
        <v>4</v>
      </c>
      <c r="AH12" s="472" t="n">
        <v>0</v>
      </c>
      <c r="AI12" s="472" t="n">
        <v>30680</v>
      </c>
      <c r="AJ12" s="472">
        <f>FALSE()</f>
        <v/>
      </c>
      <c r="AL12" s="472" t="inlineStr">
        <is>
          <t>MH</t>
        </is>
      </c>
      <c r="AM12" s="472" t="inlineStr">
        <is>
          <t>UP</t>
        </is>
      </c>
      <c r="AN12" s="472" t="inlineStr">
        <is>
          <t>business_gst</t>
        </is>
      </c>
      <c r="AO12" s="472" t="inlineStr">
        <is>
          <t>27AAFCT8389M1ZD</t>
        </is>
      </c>
      <c r="AP12" s="472" t="inlineStr">
        <is>
          <t>entity_level</t>
        </is>
      </c>
      <c r="AQ12" s="472" t="n">
        <v>2.29715200000003e+18</v>
      </c>
      <c r="AR12" s="472" t="inlineStr">
        <is>
          <t>Professional Fees</t>
        </is>
      </c>
      <c r="AS12" s="472" t="n">
        <v>10</v>
      </c>
      <c r="AT12" s="472" t="inlineStr">
        <is>
          <t>194J</t>
        </is>
      </c>
      <c r="AU12" s="472" t="inlineStr">
        <is>
          <t>Section 194 J</t>
        </is>
      </c>
      <c r="AV12" s="472" t="n">
        <v>2600</v>
      </c>
      <c r="AZ12" s="472" t="n">
        <v>7670</v>
      </c>
      <c r="BA12" s="472" t="inlineStr">
        <is>
          <t>entity_level</t>
        </is>
      </c>
      <c r="BB12" s="472">
        <f>TRUE()</f>
        <v/>
      </c>
      <c r="BC12" s="472" t="n">
        <v>0</v>
      </c>
      <c r="BD12" s="472" t="n">
        <v>0</v>
      </c>
      <c r="BQ12" s="472" t="inlineStr">
        <is>
          <t>service</t>
        </is>
      </c>
      <c r="BU12" s="472" t="inlineStr">
        <is>
          <t>Out of Scope</t>
        </is>
      </c>
      <c r="BW12" s="472" t="n">
        <v>0</v>
      </c>
      <c r="BZ12" s="472">
        <f>FALSE()</f>
        <v/>
      </c>
    </row>
    <row r="13" ht="13.5" customHeight="1" s="253">
      <c r="A13" s="491" t="n">
        <v>45716</v>
      </c>
      <c r="B13" s="491" t="n">
        <v>45716</v>
      </c>
      <c r="C13" s="472" t="n">
        <v>2.29715200000005e+18</v>
      </c>
      <c r="D13" s="472" t="inlineStr">
        <is>
          <t>Treelife Ventures Services Private Limited</t>
        </is>
      </c>
      <c r="E13" s="472" t="n">
        <v>0</v>
      </c>
      <c r="F13" s="472" t="n">
        <v>0</v>
      </c>
      <c r="G13" s="472" t="inlineStr">
        <is>
          <t>Due On Receipt</t>
        </is>
      </c>
      <c r="H13" s="472" t="n">
        <v>10071</v>
      </c>
      <c r="J13" s="472" t="inlineStr">
        <is>
          <t>INR</t>
        </is>
      </c>
      <c r="K13" s="472" t="n">
        <v>1</v>
      </c>
      <c r="L13" s="472" t="n">
        <v>23010</v>
      </c>
      <c r="M13" s="472" t="n">
        <v>23010</v>
      </c>
      <c r="N13" s="472" t="n">
        <v>20410</v>
      </c>
      <c r="R13" s="472" t="n">
        <v>0</v>
      </c>
      <c r="S13" s="472" t="inlineStr">
        <is>
          <t>Adjustment</t>
        </is>
      </c>
      <c r="T13" s="472">
        <f>FALSE()</f>
        <v/>
      </c>
      <c r="Y13" s="472" t="inlineStr">
        <is>
          <t>Overdue</t>
        </is>
      </c>
      <c r="Z13" s="472" t="inlineStr">
        <is>
          <t>ridhi25madan</t>
        </is>
      </c>
      <c r="AC13" s="472" t="inlineStr">
        <is>
          <t>Legal &amp; Professional Charges</t>
        </is>
      </c>
      <c r="AF13" s="472" t="n">
        <v>3</v>
      </c>
      <c r="AH13" s="472" t="n">
        <v>0</v>
      </c>
      <c r="AI13" s="472" t="n">
        <v>23010</v>
      </c>
      <c r="AJ13" s="472">
        <f>FALSE()</f>
        <v/>
      </c>
      <c r="AL13" s="472" t="inlineStr">
        <is>
          <t>MH</t>
        </is>
      </c>
      <c r="AM13" s="472" t="inlineStr">
        <is>
          <t>UP</t>
        </is>
      </c>
      <c r="AN13" s="472" t="inlineStr">
        <is>
          <t>business_gst</t>
        </is>
      </c>
      <c r="AO13" s="472" t="inlineStr">
        <is>
          <t>27AAFCT8389M1ZD</t>
        </is>
      </c>
      <c r="AP13" s="472" t="inlineStr">
        <is>
          <t>item_level</t>
        </is>
      </c>
      <c r="AS13" s="472" t="n">
        <v>0</v>
      </c>
      <c r="AV13" s="472" t="n">
        <v>0</v>
      </c>
      <c r="AZ13" s="472" t="n">
        <v>7670</v>
      </c>
      <c r="BA13" s="472" t="inlineStr">
        <is>
          <t>entity_level</t>
        </is>
      </c>
      <c r="BB13" s="472">
        <f>TRUE()</f>
        <v/>
      </c>
      <c r="BC13" s="472" t="n">
        <v>0</v>
      </c>
      <c r="BD13" s="472" t="n">
        <v>0</v>
      </c>
      <c r="BM13" s="472" t="n">
        <v>0</v>
      </c>
      <c r="BQ13" s="472" t="inlineStr">
        <is>
          <t>service</t>
        </is>
      </c>
      <c r="BU13" s="472" t="inlineStr">
        <is>
          <t>Out of Scope</t>
        </is>
      </c>
      <c r="BW13" s="472" t="n">
        <v>0</v>
      </c>
      <c r="BZ13" s="472">
        <f>FALSE()</f>
        <v/>
      </c>
    </row>
    <row r="14" ht="13.5" customHeight="1" s="253">
      <c r="A14" s="491" t="n">
        <v>45746</v>
      </c>
      <c r="B14" s="491" t="n">
        <v>45746</v>
      </c>
      <c r="C14" s="472" t="n">
        <v>2.29715200000005e+18</v>
      </c>
      <c r="D14" s="472" t="inlineStr">
        <is>
          <t>Riversys Technologies Pvt Ltd(SCRUT AUTOMATION)</t>
        </is>
      </c>
      <c r="E14" s="472" t="n">
        <v>0</v>
      </c>
      <c r="F14" s="472" t="n">
        <v>0</v>
      </c>
      <c r="G14" s="472" t="inlineStr">
        <is>
          <t>Due On Receipt</t>
        </is>
      </c>
      <c r="H14" s="472" t="inlineStr">
        <is>
          <t>INV-2324-3572</t>
        </is>
      </c>
      <c r="J14" s="472" t="inlineStr">
        <is>
          <t>INR</t>
        </is>
      </c>
      <c r="K14" s="472" t="n">
        <v>1</v>
      </c>
      <c r="L14" s="472" t="n">
        <v>127383.75</v>
      </c>
      <c r="M14" s="472" t="n">
        <v>147765.15</v>
      </c>
      <c r="N14" s="472" t="n">
        <v>0</v>
      </c>
      <c r="R14" s="472" t="n">
        <v>0</v>
      </c>
      <c r="S14" s="472" t="inlineStr">
        <is>
          <t>Adjustment</t>
        </is>
      </c>
      <c r="T14" s="472">
        <f>FALSE()</f>
        <v/>
      </c>
      <c r="Y14" s="472" t="inlineStr">
        <is>
          <t>Paid</t>
        </is>
      </c>
      <c r="Z14" s="472" t="inlineStr">
        <is>
          <t>ridhi25madan</t>
        </is>
      </c>
      <c r="AC14" s="472" t="inlineStr">
        <is>
          <t>Security &amp; Certification Charges</t>
        </is>
      </c>
      <c r="AE14" s="472" t="inlineStr">
        <is>
          <t>Security &amp; certificate charges</t>
        </is>
      </c>
      <c r="AF14" s="472" t="n">
        <v>1</v>
      </c>
      <c r="AH14" s="472" t="n">
        <v>22929.08</v>
      </c>
      <c r="AI14" s="472" t="n">
        <v>127383.75</v>
      </c>
      <c r="AJ14" s="472">
        <f>FALSE()</f>
        <v/>
      </c>
      <c r="AL14" s="472" t="inlineStr">
        <is>
          <t>KA</t>
        </is>
      </c>
      <c r="AM14" s="472" t="inlineStr">
        <is>
          <t>UP</t>
        </is>
      </c>
      <c r="AN14" s="472" t="inlineStr">
        <is>
          <t>business_gst</t>
        </is>
      </c>
      <c r="AO14" s="472" t="inlineStr">
        <is>
          <t>29AAKCR1346R1ZL</t>
        </is>
      </c>
      <c r="AP14" s="472" t="inlineStr">
        <is>
          <t>entity_level</t>
        </is>
      </c>
      <c r="AQ14" s="472" t="n">
        <v>2.29715200000003e+18</v>
      </c>
      <c r="AR14" s="472" t="inlineStr">
        <is>
          <t>Technical Fees (2%)</t>
        </is>
      </c>
      <c r="AS14" s="472" t="n">
        <v>2</v>
      </c>
      <c r="AT14" s="472" t="inlineStr">
        <is>
          <t>194J</t>
        </is>
      </c>
      <c r="AU14" s="472" t="inlineStr">
        <is>
          <t>Section 194 J</t>
        </is>
      </c>
      <c r="AV14" s="472" t="n">
        <v>2547.68</v>
      </c>
      <c r="AZ14" s="472" t="n">
        <v>127383.75</v>
      </c>
      <c r="BA14" s="472" t="inlineStr">
        <is>
          <t>entity_level</t>
        </is>
      </c>
      <c r="BB14" s="472">
        <f>TRUE()</f>
        <v/>
      </c>
      <c r="BC14" s="472" t="n">
        <v>0</v>
      </c>
      <c r="BD14" s="472" t="n">
        <v>0</v>
      </c>
      <c r="BG14" s="472" t="n">
        <v>2.29715200000003e+18</v>
      </c>
      <c r="BH14" s="472" t="inlineStr">
        <is>
          <t>IGST18</t>
        </is>
      </c>
      <c r="BI14" s="472" t="n">
        <v>18</v>
      </c>
      <c r="BJ14" s="472" t="inlineStr">
        <is>
          <t>ItemAmount</t>
        </is>
      </c>
      <c r="BQ14" s="472" t="inlineStr">
        <is>
          <t>service</t>
        </is>
      </c>
      <c r="BV14" s="472" t="inlineStr">
        <is>
          <t>eligible</t>
        </is>
      </c>
      <c r="BW14" s="472" t="n">
        <v>0</v>
      </c>
      <c r="BZ14" s="472">
        <f>FALSE()</f>
        <v/>
      </c>
      <c r="CC14" s="472" t="n">
        <v>0</v>
      </c>
      <c r="CD14" s="472" t="n">
        <v>0</v>
      </c>
      <c r="CE14" s="472" t="n">
        <v>18</v>
      </c>
      <c r="CF14" s="472" t="n">
        <v>0</v>
      </c>
      <c r="CG14" s="472" t="n">
        <v>0</v>
      </c>
      <c r="CH14" s="472" t="n">
        <v>0</v>
      </c>
      <c r="CI14" s="472" t="n">
        <v>22929.08</v>
      </c>
      <c r="CJ14" s="472" t="n">
        <v>0</v>
      </c>
      <c r="CK14" s="472" t="n">
        <v>0</v>
      </c>
      <c r="CL14" s="472" t="n">
        <v>0</v>
      </c>
      <c r="CM14" s="472" t="n">
        <v>22929.08</v>
      </c>
      <c r="CN14" s="472" t="n">
        <v>0</v>
      </c>
    </row>
    <row r="15" ht="13.5" customHeight="1" s="253">
      <c r="A15" s="491" t="n">
        <v>45746</v>
      </c>
      <c r="B15" s="491" t="n">
        <v>45746</v>
      </c>
      <c r="C15" s="472" t="n">
        <v>2.29715200000005e+18</v>
      </c>
      <c r="D15" s="472" t="inlineStr">
        <is>
          <t>Riversys Technologies Pvt Ltd(SCRUT AUTOMATION)</t>
        </is>
      </c>
      <c r="E15" s="472" t="n">
        <v>0</v>
      </c>
      <c r="F15" s="472" t="n">
        <v>0</v>
      </c>
      <c r="G15" s="472" t="inlineStr">
        <is>
          <t>Due On Receipt</t>
        </is>
      </c>
      <c r="H15" s="472" t="inlineStr">
        <is>
          <t>INV-2324-3573</t>
        </is>
      </c>
      <c r="J15" s="472" t="inlineStr">
        <is>
          <t>INR</t>
        </is>
      </c>
      <c r="K15" s="472" t="n">
        <v>1</v>
      </c>
      <c r="L15" s="472" t="n">
        <v>129910</v>
      </c>
      <c r="M15" s="472" t="n">
        <v>150695.6</v>
      </c>
      <c r="N15" s="472" t="n">
        <v>150695.6</v>
      </c>
      <c r="R15" s="472" t="n">
        <v>0</v>
      </c>
      <c r="S15" s="472" t="inlineStr">
        <is>
          <t>Adjustment</t>
        </is>
      </c>
      <c r="T15" s="472">
        <f>FALSE()</f>
        <v/>
      </c>
      <c r="Y15" s="472" t="inlineStr">
        <is>
          <t>Overdue</t>
        </is>
      </c>
      <c r="Z15" s="472" t="inlineStr">
        <is>
          <t>ridhi25madan</t>
        </is>
      </c>
      <c r="AC15" s="472" t="inlineStr">
        <is>
          <t>Security &amp; Certification Charges</t>
        </is>
      </c>
      <c r="AE15" s="472" t="inlineStr">
        <is>
          <t>Security &amp; certificate charges</t>
        </is>
      </c>
      <c r="AF15" s="472" t="n">
        <v>1</v>
      </c>
      <c r="AH15" s="472" t="n">
        <v>23383.8</v>
      </c>
      <c r="AI15" s="472" t="n">
        <v>129910</v>
      </c>
      <c r="AJ15" s="472">
        <f>FALSE()</f>
        <v/>
      </c>
      <c r="AL15" s="472" t="inlineStr">
        <is>
          <t>KA</t>
        </is>
      </c>
      <c r="AM15" s="472" t="inlineStr">
        <is>
          <t>UP</t>
        </is>
      </c>
      <c r="AN15" s="472" t="inlineStr">
        <is>
          <t>business_gst</t>
        </is>
      </c>
      <c r="AO15" s="472" t="inlineStr">
        <is>
          <t>29AAKCR1346R1ZL</t>
        </is>
      </c>
      <c r="AP15" s="472" t="inlineStr">
        <is>
          <t>entity_level</t>
        </is>
      </c>
      <c r="AQ15" s="472" t="n">
        <v>2.29715200000003e+18</v>
      </c>
      <c r="AR15" s="472" t="inlineStr">
        <is>
          <t>Technical Fees (2%)</t>
        </is>
      </c>
      <c r="AS15" s="472" t="n">
        <v>2</v>
      </c>
      <c r="AT15" s="472" t="inlineStr">
        <is>
          <t>194J</t>
        </is>
      </c>
      <c r="AU15" s="472" t="inlineStr">
        <is>
          <t>Section 194 J</t>
        </is>
      </c>
      <c r="AV15" s="472" t="n">
        <v>2598.2</v>
      </c>
      <c r="AZ15" s="472" t="n">
        <v>129910</v>
      </c>
      <c r="BA15" s="472" t="inlineStr">
        <is>
          <t>entity_level</t>
        </is>
      </c>
      <c r="BB15" s="472">
        <f>TRUE()</f>
        <v/>
      </c>
      <c r="BC15" s="472" t="n">
        <v>0</v>
      </c>
      <c r="BD15" s="472" t="n">
        <v>0</v>
      </c>
      <c r="BG15" s="472" t="n">
        <v>2.29715200000003e+18</v>
      </c>
      <c r="BH15" s="472" t="inlineStr">
        <is>
          <t>IGST18</t>
        </is>
      </c>
      <c r="BI15" s="472" t="n">
        <v>18</v>
      </c>
      <c r="BJ15" s="472" t="inlineStr">
        <is>
          <t>ItemAmount</t>
        </is>
      </c>
      <c r="BQ15" s="472" t="inlineStr">
        <is>
          <t>service</t>
        </is>
      </c>
      <c r="BV15" s="472" t="inlineStr">
        <is>
          <t>eligible</t>
        </is>
      </c>
      <c r="BW15" s="472" t="n">
        <v>0</v>
      </c>
      <c r="BZ15" s="472">
        <f>FALSE()</f>
        <v/>
      </c>
      <c r="CC15" s="472" t="n">
        <v>0</v>
      </c>
      <c r="CD15" s="472" t="n">
        <v>0</v>
      </c>
      <c r="CE15" s="472" t="n">
        <v>18</v>
      </c>
      <c r="CF15" s="472" t="n">
        <v>0</v>
      </c>
      <c r="CG15" s="472" t="n">
        <v>0</v>
      </c>
      <c r="CH15" s="472" t="n">
        <v>0</v>
      </c>
      <c r="CI15" s="472" t="n">
        <v>23383.8</v>
      </c>
      <c r="CJ15" s="472" t="n">
        <v>0</v>
      </c>
      <c r="CK15" s="472" t="n">
        <v>0</v>
      </c>
      <c r="CL15" s="472" t="n">
        <v>0</v>
      </c>
      <c r="CM15" s="472" t="n">
        <v>23383.8</v>
      </c>
      <c r="CN15" s="472" t="n">
        <v>0</v>
      </c>
    </row>
    <row r="16" ht="13.5" customHeight="1" s="253">
      <c r="A16" s="491" t="n">
        <v>45719</v>
      </c>
      <c r="B16" s="491" t="n">
        <v>45719</v>
      </c>
      <c r="C16" s="472" t="n">
        <v>2.29715200000005e+18</v>
      </c>
      <c r="D16" s="472" t="inlineStr">
        <is>
          <t>Ritik Maheshwari</t>
        </is>
      </c>
      <c r="E16" s="472" t="n">
        <v>0</v>
      </c>
      <c r="F16" s="472" t="n">
        <v>0</v>
      </c>
      <c r="G16" s="472" t="inlineStr">
        <is>
          <t>Due On Receipt</t>
        </is>
      </c>
      <c r="H16" s="472" t="inlineStr">
        <is>
          <t>2025/02</t>
        </is>
      </c>
      <c r="J16" s="472" t="inlineStr">
        <is>
          <t>INR</t>
        </is>
      </c>
      <c r="K16" s="472" t="n">
        <v>1</v>
      </c>
      <c r="L16" s="472" t="n">
        <v>20000</v>
      </c>
      <c r="M16" s="472" t="n">
        <v>18000</v>
      </c>
      <c r="N16" s="472" t="n">
        <v>0</v>
      </c>
      <c r="R16" s="472" t="n">
        <v>0</v>
      </c>
      <c r="S16" s="472" t="inlineStr">
        <is>
          <t>Adjustment</t>
        </is>
      </c>
      <c r="T16" s="472">
        <f>FALSE()</f>
        <v/>
      </c>
      <c r="Y16" s="472" t="inlineStr">
        <is>
          <t>Paid</t>
        </is>
      </c>
      <c r="Z16" s="472" t="inlineStr">
        <is>
          <t>ridhi25madan</t>
        </is>
      </c>
      <c r="AC16" s="472" t="inlineStr">
        <is>
          <t>Legal &amp; Professional Charges</t>
        </is>
      </c>
      <c r="AF16" s="472" t="n">
        <v>1</v>
      </c>
      <c r="AH16" s="472" t="n">
        <v>0</v>
      </c>
      <c r="AI16" s="472" t="n">
        <v>20000</v>
      </c>
      <c r="AJ16" s="472">
        <f>FALSE()</f>
        <v/>
      </c>
      <c r="AL16" s="472" t="inlineStr">
        <is>
          <t>MP</t>
        </is>
      </c>
      <c r="AM16" s="472" t="inlineStr">
        <is>
          <t>UP</t>
        </is>
      </c>
      <c r="AN16" s="472" t="inlineStr">
        <is>
          <t>business_none</t>
        </is>
      </c>
      <c r="AP16" s="472" t="inlineStr">
        <is>
          <t>entity_level</t>
        </is>
      </c>
      <c r="AQ16" s="472" t="n">
        <v>2.29715200000003e+18</v>
      </c>
      <c r="AR16" s="472" t="inlineStr">
        <is>
          <t>Professional Fees</t>
        </is>
      </c>
      <c r="AS16" s="472" t="n">
        <v>10</v>
      </c>
      <c r="AT16" s="472" t="inlineStr">
        <is>
          <t>194J</t>
        </is>
      </c>
      <c r="AU16" s="472" t="inlineStr">
        <is>
          <t>Section 194 J</t>
        </is>
      </c>
      <c r="AV16" s="472" t="n">
        <v>2000</v>
      </c>
      <c r="AZ16" s="472" t="n">
        <v>20000</v>
      </c>
      <c r="BA16" s="472" t="inlineStr">
        <is>
          <t>entity_level</t>
        </is>
      </c>
      <c r="BB16" s="472">
        <f>TRUE()</f>
        <v/>
      </c>
      <c r="BC16" s="472" t="n">
        <v>0</v>
      </c>
      <c r="BD16" s="472" t="n">
        <v>0</v>
      </c>
      <c r="BQ16" s="472" t="inlineStr">
        <is>
          <t>service</t>
        </is>
      </c>
      <c r="BV16" s="472" t="inlineStr">
        <is>
          <t>eligible</t>
        </is>
      </c>
      <c r="BW16" s="472" t="n">
        <v>0</v>
      </c>
      <c r="BZ16" s="472">
        <f>FALSE()</f>
        <v/>
      </c>
    </row>
    <row r="17" ht="13.5" customHeight="1" s="253">
      <c r="A17" s="491" t="n">
        <v>45719</v>
      </c>
      <c r="B17" s="491" t="n">
        <v>45719</v>
      </c>
      <c r="C17" s="472" t="n">
        <v>2.29715200000005e+18</v>
      </c>
      <c r="D17" s="472" t="inlineStr">
        <is>
          <t>Ritik Maheshwari</t>
        </is>
      </c>
      <c r="E17" s="472" t="n">
        <v>0</v>
      </c>
      <c r="F17" s="472" t="n">
        <v>0</v>
      </c>
      <c r="G17" s="472" t="inlineStr">
        <is>
          <t>Due On Receipt</t>
        </is>
      </c>
      <c r="H17" s="472" t="inlineStr">
        <is>
          <t>2025/03</t>
        </is>
      </c>
      <c r="J17" s="472" t="inlineStr">
        <is>
          <t>INR</t>
        </is>
      </c>
      <c r="K17" s="472" t="n">
        <v>1</v>
      </c>
      <c r="L17" s="472" t="n">
        <v>20000</v>
      </c>
      <c r="M17" s="472" t="n">
        <v>18000</v>
      </c>
      <c r="N17" s="472" t="n">
        <v>0</v>
      </c>
      <c r="R17" s="472" t="n">
        <v>0</v>
      </c>
      <c r="S17" s="472" t="inlineStr">
        <is>
          <t>Adjustment</t>
        </is>
      </c>
      <c r="T17" s="472">
        <f>FALSE()</f>
        <v/>
      </c>
      <c r="Y17" s="472" t="inlineStr">
        <is>
          <t>Paid</t>
        </is>
      </c>
      <c r="Z17" s="472" t="inlineStr">
        <is>
          <t>ridhi25madan</t>
        </is>
      </c>
      <c r="AC17" s="472" t="inlineStr">
        <is>
          <t>Legal &amp; Professional Charges</t>
        </is>
      </c>
      <c r="AF17" s="472" t="n">
        <v>1</v>
      </c>
      <c r="AH17" s="472" t="n">
        <v>0</v>
      </c>
      <c r="AI17" s="472" t="n">
        <v>20000</v>
      </c>
      <c r="AJ17" s="472">
        <f>FALSE()</f>
        <v/>
      </c>
      <c r="AL17" s="472" t="inlineStr">
        <is>
          <t>MP</t>
        </is>
      </c>
      <c r="AM17" s="472" t="inlineStr">
        <is>
          <t>UP</t>
        </is>
      </c>
      <c r="AN17" s="472" t="inlineStr">
        <is>
          <t>business_none</t>
        </is>
      </c>
      <c r="AP17" s="472" t="inlineStr">
        <is>
          <t>entity_level</t>
        </is>
      </c>
      <c r="AQ17" s="472" t="n">
        <v>2.29715200000003e+18</v>
      </c>
      <c r="AR17" s="472" t="inlineStr">
        <is>
          <t>Professional Fees</t>
        </is>
      </c>
      <c r="AS17" s="472" t="n">
        <v>10</v>
      </c>
      <c r="AT17" s="472" t="inlineStr">
        <is>
          <t>194J</t>
        </is>
      </c>
      <c r="AU17" s="472" t="inlineStr">
        <is>
          <t>Section 194 J</t>
        </is>
      </c>
      <c r="AV17" s="472" t="n">
        <v>2000</v>
      </c>
      <c r="AZ17" s="472" t="n">
        <v>20000</v>
      </c>
      <c r="BA17" s="472" t="inlineStr">
        <is>
          <t>entity_level</t>
        </is>
      </c>
      <c r="BB17" s="472">
        <f>TRUE()</f>
        <v/>
      </c>
      <c r="BC17" s="472" t="n">
        <v>0</v>
      </c>
      <c r="BD17" s="472" t="n">
        <v>0</v>
      </c>
      <c r="BQ17" s="472" t="inlineStr">
        <is>
          <t>service</t>
        </is>
      </c>
      <c r="BV17" s="472" t="inlineStr">
        <is>
          <t>eligible</t>
        </is>
      </c>
      <c r="BW17" s="472" t="n">
        <v>0</v>
      </c>
      <c r="BZ17" s="472">
        <f>FALSE()</f>
        <v/>
      </c>
    </row>
    <row r="18" ht="13.5" customHeight="1" s="253">
      <c r="A18" s="492" t="n">
        <v>45749</v>
      </c>
      <c r="B18" s="491" t="n">
        <v>45749</v>
      </c>
      <c r="C18" s="472" t="n">
        <v>2.29715200000009e+18</v>
      </c>
      <c r="D18" s="490" t="inlineStr">
        <is>
          <t>Amazon Web Service INC</t>
        </is>
      </c>
      <c r="E18" s="472" t="n">
        <v>0</v>
      </c>
      <c r="F18" s="472" t="n">
        <v>0</v>
      </c>
      <c r="G18" s="472" t="inlineStr">
        <is>
          <t>Due On Receipt</t>
        </is>
      </c>
      <c r="H18" s="472" t="n">
        <v>2115377585</v>
      </c>
      <c r="J18" s="472" t="inlineStr">
        <is>
          <t>INR</t>
        </is>
      </c>
      <c r="K18" s="472" t="n">
        <v>1</v>
      </c>
      <c r="L18" s="490" t="n">
        <v>68564.08</v>
      </c>
      <c r="M18" s="472" t="n">
        <v>68564.08</v>
      </c>
      <c r="N18" s="472" t="n">
        <v>0</v>
      </c>
      <c r="R18" s="472" t="n">
        <v>0</v>
      </c>
      <c r="S18" s="472" t="inlineStr">
        <is>
          <t>Adjustment</t>
        </is>
      </c>
      <c r="T18" s="472">
        <f>FALSE()</f>
        <v/>
      </c>
      <c r="Y18" s="472" t="inlineStr">
        <is>
          <t>Paid</t>
        </is>
      </c>
      <c r="Z18" s="472" t="inlineStr">
        <is>
          <t>ridhi25madan</t>
        </is>
      </c>
      <c r="AC18" s="490" t="inlineStr">
        <is>
          <t>Advertising And Marketing</t>
        </is>
      </c>
      <c r="AE18" s="472" t="inlineStr">
        <is>
          <t>AWS Marketplace Charges</t>
        </is>
      </c>
      <c r="AF18" s="472" t="n">
        <v>1</v>
      </c>
      <c r="AH18" s="472" t="n">
        <v>0</v>
      </c>
      <c r="AI18" s="472" t="n">
        <v>68564.08</v>
      </c>
      <c r="AJ18" s="472">
        <f>FALSE()</f>
        <v/>
      </c>
      <c r="AM18" s="472" t="inlineStr">
        <is>
          <t>UP</t>
        </is>
      </c>
      <c r="AN18" s="472" t="inlineStr">
        <is>
          <t>overseas</t>
        </is>
      </c>
      <c r="AP18" s="472" t="inlineStr">
        <is>
          <t>item_level</t>
        </is>
      </c>
      <c r="AS18" s="472" t="n">
        <v>0</v>
      </c>
      <c r="AV18" s="472" t="n">
        <v>0</v>
      </c>
      <c r="AZ18" s="472" t="n">
        <v>68564.08</v>
      </c>
      <c r="BA18" s="472" t="inlineStr">
        <is>
          <t>entity_level</t>
        </is>
      </c>
      <c r="BB18" s="472">
        <f>TRUE()</f>
        <v/>
      </c>
      <c r="BC18" s="472" t="n">
        <v>0</v>
      </c>
      <c r="BD18" s="472" t="n">
        <v>0</v>
      </c>
      <c r="BM18" s="472" t="n">
        <v>0</v>
      </c>
      <c r="BQ18" s="472" t="inlineStr">
        <is>
          <t>service</t>
        </is>
      </c>
      <c r="BR18" s="472" t="inlineStr">
        <is>
          <t>IGST18</t>
        </is>
      </c>
      <c r="BS18" s="472" t="n">
        <v>18</v>
      </c>
      <c r="BT18" s="472" t="inlineStr">
        <is>
          <t>ItemAmount</t>
        </is>
      </c>
      <c r="BV18" s="472" t="inlineStr">
        <is>
          <t>eligible</t>
        </is>
      </c>
      <c r="BW18" s="472" t="n">
        <v>0</v>
      </c>
      <c r="BZ18" s="472">
        <f>FALSE()</f>
        <v/>
      </c>
    </row>
    <row r="19" ht="13.5" customHeight="1" s="253">
      <c r="A19" s="492" t="n">
        <v>45776</v>
      </c>
      <c r="B19" s="491" t="n">
        <v>45776</v>
      </c>
      <c r="C19" s="472" t="n">
        <v>2.29715200000012e+18</v>
      </c>
      <c r="D19" s="490" t="inlineStr">
        <is>
          <t>OLAMBIT CONSULTING PRIVATE LIMITED</t>
        </is>
      </c>
      <c r="E19" s="472" t="n">
        <v>0</v>
      </c>
      <c r="F19" s="472" t="n">
        <v>0</v>
      </c>
      <c r="G19" s="472" t="inlineStr">
        <is>
          <t>Due on Receipt</t>
        </is>
      </c>
      <c r="H19" s="472" t="inlineStr">
        <is>
          <t>GST-2025-00016</t>
        </is>
      </c>
      <c r="J19" s="472" t="inlineStr">
        <is>
          <t>INR</t>
        </is>
      </c>
      <c r="K19" s="472" t="n">
        <v>1</v>
      </c>
      <c r="L19" s="490" t="n">
        <v>65000</v>
      </c>
      <c r="M19" s="472" t="n">
        <v>70200</v>
      </c>
      <c r="N19" s="472" t="n">
        <v>63200</v>
      </c>
      <c r="R19" s="472" t="n">
        <v>0</v>
      </c>
      <c r="S19" s="472" t="inlineStr">
        <is>
          <t>Adjustment</t>
        </is>
      </c>
      <c r="T19" s="472">
        <f>FALSE()</f>
        <v/>
      </c>
      <c r="Y19" s="472" t="inlineStr">
        <is>
          <t>Overdue</t>
        </is>
      </c>
      <c r="Z19" s="472" t="inlineStr">
        <is>
          <t>ridhi25madan</t>
        </is>
      </c>
      <c r="AC19" s="490" t="inlineStr">
        <is>
          <t>Legal &amp; Professional Charges</t>
        </is>
      </c>
      <c r="AF19" s="472" t="n">
        <v>1</v>
      </c>
      <c r="AH19" s="472" t="n">
        <v>11700</v>
      </c>
      <c r="AI19" s="472" t="n">
        <v>65000</v>
      </c>
      <c r="AJ19" s="472">
        <f>FALSE()</f>
        <v/>
      </c>
      <c r="AL19" s="472" t="inlineStr">
        <is>
          <t>DL</t>
        </is>
      </c>
      <c r="AM19" s="472" t="inlineStr">
        <is>
          <t>UP</t>
        </is>
      </c>
      <c r="AN19" s="472" t="inlineStr">
        <is>
          <t>business_gst</t>
        </is>
      </c>
      <c r="AO19" s="472" t="inlineStr">
        <is>
          <t>07AADCO7267R1ZL</t>
        </is>
      </c>
      <c r="AP19" s="472" t="inlineStr">
        <is>
          <t>entity_level</t>
        </is>
      </c>
      <c r="AQ19" s="472" t="n">
        <v>2.29715200000003e+18</v>
      </c>
      <c r="AR19" s="472" t="inlineStr">
        <is>
          <t>Professional Fees</t>
        </is>
      </c>
      <c r="AS19" s="472" t="n">
        <v>10</v>
      </c>
      <c r="AT19" s="472" t="inlineStr">
        <is>
          <t>194J</t>
        </is>
      </c>
      <c r="AU19" s="472" t="inlineStr">
        <is>
          <t>Section 194 J</t>
        </is>
      </c>
      <c r="AV19" s="472" t="n">
        <v>6500</v>
      </c>
      <c r="AZ19" s="472" t="n">
        <v>65000</v>
      </c>
      <c r="BA19" s="472" t="inlineStr">
        <is>
          <t>entity_level</t>
        </is>
      </c>
      <c r="BB19" s="472">
        <f>TRUE()</f>
        <v/>
      </c>
      <c r="BC19" s="472" t="n">
        <v>0</v>
      </c>
      <c r="BD19" s="472" t="n">
        <v>0</v>
      </c>
      <c r="BG19" s="472" t="n">
        <v>2.29715200000003e+18</v>
      </c>
      <c r="BH19" s="472" t="inlineStr">
        <is>
          <t>IGST18</t>
        </is>
      </c>
      <c r="BI19" s="472" t="n">
        <v>18</v>
      </c>
      <c r="BJ19" s="472" t="inlineStr">
        <is>
          <t>ItemAmount</t>
        </is>
      </c>
      <c r="BQ19" s="472" t="inlineStr">
        <is>
          <t>service</t>
        </is>
      </c>
      <c r="BV19" s="472" t="inlineStr">
        <is>
          <t>eligible</t>
        </is>
      </c>
      <c r="BW19" s="472" t="n">
        <v>0</v>
      </c>
      <c r="BZ19" s="472">
        <f>FALSE()</f>
        <v/>
      </c>
      <c r="CC19" s="472" t="n">
        <v>0</v>
      </c>
      <c r="CD19" s="472" t="n">
        <v>0</v>
      </c>
      <c r="CE19" s="472" t="n">
        <v>18</v>
      </c>
      <c r="CF19" s="472" t="n">
        <v>0</v>
      </c>
      <c r="CG19" s="472" t="n">
        <v>0</v>
      </c>
      <c r="CH19" s="472" t="n">
        <v>0</v>
      </c>
      <c r="CI19" s="472" t="n">
        <v>11700</v>
      </c>
      <c r="CJ19" s="472" t="n">
        <v>0</v>
      </c>
      <c r="CK19" s="472" t="n">
        <v>0</v>
      </c>
      <c r="CL19" s="472" t="n">
        <v>0</v>
      </c>
      <c r="CM19" s="472" t="n">
        <v>11700</v>
      </c>
      <c r="CN19" s="472" t="n">
        <v>0</v>
      </c>
    </row>
    <row r="20" ht="13.5" customHeight="1" s="253">
      <c r="A20" s="492" t="n">
        <v>45752</v>
      </c>
      <c r="B20" s="491" t="n">
        <v>45752</v>
      </c>
      <c r="C20" s="472" t="n">
        <v>2.29715200000014e+18</v>
      </c>
      <c r="D20" s="490" t="inlineStr">
        <is>
          <t>Razorpay Creditors</t>
        </is>
      </c>
      <c r="E20" s="472" t="n">
        <v>0</v>
      </c>
      <c r="F20" s="472" t="n">
        <v>0</v>
      </c>
      <c r="G20" s="472" t="inlineStr">
        <is>
          <t>Custom</t>
        </is>
      </c>
      <c r="H20" s="472" t="n">
        <v>249028</v>
      </c>
      <c r="J20" s="472" t="inlineStr">
        <is>
          <t>INR</t>
        </is>
      </c>
      <c r="K20" s="472" t="n">
        <v>1</v>
      </c>
      <c r="L20" s="490" t="n">
        <v>100</v>
      </c>
      <c r="M20" s="472" t="n">
        <v>118</v>
      </c>
      <c r="N20" s="472" t="n">
        <v>0</v>
      </c>
      <c r="R20" s="472" t="n">
        <v>0</v>
      </c>
      <c r="S20" s="472" t="inlineStr">
        <is>
          <t>Adjustment</t>
        </is>
      </c>
      <c r="T20" s="472">
        <f>FALSE()</f>
        <v/>
      </c>
      <c r="Y20" s="472" t="inlineStr">
        <is>
          <t>Paid</t>
        </is>
      </c>
      <c r="Z20" s="472" t="inlineStr">
        <is>
          <t>ridhi25madan</t>
        </is>
      </c>
      <c r="AC20" s="490" t="inlineStr">
        <is>
          <t>Platform Charges</t>
        </is>
      </c>
      <c r="AF20" s="472" t="n">
        <v>1</v>
      </c>
      <c r="AH20" s="472" t="n">
        <v>18</v>
      </c>
      <c r="AI20" s="472" t="n">
        <v>100</v>
      </c>
      <c r="AJ20" s="472">
        <f>FALSE()</f>
        <v/>
      </c>
      <c r="AL20" s="472" t="inlineStr">
        <is>
          <t>KA</t>
        </is>
      </c>
      <c r="AM20" s="472" t="inlineStr">
        <is>
          <t>UP</t>
        </is>
      </c>
      <c r="AN20" s="472" t="inlineStr">
        <is>
          <t>business_gst</t>
        </is>
      </c>
      <c r="AO20" s="472" t="inlineStr">
        <is>
          <t>29AAKCR4702K1Z1</t>
        </is>
      </c>
      <c r="AP20" s="472" t="inlineStr">
        <is>
          <t>item_level</t>
        </is>
      </c>
      <c r="AS20" s="472" t="n">
        <v>0</v>
      </c>
      <c r="AV20" s="472" t="n">
        <v>0</v>
      </c>
      <c r="AZ20" s="472" t="n">
        <v>100</v>
      </c>
      <c r="BA20" s="472" t="inlineStr">
        <is>
          <t>entity_level</t>
        </is>
      </c>
      <c r="BB20" s="472">
        <f>TRUE()</f>
        <v/>
      </c>
      <c r="BC20" s="472" t="n">
        <v>0</v>
      </c>
      <c r="BD20" s="472" t="n">
        <v>0</v>
      </c>
      <c r="BG20" s="472" t="n">
        <v>2.29715200000003e+18</v>
      </c>
      <c r="BH20" s="472" t="inlineStr">
        <is>
          <t>IGST18</t>
        </is>
      </c>
      <c r="BI20" s="472" t="n">
        <v>18</v>
      </c>
      <c r="BJ20" s="472" t="inlineStr">
        <is>
          <t>ItemAmount</t>
        </is>
      </c>
      <c r="BM20" s="472" t="n">
        <v>0</v>
      </c>
      <c r="BQ20" s="472" t="inlineStr">
        <is>
          <t>service</t>
        </is>
      </c>
      <c r="BV20" s="472" t="inlineStr">
        <is>
          <t>eligible</t>
        </is>
      </c>
      <c r="BW20" s="472" t="n">
        <v>0</v>
      </c>
      <c r="BZ20" s="472">
        <f>FALSE()</f>
        <v/>
      </c>
      <c r="CC20" s="472" t="n">
        <v>0</v>
      </c>
      <c r="CD20" s="472" t="n">
        <v>0</v>
      </c>
      <c r="CE20" s="472" t="n">
        <v>18</v>
      </c>
      <c r="CF20" s="472" t="n">
        <v>0</v>
      </c>
      <c r="CG20" s="472" t="n">
        <v>0</v>
      </c>
      <c r="CH20" s="472" t="n">
        <v>0</v>
      </c>
      <c r="CI20" s="472" t="n">
        <v>18</v>
      </c>
      <c r="CJ20" s="472" t="n">
        <v>0</v>
      </c>
      <c r="CK20" s="472" t="n">
        <v>0</v>
      </c>
      <c r="CL20" s="472" t="n">
        <v>0</v>
      </c>
      <c r="CM20" s="472" t="n">
        <v>18</v>
      </c>
      <c r="CN20" s="472" t="n">
        <v>0</v>
      </c>
    </row>
    <row r="21" ht="13.5" customHeight="1" s="253">
      <c r="A21" s="491" t="n">
        <v>45716</v>
      </c>
      <c r="B21" s="491" t="n">
        <v>45716</v>
      </c>
      <c r="C21" s="472" t="n">
        <v>2.29715200000014e+18</v>
      </c>
      <c r="D21" s="472" t="inlineStr">
        <is>
          <t>RAZORPAY SOFTWARE PVT LTD(Sales Platform)</t>
        </is>
      </c>
      <c r="E21" s="472" t="n">
        <v>0</v>
      </c>
      <c r="F21" s="472" t="n">
        <v>0</v>
      </c>
      <c r="G21" s="472" t="inlineStr">
        <is>
          <t>Due on Receipt</t>
        </is>
      </c>
      <c r="H21" s="472" t="inlineStr">
        <is>
          <t>NAHGTQ81YYWY0225</t>
        </is>
      </c>
      <c r="J21" s="472" t="inlineStr">
        <is>
          <t>INR</t>
        </is>
      </c>
      <c r="K21" s="472" t="n">
        <v>1</v>
      </c>
      <c r="L21" s="472" t="n">
        <v>6790.02</v>
      </c>
      <c r="M21" s="472" t="n">
        <v>8010.44</v>
      </c>
      <c r="N21" s="472" t="n">
        <v>0</v>
      </c>
      <c r="R21" s="472" t="n">
        <v>0</v>
      </c>
      <c r="S21" s="472" t="inlineStr">
        <is>
          <t>Adjustment</t>
        </is>
      </c>
      <c r="T21" s="472">
        <f>FALSE()</f>
        <v/>
      </c>
      <c r="Y21" s="472" t="inlineStr">
        <is>
          <t>Paid</t>
        </is>
      </c>
      <c r="Z21" s="472" t="inlineStr">
        <is>
          <t>ridhi25madan</t>
        </is>
      </c>
      <c r="AC21" s="472" t="inlineStr">
        <is>
          <t>Platform Charges</t>
        </is>
      </c>
      <c r="AF21" s="472" t="n">
        <v>1</v>
      </c>
      <c r="AH21" s="472" t="n">
        <v>1220.42</v>
      </c>
      <c r="AI21" s="472" t="n">
        <v>6780.13</v>
      </c>
      <c r="AJ21" s="472">
        <f>FALSE()</f>
        <v/>
      </c>
      <c r="AL21" s="472" t="inlineStr">
        <is>
          <t>KA</t>
        </is>
      </c>
      <c r="AM21" s="472" t="inlineStr">
        <is>
          <t>UP</t>
        </is>
      </c>
      <c r="AN21" s="472" t="inlineStr">
        <is>
          <t>business_gst</t>
        </is>
      </c>
      <c r="AO21" s="472" t="inlineStr">
        <is>
          <t>29AAGCR4375J1ZU</t>
        </is>
      </c>
      <c r="AP21" s="472" t="inlineStr">
        <is>
          <t>item_level</t>
        </is>
      </c>
      <c r="AS21" s="472" t="n">
        <v>0</v>
      </c>
      <c r="AV21" s="472" t="n">
        <v>0</v>
      </c>
      <c r="AZ21" s="472" t="n">
        <v>6780.13</v>
      </c>
      <c r="BA21" s="472" t="inlineStr">
        <is>
          <t>entity_level</t>
        </is>
      </c>
      <c r="BB21" s="472">
        <f>TRUE()</f>
        <v/>
      </c>
      <c r="BC21" s="472" t="n">
        <v>0</v>
      </c>
      <c r="BD21" s="472" t="n">
        <v>0</v>
      </c>
      <c r="BG21" s="472" t="n">
        <v>2.29715200000003e+18</v>
      </c>
      <c r="BH21" s="472" t="inlineStr">
        <is>
          <t>IGST18</t>
        </is>
      </c>
      <c r="BI21" s="472" t="n">
        <v>18</v>
      </c>
      <c r="BJ21" s="472" t="inlineStr">
        <is>
          <t>ItemAmount</t>
        </is>
      </c>
      <c r="BM21" s="472" t="n">
        <v>0</v>
      </c>
      <c r="BQ21" s="472" t="inlineStr">
        <is>
          <t>service</t>
        </is>
      </c>
      <c r="BV21" s="472" t="inlineStr">
        <is>
          <t>eligible</t>
        </is>
      </c>
      <c r="BW21" s="472" t="n">
        <v>0</v>
      </c>
      <c r="BZ21" s="472">
        <f>FALSE()</f>
        <v/>
      </c>
      <c r="CC21" s="472" t="n">
        <v>0</v>
      </c>
      <c r="CD21" s="472" t="n">
        <v>0</v>
      </c>
      <c r="CE21" s="472" t="n">
        <v>18</v>
      </c>
      <c r="CF21" s="472" t="n">
        <v>0</v>
      </c>
      <c r="CG21" s="472" t="n">
        <v>0</v>
      </c>
      <c r="CH21" s="472" t="n">
        <v>0</v>
      </c>
      <c r="CI21" s="472" t="n">
        <v>1220.42</v>
      </c>
      <c r="CJ21" s="472" t="n">
        <v>0</v>
      </c>
      <c r="CK21" s="472" t="n">
        <v>0</v>
      </c>
      <c r="CL21" s="472" t="n">
        <v>0</v>
      </c>
      <c r="CM21" s="472" t="n">
        <v>1220.42</v>
      </c>
      <c r="CN21" s="472" t="n">
        <v>0</v>
      </c>
    </row>
    <row r="22" ht="13.5" customHeight="1" s="253">
      <c r="A22" s="491" t="n">
        <v>45716</v>
      </c>
      <c r="B22" s="491" t="n">
        <v>45716</v>
      </c>
      <c r="C22" s="472" t="n">
        <v>2.29715200000014e+18</v>
      </c>
      <c r="D22" s="472" t="inlineStr">
        <is>
          <t>RAZORPAY SOFTWARE PVT LTD(Sales Platform)</t>
        </is>
      </c>
      <c r="E22" s="472" t="n">
        <v>0</v>
      </c>
      <c r="F22" s="472" t="n">
        <v>0</v>
      </c>
      <c r="G22" s="472" t="inlineStr">
        <is>
          <t>Due on Receipt</t>
        </is>
      </c>
      <c r="H22" s="472" t="inlineStr">
        <is>
          <t>NAHGTQ81YYWY0225</t>
        </is>
      </c>
      <c r="J22" s="472" t="inlineStr">
        <is>
          <t>INR</t>
        </is>
      </c>
      <c r="K22" s="472" t="n">
        <v>1</v>
      </c>
      <c r="L22" s="472" t="n">
        <v>6790.02</v>
      </c>
      <c r="M22" s="472" t="n">
        <v>8010.44</v>
      </c>
      <c r="N22" s="472" t="n">
        <v>0</v>
      </c>
      <c r="R22" s="472" t="n">
        <v>0</v>
      </c>
      <c r="S22" s="472" t="inlineStr">
        <is>
          <t>Adjustment</t>
        </is>
      </c>
      <c r="T22" s="472">
        <f>FALSE()</f>
        <v/>
      </c>
      <c r="Y22" s="472" t="inlineStr">
        <is>
          <t>Paid</t>
        </is>
      </c>
      <c r="Z22" s="472" t="inlineStr">
        <is>
          <t>ridhi25madan</t>
        </is>
      </c>
      <c r="AC22" s="472" t="inlineStr">
        <is>
          <t>Platform Charges</t>
        </is>
      </c>
      <c r="AF22" s="472" t="n">
        <v>1</v>
      </c>
      <c r="AH22" s="472" t="n">
        <v>0</v>
      </c>
      <c r="AI22" s="472" t="n">
        <v>9.890000000000001</v>
      </c>
      <c r="AJ22" s="472">
        <f>FALSE()</f>
        <v/>
      </c>
      <c r="AL22" s="472" t="inlineStr">
        <is>
          <t>KA</t>
        </is>
      </c>
      <c r="AM22" s="472" t="inlineStr">
        <is>
          <t>UP</t>
        </is>
      </c>
      <c r="AN22" s="472" t="inlineStr">
        <is>
          <t>business_gst</t>
        </is>
      </c>
      <c r="AO22" s="472" t="inlineStr">
        <is>
          <t>29AAGCR4375J1ZU</t>
        </is>
      </c>
      <c r="AP22" s="472" t="inlineStr">
        <is>
          <t>item_level</t>
        </is>
      </c>
      <c r="AS22" s="472" t="n">
        <v>0</v>
      </c>
      <c r="AV22" s="472" t="n">
        <v>0</v>
      </c>
      <c r="AZ22" s="472" t="n">
        <v>9.890000000000001</v>
      </c>
      <c r="BA22" s="472" t="inlineStr">
        <is>
          <t>entity_level</t>
        </is>
      </c>
      <c r="BB22" s="472">
        <f>TRUE()</f>
        <v/>
      </c>
      <c r="BC22" s="472" t="n">
        <v>0</v>
      </c>
      <c r="BD22" s="472" t="n">
        <v>0</v>
      </c>
      <c r="BG22" s="472" t="n">
        <v>2.29715200000003e+18</v>
      </c>
      <c r="BH22" s="472" t="inlineStr">
        <is>
          <t>IGST0</t>
        </is>
      </c>
      <c r="BI22" s="472" t="n">
        <v>0</v>
      </c>
      <c r="BJ22" s="472" t="inlineStr">
        <is>
          <t>ItemAmount</t>
        </is>
      </c>
      <c r="BM22" s="472" t="n">
        <v>0</v>
      </c>
      <c r="BQ22" s="472" t="inlineStr">
        <is>
          <t>service</t>
        </is>
      </c>
      <c r="BV22" s="472" t="inlineStr">
        <is>
          <t>eligible</t>
        </is>
      </c>
      <c r="BW22" s="472" t="n">
        <v>0</v>
      </c>
      <c r="BZ22" s="472">
        <f>FALSE()</f>
        <v/>
      </c>
      <c r="CC22" s="472" t="n">
        <v>0</v>
      </c>
      <c r="CD22" s="472" t="n">
        <v>0</v>
      </c>
      <c r="CE22" s="472" t="n">
        <v>0</v>
      </c>
      <c r="CF22" s="472" t="n">
        <v>0</v>
      </c>
      <c r="CG22" s="472" t="n">
        <v>0</v>
      </c>
      <c r="CH22" s="472" t="n">
        <v>0</v>
      </c>
      <c r="CI22" s="472" t="n">
        <v>0</v>
      </c>
      <c r="CJ22" s="472" t="n">
        <v>0</v>
      </c>
      <c r="CK22" s="472" t="n">
        <v>0</v>
      </c>
      <c r="CL22" s="472" t="n">
        <v>0</v>
      </c>
      <c r="CM22" s="472" t="n">
        <v>0</v>
      </c>
      <c r="CN22" s="472" t="n">
        <v>0</v>
      </c>
    </row>
    <row r="23" ht="13.5" customHeight="1" s="253">
      <c r="A23" s="491" t="n">
        <v>45742</v>
      </c>
      <c r="B23" s="491" t="n">
        <v>45742</v>
      </c>
      <c r="C23" s="472" t="n">
        <v>2.29715200000014e+18</v>
      </c>
      <c r="D23" s="472" t="inlineStr">
        <is>
          <t>Indian Kanoon (IKanoon)</t>
        </is>
      </c>
      <c r="E23" s="472" t="n">
        <v>0</v>
      </c>
      <c r="F23" s="472" t="n">
        <v>0</v>
      </c>
      <c r="G23" s="472" t="inlineStr">
        <is>
          <t>Due on Receipt</t>
        </is>
      </c>
      <c r="H23" s="472" t="inlineStr">
        <is>
          <t>API-30715-25</t>
        </is>
      </c>
      <c r="J23" s="472" t="inlineStr">
        <is>
          <t>INR</t>
        </is>
      </c>
      <c r="K23" s="472" t="n">
        <v>1</v>
      </c>
      <c r="L23" s="472" t="n">
        <v>10000</v>
      </c>
      <c r="M23" s="472" t="n">
        <v>11800</v>
      </c>
      <c r="N23" s="472" t="n">
        <v>0</v>
      </c>
      <c r="R23" s="472" t="n">
        <v>0</v>
      </c>
      <c r="S23" s="472" t="inlineStr">
        <is>
          <t>Adjustment</t>
        </is>
      </c>
      <c r="T23" s="472">
        <f>FALSE()</f>
        <v/>
      </c>
      <c r="Y23" s="472" t="inlineStr">
        <is>
          <t>Paid</t>
        </is>
      </c>
      <c r="Z23" s="472" t="inlineStr">
        <is>
          <t>ridhi25madan</t>
        </is>
      </c>
      <c r="AC23" s="472" t="inlineStr">
        <is>
          <t>Subscription charges</t>
        </is>
      </c>
      <c r="AE23" s="472" t="inlineStr">
        <is>
          <t>Subscription charges</t>
        </is>
      </c>
      <c r="AF23" s="472" t="n">
        <v>1</v>
      </c>
      <c r="AH23" s="472" t="n">
        <v>1800</v>
      </c>
      <c r="AI23" s="472" t="n">
        <v>10000</v>
      </c>
      <c r="AJ23" s="472">
        <f>FALSE()</f>
        <v/>
      </c>
      <c r="AL23" s="472" t="inlineStr">
        <is>
          <t>KA</t>
        </is>
      </c>
      <c r="AM23" s="472" t="inlineStr">
        <is>
          <t>UP</t>
        </is>
      </c>
      <c r="AN23" s="472" t="inlineStr">
        <is>
          <t>business_gst</t>
        </is>
      </c>
      <c r="AO23" s="472" t="inlineStr">
        <is>
          <t>29AADCI5875P2ZM</t>
        </is>
      </c>
      <c r="AP23" s="472" t="inlineStr">
        <is>
          <t>item_level</t>
        </is>
      </c>
      <c r="AS23" s="472" t="n">
        <v>0</v>
      </c>
      <c r="AV23" s="472" t="n">
        <v>0</v>
      </c>
      <c r="AZ23" s="472" t="n">
        <v>10000</v>
      </c>
      <c r="BA23" s="472" t="inlineStr">
        <is>
          <t>entity_level</t>
        </is>
      </c>
      <c r="BB23" s="472">
        <f>TRUE()</f>
        <v/>
      </c>
      <c r="BC23" s="472" t="n">
        <v>0</v>
      </c>
      <c r="BD23" s="472" t="n">
        <v>0</v>
      </c>
      <c r="BG23" s="472" t="n">
        <v>2.29715200000003e+18</v>
      </c>
      <c r="BH23" s="472" t="inlineStr">
        <is>
          <t>IGST18</t>
        </is>
      </c>
      <c r="BI23" s="472" t="n">
        <v>18</v>
      </c>
      <c r="BJ23" s="472" t="inlineStr">
        <is>
          <t>ItemAmount</t>
        </is>
      </c>
      <c r="BM23" s="472" t="n">
        <v>0</v>
      </c>
      <c r="BQ23" s="472" t="inlineStr">
        <is>
          <t>service</t>
        </is>
      </c>
      <c r="BV23" s="472" t="inlineStr">
        <is>
          <t>eligible</t>
        </is>
      </c>
      <c r="BW23" s="472" t="n">
        <v>0</v>
      </c>
      <c r="BZ23" s="472">
        <f>FALSE()</f>
        <v/>
      </c>
      <c r="CC23" s="472" t="n">
        <v>0</v>
      </c>
      <c r="CD23" s="472" t="n">
        <v>0</v>
      </c>
      <c r="CE23" s="472" t="n">
        <v>18</v>
      </c>
      <c r="CF23" s="472" t="n">
        <v>0</v>
      </c>
      <c r="CG23" s="472" t="n">
        <v>0</v>
      </c>
      <c r="CH23" s="472" t="n">
        <v>0</v>
      </c>
      <c r="CI23" s="472" t="n">
        <v>1800</v>
      </c>
      <c r="CJ23" s="472" t="n">
        <v>0</v>
      </c>
      <c r="CK23" s="472" t="n">
        <v>0</v>
      </c>
      <c r="CL23" s="472" t="n">
        <v>0</v>
      </c>
      <c r="CM23" s="472" t="n">
        <v>1800</v>
      </c>
      <c r="CN23" s="472" t="n">
        <v>0</v>
      </c>
    </row>
    <row r="24" ht="13.5" customHeight="1" s="253">
      <c r="A24" s="491" t="n">
        <v>45737</v>
      </c>
      <c r="B24" s="491" t="n">
        <v>45737</v>
      </c>
      <c r="C24" s="472" t="n">
        <v>2.29715200000014e+18</v>
      </c>
      <c r="D24" s="472" t="inlineStr">
        <is>
          <t>BHIVE Workspace</t>
        </is>
      </c>
      <c r="E24" s="472" t="n">
        <v>0</v>
      </c>
      <c r="F24" s="472" t="n">
        <v>0</v>
      </c>
      <c r="G24" s="472" t="inlineStr">
        <is>
          <t>Due on Receipt</t>
        </is>
      </c>
      <c r="H24" s="472" t="inlineStr">
        <is>
          <t>BHV/2425/10176</t>
        </is>
      </c>
      <c r="J24" s="472" t="inlineStr">
        <is>
          <t>INR</t>
        </is>
      </c>
      <c r="K24" s="472" t="n">
        <v>1</v>
      </c>
      <c r="L24" s="472" t="n">
        <v>1047</v>
      </c>
      <c r="M24" s="472" t="n">
        <v>1235.46</v>
      </c>
      <c r="N24" s="472" t="n">
        <v>1235.46</v>
      </c>
      <c r="R24" s="472" t="n">
        <v>0</v>
      </c>
      <c r="S24" s="472" t="inlineStr">
        <is>
          <t>Adjustment</t>
        </is>
      </c>
      <c r="T24" s="472">
        <f>FALSE()</f>
        <v/>
      </c>
      <c r="Y24" s="472" t="inlineStr">
        <is>
          <t>Overdue</t>
        </is>
      </c>
      <c r="Z24" s="472" t="inlineStr">
        <is>
          <t>ridhi25madan</t>
        </is>
      </c>
      <c r="AC24" s="472" t="inlineStr">
        <is>
          <t>IT and Internet Expenses</t>
        </is>
      </c>
      <c r="AF24" s="472" t="n">
        <v>1</v>
      </c>
      <c r="AH24" s="472" t="n">
        <v>188.46</v>
      </c>
      <c r="AI24" s="472" t="n">
        <v>1047</v>
      </c>
      <c r="AJ24" s="472">
        <f>FALSE()</f>
        <v/>
      </c>
      <c r="AL24" s="472" t="inlineStr">
        <is>
          <t>KA</t>
        </is>
      </c>
      <c r="AM24" s="472" t="inlineStr">
        <is>
          <t>UP</t>
        </is>
      </c>
      <c r="AN24" s="472" t="inlineStr">
        <is>
          <t>business_gst</t>
        </is>
      </c>
      <c r="AO24" s="472" t="inlineStr">
        <is>
          <t>29AAFCT2273G1Z7</t>
        </is>
      </c>
      <c r="AP24" s="472" t="inlineStr">
        <is>
          <t>item_level</t>
        </is>
      </c>
      <c r="AS24" s="472" t="n">
        <v>0</v>
      </c>
      <c r="AV24" s="472" t="n">
        <v>0</v>
      </c>
      <c r="AZ24" s="472" t="n">
        <v>1047</v>
      </c>
      <c r="BA24" s="472" t="inlineStr">
        <is>
          <t>entity_level</t>
        </is>
      </c>
      <c r="BB24" s="472">
        <f>TRUE()</f>
        <v/>
      </c>
      <c r="BC24" s="472" t="n">
        <v>0</v>
      </c>
      <c r="BD24" s="472" t="n">
        <v>0</v>
      </c>
      <c r="BG24" s="472" t="n">
        <v>2.29715200000003e+18</v>
      </c>
      <c r="BH24" s="472" t="inlineStr">
        <is>
          <t>IGST18</t>
        </is>
      </c>
      <c r="BI24" s="472" t="n">
        <v>18</v>
      </c>
      <c r="BJ24" s="472" t="inlineStr">
        <is>
          <t>ItemAmount</t>
        </is>
      </c>
      <c r="BM24" s="472" t="n">
        <v>0</v>
      </c>
      <c r="BQ24" s="472" t="inlineStr">
        <is>
          <t>service</t>
        </is>
      </c>
      <c r="BV24" s="472" t="inlineStr">
        <is>
          <t>eligible</t>
        </is>
      </c>
      <c r="BW24" s="472" t="n">
        <v>0</v>
      </c>
      <c r="BZ24" s="472">
        <f>FALSE()</f>
        <v/>
      </c>
      <c r="CC24" s="472" t="n">
        <v>0</v>
      </c>
      <c r="CD24" s="472" t="n">
        <v>0</v>
      </c>
      <c r="CE24" s="472" t="n">
        <v>18</v>
      </c>
      <c r="CF24" s="472" t="n">
        <v>0</v>
      </c>
      <c r="CG24" s="472" t="n">
        <v>0</v>
      </c>
      <c r="CH24" s="472" t="n">
        <v>0</v>
      </c>
      <c r="CI24" s="472" t="n">
        <v>188.46</v>
      </c>
      <c r="CJ24" s="472" t="n">
        <v>0</v>
      </c>
      <c r="CK24" s="472" t="n">
        <v>0</v>
      </c>
      <c r="CL24" s="472" t="n">
        <v>0</v>
      </c>
      <c r="CM24" s="472" t="n">
        <v>188.46</v>
      </c>
      <c r="CN24" s="472" t="n">
        <v>0</v>
      </c>
    </row>
    <row r="25" ht="13.5" customHeight="1" s="253">
      <c r="A25" s="491" t="n">
        <v>45740</v>
      </c>
      <c r="B25" s="491" t="n">
        <v>45740</v>
      </c>
      <c r="C25" s="472" t="n">
        <v>2.29715200000014e+18</v>
      </c>
      <c r="D25" s="472" t="inlineStr">
        <is>
          <t>BHIVE Workspace</t>
        </is>
      </c>
      <c r="E25" s="472" t="n">
        <v>0</v>
      </c>
      <c r="F25" s="472" t="n">
        <v>0</v>
      </c>
      <c r="G25" s="472" t="inlineStr">
        <is>
          <t>Due on Receipt</t>
        </is>
      </c>
      <c r="H25" s="472" t="inlineStr">
        <is>
          <t>BHV/2425/10194</t>
        </is>
      </c>
      <c r="J25" s="472" t="inlineStr">
        <is>
          <t>INR</t>
        </is>
      </c>
      <c r="K25" s="472" t="n">
        <v>1</v>
      </c>
      <c r="L25" s="472" t="n">
        <v>698</v>
      </c>
      <c r="M25" s="472" t="n">
        <v>823.64</v>
      </c>
      <c r="N25" s="472" t="n">
        <v>823.64</v>
      </c>
      <c r="R25" s="472" t="n">
        <v>0</v>
      </c>
      <c r="S25" s="472" t="inlineStr">
        <is>
          <t>Adjustment</t>
        </is>
      </c>
      <c r="T25" s="472">
        <f>FALSE()</f>
        <v/>
      </c>
      <c r="Y25" s="472" t="inlineStr">
        <is>
          <t>Overdue</t>
        </is>
      </c>
      <c r="Z25" s="472" t="inlineStr">
        <is>
          <t>ridhi25madan</t>
        </is>
      </c>
      <c r="AC25" s="472" t="inlineStr">
        <is>
          <t>IT and Internet Expenses</t>
        </is>
      </c>
      <c r="AF25" s="472" t="n">
        <v>1</v>
      </c>
      <c r="AH25" s="472" t="n">
        <v>125.64</v>
      </c>
      <c r="AI25" s="472" t="n">
        <v>698</v>
      </c>
      <c r="AJ25" s="472">
        <f>FALSE()</f>
        <v/>
      </c>
      <c r="AL25" s="472" t="inlineStr">
        <is>
          <t>KA</t>
        </is>
      </c>
      <c r="AM25" s="472" t="inlineStr">
        <is>
          <t>UP</t>
        </is>
      </c>
      <c r="AN25" s="472" t="inlineStr">
        <is>
          <t>business_gst</t>
        </is>
      </c>
      <c r="AO25" s="472" t="inlineStr">
        <is>
          <t>29AAFCT2273G1Z7</t>
        </is>
      </c>
      <c r="AP25" s="472" t="inlineStr">
        <is>
          <t>item_level</t>
        </is>
      </c>
      <c r="AS25" s="472" t="n">
        <v>0</v>
      </c>
      <c r="AV25" s="472" t="n">
        <v>0</v>
      </c>
      <c r="AZ25" s="472" t="n">
        <v>698</v>
      </c>
      <c r="BA25" s="472" t="inlineStr">
        <is>
          <t>entity_level</t>
        </is>
      </c>
      <c r="BB25" s="472">
        <f>TRUE()</f>
        <v/>
      </c>
      <c r="BC25" s="472" t="n">
        <v>0</v>
      </c>
      <c r="BD25" s="472" t="n">
        <v>0</v>
      </c>
      <c r="BG25" s="472" t="n">
        <v>2.29715200000003e+18</v>
      </c>
      <c r="BH25" s="472" t="inlineStr">
        <is>
          <t>IGST18</t>
        </is>
      </c>
      <c r="BI25" s="472" t="n">
        <v>18</v>
      </c>
      <c r="BJ25" s="472" t="inlineStr">
        <is>
          <t>ItemAmount</t>
        </is>
      </c>
      <c r="BM25" s="472" t="n">
        <v>0</v>
      </c>
      <c r="BQ25" s="472" t="inlineStr">
        <is>
          <t>service</t>
        </is>
      </c>
      <c r="BV25" s="472" t="inlineStr">
        <is>
          <t>eligible</t>
        </is>
      </c>
      <c r="BW25" s="472" t="n">
        <v>0</v>
      </c>
      <c r="BZ25" s="472">
        <f>FALSE()</f>
        <v/>
      </c>
      <c r="CC25" s="472" t="n">
        <v>0</v>
      </c>
      <c r="CD25" s="472" t="n">
        <v>0</v>
      </c>
      <c r="CE25" s="472" t="n">
        <v>18</v>
      </c>
      <c r="CF25" s="472" t="n">
        <v>0</v>
      </c>
      <c r="CG25" s="472" t="n">
        <v>0</v>
      </c>
      <c r="CH25" s="472" t="n">
        <v>0</v>
      </c>
      <c r="CI25" s="472" t="n">
        <v>125.64</v>
      </c>
      <c r="CJ25" s="472" t="n">
        <v>0</v>
      </c>
      <c r="CK25" s="472" t="n">
        <v>0</v>
      </c>
      <c r="CL25" s="472" t="n">
        <v>0</v>
      </c>
      <c r="CM25" s="472" t="n">
        <v>125.64</v>
      </c>
      <c r="CN25" s="472" t="n">
        <v>0</v>
      </c>
    </row>
    <row r="26" ht="13.5" customHeight="1" s="253">
      <c r="A26" s="491" t="n">
        <v>45742</v>
      </c>
      <c r="B26" s="491" t="n">
        <v>45742</v>
      </c>
      <c r="C26" s="472" t="n">
        <v>2.29715200000014e+18</v>
      </c>
      <c r="D26" s="472" t="inlineStr">
        <is>
          <t>BHIVE Workspace</t>
        </is>
      </c>
      <c r="E26" s="472" t="n">
        <v>0</v>
      </c>
      <c r="F26" s="472" t="n">
        <v>0</v>
      </c>
      <c r="G26" s="472" t="inlineStr">
        <is>
          <t>Due on Receipt</t>
        </is>
      </c>
      <c r="H26" s="472" t="inlineStr">
        <is>
          <t>BHV/2425/10232</t>
        </is>
      </c>
      <c r="J26" s="472" t="inlineStr">
        <is>
          <t>INR</t>
        </is>
      </c>
      <c r="K26" s="472" t="n">
        <v>1</v>
      </c>
      <c r="L26" s="472" t="n">
        <v>1047</v>
      </c>
      <c r="M26" s="472" t="n">
        <v>1235.46</v>
      </c>
      <c r="N26" s="472" t="n">
        <v>1235.46</v>
      </c>
      <c r="R26" s="472" t="n">
        <v>0</v>
      </c>
      <c r="S26" s="472" t="inlineStr">
        <is>
          <t>Adjustment</t>
        </is>
      </c>
      <c r="T26" s="472">
        <f>FALSE()</f>
        <v/>
      </c>
      <c r="Y26" s="472" t="inlineStr">
        <is>
          <t>Draft</t>
        </is>
      </c>
      <c r="Z26" s="472" t="inlineStr">
        <is>
          <t>ridhi25madan</t>
        </is>
      </c>
      <c r="AC26" s="472" t="inlineStr">
        <is>
          <t>IT and Internet Expenses</t>
        </is>
      </c>
      <c r="AF26" s="472" t="n">
        <v>1</v>
      </c>
      <c r="AH26" s="472" t="n">
        <v>188.46</v>
      </c>
      <c r="AI26" s="472" t="n">
        <v>1047</v>
      </c>
      <c r="AJ26" s="472">
        <f>FALSE()</f>
        <v/>
      </c>
      <c r="AL26" s="472" t="inlineStr">
        <is>
          <t>KA</t>
        </is>
      </c>
      <c r="AM26" s="472" t="inlineStr">
        <is>
          <t>UP</t>
        </is>
      </c>
      <c r="AN26" s="472" t="inlineStr">
        <is>
          <t>business_gst</t>
        </is>
      </c>
      <c r="AO26" s="472" t="inlineStr">
        <is>
          <t>29AAFCT2273G1Z7</t>
        </is>
      </c>
      <c r="AP26" s="472" t="inlineStr">
        <is>
          <t>item_level</t>
        </is>
      </c>
      <c r="AS26" s="472" t="n">
        <v>0</v>
      </c>
      <c r="AV26" s="472" t="n">
        <v>0</v>
      </c>
      <c r="AZ26" s="472" t="n">
        <v>1047</v>
      </c>
      <c r="BA26" s="472" t="inlineStr">
        <is>
          <t>entity_level</t>
        </is>
      </c>
      <c r="BB26" s="472">
        <f>TRUE()</f>
        <v/>
      </c>
      <c r="BC26" s="472" t="n">
        <v>0</v>
      </c>
      <c r="BD26" s="472" t="n">
        <v>0</v>
      </c>
      <c r="BG26" s="472" t="n">
        <v>2.29715200000003e+18</v>
      </c>
      <c r="BH26" s="472" t="inlineStr">
        <is>
          <t>IGST18</t>
        </is>
      </c>
      <c r="BI26" s="472" t="n">
        <v>18</v>
      </c>
      <c r="BJ26" s="472" t="inlineStr">
        <is>
          <t>ItemAmount</t>
        </is>
      </c>
      <c r="BM26" s="472" t="n">
        <v>0</v>
      </c>
      <c r="BQ26" s="472" t="inlineStr">
        <is>
          <t>service</t>
        </is>
      </c>
      <c r="BV26" s="472" t="inlineStr">
        <is>
          <t>eligible</t>
        </is>
      </c>
      <c r="BW26" s="472" t="n">
        <v>0</v>
      </c>
      <c r="BZ26" s="472">
        <f>FALSE()</f>
        <v/>
      </c>
      <c r="CC26" s="472" t="n">
        <v>0</v>
      </c>
      <c r="CD26" s="472" t="n">
        <v>0</v>
      </c>
      <c r="CE26" s="472" t="n">
        <v>18</v>
      </c>
      <c r="CF26" s="472" t="n">
        <v>0</v>
      </c>
      <c r="CG26" s="472" t="n">
        <v>0</v>
      </c>
      <c r="CH26" s="472" t="n">
        <v>0</v>
      </c>
      <c r="CI26" s="472" t="n">
        <v>188.46</v>
      </c>
      <c r="CJ26" s="472" t="n">
        <v>0</v>
      </c>
      <c r="CK26" s="472" t="n">
        <v>0</v>
      </c>
      <c r="CL26" s="472" t="n">
        <v>0</v>
      </c>
      <c r="CM26" s="472" t="n">
        <v>188.46</v>
      </c>
      <c r="CN26" s="472" t="n">
        <v>0</v>
      </c>
    </row>
    <row r="27" ht="13.5" customHeight="1" s="253">
      <c r="A27" s="491" t="n">
        <v>45744</v>
      </c>
      <c r="B27" s="491" t="n">
        <v>45744</v>
      </c>
      <c r="C27" s="472" t="n">
        <v>2.29715200000014e+18</v>
      </c>
      <c r="D27" s="472" t="inlineStr">
        <is>
          <t>BHIVE Workspace</t>
        </is>
      </c>
      <c r="E27" s="472" t="n">
        <v>0</v>
      </c>
      <c r="F27" s="472" t="n">
        <v>0</v>
      </c>
      <c r="G27" s="472" t="inlineStr">
        <is>
          <t>Due on Receipt</t>
        </is>
      </c>
      <c r="H27" s="472" t="inlineStr">
        <is>
          <t>BHV/2425/10406</t>
        </is>
      </c>
      <c r="J27" s="472" t="inlineStr">
        <is>
          <t>INR</t>
        </is>
      </c>
      <c r="K27" s="472" t="n">
        <v>1</v>
      </c>
      <c r="L27" s="472" t="n">
        <v>1047</v>
      </c>
      <c r="M27" s="472" t="n">
        <v>1235.46</v>
      </c>
      <c r="N27" s="472" t="n">
        <v>1235.46</v>
      </c>
      <c r="R27" s="472" t="n">
        <v>0</v>
      </c>
      <c r="S27" s="472" t="inlineStr">
        <is>
          <t>Adjustment</t>
        </is>
      </c>
      <c r="T27" s="472">
        <f>FALSE()</f>
        <v/>
      </c>
      <c r="Y27" s="472" t="inlineStr">
        <is>
          <t>Overdue</t>
        </is>
      </c>
      <c r="Z27" s="472" t="inlineStr">
        <is>
          <t>ridhi25madan</t>
        </is>
      </c>
      <c r="AC27" s="472" t="inlineStr">
        <is>
          <t>Workspace Rent</t>
        </is>
      </c>
      <c r="AF27" s="472" t="n">
        <v>1</v>
      </c>
      <c r="AH27" s="472" t="n">
        <v>188.46</v>
      </c>
      <c r="AI27" s="472" t="n">
        <v>1047</v>
      </c>
      <c r="AJ27" s="472">
        <f>FALSE()</f>
        <v/>
      </c>
      <c r="AL27" s="472" t="inlineStr">
        <is>
          <t>KA</t>
        </is>
      </c>
      <c r="AM27" s="472" t="inlineStr">
        <is>
          <t>UP</t>
        </is>
      </c>
      <c r="AN27" s="472" t="inlineStr">
        <is>
          <t>business_gst</t>
        </is>
      </c>
      <c r="AO27" s="472" t="inlineStr">
        <is>
          <t>29AAFCT2273G1Z7</t>
        </is>
      </c>
      <c r="AP27" s="472" t="inlineStr">
        <is>
          <t>item_level</t>
        </is>
      </c>
      <c r="AS27" s="472" t="n">
        <v>0</v>
      </c>
      <c r="AV27" s="472" t="n">
        <v>0</v>
      </c>
      <c r="AZ27" s="472" t="n">
        <v>1047</v>
      </c>
      <c r="BA27" s="472" t="inlineStr">
        <is>
          <t>entity_level</t>
        </is>
      </c>
      <c r="BB27" s="472">
        <f>TRUE()</f>
        <v/>
      </c>
      <c r="BC27" s="472" t="n">
        <v>0</v>
      </c>
      <c r="BD27" s="472" t="n">
        <v>0</v>
      </c>
      <c r="BG27" s="472" t="n">
        <v>2.29715200000003e+18</v>
      </c>
      <c r="BH27" s="472" t="inlineStr">
        <is>
          <t>IGST18</t>
        </is>
      </c>
      <c r="BI27" s="472" t="n">
        <v>18</v>
      </c>
      <c r="BJ27" s="472" t="inlineStr">
        <is>
          <t>ItemAmount</t>
        </is>
      </c>
      <c r="BM27" s="472" t="n">
        <v>0</v>
      </c>
      <c r="BQ27" s="472" t="inlineStr">
        <is>
          <t>service</t>
        </is>
      </c>
      <c r="BV27" s="472" t="inlineStr">
        <is>
          <t>eligible</t>
        </is>
      </c>
      <c r="BW27" s="472" t="n">
        <v>0</v>
      </c>
      <c r="BZ27" s="472">
        <f>FALSE()</f>
        <v/>
      </c>
      <c r="CC27" s="472" t="n">
        <v>0</v>
      </c>
      <c r="CD27" s="472" t="n">
        <v>0</v>
      </c>
      <c r="CE27" s="472" t="n">
        <v>18</v>
      </c>
      <c r="CF27" s="472" t="n">
        <v>0</v>
      </c>
      <c r="CG27" s="472" t="n">
        <v>0</v>
      </c>
      <c r="CH27" s="472" t="n">
        <v>0</v>
      </c>
      <c r="CI27" s="472" t="n">
        <v>188.46</v>
      </c>
      <c r="CJ27" s="472" t="n">
        <v>0</v>
      </c>
      <c r="CK27" s="472" t="n">
        <v>0</v>
      </c>
      <c r="CL27" s="472" t="n">
        <v>0</v>
      </c>
      <c r="CM27" s="472" t="n">
        <v>188.46</v>
      </c>
      <c r="CN27" s="472" t="n">
        <v>0</v>
      </c>
    </row>
    <row r="28" ht="13.5" customHeight="1" s="253">
      <c r="A28" s="491" t="n">
        <v>45744</v>
      </c>
      <c r="B28" s="491" t="n">
        <v>45744</v>
      </c>
      <c r="C28" s="472" t="n">
        <v>2.29715200000014e+18</v>
      </c>
      <c r="D28" s="472" t="inlineStr">
        <is>
          <t>BHIVE Workspace</t>
        </is>
      </c>
      <c r="E28" s="472" t="n">
        <v>0</v>
      </c>
      <c r="F28" s="472" t="n">
        <v>0</v>
      </c>
      <c r="G28" s="472" t="inlineStr">
        <is>
          <t>Due on Receipt</t>
        </is>
      </c>
      <c r="H28" s="472" t="inlineStr">
        <is>
          <t>BHV/2425/10407</t>
        </is>
      </c>
      <c r="J28" s="472" t="inlineStr">
        <is>
          <t>INR</t>
        </is>
      </c>
      <c r="K28" s="472" t="n">
        <v>1</v>
      </c>
      <c r="L28" s="472" t="n">
        <v>1047</v>
      </c>
      <c r="M28" s="472" t="n">
        <v>1235.46</v>
      </c>
      <c r="N28" s="472" t="n">
        <v>1235.46</v>
      </c>
      <c r="R28" s="472" t="n">
        <v>0</v>
      </c>
      <c r="S28" s="472" t="inlineStr">
        <is>
          <t>Adjustment</t>
        </is>
      </c>
      <c r="T28" s="472">
        <f>FALSE()</f>
        <v/>
      </c>
      <c r="Y28" s="472" t="inlineStr">
        <is>
          <t>Overdue</t>
        </is>
      </c>
      <c r="Z28" s="472" t="inlineStr">
        <is>
          <t>ridhi25madan</t>
        </is>
      </c>
      <c r="AC28" s="472" t="inlineStr">
        <is>
          <t>IT and Internet Expenses</t>
        </is>
      </c>
      <c r="AF28" s="472" t="n">
        <v>1</v>
      </c>
      <c r="AH28" s="472" t="n">
        <v>188.46</v>
      </c>
      <c r="AI28" s="472" t="n">
        <v>1047</v>
      </c>
      <c r="AJ28" s="472">
        <f>FALSE()</f>
        <v/>
      </c>
      <c r="AL28" s="472" t="inlineStr">
        <is>
          <t>KA</t>
        </is>
      </c>
      <c r="AM28" s="472" t="inlineStr">
        <is>
          <t>UP</t>
        </is>
      </c>
      <c r="AN28" s="472" t="inlineStr">
        <is>
          <t>business_gst</t>
        </is>
      </c>
      <c r="AO28" s="472" t="inlineStr">
        <is>
          <t>29AAFCT2273G1Z7</t>
        </is>
      </c>
      <c r="AP28" s="472" t="inlineStr">
        <is>
          <t>item_level</t>
        </is>
      </c>
      <c r="AS28" s="472" t="n">
        <v>0</v>
      </c>
      <c r="AV28" s="472" t="n">
        <v>0</v>
      </c>
      <c r="AZ28" s="472" t="n">
        <v>1047</v>
      </c>
      <c r="BA28" s="472" t="inlineStr">
        <is>
          <t>entity_level</t>
        </is>
      </c>
      <c r="BB28" s="472">
        <f>TRUE()</f>
        <v/>
      </c>
      <c r="BC28" s="472" t="n">
        <v>0</v>
      </c>
      <c r="BD28" s="472" t="n">
        <v>0</v>
      </c>
      <c r="BG28" s="472" t="n">
        <v>2.29715200000003e+18</v>
      </c>
      <c r="BH28" s="472" t="inlineStr">
        <is>
          <t>IGST18</t>
        </is>
      </c>
      <c r="BI28" s="472" t="n">
        <v>18</v>
      </c>
      <c r="BJ28" s="472" t="inlineStr">
        <is>
          <t>ItemAmount</t>
        </is>
      </c>
      <c r="BM28" s="472" t="n">
        <v>0</v>
      </c>
      <c r="BQ28" s="472" t="inlineStr">
        <is>
          <t>service</t>
        </is>
      </c>
      <c r="BV28" s="472" t="inlineStr">
        <is>
          <t>eligible</t>
        </is>
      </c>
      <c r="BW28" s="472" t="n">
        <v>0</v>
      </c>
      <c r="BZ28" s="472">
        <f>FALSE()</f>
        <v/>
      </c>
      <c r="CC28" s="472" t="n">
        <v>0</v>
      </c>
      <c r="CD28" s="472" t="n">
        <v>0</v>
      </c>
      <c r="CE28" s="472" t="n">
        <v>18</v>
      </c>
      <c r="CF28" s="472" t="n">
        <v>0</v>
      </c>
      <c r="CG28" s="472" t="n">
        <v>0</v>
      </c>
      <c r="CH28" s="472" t="n">
        <v>0</v>
      </c>
      <c r="CI28" s="472" t="n">
        <v>188.46</v>
      </c>
      <c r="CJ28" s="472" t="n">
        <v>0</v>
      </c>
      <c r="CK28" s="472" t="n">
        <v>0</v>
      </c>
      <c r="CL28" s="472" t="n">
        <v>0</v>
      </c>
      <c r="CM28" s="472" t="n">
        <v>188.46</v>
      </c>
      <c r="CN28" s="472" t="n">
        <v>0</v>
      </c>
    </row>
    <row r="29" ht="13.5" customHeight="1" s="253">
      <c r="A29" s="491" t="n">
        <v>45747</v>
      </c>
      <c r="B29" s="491" t="n">
        <v>45747</v>
      </c>
      <c r="C29" s="472" t="n">
        <v>2.29715200000014e+18</v>
      </c>
      <c r="D29" s="472" t="inlineStr">
        <is>
          <t>BHIVE Workspace</t>
        </is>
      </c>
      <c r="E29" s="472" t="n">
        <v>0</v>
      </c>
      <c r="F29" s="472" t="n">
        <v>0</v>
      </c>
      <c r="G29" s="472" t="inlineStr">
        <is>
          <t>Due on Receipt</t>
        </is>
      </c>
      <c r="H29" s="472" t="inlineStr">
        <is>
          <t>BHV/2425/10445</t>
        </is>
      </c>
      <c r="J29" s="472" t="inlineStr">
        <is>
          <t>INR</t>
        </is>
      </c>
      <c r="K29" s="472" t="n">
        <v>1</v>
      </c>
      <c r="L29" s="472" t="n">
        <v>1047</v>
      </c>
      <c r="M29" s="472" t="n">
        <v>1235.46</v>
      </c>
      <c r="N29" s="472" t="n">
        <v>1235.46</v>
      </c>
      <c r="R29" s="472" t="n">
        <v>0</v>
      </c>
      <c r="S29" s="472" t="inlineStr">
        <is>
          <t>Adjustment</t>
        </is>
      </c>
      <c r="T29" s="472">
        <f>FALSE()</f>
        <v/>
      </c>
      <c r="Y29" s="472" t="inlineStr">
        <is>
          <t>Overdue</t>
        </is>
      </c>
      <c r="Z29" s="472" t="inlineStr">
        <is>
          <t>ridhi25madan</t>
        </is>
      </c>
      <c r="AC29" s="472" t="inlineStr">
        <is>
          <t>Workspace Rent</t>
        </is>
      </c>
      <c r="AF29" s="472" t="n">
        <v>1</v>
      </c>
      <c r="AH29" s="472" t="n">
        <v>188.46</v>
      </c>
      <c r="AI29" s="472" t="n">
        <v>1047</v>
      </c>
      <c r="AJ29" s="472">
        <f>FALSE()</f>
        <v/>
      </c>
      <c r="AL29" s="472" t="inlineStr">
        <is>
          <t>KA</t>
        </is>
      </c>
      <c r="AM29" s="472" t="inlineStr">
        <is>
          <t>UP</t>
        </is>
      </c>
      <c r="AN29" s="472" t="inlineStr">
        <is>
          <t>business_gst</t>
        </is>
      </c>
      <c r="AO29" s="472" t="inlineStr">
        <is>
          <t>29AAFCT2273G1Z7</t>
        </is>
      </c>
      <c r="AP29" s="472" t="inlineStr">
        <is>
          <t>item_level</t>
        </is>
      </c>
      <c r="AS29" s="472" t="n">
        <v>0</v>
      </c>
      <c r="AV29" s="472" t="n">
        <v>0</v>
      </c>
      <c r="AZ29" s="472" t="n">
        <v>1047</v>
      </c>
      <c r="BA29" s="472" t="inlineStr">
        <is>
          <t>entity_level</t>
        </is>
      </c>
      <c r="BB29" s="472">
        <f>TRUE()</f>
        <v/>
      </c>
      <c r="BC29" s="472" t="n">
        <v>0</v>
      </c>
      <c r="BD29" s="472" t="n">
        <v>0</v>
      </c>
      <c r="BG29" s="472" t="n">
        <v>2.29715200000003e+18</v>
      </c>
      <c r="BH29" s="472" t="inlineStr">
        <is>
          <t>IGST18</t>
        </is>
      </c>
      <c r="BI29" s="472" t="n">
        <v>18</v>
      </c>
      <c r="BJ29" s="472" t="inlineStr">
        <is>
          <t>ItemAmount</t>
        </is>
      </c>
      <c r="BM29" s="472" t="n">
        <v>0</v>
      </c>
      <c r="BQ29" s="472" t="inlineStr">
        <is>
          <t>service</t>
        </is>
      </c>
      <c r="BV29" s="472" t="inlineStr">
        <is>
          <t>eligible</t>
        </is>
      </c>
      <c r="BW29" s="472" t="n">
        <v>0</v>
      </c>
      <c r="BZ29" s="472">
        <f>FALSE()</f>
        <v/>
      </c>
      <c r="CC29" s="472" t="n">
        <v>0</v>
      </c>
      <c r="CD29" s="472" t="n">
        <v>0</v>
      </c>
      <c r="CE29" s="472" t="n">
        <v>18</v>
      </c>
      <c r="CF29" s="472" t="n">
        <v>0</v>
      </c>
      <c r="CG29" s="472" t="n">
        <v>0</v>
      </c>
      <c r="CH29" s="472" t="n">
        <v>0</v>
      </c>
      <c r="CI29" s="472" t="n">
        <v>188.46</v>
      </c>
      <c r="CJ29" s="472" t="n">
        <v>0</v>
      </c>
      <c r="CK29" s="472" t="n">
        <v>0</v>
      </c>
      <c r="CL29" s="472" t="n">
        <v>0</v>
      </c>
      <c r="CM29" s="472" t="n">
        <v>188.46</v>
      </c>
      <c r="CN29" s="472" t="n">
        <v>0</v>
      </c>
    </row>
    <row r="30" ht="13.5" customHeight="1" s="253">
      <c r="A30" s="491" t="n">
        <v>45747</v>
      </c>
      <c r="B30" s="491" t="n">
        <v>45747</v>
      </c>
      <c r="C30" s="472" t="n">
        <v>2.29715200000014e+18</v>
      </c>
      <c r="D30" s="472" t="inlineStr">
        <is>
          <t>RAZORPAY SOFTWARE PVT LTD(Sales Platform)</t>
        </is>
      </c>
      <c r="E30" s="472" t="n">
        <v>0</v>
      </c>
      <c r="F30" s="472" t="n">
        <v>0</v>
      </c>
      <c r="G30" s="472" t="inlineStr">
        <is>
          <t>Due on Receipt</t>
        </is>
      </c>
      <c r="H30" s="472" t="inlineStr">
        <is>
          <t>NAHGTQ81YYWY0325</t>
        </is>
      </c>
      <c r="J30" s="472" t="inlineStr">
        <is>
          <t>INR</t>
        </is>
      </c>
      <c r="K30" s="472" t="n">
        <v>1</v>
      </c>
      <c r="L30" s="472" t="n">
        <v>4861.23</v>
      </c>
      <c r="M30" s="472" t="n">
        <v>5736.25</v>
      </c>
      <c r="N30" s="472" t="n">
        <v>0</v>
      </c>
      <c r="R30" s="472" t="n">
        <v>0</v>
      </c>
      <c r="S30" s="472" t="inlineStr">
        <is>
          <t>Adjustment</t>
        </is>
      </c>
      <c r="T30" s="472">
        <f>FALSE()</f>
        <v/>
      </c>
      <c r="Y30" s="472" t="inlineStr">
        <is>
          <t>Paid</t>
        </is>
      </c>
      <c r="Z30" s="472" t="inlineStr">
        <is>
          <t>ridhi25madan</t>
        </is>
      </c>
      <c r="AC30" s="472" t="inlineStr">
        <is>
          <t>Platform Charges</t>
        </is>
      </c>
      <c r="AF30" s="472" t="n">
        <v>1</v>
      </c>
      <c r="AH30" s="472" t="n">
        <v>875.02</v>
      </c>
      <c r="AI30" s="472" t="n">
        <v>4861.23</v>
      </c>
      <c r="AJ30" s="472">
        <f>FALSE()</f>
        <v/>
      </c>
      <c r="AL30" s="472" t="inlineStr">
        <is>
          <t>KA</t>
        </is>
      </c>
      <c r="AM30" s="472" t="inlineStr">
        <is>
          <t>UP</t>
        </is>
      </c>
      <c r="AN30" s="472" t="inlineStr">
        <is>
          <t>business_gst</t>
        </is>
      </c>
      <c r="AO30" s="472" t="inlineStr">
        <is>
          <t>29AAGCR4375J1ZU</t>
        </is>
      </c>
      <c r="AP30" s="472" t="inlineStr">
        <is>
          <t>item_level</t>
        </is>
      </c>
      <c r="AS30" s="472" t="n">
        <v>0</v>
      </c>
      <c r="AV30" s="472" t="n">
        <v>0</v>
      </c>
      <c r="AZ30" s="472" t="n">
        <v>4861.23</v>
      </c>
      <c r="BA30" s="472" t="inlineStr">
        <is>
          <t>entity_level</t>
        </is>
      </c>
      <c r="BB30" s="472">
        <f>TRUE()</f>
        <v/>
      </c>
      <c r="BC30" s="472" t="n">
        <v>0</v>
      </c>
      <c r="BD30" s="472" t="n">
        <v>0</v>
      </c>
      <c r="BG30" s="472" t="n">
        <v>2.29715200000003e+18</v>
      </c>
      <c r="BH30" s="472" t="inlineStr">
        <is>
          <t>IGST18</t>
        </is>
      </c>
      <c r="BI30" s="472" t="n">
        <v>18</v>
      </c>
      <c r="BJ30" s="472" t="inlineStr">
        <is>
          <t>ItemAmount</t>
        </is>
      </c>
      <c r="BM30" s="472" t="n">
        <v>0</v>
      </c>
      <c r="BQ30" s="472" t="inlineStr">
        <is>
          <t>service</t>
        </is>
      </c>
      <c r="BV30" s="472" t="inlineStr">
        <is>
          <t>eligible</t>
        </is>
      </c>
      <c r="BW30" s="472" t="n">
        <v>0</v>
      </c>
      <c r="BZ30" s="472">
        <f>FALSE()</f>
        <v/>
      </c>
      <c r="CC30" s="472" t="n">
        <v>0</v>
      </c>
      <c r="CD30" s="472" t="n">
        <v>0</v>
      </c>
      <c r="CE30" s="472" t="n">
        <v>18</v>
      </c>
      <c r="CF30" s="472" t="n">
        <v>0</v>
      </c>
      <c r="CG30" s="472" t="n">
        <v>0</v>
      </c>
      <c r="CH30" s="472" t="n">
        <v>0</v>
      </c>
      <c r="CI30" s="472" t="n">
        <v>875.02</v>
      </c>
      <c r="CJ30" s="472" t="n">
        <v>0</v>
      </c>
      <c r="CK30" s="472" t="n">
        <v>0</v>
      </c>
      <c r="CL30" s="472" t="n">
        <v>0</v>
      </c>
      <c r="CM30" s="472" t="n">
        <v>875.02</v>
      </c>
      <c r="CN30" s="472" t="n">
        <v>0</v>
      </c>
    </row>
    <row r="31" ht="13.5" customHeight="1" s="253">
      <c r="A31" s="492" t="n">
        <v>45750</v>
      </c>
      <c r="B31" s="491" t="n">
        <v>45750</v>
      </c>
      <c r="C31" s="472" t="n">
        <v>2.29715200000014e+18</v>
      </c>
      <c r="D31" s="490" t="inlineStr">
        <is>
          <t>Riversys Technologies Pvt Ltd(SCRUT AUTOMATION)</t>
        </is>
      </c>
      <c r="E31" s="472" t="n">
        <v>0</v>
      </c>
      <c r="F31" s="472" t="n">
        <v>0</v>
      </c>
      <c r="G31" s="472" t="inlineStr">
        <is>
          <t>Due on Receipt</t>
        </is>
      </c>
      <c r="H31" s="472" t="inlineStr">
        <is>
          <t>INV-2526-0021</t>
        </is>
      </c>
      <c r="J31" s="472" t="inlineStr">
        <is>
          <t>INR</t>
        </is>
      </c>
      <c r="K31" s="472" t="n">
        <v>1</v>
      </c>
      <c r="L31" s="490" t="n">
        <v>256100</v>
      </c>
      <c r="M31" s="472" t="n">
        <v>297076</v>
      </c>
      <c r="N31" s="472" t="n">
        <v>0</v>
      </c>
      <c r="R31" s="472" t="n">
        <v>0</v>
      </c>
      <c r="S31" s="472" t="inlineStr">
        <is>
          <t>Adjustment</t>
        </is>
      </c>
      <c r="T31" s="472">
        <f>FALSE()</f>
        <v/>
      </c>
      <c r="Y31" s="472" t="inlineStr">
        <is>
          <t>Paid</t>
        </is>
      </c>
      <c r="Z31" s="472" t="inlineStr">
        <is>
          <t>ridhi25madan</t>
        </is>
      </c>
      <c r="AC31" s="490" t="inlineStr">
        <is>
          <t>Security &amp; Certification Charges</t>
        </is>
      </c>
      <c r="AE31" s="472" t="inlineStr">
        <is>
          <t>Security &amp; certificate charges</t>
        </is>
      </c>
      <c r="AF31" s="472" t="n">
        <v>1</v>
      </c>
      <c r="AH31" s="472" t="n">
        <v>46098</v>
      </c>
      <c r="AI31" s="472" t="n">
        <v>256100</v>
      </c>
      <c r="AJ31" s="472">
        <f>FALSE()</f>
        <v/>
      </c>
      <c r="AL31" s="472" t="inlineStr">
        <is>
          <t>KA</t>
        </is>
      </c>
      <c r="AM31" s="472" t="inlineStr">
        <is>
          <t>UP</t>
        </is>
      </c>
      <c r="AN31" s="472" t="inlineStr">
        <is>
          <t>business_gst</t>
        </is>
      </c>
      <c r="AO31" s="472" t="inlineStr">
        <is>
          <t>29AAKCR1346R1ZL</t>
        </is>
      </c>
      <c r="AP31" s="472" t="inlineStr">
        <is>
          <t>entity_level</t>
        </is>
      </c>
      <c r="AQ31" s="472" t="n">
        <v>2.29715200000003e+18</v>
      </c>
      <c r="AR31" s="472" t="inlineStr">
        <is>
          <t>Technical Fees (2%)</t>
        </is>
      </c>
      <c r="AS31" s="472" t="n">
        <v>2</v>
      </c>
      <c r="AT31" s="472" t="inlineStr">
        <is>
          <t>194J</t>
        </is>
      </c>
      <c r="AU31" s="472" t="inlineStr">
        <is>
          <t>Section 194 J</t>
        </is>
      </c>
      <c r="AV31" s="472" t="n">
        <v>5122</v>
      </c>
      <c r="AZ31" s="472" t="n">
        <v>256100</v>
      </c>
      <c r="BA31" s="472" t="inlineStr">
        <is>
          <t>entity_level</t>
        </is>
      </c>
      <c r="BB31" s="472">
        <f>TRUE()</f>
        <v/>
      </c>
      <c r="BC31" s="472" t="n">
        <v>0</v>
      </c>
      <c r="BD31" s="472" t="n">
        <v>0</v>
      </c>
      <c r="BG31" s="472" t="n">
        <v>2.29715200000003e+18</v>
      </c>
      <c r="BH31" s="472" t="inlineStr">
        <is>
          <t>IGST18</t>
        </is>
      </c>
      <c r="BI31" s="472" t="n">
        <v>18</v>
      </c>
      <c r="BJ31" s="472" t="inlineStr">
        <is>
          <t>ItemAmount</t>
        </is>
      </c>
      <c r="BQ31" s="472" t="inlineStr">
        <is>
          <t>service</t>
        </is>
      </c>
      <c r="BV31" s="472" t="inlineStr">
        <is>
          <t>eligible</t>
        </is>
      </c>
      <c r="BW31" s="472" t="n">
        <v>0</v>
      </c>
      <c r="BZ31" s="472">
        <f>FALSE()</f>
        <v/>
      </c>
      <c r="CC31" s="472" t="n">
        <v>0</v>
      </c>
      <c r="CD31" s="472" t="n">
        <v>0</v>
      </c>
      <c r="CE31" s="472" t="n">
        <v>18</v>
      </c>
      <c r="CF31" s="472" t="n">
        <v>0</v>
      </c>
      <c r="CG31" s="472" t="n">
        <v>0</v>
      </c>
      <c r="CH31" s="472" t="n">
        <v>0</v>
      </c>
      <c r="CI31" s="472" t="n">
        <v>46098</v>
      </c>
      <c r="CJ31" s="472" t="n">
        <v>0</v>
      </c>
      <c r="CK31" s="472" t="n">
        <v>0</v>
      </c>
      <c r="CL31" s="472" t="n">
        <v>0</v>
      </c>
      <c r="CM31" s="472" t="n">
        <v>46098</v>
      </c>
      <c r="CN31" s="472" t="n">
        <v>0</v>
      </c>
    </row>
    <row r="32" ht="13.5" customHeight="1" s="253">
      <c r="A32" s="492" t="n">
        <v>45763</v>
      </c>
      <c r="B32" s="491" t="n">
        <v>45763</v>
      </c>
      <c r="C32" s="472" t="n">
        <v>2.29715200000014e+18</v>
      </c>
      <c r="D32" s="490" t="inlineStr">
        <is>
          <t>Riversys Technologies Pvt Ltd(SCRUT AUTOMATION)</t>
        </is>
      </c>
      <c r="E32" s="472" t="n">
        <v>0</v>
      </c>
      <c r="F32" s="472" t="n">
        <v>0</v>
      </c>
      <c r="G32" s="472" t="inlineStr">
        <is>
          <t>Due on Receipt</t>
        </is>
      </c>
      <c r="H32" s="472" t="inlineStr">
        <is>
          <t>INV-2526-0110</t>
        </is>
      </c>
      <c r="J32" s="472" t="inlineStr">
        <is>
          <t>INR</t>
        </is>
      </c>
      <c r="K32" s="472" t="n">
        <v>1</v>
      </c>
      <c r="L32" s="490" t="n">
        <v>128450</v>
      </c>
      <c r="M32" s="472" t="n">
        <v>149002</v>
      </c>
      <c r="N32" s="472" t="n">
        <v>149002</v>
      </c>
      <c r="R32" s="472" t="n">
        <v>0</v>
      </c>
      <c r="S32" s="472" t="inlineStr">
        <is>
          <t>Adjustment</t>
        </is>
      </c>
      <c r="T32" s="472">
        <f>FALSE()</f>
        <v/>
      </c>
      <c r="Y32" s="472" t="inlineStr">
        <is>
          <t>Overdue</t>
        </is>
      </c>
      <c r="Z32" s="472" t="inlineStr">
        <is>
          <t>ridhi25madan</t>
        </is>
      </c>
      <c r="AC32" s="490" t="inlineStr">
        <is>
          <t>Security &amp; Certification Charges</t>
        </is>
      </c>
      <c r="AE32" s="472" t="inlineStr">
        <is>
          <t>Security &amp; certificate charges</t>
        </is>
      </c>
      <c r="AF32" s="472" t="n">
        <v>1</v>
      </c>
      <c r="AH32" s="472" t="n">
        <v>23121</v>
      </c>
      <c r="AI32" s="472" t="n">
        <v>128450</v>
      </c>
      <c r="AJ32" s="472">
        <f>FALSE()</f>
        <v/>
      </c>
      <c r="AL32" s="472" t="inlineStr">
        <is>
          <t>KA</t>
        </is>
      </c>
      <c r="AM32" s="472" t="inlineStr">
        <is>
          <t>UP</t>
        </is>
      </c>
      <c r="AN32" s="472" t="inlineStr">
        <is>
          <t>business_gst</t>
        </is>
      </c>
      <c r="AO32" s="472" t="inlineStr">
        <is>
          <t>29AAKCR1346R1ZL</t>
        </is>
      </c>
      <c r="AP32" s="472" t="inlineStr">
        <is>
          <t>entity_level</t>
        </is>
      </c>
      <c r="AQ32" s="472" t="n">
        <v>2.29715200000003e+18</v>
      </c>
      <c r="AR32" s="472" t="inlineStr">
        <is>
          <t>Technical Fees (2%)</t>
        </is>
      </c>
      <c r="AS32" s="472" t="n">
        <v>2</v>
      </c>
      <c r="AT32" s="472" t="inlineStr">
        <is>
          <t>194J</t>
        </is>
      </c>
      <c r="AU32" s="472" t="inlineStr">
        <is>
          <t>Section 194 J</t>
        </is>
      </c>
      <c r="AV32" s="472" t="n">
        <v>2569</v>
      </c>
      <c r="AZ32" s="472" t="n">
        <v>128450</v>
      </c>
      <c r="BA32" s="472" t="inlineStr">
        <is>
          <t>entity_level</t>
        </is>
      </c>
      <c r="BB32" s="472">
        <f>TRUE()</f>
        <v/>
      </c>
      <c r="BC32" s="472" t="n">
        <v>0</v>
      </c>
      <c r="BD32" s="472" t="n">
        <v>0</v>
      </c>
      <c r="BG32" s="472" t="n">
        <v>2.29715200000003e+18</v>
      </c>
      <c r="BH32" s="472" t="inlineStr">
        <is>
          <t>IGST18</t>
        </is>
      </c>
      <c r="BI32" s="472" t="n">
        <v>18</v>
      </c>
      <c r="BJ32" s="472" t="inlineStr">
        <is>
          <t>ItemAmount</t>
        </is>
      </c>
      <c r="BQ32" s="472" t="inlineStr">
        <is>
          <t>service</t>
        </is>
      </c>
      <c r="BV32" s="472" t="inlineStr">
        <is>
          <t>eligible</t>
        </is>
      </c>
      <c r="BW32" s="472" t="n">
        <v>0</v>
      </c>
      <c r="BZ32" s="472">
        <f>FALSE()</f>
        <v/>
      </c>
      <c r="CC32" s="472" t="n">
        <v>0</v>
      </c>
      <c r="CD32" s="472" t="n">
        <v>0</v>
      </c>
      <c r="CE32" s="472" t="n">
        <v>18</v>
      </c>
      <c r="CF32" s="472" t="n">
        <v>0</v>
      </c>
      <c r="CG32" s="472" t="n">
        <v>0</v>
      </c>
      <c r="CH32" s="472" t="n">
        <v>0</v>
      </c>
      <c r="CI32" s="472" t="n">
        <v>23121</v>
      </c>
      <c r="CJ32" s="472" t="n">
        <v>0</v>
      </c>
      <c r="CK32" s="472" t="n">
        <v>0</v>
      </c>
      <c r="CL32" s="472" t="n">
        <v>0</v>
      </c>
      <c r="CM32" s="472" t="n">
        <v>23121</v>
      </c>
      <c r="CN32" s="472" t="n">
        <v>0</v>
      </c>
    </row>
    <row r="33" ht="13.5" customHeight="1" s="253">
      <c r="A33" s="492" t="n">
        <v>45751</v>
      </c>
      <c r="B33" s="491" t="n">
        <v>45751</v>
      </c>
      <c r="C33" s="472" t="n">
        <v>2.29715200000014e+18</v>
      </c>
      <c r="D33" s="490" t="inlineStr">
        <is>
          <t>BHIVE Workspace</t>
        </is>
      </c>
      <c r="E33" s="472" t="n">
        <v>0</v>
      </c>
      <c r="F33" s="472" t="n">
        <v>0</v>
      </c>
      <c r="G33" s="472" t="inlineStr">
        <is>
          <t>Due on Receipt</t>
        </is>
      </c>
      <c r="H33" s="472" t="inlineStr">
        <is>
          <t>BHV/25-26/00584</t>
        </is>
      </c>
      <c r="J33" s="472" t="inlineStr">
        <is>
          <t>INR</t>
        </is>
      </c>
      <c r="K33" s="472" t="n">
        <v>1</v>
      </c>
      <c r="L33" s="490" t="n">
        <v>698</v>
      </c>
      <c r="M33" s="472" t="n">
        <v>823.64</v>
      </c>
      <c r="N33" s="472" t="n">
        <v>823.64</v>
      </c>
      <c r="R33" s="472" t="n">
        <v>0</v>
      </c>
      <c r="S33" s="472" t="inlineStr">
        <is>
          <t>Adjustment</t>
        </is>
      </c>
      <c r="T33" s="472">
        <f>FALSE()</f>
        <v/>
      </c>
      <c r="Y33" s="472" t="inlineStr">
        <is>
          <t>Overdue</t>
        </is>
      </c>
      <c r="Z33" s="472" t="inlineStr">
        <is>
          <t>ridhi25madan</t>
        </is>
      </c>
      <c r="AC33" s="490" t="inlineStr">
        <is>
          <t>Workspace Rent</t>
        </is>
      </c>
      <c r="AF33" s="472" t="n">
        <v>1</v>
      </c>
      <c r="AH33" s="472" t="n">
        <v>125.64</v>
      </c>
      <c r="AI33" s="472" t="n">
        <v>698</v>
      </c>
      <c r="AJ33" s="472">
        <f>FALSE()</f>
        <v/>
      </c>
      <c r="AL33" s="472" t="inlineStr">
        <is>
          <t>KA</t>
        </is>
      </c>
      <c r="AM33" s="472" t="inlineStr">
        <is>
          <t>UP</t>
        </is>
      </c>
      <c r="AN33" s="472" t="inlineStr">
        <is>
          <t>business_gst</t>
        </is>
      </c>
      <c r="AO33" s="472" t="inlineStr">
        <is>
          <t>29AAFCT2273G1Z7</t>
        </is>
      </c>
      <c r="AP33" s="472" t="inlineStr">
        <is>
          <t>item_level</t>
        </is>
      </c>
      <c r="AS33" s="472" t="n">
        <v>0</v>
      </c>
      <c r="AV33" s="472" t="n">
        <v>0</v>
      </c>
      <c r="AZ33" s="472" t="n">
        <v>698</v>
      </c>
      <c r="BA33" s="472" t="inlineStr">
        <is>
          <t>entity_level</t>
        </is>
      </c>
      <c r="BB33" s="472">
        <f>TRUE()</f>
        <v/>
      </c>
      <c r="BC33" s="472" t="n">
        <v>0</v>
      </c>
      <c r="BD33" s="472" t="n">
        <v>0</v>
      </c>
      <c r="BG33" s="472" t="n">
        <v>2.29715200000003e+18</v>
      </c>
      <c r="BH33" s="472" t="inlineStr">
        <is>
          <t>IGST18</t>
        </is>
      </c>
      <c r="BI33" s="472" t="n">
        <v>18</v>
      </c>
      <c r="BJ33" s="472" t="inlineStr">
        <is>
          <t>ItemAmount</t>
        </is>
      </c>
      <c r="BM33" s="472" t="n">
        <v>0</v>
      </c>
      <c r="BQ33" s="472" t="inlineStr">
        <is>
          <t>service</t>
        </is>
      </c>
      <c r="BV33" s="472" t="inlineStr">
        <is>
          <t>eligible</t>
        </is>
      </c>
      <c r="BW33" s="472" t="n">
        <v>0</v>
      </c>
      <c r="BZ33" s="472">
        <f>FALSE()</f>
        <v/>
      </c>
      <c r="CC33" s="472" t="n">
        <v>0</v>
      </c>
      <c r="CD33" s="472" t="n">
        <v>0</v>
      </c>
      <c r="CE33" s="472" t="n">
        <v>18</v>
      </c>
      <c r="CF33" s="472" t="n">
        <v>0</v>
      </c>
      <c r="CG33" s="472" t="n">
        <v>0</v>
      </c>
      <c r="CH33" s="472" t="n">
        <v>0</v>
      </c>
      <c r="CI33" s="472" t="n">
        <v>125.64</v>
      </c>
      <c r="CJ33" s="472" t="n">
        <v>0</v>
      </c>
      <c r="CK33" s="472" t="n">
        <v>0</v>
      </c>
      <c r="CL33" s="472" t="n">
        <v>0</v>
      </c>
      <c r="CM33" s="472" t="n">
        <v>125.64</v>
      </c>
      <c r="CN33" s="472" t="n">
        <v>0</v>
      </c>
    </row>
    <row r="34" ht="13.5" customHeight="1" s="253">
      <c r="A34" s="492" t="n">
        <v>45754</v>
      </c>
      <c r="B34" s="491" t="n">
        <v>45754</v>
      </c>
      <c r="C34" s="472" t="n">
        <v>2.29715200000014e+18</v>
      </c>
      <c r="D34" s="490" t="inlineStr">
        <is>
          <t>BHIVE Workspace</t>
        </is>
      </c>
      <c r="E34" s="472" t="n">
        <v>0</v>
      </c>
      <c r="F34" s="472" t="n">
        <v>0</v>
      </c>
      <c r="G34" s="472" t="inlineStr">
        <is>
          <t>Due on Receipt</t>
        </is>
      </c>
      <c r="H34" s="472" t="inlineStr">
        <is>
          <t>BHV/25-26/00630</t>
        </is>
      </c>
      <c r="J34" s="472" t="inlineStr">
        <is>
          <t>INR</t>
        </is>
      </c>
      <c r="K34" s="472" t="n">
        <v>1</v>
      </c>
      <c r="L34" s="490" t="n">
        <v>1047</v>
      </c>
      <c r="M34" s="472" t="n">
        <v>1235.46</v>
      </c>
      <c r="N34" s="472" t="n">
        <v>1235.46</v>
      </c>
      <c r="R34" s="472" t="n">
        <v>0</v>
      </c>
      <c r="S34" s="472" t="inlineStr">
        <is>
          <t>Adjustment</t>
        </is>
      </c>
      <c r="T34" s="472">
        <f>FALSE()</f>
        <v/>
      </c>
      <c r="Y34" s="472" t="inlineStr">
        <is>
          <t>Overdue</t>
        </is>
      </c>
      <c r="Z34" s="472" t="inlineStr">
        <is>
          <t>ridhi25madan</t>
        </is>
      </c>
      <c r="AC34" s="490" t="inlineStr">
        <is>
          <t>Workspace Rent</t>
        </is>
      </c>
      <c r="AF34" s="472" t="n">
        <v>1</v>
      </c>
      <c r="AH34" s="472" t="n">
        <v>188.46</v>
      </c>
      <c r="AI34" s="472" t="n">
        <v>1047</v>
      </c>
      <c r="AJ34" s="472">
        <f>FALSE()</f>
        <v/>
      </c>
      <c r="AL34" s="472" t="inlineStr">
        <is>
          <t>KA</t>
        </is>
      </c>
      <c r="AM34" s="472" t="inlineStr">
        <is>
          <t>UP</t>
        </is>
      </c>
      <c r="AN34" s="472" t="inlineStr">
        <is>
          <t>business_gst</t>
        </is>
      </c>
      <c r="AO34" s="472" t="inlineStr">
        <is>
          <t>29AAFCT2273G1Z7</t>
        </is>
      </c>
      <c r="AP34" s="472" t="inlineStr">
        <is>
          <t>item_level</t>
        </is>
      </c>
      <c r="AS34" s="472" t="n">
        <v>0</v>
      </c>
      <c r="AV34" s="472" t="n">
        <v>0</v>
      </c>
      <c r="AZ34" s="472" t="n">
        <v>1047</v>
      </c>
      <c r="BA34" s="472" t="inlineStr">
        <is>
          <t>entity_level</t>
        </is>
      </c>
      <c r="BB34" s="472">
        <f>TRUE()</f>
        <v/>
      </c>
      <c r="BC34" s="472" t="n">
        <v>0</v>
      </c>
      <c r="BD34" s="472" t="n">
        <v>0</v>
      </c>
      <c r="BG34" s="472" t="n">
        <v>2.29715200000003e+18</v>
      </c>
      <c r="BH34" s="472" t="inlineStr">
        <is>
          <t>IGST18</t>
        </is>
      </c>
      <c r="BI34" s="472" t="n">
        <v>18</v>
      </c>
      <c r="BJ34" s="472" t="inlineStr">
        <is>
          <t>ItemAmount</t>
        </is>
      </c>
      <c r="BM34" s="472" t="n">
        <v>0</v>
      </c>
      <c r="BQ34" s="472" t="inlineStr">
        <is>
          <t>service</t>
        </is>
      </c>
      <c r="BV34" s="472" t="inlineStr">
        <is>
          <t>eligible</t>
        </is>
      </c>
      <c r="BW34" s="472" t="n">
        <v>0</v>
      </c>
      <c r="BZ34" s="472">
        <f>FALSE()</f>
        <v/>
      </c>
      <c r="CC34" s="472" t="n">
        <v>0</v>
      </c>
      <c r="CD34" s="472" t="n">
        <v>0</v>
      </c>
      <c r="CE34" s="472" t="n">
        <v>18</v>
      </c>
      <c r="CF34" s="472" t="n">
        <v>0</v>
      </c>
      <c r="CG34" s="472" t="n">
        <v>0</v>
      </c>
      <c r="CH34" s="472" t="n">
        <v>0</v>
      </c>
      <c r="CI34" s="472" t="n">
        <v>188.46</v>
      </c>
      <c r="CJ34" s="472" t="n">
        <v>0</v>
      </c>
      <c r="CK34" s="472" t="n">
        <v>0</v>
      </c>
      <c r="CL34" s="472" t="n">
        <v>0</v>
      </c>
      <c r="CM34" s="472" t="n">
        <v>188.46</v>
      </c>
      <c r="CN34" s="472" t="n">
        <v>0</v>
      </c>
    </row>
    <row r="35" ht="13.5" customHeight="1" s="253">
      <c r="A35" s="492" t="n">
        <v>45758</v>
      </c>
      <c r="B35" s="491" t="n">
        <v>45758</v>
      </c>
      <c r="C35" s="472" t="n">
        <v>2.29715200000014e+18</v>
      </c>
      <c r="D35" s="490" t="inlineStr">
        <is>
          <t>BHIVE Workspace</t>
        </is>
      </c>
      <c r="E35" s="472" t="n">
        <v>0</v>
      </c>
      <c r="F35" s="472" t="n">
        <v>0</v>
      </c>
      <c r="G35" s="472" t="inlineStr">
        <is>
          <t>Due on Receipt</t>
        </is>
      </c>
      <c r="H35" s="472" t="inlineStr">
        <is>
          <t>BHV/25-26/00873</t>
        </is>
      </c>
      <c r="J35" s="472" t="inlineStr">
        <is>
          <t>INR</t>
        </is>
      </c>
      <c r="K35" s="472" t="n">
        <v>1</v>
      </c>
      <c r="L35" s="490" t="n">
        <v>38500</v>
      </c>
      <c r="M35" s="472" t="n">
        <v>45430</v>
      </c>
      <c r="N35" s="472" t="n">
        <v>45430</v>
      </c>
      <c r="R35" s="472" t="n">
        <v>0</v>
      </c>
      <c r="S35" s="472" t="inlineStr">
        <is>
          <t>Adjustment</t>
        </is>
      </c>
      <c r="T35" s="472">
        <f>FALSE()</f>
        <v/>
      </c>
      <c r="Y35" s="472" t="inlineStr">
        <is>
          <t>Overdue</t>
        </is>
      </c>
      <c r="Z35" s="472" t="inlineStr">
        <is>
          <t>ridhi25madan</t>
        </is>
      </c>
      <c r="AC35" s="490" t="inlineStr">
        <is>
          <t>Workspace Rent</t>
        </is>
      </c>
      <c r="AF35" s="472" t="n">
        <v>1</v>
      </c>
      <c r="AH35" s="472" t="n">
        <v>6930</v>
      </c>
      <c r="AI35" s="472" t="n">
        <v>38500</v>
      </c>
      <c r="AJ35" s="472">
        <f>FALSE()</f>
        <v/>
      </c>
      <c r="AL35" s="472" t="inlineStr">
        <is>
          <t>KA</t>
        </is>
      </c>
      <c r="AM35" s="472" t="inlineStr">
        <is>
          <t>UP</t>
        </is>
      </c>
      <c r="AN35" s="472" t="inlineStr">
        <is>
          <t>business_gst</t>
        </is>
      </c>
      <c r="AO35" s="472" t="inlineStr">
        <is>
          <t>29AAFCT2273G1Z7</t>
        </is>
      </c>
      <c r="AP35" s="472" t="inlineStr">
        <is>
          <t>item_level</t>
        </is>
      </c>
      <c r="AS35" s="472" t="n">
        <v>0</v>
      </c>
      <c r="AV35" s="472" t="n">
        <v>0</v>
      </c>
      <c r="AZ35" s="472" t="n">
        <v>38500</v>
      </c>
      <c r="BA35" s="472" t="inlineStr">
        <is>
          <t>entity_level</t>
        </is>
      </c>
      <c r="BB35" s="472">
        <f>TRUE()</f>
        <v/>
      </c>
      <c r="BC35" s="472" t="n">
        <v>0</v>
      </c>
      <c r="BD35" s="472" t="n">
        <v>0</v>
      </c>
      <c r="BG35" s="472" t="n">
        <v>2.29715200000003e+18</v>
      </c>
      <c r="BH35" s="472" t="inlineStr">
        <is>
          <t>IGST18</t>
        </is>
      </c>
      <c r="BI35" s="472" t="n">
        <v>18</v>
      </c>
      <c r="BJ35" s="472" t="inlineStr">
        <is>
          <t>ItemAmount</t>
        </is>
      </c>
      <c r="BM35" s="472" t="n">
        <v>0</v>
      </c>
      <c r="BQ35" s="472" t="inlineStr">
        <is>
          <t>service</t>
        </is>
      </c>
      <c r="BV35" s="472" t="inlineStr">
        <is>
          <t>eligible</t>
        </is>
      </c>
      <c r="BW35" s="472" t="n">
        <v>0</v>
      </c>
      <c r="BZ35" s="472">
        <f>FALSE()</f>
        <v/>
      </c>
      <c r="CC35" s="472" t="n">
        <v>0</v>
      </c>
      <c r="CD35" s="472" t="n">
        <v>0</v>
      </c>
      <c r="CE35" s="472" t="n">
        <v>18</v>
      </c>
      <c r="CF35" s="472" t="n">
        <v>0</v>
      </c>
      <c r="CG35" s="472" t="n">
        <v>0</v>
      </c>
      <c r="CH35" s="472" t="n">
        <v>0</v>
      </c>
      <c r="CI35" s="472" t="n">
        <v>6930</v>
      </c>
      <c r="CJ35" s="472" t="n">
        <v>0</v>
      </c>
      <c r="CK35" s="472" t="n">
        <v>0</v>
      </c>
      <c r="CL35" s="472" t="n">
        <v>0</v>
      </c>
      <c r="CM35" s="472" t="n">
        <v>6930</v>
      </c>
      <c r="CN35" s="472" t="n">
        <v>0</v>
      </c>
    </row>
    <row r="36" ht="13.5" customHeight="1" s="253">
      <c r="A36" s="492" t="n">
        <v>45777</v>
      </c>
      <c r="B36" s="491" t="n">
        <v>45777</v>
      </c>
      <c r="C36" s="472" t="n">
        <v>2.29715200000014e+18</v>
      </c>
      <c r="D36" s="490" t="inlineStr">
        <is>
          <t>RAZORPAY SOFTWARE PVT LTD(Sales Platform)</t>
        </is>
      </c>
      <c r="E36" s="472" t="n">
        <v>0</v>
      </c>
      <c r="F36" s="472" t="n">
        <v>0</v>
      </c>
      <c r="G36" s="472" t="inlineStr">
        <is>
          <t>Due on Receipt</t>
        </is>
      </c>
      <c r="H36" s="472" t="inlineStr">
        <is>
          <t>NAHGTQ81YYWY0425</t>
        </is>
      </c>
      <c r="J36" s="472" t="inlineStr">
        <is>
          <t>INR</t>
        </is>
      </c>
      <c r="K36" s="472" t="n">
        <v>1</v>
      </c>
      <c r="L36" s="490" t="n">
        <v>11185.68</v>
      </c>
      <c r="M36" s="472" t="n">
        <v>12973.6</v>
      </c>
      <c r="N36" s="472" t="n">
        <v>12973.6</v>
      </c>
      <c r="R36" s="472" t="n">
        <v>0</v>
      </c>
      <c r="S36" s="472" t="inlineStr">
        <is>
          <t>Adjustment</t>
        </is>
      </c>
      <c r="T36" s="472">
        <f>FALSE()</f>
        <v/>
      </c>
      <c r="Y36" s="472" t="inlineStr">
        <is>
          <t>Overdue</t>
        </is>
      </c>
      <c r="Z36" s="472" t="inlineStr">
        <is>
          <t>ridhi25madan</t>
        </is>
      </c>
      <c r="AC36" s="490" t="inlineStr">
        <is>
          <t>Platform Charges</t>
        </is>
      </c>
      <c r="AF36" s="472" t="n">
        <v>1</v>
      </c>
      <c r="AH36" s="472" t="n">
        <v>2011.63</v>
      </c>
      <c r="AI36" s="472" t="n">
        <v>11175.7</v>
      </c>
      <c r="AJ36" s="472">
        <f>FALSE()</f>
        <v/>
      </c>
      <c r="AL36" s="472" t="inlineStr">
        <is>
          <t>KA</t>
        </is>
      </c>
      <c r="AM36" s="472" t="inlineStr">
        <is>
          <t>UP</t>
        </is>
      </c>
      <c r="AN36" s="472" t="inlineStr">
        <is>
          <t>business_gst</t>
        </is>
      </c>
      <c r="AO36" s="472" t="inlineStr">
        <is>
          <t>29AAGCR4375J1ZU</t>
        </is>
      </c>
      <c r="AP36" s="472" t="inlineStr">
        <is>
          <t>entity_level</t>
        </is>
      </c>
      <c r="AQ36" s="472" t="n">
        <v>2.29715200000003e+18</v>
      </c>
      <c r="AR36" s="472" t="inlineStr">
        <is>
          <t>Commission or Brokerage</t>
        </is>
      </c>
      <c r="AS36" s="472" t="n">
        <v>2</v>
      </c>
      <c r="AT36" s="472" t="inlineStr">
        <is>
          <t>194H</t>
        </is>
      </c>
      <c r="AU36" s="472" t="inlineStr">
        <is>
          <t>Section 194 H</t>
        </is>
      </c>
      <c r="AV36" s="472" t="n">
        <v>223.71</v>
      </c>
      <c r="AZ36" s="472" t="n">
        <v>11175.7</v>
      </c>
      <c r="BA36" s="472" t="inlineStr">
        <is>
          <t>entity_level</t>
        </is>
      </c>
      <c r="BB36" s="472">
        <f>TRUE()</f>
        <v/>
      </c>
      <c r="BC36" s="472" t="n">
        <v>0</v>
      </c>
      <c r="BD36" s="472" t="n">
        <v>0</v>
      </c>
      <c r="BG36" s="472" t="n">
        <v>2.29715200000003e+18</v>
      </c>
      <c r="BH36" s="472" t="inlineStr">
        <is>
          <t>IGST18</t>
        </is>
      </c>
      <c r="BI36" s="472" t="n">
        <v>18</v>
      </c>
      <c r="BJ36" s="472" t="inlineStr">
        <is>
          <t>ItemAmount</t>
        </is>
      </c>
      <c r="BQ36" s="472" t="inlineStr">
        <is>
          <t>service</t>
        </is>
      </c>
      <c r="BV36" s="472" t="inlineStr">
        <is>
          <t>eligible</t>
        </is>
      </c>
      <c r="BW36" s="472" t="n">
        <v>0</v>
      </c>
      <c r="BZ36" s="472">
        <f>FALSE()</f>
        <v/>
      </c>
      <c r="CC36" s="472" t="n">
        <v>0</v>
      </c>
      <c r="CD36" s="472" t="n">
        <v>0</v>
      </c>
      <c r="CE36" s="472" t="n">
        <v>18</v>
      </c>
      <c r="CF36" s="472" t="n">
        <v>0</v>
      </c>
      <c r="CG36" s="472" t="n">
        <v>0</v>
      </c>
      <c r="CH36" s="472" t="n">
        <v>0</v>
      </c>
      <c r="CI36" s="472" t="n">
        <v>2011.63</v>
      </c>
      <c r="CJ36" s="472" t="n">
        <v>0</v>
      </c>
      <c r="CK36" s="472" t="n">
        <v>0</v>
      </c>
      <c r="CL36" s="472" t="n">
        <v>0</v>
      </c>
      <c r="CM36" s="472" t="n">
        <v>2011.63</v>
      </c>
      <c r="CN36" s="472" t="n">
        <v>0</v>
      </c>
    </row>
    <row r="37" ht="13.5" customHeight="1" s="253">
      <c r="A37" s="492" t="n">
        <v>45777</v>
      </c>
      <c r="B37" s="491" t="n">
        <v>45777</v>
      </c>
      <c r="C37" s="472" t="n">
        <v>2.29715200000014e+18</v>
      </c>
      <c r="D37" s="490" t="inlineStr">
        <is>
          <t>RAZORPAY SOFTWARE PVT LTD(Sales Platform)</t>
        </is>
      </c>
      <c r="E37" s="472" t="n">
        <v>0</v>
      </c>
      <c r="F37" s="472" t="n">
        <v>0</v>
      </c>
      <c r="G37" s="472" t="inlineStr">
        <is>
          <t>Due on Receipt</t>
        </is>
      </c>
      <c r="H37" s="472" t="inlineStr">
        <is>
          <t>NAHGTQ81YYWY0425</t>
        </is>
      </c>
      <c r="J37" s="472" t="inlineStr">
        <is>
          <t>INR</t>
        </is>
      </c>
      <c r="K37" s="472" t="n">
        <v>1</v>
      </c>
      <c r="L37" s="490" t="n">
        <v>11185.68</v>
      </c>
      <c r="M37" s="472" t="n">
        <v>12973.6</v>
      </c>
      <c r="N37" s="472" t="n">
        <v>12973.6</v>
      </c>
      <c r="R37" s="472" t="n">
        <v>0</v>
      </c>
      <c r="S37" s="472" t="inlineStr">
        <is>
          <t>Adjustment</t>
        </is>
      </c>
      <c r="T37" s="472">
        <f>FALSE()</f>
        <v/>
      </c>
      <c r="Y37" s="472" t="inlineStr">
        <is>
          <t>Overdue</t>
        </is>
      </c>
      <c r="Z37" s="472" t="inlineStr">
        <is>
          <t>ridhi25madan</t>
        </is>
      </c>
      <c r="AC37" s="490" t="inlineStr">
        <is>
          <t>Platform Charges</t>
        </is>
      </c>
      <c r="AF37" s="472" t="n">
        <v>1</v>
      </c>
      <c r="AH37" s="472" t="n">
        <v>0</v>
      </c>
      <c r="AI37" s="472" t="n">
        <v>9.98</v>
      </c>
      <c r="AJ37" s="472">
        <f>FALSE()</f>
        <v/>
      </c>
      <c r="AL37" s="472" t="inlineStr">
        <is>
          <t>KA</t>
        </is>
      </c>
      <c r="AM37" s="472" t="inlineStr">
        <is>
          <t>UP</t>
        </is>
      </c>
      <c r="AN37" s="472" t="inlineStr">
        <is>
          <t>business_gst</t>
        </is>
      </c>
      <c r="AO37" s="472" t="inlineStr">
        <is>
          <t>29AAGCR4375J1ZU</t>
        </is>
      </c>
      <c r="AP37" s="472" t="inlineStr">
        <is>
          <t>entity_level</t>
        </is>
      </c>
      <c r="AQ37" s="472" t="n">
        <v>2.29715200000003e+18</v>
      </c>
      <c r="AR37" s="472" t="inlineStr">
        <is>
          <t>Commission or Brokerage</t>
        </is>
      </c>
      <c r="AS37" s="472" t="n">
        <v>2</v>
      </c>
      <c r="AT37" s="472" t="inlineStr">
        <is>
          <t>194H</t>
        </is>
      </c>
      <c r="AU37" s="472" t="inlineStr">
        <is>
          <t>Section 194 H</t>
        </is>
      </c>
      <c r="AV37" s="472" t="n">
        <v>223.71</v>
      </c>
      <c r="AZ37" s="472" t="n">
        <v>9.98</v>
      </c>
      <c r="BA37" s="472" t="inlineStr">
        <is>
          <t>entity_level</t>
        </is>
      </c>
      <c r="BB37" s="472">
        <f>TRUE()</f>
        <v/>
      </c>
      <c r="BC37" s="472" t="n">
        <v>0</v>
      </c>
      <c r="BD37" s="472" t="n">
        <v>0</v>
      </c>
      <c r="BG37" s="472" t="n">
        <v>2.29715200000003e+18</v>
      </c>
      <c r="BH37" s="472" t="inlineStr">
        <is>
          <t>IGST0</t>
        </is>
      </c>
      <c r="BI37" s="472" t="n">
        <v>0</v>
      </c>
      <c r="BJ37" s="472" t="inlineStr">
        <is>
          <t>ItemAmount</t>
        </is>
      </c>
      <c r="BQ37" s="472" t="inlineStr">
        <is>
          <t>service</t>
        </is>
      </c>
      <c r="BV37" s="472" t="inlineStr">
        <is>
          <t>eligible</t>
        </is>
      </c>
      <c r="BW37" s="472" t="n">
        <v>0</v>
      </c>
      <c r="BZ37" s="472">
        <f>FALSE()</f>
        <v/>
      </c>
      <c r="CC37" s="472" t="n">
        <v>0</v>
      </c>
      <c r="CD37" s="472" t="n">
        <v>0</v>
      </c>
      <c r="CE37" s="472" t="n">
        <v>0</v>
      </c>
      <c r="CF37" s="472" t="n">
        <v>0</v>
      </c>
      <c r="CG37" s="472" t="n">
        <v>0</v>
      </c>
      <c r="CH37" s="472" t="n">
        <v>0</v>
      </c>
      <c r="CI37" s="472" t="n">
        <v>0</v>
      </c>
      <c r="CJ37" s="472" t="n">
        <v>0</v>
      </c>
      <c r="CK37" s="472" t="n">
        <v>0</v>
      </c>
      <c r="CL37" s="472" t="n">
        <v>0</v>
      </c>
      <c r="CM37" s="472" t="n">
        <v>0</v>
      </c>
      <c r="CN37" s="472" t="n">
        <v>0</v>
      </c>
    </row>
    <row r="38" ht="13.5" customHeight="1" s="253">
      <c r="A38" s="492" t="n">
        <v>45772</v>
      </c>
      <c r="B38" s="491" t="n">
        <v>45772</v>
      </c>
      <c r="C38" s="472" t="n">
        <v>2.29715200000014e+18</v>
      </c>
      <c r="D38" s="490" t="inlineStr">
        <is>
          <t>First Principles Law</t>
        </is>
      </c>
      <c r="E38" s="472" t="n">
        <v>0</v>
      </c>
      <c r="F38" s="472" t="n">
        <v>0</v>
      </c>
      <c r="G38" s="472" t="inlineStr">
        <is>
          <t>Due on Receipt</t>
        </is>
      </c>
      <c r="H38" s="472" t="inlineStr">
        <is>
          <t>FPL/202504-03</t>
        </is>
      </c>
      <c r="J38" s="472" t="inlineStr">
        <is>
          <t>INR</t>
        </is>
      </c>
      <c r="K38" s="472" t="n">
        <v>1</v>
      </c>
      <c r="L38" s="490" t="n">
        <v>100000</v>
      </c>
      <c r="M38" s="472" t="n">
        <v>90000</v>
      </c>
      <c r="N38" s="472" t="n">
        <v>0</v>
      </c>
      <c r="R38" s="472" t="n">
        <v>0</v>
      </c>
      <c r="S38" s="472" t="inlineStr">
        <is>
          <t>Adjustment</t>
        </is>
      </c>
      <c r="T38" s="472">
        <f>FALSE()</f>
        <v/>
      </c>
      <c r="Y38" s="472" t="inlineStr">
        <is>
          <t>Paid</t>
        </is>
      </c>
      <c r="Z38" s="472" t="inlineStr">
        <is>
          <t>ridhi25madan</t>
        </is>
      </c>
      <c r="AC38" s="490" t="inlineStr">
        <is>
          <t>Legal &amp; Professional Charges</t>
        </is>
      </c>
      <c r="AF38" s="472" t="n">
        <v>1</v>
      </c>
      <c r="AH38" s="472" t="n">
        <v>0</v>
      </c>
      <c r="AI38" s="472" t="n">
        <v>100000</v>
      </c>
      <c r="AJ38" s="472">
        <f>FALSE()</f>
        <v/>
      </c>
      <c r="AL38" s="472" t="inlineStr">
        <is>
          <t>KA</t>
        </is>
      </c>
      <c r="AM38" s="472" t="inlineStr">
        <is>
          <t>UP</t>
        </is>
      </c>
      <c r="AN38" s="472" t="inlineStr">
        <is>
          <t>business_none</t>
        </is>
      </c>
      <c r="AP38" s="472" t="inlineStr">
        <is>
          <t>entity_level</t>
        </is>
      </c>
      <c r="AQ38" s="472" t="n">
        <v>2.29715200000003e+18</v>
      </c>
      <c r="AR38" s="472" t="inlineStr">
        <is>
          <t>Professional Fees</t>
        </is>
      </c>
      <c r="AS38" s="472" t="n">
        <v>10</v>
      </c>
      <c r="AT38" s="472" t="inlineStr">
        <is>
          <t>194J</t>
        </is>
      </c>
      <c r="AU38" s="472" t="inlineStr">
        <is>
          <t>Section 194 J</t>
        </is>
      </c>
      <c r="AV38" s="472" t="n">
        <v>10000</v>
      </c>
      <c r="AZ38" s="472" t="n">
        <v>100000</v>
      </c>
      <c r="BA38" s="472" t="inlineStr">
        <is>
          <t>entity_level</t>
        </is>
      </c>
      <c r="BB38" s="472">
        <f>TRUE()</f>
        <v/>
      </c>
      <c r="BC38" s="472" t="n">
        <v>0</v>
      </c>
      <c r="BD38" s="472" t="n">
        <v>0</v>
      </c>
      <c r="BQ38" s="472" t="inlineStr">
        <is>
          <t>service</t>
        </is>
      </c>
      <c r="BV38" s="472" t="inlineStr">
        <is>
          <t>eligible</t>
        </is>
      </c>
      <c r="BW38" s="472" t="n">
        <v>0</v>
      </c>
      <c r="BZ38" s="472">
        <f>FALSE()</f>
        <v/>
      </c>
    </row>
    <row r="39" ht="13.5" customHeight="1" s="253">
      <c r="A39" s="492" t="n">
        <v>45536</v>
      </c>
      <c r="B39" s="491" t="n">
        <v>45536</v>
      </c>
      <c r="C39" s="472" t="n">
        <v>2.29715200000014e+18</v>
      </c>
      <c r="D39" s="490" t="inlineStr">
        <is>
          <t>Amit Kumar Ghosh</t>
        </is>
      </c>
      <c r="E39" s="472" t="n">
        <v>0</v>
      </c>
      <c r="F39" s="472" t="n">
        <v>0</v>
      </c>
      <c r="G39" s="472" t="inlineStr">
        <is>
          <t>Due on Receipt</t>
        </is>
      </c>
      <c r="H39" s="472" t="n">
        <v>1</v>
      </c>
      <c r="J39" s="472" t="inlineStr">
        <is>
          <t>INR</t>
        </is>
      </c>
      <c r="K39" s="472" t="n">
        <v>1</v>
      </c>
      <c r="L39" s="490" t="n">
        <v>28000</v>
      </c>
      <c r="M39" s="472" t="n">
        <v>28000</v>
      </c>
      <c r="N39" s="472" t="n">
        <v>0</v>
      </c>
      <c r="R39" s="472" t="n">
        <v>0</v>
      </c>
      <c r="S39" s="472" t="inlineStr">
        <is>
          <t>Adjustment</t>
        </is>
      </c>
      <c r="T39" s="472">
        <f>FALSE()</f>
        <v/>
      </c>
      <c r="Y39" s="472" t="inlineStr">
        <is>
          <t>Paid</t>
        </is>
      </c>
      <c r="Z39" s="472" t="inlineStr">
        <is>
          <t>ridhi25madan</t>
        </is>
      </c>
      <c r="AC39" s="490" t="inlineStr">
        <is>
          <t>Content Writing Exp.</t>
        </is>
      </c>
      <c r="AE39" s="472" t="inlineStr">
        <is>
          <t>content Writing</t>
        </is>
      </c>
      <c r="AF39" s="472" t="n">
        <v>1</v>
      </c>
      <c r="AH39" s="472" t="n">
        <v>0</v>
      </c>
      <c r="AI39" s="472" t="n">
        <v>28000</v>
      </c>
      <c r="AJ39" s="472">
        <f>FALSE()</f>
        <v/>
      </c>
      <c r="AL39" s="472" t="inlineStr">
        <is>
          <t>UP</t>
        </is>
      </c>
      <c r="AM39" s="472" t="inlineStr">
        <is>
          <t>UP</t>
        </is>
      </c>
      <c r="AN39" s="472" t="inlineStr">
        <is>
          <t>business_none</t>
        </is>
      </c>
      <c r="AP39" s="472" t="inlineStr">
        <is>
          <t>item_level</t>
        </is>
      </c>
      <c r="AS39" s="472" t="n">
        <v>0</v>
      </c>
      <c r="AV39" s="472" t="n">
        <v>0</v>
      </c>
      <c r="AZ39" s="472" t="n">
        <v>28000</v>
      </c>
      <c r="BA39" s="472" t="inlineStr">
        <is>
          <t>entity_level</t>
        </is>
      </c>
      <c r="BB39" s="472">
        <f>TRUE()</f>
        <v/>
      </c>
      <c r="BC39" s="472" t="n">
        <v>0</v>
      </c>
      <c r="BD39" s="472" t="n">
        <v>0</v>
      </c>
      <c r="BM39" s="472" t="n">
        <v>0</v>
      </c>
      <c r="BQ39" s="472" t="inlineStr">
        <is>
          <t>service</t>
        </is>
      </c>
      <c r="BV39" s="472" t="inlineStr">
        <is>
          <t>eligible</t>
        </is>
      </c>
      <c r="BW39" s="472" t="n">
        <v>0</v>
      </c>
      <c r="BZ39" s="472">
        <f>FALSE()</f>
        <v/>
      </c>
    </row>
    <row r="40" ht="13.5" customHeight="1" s="253">
      <c r="A40" s="492" t="n">
        <v>45566</v>
      </c>
      <c r="B40" s="491" t="n">
        <v>45566</v>
      </c>
      <c r="C40" s="472" t="n">
        <v>2.29715200000014e+18</v>
      </c>
      <c r="D40" s="490" t="inlineStr">
        <is>
          <t>Amit Kumar Ghosh</t>
        </is>
      </c>
      <c r="E40" s="472" t="n">
        <v>0</v>
      </c>
      <c r="F40" s="472" t="n">
        <v>0</v>
      </c>
      <c r="G40" s="472" t="inlineStr">
        <is>
          <t>Due on Receipt</t>
        </is>
      </c>
      <c r="H40" s="472" t="n">
        <v>2</v>
      </c>
      <c r="J40" s="472" t="inlineStr">
        <is>
          <t>INR</t>
        </is>
      </c>
      <c r="K40" s="472" t="n">
        <v>1</v>
      </c>
      <c r="L40" s="490" t="n">
        <v>82000</v>
      </c>
      <c r="M40" s="472" t="n">
        <v>82000</v>
      </c>
      <c r="N40" s="472" t="n">
        <v>0</v>
      </c>
      <c r="R40" s="472" t="n">
        <v>0</v>
      </c>
      <c r="S40" s="472" t="inlineStr">
        <is>
          <t>Adjustment</t>
        </is>
      </c>
      <c r="T40" s="472">
        <f>FALSE()</f>
        <v/>
      </c>
      <c r="Y40" s="472" t="inlineStr">
        <is>
          <t>Paid</t>
        </is>
      </c>
      <c r="Z40" s="472" t="inlineStr">
        <is>
          <t>ridhi25madan</t>
        </is>
      </c>
      <c r="AC40" s="490" t="inlineStr">
        <is>
          <t>Content Writing Exp.</t>
        </is>
      </c>
      <c r="AE40" s="472" t="inlineStr">
        <is>
          <t>content Writing</t>
        </is>
      </c>
      <c r="AF40" s="472" t="n">
        <v>1</v>
      </c>
      <c r="AH40" s="472" t="n">
        <v>0</v>
      </c>
      <c r="AI40" s="472" t="n">
        <v>82000</v>
      </c>
      <c r="AJ40" s="472">
        <f>FALSE()</f>
        <v/>
      </c>
      <c r="AL40" s="472" t="inlineStr">
        <is>
          <t>UP</t>
        </is>
      </c>
      <c r="AM40" s="472" t="inlineStr">
        <is>
          <t>UP</t>
        </is>
      </c>
      <c r="AN40" s="472" t="inlineStr">
        <is>
          <t>business_none</t>
        </is>
      </c>
      <c r="AP40" s="472" t="inlineStr">
        <is>
          <t>item_level</t>
        </is>
      </c>
      <c r="AS40" s="472" t="n">
        <v>0</v>
      </c>
      <c r="AV40" s="472" t="n">
        <v>0</v>
      </c>
      <c r="AZ40" s="472" t="n">
        <v>82000</v>
      </c>
      <c r="BA40" s="472" t="inlineStr">
        <is>
          <t>entity_level</t>
        </is>
      </c>
      <c r="BB40" s="472">
        <f>TRUE()</f>
        <v/>
      </c>
      <c r="BC40" s="472" t="n">
        <v>0</v>
      </c>
      <c r="BD40" s="472" t="n">
        <v>0</v>
      </c>
      <c r="BM40" s="472" t="n">
        <v>0</v>
      </c>
      <c r="BQ40" s="472" t="inlineStr">
        <is>
          <t>service</t>
        </is>
      </c>
      <c r="BV40" s="472" t="inlineStr">
        <is>
          <t>eligible</t>
        </is>
      </c>
      <c r="BW40" s="472" t="n">
        <v>0</v>
      </c>
      <c r="BZ40" s="472">
        <f>FALSE()</f>
        <v/>
      </c>
    </row>
    <row r="41" ht="13.5" customHeight="1" s="253">
      <c r="A41" s="492" t="n">
        <v>45597</v>
      </c>
      <c r="B41" s="491" t="n">
        <v>45597</v>
      </c>
      <c r="C41" s="472" t="n">
        <v>2.29715200000014e+18</v>
      </c>
      <c r="D41" s="490" t="inlineStr">
        <is>
          <t>Amit Kumar Ghosh</t>
        </is>
      </c>
      <c r="E41" s="472" t="n">
        <v>0</v>
      </c>
      <c r="F41" s="472" t="n">
        <v>0</v>
      </c>
      <c r="G41" s="472" t="inlineStr">
        <is>
          <t>Due on Receipt</t>
        </is>
      </c>
      <c r="H41" s="472" t="n">
        <v>3</v>
      </c>
      <c r="J41" s="472" t="inlineStr">
        <is>
          <t>INR</t>
        </is>
      </c>
      <c r="K41" s="472" t="n">
        <v>1</v>
      </c>
      <c r="L41" s="490" t="n">
        <v>78000</v>
      </c>
      <c r="M41" s="472" t="n">
        <v>78000</v>
      </c>
      <c r="N41" s="472" t="n">
        <v>0</v>
      </c>
      <c r="R41" s="472" t="n">
        <v>0</v>
      </c>
      <c r="S41" s="472" t="inlineStr">
        <is>
          <t>Adjustment</t>
        </is>
      </c>
      <c r="T41" s="472">
        <f>FALSE()</f>
        <v/>
      </c>
      <c r="Y41" s="472" t="inlineStr">
        <is>
          <t>Paid</t>
        </is>
      </c>
      <c r="Z41" s="472" t="inlineStr">
        <is>
          <t>ridhi25madan</t>
        </is>
      </c>
      <c r="AC41" s="490" t="inlineStr">
        <is>
          <t>Content Writing Exp.</t>
        </is>
      </c>
      <c r="AE41" s="472" t="inlineStr">
        <is>
          <t>content Writing</t>
        </is>
      </c>
      <c r="AF41" s="472" t="n">
        <v>1</v>
      </c>
      <c r="AH41" s="472" t="n">
        <v>0</v>
      </c>
      <c r="AI41" s="472" t="n">
        <v>78000</v>
      </c>
      <c r="AJ41" s="472">
        <f>FALSE()</f>
        <v/>
      </c>
      <c r="AL41" s="472" t="inlineStr">
        <is>
          <t>UP</t>
        </is>
      </c>
      <c r="AM41" s="472" t="inlineStr">
        <is>
          <t>UP</t>
        </is>
      </c>
      <c r="AN41" s="472" t="inlineStr">
        <is>
          <t>business_none</t>
        </is>
      </c>
      <c r="AP41" s="472" t="inlineStr">
        <is>
          <t>item_level</t>
        </is>
      </c>
      <c r="AS41" s="472" t="n">
        <v>0</v>
      </c>
      <c r="AV41" s="472" t="n">
        <v>0</v>
      </c>
      <c r="AZ41" s="472" t="n">
        <v>78000</v>
      </c>
      <c r="BA41" s="472" t="inlineStr">
        <is>
          <t>entity_level</t>
        </is>
      </c>
      <c r="BB41" s="472">
        <f>TRUE()</f>
        <v/>
      </c>
      <c r="BC41" s="472" t="n">
        <v>0</v>
      </c>
      <c r="BD41" s="472" t="n">
        <v>0</v>
      </c>
      <c r="BM41" s="472" t="n">
        <v>0</v>
      </c>
      <c r="BQ41" s="472" t="inlineStr">
        <is>
          <t>service</t>
        </is>
      </c>
      <c r="BV41" s="472" t="inlineStr">
        <is>
          <t>eligible</t>
        </is>
      </c>
      <c r="BW41" s="472" t="n">
        <v>0</v>
      </c>
      <c r="BZ41" s="472">
        <f>FALSE()</f>
        <v/>
      </c>
    </row>
    <row r="42" ht="13.5" customHeight="1" s="253">
      <c r="A42" s="492" t="n">
        <v>45627</v>
      </c>
      <c r="B42" s="491" t="n">
        <v>45627</v>
      </c>
      <c r="C42" s="472" t="n">
        <v>2.29715200000014e+18</v>
      </c>
      <c r="D42" s="490" t="inlineStr">
        <is>
          <t>Amit Kumar Ghosh</t>
        </is>
      </c>
      <c r="E42" s="472" t="n">
        <v>0</v>
      </c>
      <c r="F42" s="472" t="n">
        <v>0</v>
      </c>
      <c r="G42" s="472" t="inlineStr">
        <is>
          <t>Due on Receipt</t>
        </is>
      </c>
      <c r="H42" s="472" t="n">
        <v>4</v>
      </c>
      <c r="J42" s="472" t="inlineStr">
        <is>
          <t>INR</t>
        </is>
      </c>
      <c r="K42" s="472" t="n">
        <v>1</v>
      </c>
      <c r="L42" s="490" t="n">
        <v>110000</v>
      </c>
      <c r="M42" s="472" t="n">
        <v>110000</v>
      </c>
      <c r="N42" s="472" t="n">
        <v>0</v>
      </c>
      <c r="R42" s="472" t="n">
        <v>0</v>
      </c>
      <c r="S42" s="472" t="inlineStr">
        <is>
          <t>Adjustment</t>
        </is>
      </c>
      <c r="T42" s="472">
        <f>FALSE()</f>
        <v/>
      </c>
      <c r="Y42" s="472" t="inlineStr">
        <is>
          <t>Paid</t>
        </is>
      </c>
      <c r="Z42" s="472" t="inlineStr">
        <is>
          <t>ridhi25madan</t>
        </is>
      </c>
      <c r="AC42" s="490" t="inlineStr">
        <is>
          <t>Content Writing Exp.</t>
        </is>
      </c>
      <c r="AE42" s="472" t="inlineStr">
        <is>
          <t>content Writing</t>
        </is>
      </c>
      <c r="AF42" s="472" t="n">
        <v>1</v>
      </c>
      <c r="AH42" s="472" t="n">
        <v>0</v>
      </c>
      <c r="AI42" s="472" t="n">
        <v>110000</v>
      </c>
      <c r="AJ42" s="472">
        <f>FALSE()</f>
        <v/>
      </c>
      <c r="AL42" s="472" t="inlineStr">
        <is>
          <t>UP</t>
        </is>
      </c>
      <c r="AM42" s="472" t="inlineStr">
        <is>
          <t>UP</t>
        </is>
      </c>
      <c r="AN42" s="472" t="inlineStr">
        <is>
          <t>business_none</t>
        </is>
      </c>
      <c r="AP42" s="472" t="inlineStr">
        <is>
          <t>item_level</t>
        </is>
      </c>
      <c r="AS42" s="472" t="n">
        <v>0</v>
      </c>
      <c r="AV42" s="472" t="n">
        <v>0</v>
      </c>
      <c r="AZ42" s="472" t="n">
        <v>110000</v>
      </c>
      <c r="BA42" s="472" t="inlineStr">
        <is>
          <t>entity_level</t>
        </is>
      </c>
      <c r="BB42" s="472">
        <f>TRUE()</f>
        <v/>
      </c>
      <c r="BC42" s="472" t="n">
        <v>0</v>
      </c>
      <c r="BD42" s="472" t="n">
        <v>0</v>
      </c>
      <c r="BM42" s="472" t="n">
        <v>0</v>
      </c>
      <c r="BQ42" s="472" t="inlineStr">
        <is>
          <t>service</t>
        </is>
      </c>
      <c r="BV42" s="472" t="inlineStr">
        <is>
          <t>eligible</t>
        </is>
      </c>
      <c r="BW42" s="472" t="n">
        <v>0</v>
      </c>
      <c r="BZ42" s="472">
        <f>FALSE()</f>
        <v/>
      </c>
    </row>
    <row r="43" ht="13.5" customHeight="1" s="253">
      <c r="A43" s="491" t="n">
        <v>45658</v>
      </c>
      <c r="B43" s="491" t="n">
        <v>45658</v>
      </c>
      <c r="C43" s="472" t="n">
        <v>2.29715200000014e+18</v>
      </c>
      <c r="D43" s="472" t="inlineStr">
        <is>
          <t>Amit Kumar Ghosh</t>
        </is>
      </c>
      <c r="E43" s="472" t="n">
        <v>0</v>
      </c>
      <c r="F43" s="472" t="n">
        <v>0</v>
      </c>
      <c r="G43" s="472" t="inlineStr">
        <is>
          <t>Due on Receipt</t>
        </is>
      </c>
      <c r="H43" s="472" t="n">
        <v>5</v>
      </c>
      <c r="J43" s="472" t="inlineStr">
        <is>
          <t>INR</t>
        </is>
      </c>
      <c r="K43" s="472" t="n">
        <v>1</v>
      </c>
      <c r="L43" s="472" t="n">
        <v>48000</v>
      </c>
      <c r="M43" s="472" t="n">
        <v>48000</v>
      </c>
      <c r="N43" s="472" t="n">
        <v>0</v>
      </c>
      <c r="R43" s="472" t="n">
        <v>0</v>
      </c>
      <c r="S43" s="472" t="inlineStr">
        <is>
          <t>Adjustment</t>
        </is>
      </c>
      <c r="T43" s="472">
        <f>FALSE()</f>
        <v/>
      </c>
      <c r="Y43" s="472" t="inlineStr">
        <is>
          <t>Paid</t>
        </is>
      </c>
      <c r="Z43" s="472" t="inlineStr">
        <is>
          <t>ridhi25madan</t>
        </is>
      </c>
      <c r="AC43" s="472" t="inlineStr">
        <is>
          <t>Content Writing Exp.</t>
        </is>
      </c>
      <c r="AE43" s="472" t="inlineStr">
        <is>
          <t>content Writing</t>
        </is>
      </c>
      <c r="AF43" s="472" t="n">
        <v>1</v>
      </c>
      <c r="AH43" s="472" t="n">
        <v>0</v>
      </c>
      <c r="AI43" s="472" t="n">
        <v>48000</v>
      </c>
      <c r="AJ43" s="472">
        <f>FALSE()</f>
        <v/>
      </c>
      <c r="AL43" s="472" t="inlineStr">
        <is>
          <t>UP</t>
        </is>
      </c>
      <c r="AM43" s="472" t="inlineStr">
        <is>
          <t>UP</t>
        </is>
      </c>
      <c r="AN43" s="472" t="inlineStr">
        <is>
          <t>business_none</t>
        </is>
      </c>
      <c r="AP43" s="472" t="inlineStr">
        <is>
          <t>item_level</t>
        </is>
      </c>
      <c r="AS43" s="472" t="n">
        <v>0</v>
      </c>
      <c r="AV43" s="472" t="n">
        <v>0</v>
      </c>
      <c r="AZ43" s="472" t="n">
        <v>48000</v>
      </c>
      <c r="BA43" s="472" t="inlineStr">
        <is>
          <t>entity_level</t>
        </is>
      </c>
      <c r="BB43" s="472">
        <f>TRUE()</f>
        <v/>
      </c>
      <c r="BC43" s="472" t="n">
        <v>0</v>
      </c>
      <c r="BD43" s="472" t="n">
        <v>0</v>
      </c>
      <c r="BM43" s="472" t="n">
        <v>0</v>
      </c>
      <c r="BQ43" s="472" t="inlineStr">
        <is>
          <t>service</t>
        </is>
      </c>
      <c r="BV43" s="472" t="inlineStr">
        <is>
          <t>eligible</t>
        </is>
      </c>
      <c r="BW43" s="472" t="n">
        <v>0</v>
      </c>
      <c r="BZ43" s="472">
        <f>FALSE()</f>
        <v/>
      </c>
    </row>
    <row r="44" ht="13.5" customHeight="1" s="253">
      <c r="A44" s="491" t="n">
        <v>45689</v>
      </c>
      <c r="B44" s="491" t="n">
        <v>45689</v>
      </c>
      <c r="C44" s="472" t="n">
        <v>2.29715200000014e+18</v>
      </c>
      <c r="D44" s="472" t="inlineStr">
        <is>
          <t>Amit Kumar Ghosh</t>
        </is>
      </c>
      <c r="E44" s="472" t="n">
        <v>0</v>
      </c>
      <c r="F44" s="472" t="n">
        <v>0</v>
      </c>
      <c r="G44" s="472" t="inlineStr">
        <is>
          <t>Due on Receipt</t>
        </is>
      </c>
      <c r="H44" s="472" t="n">
        <v>6</v>
      </c>
      <c r="J44" s="472" t="inlineStr">
        <is>
          <t>INR</t>
        </is>
      </c>
      <c r="K44" s="472" t="n">
        <v>1</v>
      </c>
      <c r="L44" s="472" t="n">
        <v>60000</v>
      </c>
      <c r="M44" s="472" t="n">
        <v>60000</v>
      </c>
      <c r="N44" s="472" t="n">
        <v>0</v>
      </c>
      <c r="R44" s="472" t="n">
        <v>0</v>
      </c>
      <c r="S44" s="472" t="inlineStr">
        <is>
          <t>Adjustment</t>
        </is>
      </c>
      <c r="T44" s="472">
        <f>FALSE()</f>
        <v/>
      </c>
      <c r="Y44" s="472" t="inlineStr">
        <is>
          <t>Paid</t>
        </is>
      </c>
      <c r="Z44" s="472" t="inlineStr">
        <is>
          <t>ridhi25madan</t>
        </is>
      </c>
      <c r="AC44" s="472" t="inlineStr">
        <is>
          <t>Content Writing Exp.</t>
        </is>
      </c>
      <c r="AE44" s="472" t="inlineStr">
        <is>
          <t>content Writing</t>
        </is>
      </c>
      <c r="AF44" s="472" t="n">
        <v>1</v>
      </c>
      <c r="AH44" s="472" t="n">
        <v>0</v>
      </c>
      <c r="AI44" s="472" t="n">
        <v>60000</v>
      </c>
      <c r="AJ44" s="472">
        <f>FALSE()</f>
        <v/>
      </c>
      <c r="AL44" s="472" t="inlineStr">
        <is>
          <t>UP</t>
        </is>
      </c>
      <c r="AM44" s="472" t="inlineStr">
        <is>
          <t>UP</t>
        </is>
      </c>
      <c r="AN44" s="472" t="inlineStr">
        <is>
          <t>business_none</t>
        </is>
      </c>
      <c r="AP44" s="472" t="inlineStr">
        <is>
          <t>item_level</t>
        </is>
      </c>
      <c r="AS44" s="472" t="n">
        <v>0</v>
      </c>
      <c r="AV44" s="472" t="n">
        <v>0</v>
      </c>
      <c r="AZ44" s="472" t="n">
        <v>60000</v>
      </c>
      <c r="BA44" s="472" t="inlineStr">
        <is>
          <t>entity_level</t>
        </is>
      </c>
      <c r="BB44" s="472">
        <f>TRUE()</f>
        <v/>
      </c>
      <c r="BC44" s="472" t="n">
        <v>0</v>
      </c>
      <c r="BD44" s="472" t="n">
        <v>0</v>
      </c>
      <c r="BM44" s="472" t="n">
        <v>0</v>
      </c>
      <c r="BQ44" s="472" t="inlineStr">
        <is>
          <t>service</t>
        </is>
      </c>
      <c r="BV44" s="472" t="inlineStr">
        <is>
          <t>eligible</t>
        </is>
      </c>
      <c r="BW44" s="472" t="n">
        <v>0</v>
      </c>
      <c r="BZ44" s="472">
        <f>FALSE()</f>
        <v/>
      </c>
    </row>
    <row r="45" ht="13.5" customHeight="1" s="253">
      <c r="A45" s="491" t="n">
        <v>45717</v>
      </c>
      <c r="B45" s="491" t="n">
        <v>45717</v>
      </c>
      <c r="C45" s="472" t="n">
        <v>2.29715200000014e+18</v>
      </c>
      <c r="D45" s="472" t="inlineStr">
        <is>
          <t>Amit Kumar Ghosh</t>
        </is>
      </c>
      <c r="E45" s="472" t="n">
        <v>0</v>
      </c>
      <c r="F45" s="472" t="n">
        <v>0</v>
      </c>
      <c r="G45" s="472" t="inlineStr">
        <is>
          <t>Due on Receipt</t>
        </is>
      </c>
      <c r="H45" s="472" t="n">
        <v>7</v>
      </c>
      <c r="J45" s="472" t="inlineStr">
        <is>
          <t>INR</t>
        </is>
      </c>
      <c r="K45" s="472" t="n">
        <v>1</v>
      </c>
      <c r="L45" s="472" t="n">
        <v>105000</v>
      </c>
      <c r="M45" s="472" t="n">
        <v>103950</v>
      </c>
      <c r="N45" s="472" t="n">
        <v>630</v>
      </c>
      <c r="R45" s="472" t="n">
        <v>0</v>
      </c>
      <c r="S45" s="472" t="inlineStr">
        <is>
          <t>Adjustment</t>
        </is>
      </c>
      <c r="T45" s="472">
        <f>FALSE()</f>
        <v/>
      </c>
      <c r="Y45" s="472" t="inlineStr">
        <is>
          <t>Overdue</t>
        </is>
      </c>
      <c r="Z45" s="472" t="inlineStr">
        <is>
          <t>ridhi25madan</t>
        </is>
      </c>
      <c r="AC45" s="472" t="inlineStr">
        <is>
          <t>Content Writing Exp.</t>
        </is>
      </c>
      <c r="AE45" s="472" t="inlineStr">
        <is>
          <t>content Writing</t>
        </is>
      </c>
      <c r="AF45" s="472" t="n">
        <v>1</v>
      </c>
      <c r="AH45" s="472" t="n">
        <v>0</v>
      </c>
      <c r="AI45" s="472" t="n">
        <v>105000</v>
      </c>
      <c r="AJ45" s="472">
        <f>FALSE()</f>
        <v/>
      </c>
      <c r="AL45" s="472" t="inlineStr">
        <is>
          <t>UP</t>
        </is>
      </c>
      <c r="AM45" s="472" t="inlineStr">
        <is>
          <t>UP</t>
        </is>
      </c>
      <c r="AN45" s="472" t="inlineStr">
        <is>
          <t>business_none</t>
        </is>
      </c>
      <c r="AP45" s="472" t="inlineStr">
        <is>
          <t>entity_level</t>
        </is>
      </c>
      <c r="AQ45" s="472" t="n">
        <v>2.29715200000003e+18</v>
      </c>
      <c r="AR45" s="472" t="inlineStr">
        <is>
          <t>Payment of contractors HUF/Indiv</t>
        </is>
      </c>
      <c r="AS45" s="472" t="n">
        <v>1</v>
      </c>
      <c r="AT45" s="472" t="inlineStr">
        <is>
          <t>194C</t>
        </is>
      </c>
      <c r="AU45" s="472" t="inlineStr">
        <is>
          <t>Section 194 C</t>
        </is>
      </c>
      <c r="AV45" s="472" t="n">
        <v>1050</v>
      </c>
      <c r="AZ45" s="472" t="n">
        <v>105000</v>
      </c>
      <c r="BA45" s="472" t="inlineStr">
        <is>
          <t>entity_level</t>
        </is>
      </c>
      <c r="BB45" s="472">
        <f>TRUE()</f>
        <v/>
      </c>
      <c r="BC45" s="472" t="n">
        <v>0</v>
      </c>
      <c r="BD45" s="472" t="n">
        <v>0</v>
      </c>
      <c r="BQ45" s="472" t="inlineStr">
        <is>
          <t>service</t>
        </is>
      </c>
      <c r="BV45" s="472" t="inlineStr">
        <is>
          <t>eligible</t>
        </is>
      </c>
      <c r="BW45" s="472" t="n">
        <v>0</v>
      </c>
      <c r="BZ45" s="472">
        <f>FALSE()</f>
        <v/>
      </c>
    </row>
    <row r="46" ht="13.5" customHeight="1" s="253">
      <c r="A46" s="491" t="n">
        <v>45747</v>
      </c>
      <c r="B46" s="491" t="n">
        <v>45747</v>
      </c>
      <c r="C46" s="472" t="n">
        <v>2.29715200000014e+18</v>
      </c>
      <c r="D46" s="472" t="inlineStr">
        <is>
          <t>Amit Kumar Ghosh</t>
        </is>
      </c>
      <c r="E46" s="472" t="n">
        <v>0</v>
      </c>
      <c r="F46" s="472" t="n">
        <v>0</v>
      </c>
      <c r="G46" s="472" t="inlineStr">
        <is>
          <t>Due on Receipt</t>
        </is>
      </c>
      <c r="H46" s="472" t="inlineStr">
        <is>
          <t>FY 25-26/1</t>
        </is>
      </c>
      <c r="J46" s="472" t="inlineStr">
        <is>
          <t>INR</t>
        </is>
      </c>
      <c r="K46" s="472" t="n">
        <v>1</v>
      </c>
      <c r="L46" s="472" t="n">
        <v>100000</v>
      </c>
      <c r="M46" s="472" t="n">
        <v>99000</v>
      </c>
      <c r="N46" s="472" t="n">
        <v>0</v>
      </c>
      <c r="R46" s="472" t="n">
        <v>0</v>
      </c>
      <c r="S46" s="472" t="inlineStr">
        <is>
          <t>Adjustment</t>
        </is>
      </c>
      <c r="T46" s="472">
        <f>FALSE()</f>
        <v/>
      </c>
      <c r="Y46" s="472" t="inlineStr">
        <is>
          <t>Paid</t>
        </is>
      </c>
      <c r="Z46" s="472" t="inlineStr">
        <is>
          <t>ridhi25madan</t>
        </is>
      </c>
      <c r="AC46" s="472" t="inlineStr">
        <is>
          <t>Content Writing Exp.</t>
        </is>
      </c>
      <c r="AE46" s="472" t="inlineStr">
        <is>
          <t>content Writing</t>
        </is>
      </c>
      <c r="AF46" s="472" t="n">
        <v>1</v>
      </c>
      <c r="AH46" s="472" t="n">
        <v>0</v>
      </c>
      <c r="AI46" s="472" t="n">
        <v>100000</v>
      </c>
      <c r="AJ46" s="472">
        <f>FALSE()</f>
        <v/>
      </c>
      <c r="AL46" s="472" t="inlineStr">
        <is>
          <t>UP</t>
        </is>
      </c>
      <c r="AM46" s="472" t="inlineStr">
        <is>
          <t>UP</t>
        </is>
      </c>
      <c r="AN46" s="472" t="inlineStr">
        <is>
          <t>business_none</t>
        </is>
      </c>
      <c r="AP46" s="472" t="inlineStr">
        <is>
          <t>entity_level</t>
        </is>
      </c>
      <c r="AQ46" s="472" t="n">
        <v>2.29715200000003e+18</v>
      </c>
      <c r="AR46" s="472" t="inlineStr">
        <is>
          <t>Payment of contractors HUF/Indiv</t>
        </is>
      </c>
      <c r="AS46" s="472" t="n">
        <v>1</v>
      </c>
      <c r="AT46" s="472" t="inlineStr">
        <is>
          <t>194C</t>
        </is>
      </c>
      <c r="AU46" s="472" t="inlineStr">
        <is>
          <t>Section 194 C</t>
        </is>
      </c>
      <c r="AV46" s="472" t="n">
        <v>1000</v>
      </c>
      <c r="AZ46" s="472" t="n">
        <v>100000</v>
      </c>
      <c r="BA46" s="472" t="inlineStr">
        <is>
          <t>entity_level</t>
        </is>
      </c>
      <c r="BB46" s="472">
        <f>TRUE()</f>
        <v/>
      </c>
      <c r="BC46" s="472" t="n">
        <v>0</v>
      </c>
      <c r="BD46" s="472" t="n">
        <v>0</v>
      </c>
      <c r="BQ46" s="472" t="inlineStr">
        <is>
          <t>service</t>
        </is>
      </c>
      <c r="BV46" s="472" t="inlineStr">
        <is>
          <t>eligible</t>
        </is>
      </c>
      <c r="BW46" s="472" t="n">
        <v>0</v>
      </c>
      <c r="BZ46" s="472">
        <f>FALSE()</f>
        <v/>
      </c>
    </row>
    <row r="47" ht="13.5" customHeight="1" s="253">
      <c r="A47" s="492" t="n">
        <v>45777</v>
      </c>
      <c r="B47" s="491" t="n">
        <v>45777</v>
      </c>
      <c r="C47" s="472" t="n">
        <v>2.29715200000014e+18</v>
      </c>
      <c r="D47" s="490" t="inlineStr">
        <is>
          <t>Jai Vardhan Malaviya</t>
        </is>
      </c>
      <c r="E47" s="472" t="n">
        <v>0</v>
      </c>
      <c r="F47" s="472" t="n">
        <v>0</v>
      </c>
      <c r="G47" s="472" t="inlineStr">
        <is>
          <t>Due on Receipt</t>
        </is>
      </c>
      <c r="H47" s="472" t="inlineStr">
        <is>
          <t>1/2025-26</t>
        </is>
      </c>
      <c r="J47" s="472" t="inlineStr">
        <is>
          <t>INR</t>
        </is>
      </c>
      <c r="K47" s="472" t="n">
        <v>1</v>
      </c>
      <c r="L47" s="490" t="n">
        <v>50000</v>
      </c>
      <c r="M47" s="472" t="n">
        <v>49500</v>
      </c>
      <c r="N47" s="472" t="n">
        <v>0</v>
      </c>
      <c r="R47" s="472" t="n">
        <v>0</v>
      </c>
      <c r="S47" s="472" t="inlineStr">
        <is>
          <t>Adjustment</t>
        </is>
      </c>
      <c r="T47" s="472">
        <f>FALSE()</f>
        <v/>
      </c>
      <c r="Y47" s="472" t="inlineStr">
        <is>
          <t>Paid</t>
        </is>
      </c>
      <c r="Z47" s="472" t="inlineStr">
        <is>
          <t>ridhi25madan</t>
        </is>
      </c>
      <c r="AC47" s="490" t="inlineStr">
        <is>
          <t>Content Writing Exp.</t>
        </is>
      </c>
      <c r="AE47" s="472" t="inlineStr">
        <is>
          <t>content Writing</t>
        </is>
      </c>
      <c r="AF47" s="472" t="n">
        <v>1</v>
      </c>
      <c r="AH47" s="472" t="n">
        <v>0</v>
      </c>
      <c r="AI47" s="472" t="n">
        <v>50000</v>
      </c>
      <c r="AJ47" s="472">
        <f>FALSE()</f>
        <v/>
      </c>
      <c r="AL47" s="472" t="inlineStr">
        <is>
          <t>DL</t>
        </is>
      </c>
      <c r="AM47" s="472" t="inlineStr">
        <is>
          <t>UP</t>
        </is>
      </c>
      <c r="AN47" s="472" t="inlineStr">
        <is>
          <t>business_none</t>
        </is>
      </c>
      <c r="AP47" s="472" t="inlineStr">
        <is>
          <t>entity_level</t>
        </is>
      </c>
      <c r="AQ47" s="472" t="n">
        <v>2.29715200000003e+18</v>
      </c>
      <c r="AR47" s="472" t="inlineStr">
        <is>
          <t>Payment of contractors HUF/Indiv</t>
        </is>
      </c>
      <c r="AS47" s="472" t="n">
        <v>1</v>
      </c>
      <c r="AT47" s="472" t="inlineStr">
        <is>
          <t>194C</t>
        </is>
      </c>
      <c r="AU47" s="472" t="inlineStr">
        <is>
          <t>Section 194 C</t>
        </is>
      </c>
      <c r="AV47" s="472" t="n">
        <v>500</v>
      </c>
      <c r="AZ47" s="472" t="n">
        <v>50000</v>
      </c>
      <c r="BA47" s="472" t="inlineStr">
        <is>
          <t>entity_level</t>
        </is>
      </c>
      <c r="BB47" s="472">
        <f>TRUE()</f>
        <v/>
      </c>
      <c r="BC47" s="472" t="n">
        <v>0</v>
      </c>
      <c r="BD47" s="472" t="n">
        <v>0</v>
      </c>
      <c r="BQ47" s="472" t="inlineStr">
        <is>
          <t>service</t>
        </is>
      </c>
      <c r="BV47" s="472" t="inlineStr">
        <is>
          <t>eligible</t>
        </is>
      </c>
      <c r="BW47" s="472" t="n">
        <v>0</v>
      </c>
      <c r="BZ47" s="472">
        <f>FALSE()</f>
        <v/>
      </c>
    </row>
    <row r="48" ht="13.5" customHeight="1" s="253">
      <c r="A48" s="492" t="n">
        <v>45777</v>
      </c>
      <c r="B48" s="491" t="n">
        <v>45777</v>
      </c>
      <c r="C48" s="472" t="n">
        <v>2.29715200000014e+18</v>
      </c>
      <c r="D48" s="490" t="inlineStr">
        <is>
          <t>JAYANTH BJ</t>
        </is>
      </c>
      <c r="E48" s="472" t="n">
        <v>0</v>
      </c>
      <c r="F48" s="472" t="n">
        <v>0</v>
      </c>
      <c r="G48" s="472" t="inlineStr">
        <is>
          <t>Due on Receipt</t>
        </is>
      </c>
      <c r="H48" s="472" t="inlineStr">
        <is>
          <t>3/2025-26</t>
        </is>
      </c>
      <c r="J48" s="472" t="inlineStr">
        <is>
          <t>INR</t>
        </is>
      </c>
      <c r="K48" s="472" t="n">
        <v>1</v>
      </c>
      <c r="L48" s="490" t="n">
        <v>114456</v>
      </c>
      <c r="M48" s="472" t="n">
        <v>113456</v>
      </c>
      <c r="N48" s="472" t="n">
        <v>0</v>
      </c>
      <c r="R48" s="472" t="n">
        <v>0</v>
      </c>
      <c r="S48" s="472" t="inlineStr">
        <is>
          <t>Adjustment</t>
        </is>
      </c>
      <c r="T48" s="472">
        <f>FALSE()</f>
        <v/>
      </c>
      <c r="Y48" s="472" t="inlineStr">
        <is>
          <t>Paid</t>
        </is>
      </c>
      <c r="Z48" s="472" t="inlineStr">
        <is>
          <t>ridhi25madan</t>
        </is>
      </c>
      <c r="AC48" s="490" t="inlineStr">
        <is>
          <t>Content Writing Exp.</t>
        </is>
      </c>
      <c r="AE48" s="472" t="inlineStr">
        <is>
          <t>content Writing</t>
        </is>
      </c>
      <c r="AF48" s="472" t="n">
        <v>1</v>
      </c>
      <c r="AH48" s="472" t="n">
        <v>0</v>
      </c>
      <c r="AI48" s="472" t="n">
        <v>100000</v>
      </c>
      <c r="AJ48" s="472">
        <f>FALSE()</f>
        <v/>
      </c>
      <c r="AL48" s="472" t="inlineStr">
        <is>
          <t>UP</t>
        </is>
      </c>
      <c r="AM48" s="472" t="inlineStr">
        <is>
          <t>UP</t>
        </is>
      </c>
      <c r="AN48" s="472" t="inlineStr">
        <is>
          <t>business_none</t>
        </is>
      </c>
      <c r="AP48" s="472" t="inlineStr">
        <is>
          <t>entity_level</t>
        </is>
      </c>
      <c r="AQ48" s="472" t="n">
        <v>2.29715200000003e+18</v>
      </c>
      <c r="AR48" s="472" t="inlineStr">
        <is>
          <t>Payment of contractors HUF/Indiv</t>
        </is>
      </c>
      <c r="AS48" s="472" t="n">
        <v>1</v>
      </c>
      <c r="AT48" s="472" t="inlineStr">
        <is>
          <t>194C</t>
        </is>
      </c>
      <c r="AU48" s="472" t="inlineStr">
        <is>
          <t>Section 194 C</t>
        </is>
      </c>
      <c r="AV48" s="472" t="n">
        <v>1000</v>
      </c>
      <c r="AZ48" s="472" t="n">
        <v>100000</v>
      </c>
      <c r="BA48" s="472" t="inlineStr">
        <is>
          <t>entity_level</t>
        </is>
      </c>
      <c r="BB48" s="472">
        <f>TRUE()</f>
        <v/>
      </c>
      <c r="BC48" s="472" t="n">
        <v>0</v>
      </c>
      <c r="BD48" s="472" t="n">
        <v>0</v>
      </c>
      <c r="BQ48" s="472" t="inlineStr">
        <is>
          <t>service</t>
        </is>
      </c>
      <c r="BV48" s="472" t="inlineStr">
        <is>
          <t>eligible</t>
        </is>
      </c>
      <c r="BW48" s="472" t="n">
        <v>0</v>
      </c>
      <c r="BZ48" s="472">
        <f>FALSE()</f>
        <v/>
      </c>
    </row>
    <row r="49" ht="13.5" customHeight="1" s="253">
      <c r="A49" s="492" t="n">
        <v>45777</v>
      </c>
      <c r="B49" s="491" t="n">
        <v>45777</v>
      </c>
      <c r="C49" s="472" t="n">
        <v>2.29715200000014e+18</v>
      </c>
      <c r="D49" s="490" t="inlineStr">
        <is>
          <t>JAYANTH BJ</t>
        </is>
      </c>
      <c r="E49" s="472" t="n">
        <v>0</v>
      </c>
      <c r="F49" s="472" t="n">
        <v>0</v>
      </c>
      <c r="G49" s="472" t="inlineStr">
        <is>
          <t>Due on Receipt</t>
        </is>
      </c>
      <c r="H49" s="472" t="inlineStr">
        <is>
          <t>3/2025-26</t>
        </is>
      </c>
      <c r="J49" s="472" t="inlineStr">
        <is>
          <t>INR</t>
        </is>
      </c>
      <c r="K49" s="472" t="n">
        <v>1</v>
      </c>
      <c r="L49" s="490" t="n">
        <v>114456</v>
      </c>
      <c r="M49" s="472" t="n">
        <v>113456</v>
      </c>
      <c r="N49" s="472" t="n">
        <v>0</v>
      </c>
      <c r="R49" s="472" t="n">
        <v>0</v>
      </c>
      <c r="S49" s="472" t="inlineStr">
        <is>
          <t>Adjustment</t>
        </is>
      </c>
      <c r="T49" s="472">
        <f>FALSE()</f>
        <v/>
      </c>
      <c r="Y49" s="472" t="inlineStr">
        <is>
          <t>Paid</t>
        </is>
      </c>
      <c r="Z49" s="472" t="inlineStr">
        <is>
          <t>ridhi25madan</t>
        </is>
      </c>
      <c r="AC49" s="490" t="inlineStr">
        <is>
          <t>Travel Expense</t>
        </is>
      </c>
      <c r="AE49" s="472" t="inlineStr">
        <is>
          <t>Trvelling Reimb</t>
        </is>
      </c>
      <c r="AF49" s="472" t="n">
        <v>1</v>
      </c>
      <c r="AH49" s="472" t="n">
        <v>0</v>
      </c>
      <c r="AI49" s="472" t="n">
        <v>14456</v>
      </c>
      <c r="AJ49" s="472">
        <f>FALSE()</f>
        <v/>
      </c>
      <c r="AL49" s="472" t="inlineStr">
        <is>
          <t>UP</t>
        </is>
      </c>
      <c r="AM49" s="472" t="inlineStr">
        <is>
          <t>UP</t>
        </is>
      </c>
      <c r="AN49" s="472" t="inlineStr">
        <is>
          <t>business_none</t>
        </is>
      </c>
      <c r="AP49" s="472" t="inlineStr">
        <is>
          <t>entity_level</t>
        </is>
      </c>
      <c r="AQ49" s="472" t="n">
        <v>2.29715200000003e+18</v>
      </c>
      <c r="AR49" s="472" t="inlineStr">
        <is>
          <t>Payment of contractors HUF/Indiv</t>
        </is>
      </c>
      <c r="AS49" s="472" t="n">
        <v>1</v>
      </c>
      <c r="AT49" s="472" t="inlineStr">
        <is>
          <t>194C</t>
        </is>
      </c>
      <c r="AU49" s="472" t="inlineStr">
        <is>
          <t>Section 194 C</t>
        </is>
      </c>
      <c r="AV49" s="472" t="n">
        <v>1000</v>
      </c>
      <c r="AZ49" s="472" t="n">
        <v>14456</v>
      </c>
      <c r="BA49" s="472" t="inlineStr">
        <is>
          <t>entity_level</t>
        </is>
      </c>
      <c r="BB49" s="472">
        <f>TRUE()</f>
        <v/>
      </c>
      <c r="BC49" s="472" t="n">
        <v>0</v>
      </c>
      <c r="BD49" s="472" t="n">
        <v>0</v>
      </c>
      <c r="BQ49" s="472" t="inlineStr">
        <is>
          <t>service</t>
        </is>
      </c>
      <c r="BV49" s="472" t="inlineStr">
        <is>
          <t>eligible</t>
        </is>
      </c>
      <c r="BW49" s="472" t="n">
        <v>0</v>
      </c>
      <c r="BZ49" s="472">
        <f>FALSE()</f>
        <v/>
      </c>
    </row>
    <row r="50" ht="13.5" customHeight="1" s="253">
      <c r="A50" s="492" t="n">
        <v>45777</v>
      </c>
      <c r="B50" s="491" t="n">
        <v>45777</v>
      </c>
      <c r="C50" s="472" t="n">
        <v>2.29715200000014e+18</v>
      </c>
      <c r="D50" s="490" t="inlineStr">
        <is>
          <t>PRACHETA RATHORE</t>
        </is>
      </c>
      <c r="E50" s="472" t="n">
        <v>0</v>
      </c>
      <c r="F50" s="472" t="n">
        <v>0</v>
      </c>
      <c r="G50" s="472" t="inlineStr">
        <is>
          <t>Due on Receipt</t>
        </is>
      </c>
      <c r="H50" s="472" t="inlineStr">
        <is>
          <t>1/2025-26</t>
        </is>
      </c>
      <c r="J50" s="472" t="inlineStr">
        <is>
          <t>INR</t>
        </is>
      </c>
      <c r="K50" s="472" t="n">
        <v>1</v>
      </c>
      <c r="L50" s="490" t="n">
        <v>52572</v>
      </c>
      <c r="M50" s="472" t="n">
        <v>52072</v>
      </c>
      <c r="N50" s="472" t="n">
        <v>0</v>
      </c>
      <c r="R50" s="472" t="n">
        <v>0</v>
      </c>
      <c r="S50" s="472" t="inlineStr">
        <is>
          <t>Adjustment</t>
        </is>
      </c>
      <c r="T50" s="472">
        <f>FALSE()</f>
        <v/>
      </c>
      <c r="Y50" s="472" t="inlineStr">
        <is>
          <t>Paid</t>
        </is>
      </c>
      <c r="Z50" s="472" t="inlineStr">
        <is>
          <t>ridhi25madan</t>
        </is>
      </c>
      <c r="AC50" s="490" t="inlineStr">
        <is>
          <t>Content Writing Exp.</t>
        </is>
      </c>
      <c r="AE50" s="472" t="inlineStr">
        <is>
          <t>content Writing</t>
        </is>
      </c>
      <c r="AF50" s="472" t="n">
        <v>1</v>
      </c>
      <c r="AH50" s="472" t="n">
        <v>0</v>
      </c>
      <c r="AI50" s="472" t="n">
        <v>50000</v>
      </c>
      <c r="AJ50" s="472">
        <f>FALSE()</f>
        <v/>
      </c>
      <c r="AL50" s="472" t="inlineStr">
        <is>
          <t>UP</t>
        </is>
      </c>
      <c r="AM50" s="472" t="inlineStr">
        <is>
          <t>UP</t>
        </is>
      </c>
      <c r="AN50" s="472" t="inlineStr">
        <is>
          <t>business_none</t>
        </is>
      </c>
      <c r="AP50" s="472" t="inlineStr">
        <is>
          <t>entity_level</t>
        </is>
      </c>
      <c r="AQ50" s="472" t="n">
        <v>2.29715200000003e+18</v>
      </c>
      <c r="AR50" s="472" t="inlineStr">
        <is>
          <t>Payment of contractors HUF/Indiv</t>
        </is>
      </c>
      <c r="AS50" s="472" t="n">
        <v>1</v>
      </c>
      <c r="AT50" s="472" t="inlineStr">
        <is>
          <t>194C</t>
        </is>
      </c>
      <c r="AU50" s="472" t="inlineStr">
        <is>
          <t>Section 194 C</t>
        </is>
      </c>
      <c r="AV50" s="472" t="n">
        <v>500</v>
      </c>
      <c r="AZ50" s="472" t="n">
        <v>50000</v>
      </c>
      <c r="BA50" s="472" t="inlineStr">
        <is>
          <t>entity_level</t>
        </is>
      </c>
      <c r="BB50" s="472">
        <f>TRUE()</f>
        <v/>
      </c>
      <c r="BC50" s="472" t="n">
        <v>0</v>
      </c>
      <c r="BD50" s="472" t="n">
        <v>0</v>
      </c>
      <c r="BQ50" s="472" t="inlineStr">
        <is>
          <t>service</t>
        </is>
      </c>
      <c r="BV50" s="472" t="inlineStr">
        <is>
          <t>eligible</t>
        </is>
      </c>
      <c r="BW50" s="472" t="n">
        <v>0</v>
      </c>
      <c r="BZ50" s="472">
        <f>FALSE()</f>
        <v/>
      </c>
    </row>
    <row r="51" ht="13.5" customHeight="1" s="253">
      <c r="A51" s="492" t="n">
        <v>45777</v>
      </c>
      <c r="B51" s="491" t="n">
        <v>45777</v>
      </c>
      <c r="C51" s="472" t="n">
        <v>2.29715200000014e+18</v>
      </c>
      <c r="D51" s="490" t="inlineStr">
        <is>
          <t>PRACHETA RATHORE</t>
        </is>
      </c>
      <c r="E51" s="472" t="n">
        <v>0</v>
      </c>
      <c r="F51" s="472" t="n">
        <v>0</v>
      </c>
      <c r="G51" s="472" t="inlineStr">
        <is>
          <t>Due on Receipt</t>
        </is>
      </c>
      <c r="H51" s="472" t="inlineStr">
        <is>
          <t>1/2025-26</t>
        </is>
      </c>
      <c r="J51" s="472" t="inlineStr">
        <is>
          <t>INR</t>
        </is>
      </c>
      <c r="K51" s="472" t="n">
        <v>1</v>
      </c>
      <c r="L51" s="490" t="n">
        <v>52572</v>
      </c>
      <c r="M51" s="472" t="n">
        <v>52072</v>
      </c>
      <c r="N51" s="472" t="n">
        <v>0</v>
      </c>
      <c r="R51" s="472" t="n">
        <v>0</v>
      </c>
      <c r="S51" s="472" t="inlineStr">
        <is>
          <t>Adjustment</t>
        </is>
      </c>
      <c r="T51" s="472">
        <f>FALSE()</f>
        <v/>
      </c>
      <c r="Y51" s="472" t="inlineStr">
        <is>
          <t>Paid</t>
        </is>
      </c>
      <c r="Z51" s="472" t="inlineStr">
        <is>
          <t>ridhi25madan</t>
        </is>
      </c>
      <c r="AC51" s="490" t="inlineStr">
        <is>
          <t>Travel Expense</t>
        </is>
      </c>
      <c r="AE51" s="472" t="inlineStr">
        <is>
          <t>Travelling Reimb</t>
        </is>
      </c>
      <c r="AF51" s="472" t="n">
        <v>1</v>
      </c>
      <c r="AH51" s="472" t="n">
        <v>0</v>
      </c>
      <c r="AI51" s="472" t="n">
        <v>2572</v>
      </c>
      <c r="AJ51" s="472">
        <f>FALSE()</f>
        <v/>
      </c>
      <c r="AL51" s="472" t="inlineStr">
        <is>
          <t>UP</t>
        </is>
      </c>
      <c r="AM51" s="472" t="inlineStr">
        <is>
          <t>UP</t>
        </is>
      </c>
      <c r="AN51" s="472" t="inlineStr">
        <is>
          <t>business_none</t>
        </is>
      </c>
      <c r="AP51" s="472" t="inlineStr">
        <is>
          <t>entity_level</t>
        </is>
      </c>
      <c r="AQ51" s="472" t="n">
        <v>2.29715200000003e+18</v>
      </c>
      <c r="AR51" s="472" t="inlineStr">
        <is>
          <t>Payment of contractors HUF/Indiv</t>
        </is>
      </c>
      <c r="AS51" s="472" t="n">
        <v>1</v>
      </c>
      <c r="AT51" s="472" t="inlineStr">
        <is>
          <t>194C</t>
        </is>
      </c>
      <c r="AU51" s="472" t="inlineStr">
        <is>
          <t>Section 194 C</t>
        </is>
      </c>
      <c r="AV51" s="472" t="n">
        <v>500</v>
      </c>
      <c r="AZ51" s="472" t="n">
        <v>2572</v>
      </c>
      <c r="BA51" s="472" t="inlineStr">
        <is>
          <t>entity_level</t>
        </is>
      </c>
      <c r="BB51" s="472">
        <f>TRUE()</f>
        <v/>
      </c>
      <c r="BC51" s="472" t="n">
        <v>0</v>
      </c>
      <c r="BD51" s="472" t="n">
        <v>0</v>
      </c>
      <c r="BQ51" s="472" t="inlineStr">
        <is>
          <t>service</t>
        </is>
      </c>
      <c r="BV51" s="472" t="inlineStr">
        <is>
          <t>eligible</t>
        </is>
      </c>
      <c r="BW51" s="472" t="n">
        <v>0</v>
      </c>
      <c r="BZ51" s="472">
        <f>FALSE()</f>
        <v/>
      </c>
    </row>
    <row r="52" ht="13.5" customHeight="1" s="253">
      <c r="A52" s="492" t="n">
        <v>45758</v>
      </c>
      <c r="B52" s="491" t="n">
        <v>45758</v>
      </c>
      <c r="C52" s="472" t="n">
        <v>2.29715200000014e+18</v>
      </c>
      <c r="D52" s="490" t="inlineStr">
        <is>
          <t>Sab Media and Publication Services Pvt. Ltd.</t>
        </is>
      </c>
      <c r="E52" s="472" t="n">
        <v>0</v>
      </c>
      <c r="F52" s="472" t="n">
        <v>0</v>
      </c>
      <c r="G52" s="472" t="inlineStr">
        <is>
          <t>Due on Receipt</t>
        </is>
      </c>
      <c r="H52" s="472" t="inlineStr">
        <is>
          <t>Proforma7/24-25</t>
        </is>
      </c>
      <c r="J52" s="472" t="inlineStr">
        <is>
          <t>INR</t>
        </is>
      </c>
      <c r="K52" s="472" t="n">
        <v>1</v>
      </c>
      <c r="L52" s="490" t="n">
        <v>125000</v>
      </c>
      <c r="M52" s="472" t="n">
        <v>145000</v>
      </c>
      <c r="N52" s="472" t="n">
        <v>0</v>
      </c>
      <c r="R52" s="472" t="n">
        <v>0</v>
      </c>
      <c r="S52" s="472" t="inlineStr">
        <is>
          <t>Adjustment</t>
        </is>
      </c>
      <c r="T52" s="472">
        <f>FALSE()</f>
        <v/>
      </c>
      <c r="Y52" s="472" t="inlineStr">
        <is>
          <t>Paid</t>
        </is>
      </c>
      <c r="Z52" s="472" t="inlineStr">
        <is>
          <t>ridhi25madan</t>
        </is>
      </c>
      <c r="AC52" s="490" t="inlineStr">
        <is>
          <t>Advertising And Marketing</t>
        </is>
      </c>
      <c r="AE52" s="472" t="inlineStr">
        <is>
          <t>Annual Collaboration, Deliverables: 12 articles or announcements. Duration 12 months.</t>
        </is>
      </c>
      <c r="AF52" s="472" t="n">
        <v>1</v>
      </c>
      <c r="AH52" s="472" t="n">
        <v>22500</v>
      </c>
      <c r="AI52" s="472" t="n">
        <v>125000</v>
      </c>
      <c r="AJ52" s="472">
        <f>FALSE()</f>
        <v/>
      </c>
      <c r="AL52" s="472" t="inlineStr">
        <is>
          <t>KA</t>
        </is>
      </c>
      <c r="AM52" s="472" t="inlineStr">
        <is>
          <t>UP</t>
        </is>
      </c>
      <c r="AN52" s="472" t="inlineStr">
        <is>
          <t>business_gst</t>
        </is>
      </c>
      <c r="AO52" s="472" t="inlineStr">
        <is>
          <t>29AAMCS6235L1ZO</t>
        </is>
      </c>
      <c r="AP52" s="472" t="inlineStr">
        <is>
          <t>entity_level</t>
        </is>
      </c>
      <c r="AQ52" s="472" t="n">
        <v>2.29715200000003e+18</v>
      </c>
      <c r="AR52" s="472" t="inlineStr">
        <is>
          <t>Payment of contractors for Others</t>
        </is>
      </c>
      <c r="AS52" s="472" t="n">
        <v>2</v>
      </c>
      <c r="AT52" s="472" t="inlineStr">
        <is>
          <t>194C</t>
        </is>
      </c>
      <c r="AU52" s="472" t="inlineStr">
        <is>
          <t>Section 194 C</t>
        </is>
      </c>
      <c r="AV52" s="472" t="n">
        <v>2500</v>
      </c>
      <c r="AZ52" s="472" t="n">
        <v>125000</v>
      </c>
      <c r="BA52" s="472" t="inlineStr">
        <is>
          <t>entity_level</t>
        </is>
      </c>
      <c r="BB52" s="472">
        <f>TRUE()</f>
        <v/>
      </c>
      <c r="BC52" s="472" t="n">
        <v>0</v>
      </c>
      <c r="BD52" s="472" t="n">
        <v>0</v>
      </c>
      <c r="BG52" s="472" t="n">
        <v>2.29715200000003e+18</v>
      </c>
      <c r="BH52" s="472" t="inlineStr">
        <is>
          <t>IGST18</t>
        </is>
      </c>
      <c r="BI52" s="472" t="n">
        <v>18</v>
      </c>
      <c r="BJ52" s="472" t="inlineStr">
        <is>
          <t>ItemAmount</t>
        </is>
      </c>
      <c r="BQ52" s="472" t="inlineStr">
        <is>
          <t>service</t>
        </is>
      </c>
      <c r="BV52" s="472" t="inlineStr">
        <is>
          <t>eligible</t>
        </is>
      </c>
      <c r="BW52" s="472" t="n">
        <v>0</v>
      </c>
      <c r="BZ52" s="472">
        <f>FALSE()</f>
        <v/>
      </c>
      <c r="CC52" s="472" t="n">
        <v>0</v>
      </c>
      <c r="CD52" s="472" t="n">
        <v>0</v>
      </c>
      <c r="CE52" s="472" t="n">
        <v>18</v>
      </c>
      <c r="CF52" s="472" t="n">
        <v>0</v>
      </c>
      <c r="CG52" s="472" t="n">
        <v>0</v>
      </c>
      <c r="CH52" s="472" t="n">
        <v>0</v>
      </c>
      <c r="CI52" s="472" t="n">
        <v>22500</v>
      </c>
      <c r="CJ52" s="472" t="n">
        <v>0</v>
      </c>
      <c r="CK52" s="472" t="n">
        <v>0</v>
      </c>
      <c r="CL52" s="472" t="n">
        <v>0</v>
      </c>
      <c r="CM52" s="472" t="n">
        <v>22500</v>
      </c>
      <c r="CN52" s="472" t="n">
        <v>0</v>
      </c>
    </row>
    <row r="53" ht="13.5" customHeight="1" s="253">
      <c r="A53" s="492" t="n">
        <v>45749</v>
      </c>
      <c r="B53" s="491" t="n">
        <v>45749</v>
      </c>
      <c r="C53" s="472" t="n">
        <v>2.29715200000014e+18</v>
      </c>
      <c r="D53" s="490" t="inlineStr">
        <is>
          <t>Amazon Web Services India Private Limited</t>
        </is>
      </c>
      <c r="E53" s="472" t="n">
        <v>0</v>
      </c>
      <c r="F53" s="472" t="n">
        <v>0</v>
      </c>
      <c r="G53" s="472" t="inlineStr">
        <is>
          <t>Due on Receipt</t>
        </is>
      </c>
      <c r="H53" s="472" t="n">
        <v>2121043933</v>
      </c>
      <c r="J53" s="472" t="inlineStr">
        <is>
          <t>INR</t>
        </is>
      </c>
      <c r="K53" s="472" t="n">
        <v>1</v>
      </c>
      <c r="L53" s="490" t="n">
        <v>9956.860000000001</v>
      </c>
      <c r="M53" s="472" t="n">
        <v>8961.17</v>
      </c>
      <c r="N53" s="472" t="n">
        <v>0</v>
      </c>
      <c r="R53" s="472" t="n">
        <v>0</v>
      </c>
      <c r="S53" s="472" t="inlineStr">
        <is>
          <t>Adjustment</t>
        </is>
      </c>
      <c r="T53" s="472">
        <f>FALSE()</f>
        <v/>
      </c>
      <c r="Y53" s="472" t="inlineStr">
        <is>
          <t>Paid</t>
        </is>
      </c>
      <c r="Z53" s="472" t="inlineStr">
        <is>
          <t>ridhi25madan</t>
        </is>
      </c>
      <c r="AC53" s="490" t="inlineStr">
        <is>
          <t>Subscription charges</t>
        </is>
      </c>
      <c r="AE53" s="472" t="inlineStr">
        <is>
          <t>AWS Service Charges</t>
        </is>
      </c>
      <c r="AF53" s="472" t="n">
        <v>1</v>
      </c>
      <c r="AH53" s="472" t="n">
        <v>0</v>
      </c>
      <c r="AI53" s="472" t="n">
        <v>9956.860000000001</v>
      </c>
      <c r="AJ53" s="472">
        <f>FALSE()</f>
        <v/>
      </c>
      <c r="AL53" s="472" t="inlineStr">
        <is>
          <t>UP</t>
        </is>
      </c>
      <c r="AM53" s="472" t="inlineStr">
        <is>
          <t>UP</t>
        </is>
      </c>
      <c r="AN53" s="472" t="inlineStr">
        <is>
          <t>business_none</t>
        </is>
      </c>
      <c r="AP53" s="472" t="inlineStr">
        <is>
          <t>entity_level</t>
        </is>
      </c>
      <c r="AQ53" s="472" t="n">
        <v>2.29715200000003e+18</v>
      </c>
      <c r="AR53" s="472" t="inlineStr">
        <is>
          <t>Professional Fees</t>
        </is>
      </c>
      <c r="AS53" s="472" t="n">
        <v>10</v>
      </c>
      <c r="AT53" s="472" t="inlineStr">
        <is>
          <t>194J</t>
        </is>
      </c>
      <c r="AU53" s="472" t="inlineStr">
        <is>
          <t>Section 194 J</t>
        </is>
      </c>
      <c r="AV53" s="472" t="n">
        <v>995.6900000000001</v>
      </c>
      <c r="AZ53" s="472" t="n">
        <v>9956.856</v>
      </c>
      <c r="BA53" s="472" t="inlineStr">
        <is>
          <t>entity_level</t>
        </is>
      </c>
      <c r="BB53" s="472">
        <f>TRUE()</f>
        <v/>
      </c>
      <c r="BC53" s="472" t="n">
        <v>0</v>
      </c>
      <c r="BD53" s="472" t="n">
        <v>0</v>
      </c>
      <c r="BQ53" s="472" t="inlineStr">
        <is>
          <t>service</t>
        </is>
      </c>
      <c r="BV53" s="472" t="inlineStr">
        <is>
          <t>eligible</t>
        </is>
      </c>
      <c r="BW53" s="472" t="n">
        <v>0</v>
      </c>
      <c r="BZ53" s="472">
        <f>FALSE()</f>
        <v/>
      </c>
    </row>
    <row r="54" ht="13.5" customHeight="1" s="253">
      <c r="A54" s="492" t="n">
        <v>45748</v>
      </c>
      <c r="B54" s="491" t="n">
        <v>45748</v>
      </c>
      <c r="C54" s="472" t="n">
        <v>2.29715200000014e+18</v>
      </c>
      <c r="D54" s="490" t="inlineStr">
        <is>
          <t>Google Workspace</t>
        </is>
      </c>
      <c r="E54" s="472" t="n">
        <v>0</v>
      </c>
      <c r="F54" s="472" t="n">
        <v>0</v>
      </c>
      <c r="G54" s="472" t="inlineStr">
        <is>
          <t>Due on Receipt</t>
        </is>
      </c>
      <c r="H54" s="472" t="n">
        <v>1</v>
      </c>
      <c r="J54" s="472" t="inlineStr">
        <is>
          <t>INR</t>
        </is>
      </c>
      <c r="K54" s="472" t="n">
        <v>1</v>
      </c>
      <c r="L54" s="490" t="n">
        <v>27408.94</v>
      </c>
      <c r="M54" s="472" t="n">
        <v>24668.05</v>
      </c>
      <c r="N54" s="472" t="n">
        <v>0</v>
      </c>
      <c r="R54" s="472" t="n">
        <v>0</v>
      </c>
      <c r="S54" s="472" t="inlineStr">
        <is>
          <t>Adjustment</t>
        </is>
      </c>
      <c r="T54" s="472">
        <f>FALSE()</f>
        <v/>
      </c>
      <c r="Y54" s="472" t="inlineStr">
        <is>
          <t>Paid</t>
        </is>
      </c>
      <c r="Z54" s="472" t="inlineStr">
        <is>
          <t>ridhi25madan</t>
        </is>
      </c>
      <c r="AC54" s="490" t="inlineStr">
        <is>
          <t>Subscription charges</t>
        </is>
      </c>
      <c r="AE54" s="472" t="inlineStr">
        <is>
          <t>Subscription</t>
        </is>
      </c>
      <c r="AF54" s="472" t="n">
        <v>1</v>
      </c>
      <c r="AH54" s="472" t="n">
        <v>0</v>
      </c>
      <c r="AI54" s="472" t="n">
        <v>27408.94</v>
      </c>
      <c r="AJ54" s="472">
        <f>FALSE()</f>
        <v/>
      </c>
      <c r="AL54" s="472" t="inlineStr">
        <is>
          <t>UP</t>
        </is>
      </c>
      <c r="AM54" s="472" t="inlineStr">
        <is>
          <t>UP</t>
        </is>
      </c>
      <c r="AN54" s="472" t="inlineStr">
        <is>
          <t>business_none</t>
        </is>
      </c>
      <c r="AP54" s="472" t="inlineStr">
        <is>
          <t>entity_level</t>
        </is>
      </c>
      <c r="AQ54" s="472" t="n">
        <v>2.29715200000003e+18</v>
      </c>
      <c r="AR54" s="472" t="inlineStr">
        <is>
          <t>Professional Fees</t>
        </is>
      </c>
      <c r="AS54" s="472" t="n">
        <v>10</v>
      </c>
      <c r="AT54" s="472" t="inlineStr">
        <is>
          <t>194J</t>
        </is>
      </c>
      <c r="AU54" s="472" t="inlineStr">
        <is>
          <t>Section 194 J</t>
        </is>
      </c>
      <c r="AV54" s="472" t="n">
        <v>2740.89</v>
      </c>
      <c r="AZ54" s="472" t="n">
        <v>27408.94</v>
      </c>
      <c r="BA54" s="472" t="inlineStr">
        <is>
          <t>entity_level</t>
        </is>
      </c>
      <c r="BB54" s="472">
        <f>TRUE()</f>
        <v/>
      </c>
      <c r="BC54" s="472" t="n">
        <v>0</v>
      </c>
      <c r="BD54" s="472" t="n">
        <v>0</v>
      </c>
      <c r="BQ54" s="472" t="inlineStr">
        <is>
          <t>service</t>
        </is>
      </c>
      <c r="BV54" s="472" t="inlineStr">
        <is>
          <t>eligible</t>
        </is>
      </c>
      <c r="BW54" s="472" t="n">
        <v>0</v>
      </c>
      <c r="BZ54" s="472">
        <f>FALSE()</f>
        <v/>
      </c>
    </row>
    <row r="55" ht="13.5" customHeight="1" s="253">
      <c r="A55" s="491" t="n">
        <v>45778</v>
      </c>
      <c r="B55" s="491" t="n">
        <v>45778</v>
      </c>
      <c r="C55" s="472" t="n">
        <v>2.29715200000016e+18</v>
      </c>
      <c r="D55" s="472" t="inlineStr">
        <is>
          <t>Razorpay Creditors</t>
        </is>
      </c>
      <c r="E55" s="472" t="n">
        <v>0</v>
      </c>
      <c r="F55" s="472" t="n">
        <v>0</v>
      </c>
      <c r="G55" s="472" t="inlineStr">
        <is>
          <t>Custom</t>
        </is>
      </c>
      <c r="H55" s="472" t="n">
        <v>254326</v>
      </c>
      <c r="J55" s="472" t="inlineStr">
        <is>
          <t>INR</t>
        </is>
      </c>
      <c r="K55" s="472" t="n">
        <v>1</v>
      </c>
      <c r="L55" s="472" t="n">
        <v>15</v>
      </c>
      <c r="M55" s="472" t="n">
        <v>17.7</v>
      </c>
      <c r="N55" s="472" t="n">
        <v>0</v>
      </c>
      <c r="R55" s="472" t="n">
        <v>0</v>
      </c>
      <c r="S55" s="472" t="inlineStr">
        <is>
          <t>Adjustment</t>
        </is>
      </c>
      <c r="T55" s="472">
        <f>FALSE()</f>
        <v/>
      </c>
      <c r="Y55" s="472" t="inlineStr">
        <is>
          <t>Paid</t>
        </is>
      </c>
      <c r="Z55" s="472" t="inlineStr">
        <is>
          <t>ridhi25madan</t>
        </is>
      </c>
      <c r="AC55" s="472" t="inlineStr">
        <is>
          <t>Platform Charges</t>
        </is>
      </c>
      <c r="AF55" s="472" t="n">
        <v>1</v>
      </c>
      <c r="AH55" s="472" t="n">
        <v>2.7</v>
      </c>
      <c r="AI55" s="472" t="n">
        <v>15</v>
      </c>
      <c r="AJ55" s="472">
        <f>FALSE()</f>
        <v/>
      </c>
      <c r="AL55" s="472" t="inlineStr">
        <is>
          <t>KA</t>
        </is>
      </c>
      <c r="AM55" s="472" t="inlineStr">
        <is>
          <t>UP</t>
        </is>
      </c>
      <c r="AN55" s="472" t="inlineStr">
        <is>
          <t>business_gst</t>
        </is>
      </c>
      <c r="AO55" s="472" t="inlineStr">
        <is>
          <t>29AAKCR4702K1Z1</t>
        </is>
      </c>
      <c r="AP55" s="472" t="inlineStr">
        <is>
          <t>item_level</t>
        </is>
      </c>
      <c r="AS55" s="472" t="n">
        <v>0</v>
      </c>
      <c r="AV55" s="472" t="n">
        <v>0</v>
      </c>
      <c r="AZ55" s="472" t="n">
        <v>15</v>
      </c>
      <c r="BA55" s="472" t="inlineStr">
        <is>
          <t>entity_level</t>
        </is>
      </c>
      <c r="BB55" s="472">
        <f>TRUE()</f>
        <v/>
      </c>
      <c r="BC55" s="472" t="n">
        <v>0</v>
      </c>
      <c r="BD55" s="472" t="n">
        <v>0</v>
      </c>
      <c r="BG55" s="472" t="n">
        <v>2.29715200000003e+18</v>
      </c>
      <c r="BH55" s="472" t="inlineStr">
        <is>
          <t>IGST18</t>
        </is>
      </c>
      <c r="BI55" s="472" t="n">
        <v>18</v>
      </c>
      <c r="BJ55" s="472" t="inlineStr">
        <is>
          <t>ItemAmount</t>
        </is>
      </c>
      <c r="BM55" s="472" t="n">
        <v>0</v>
      </c>
      <c r="BQ55" s="472" t="inlineStr">
        <is>
          <t>service</t>
        </is>
      </c>
      <c r="BV55" s="472" t="inlineStr">
        <is>
          <t>eligible</t>
        </is>
      </c>
      <c r="BW55" s="472" t="n">
        <v>0</v>
      </c>
      <c r="BZ55" s="472">
        <f>FALSE()</f>
        <v/>
      </c>
      <c r="CC55" s="472" t="n">
        <v>0</v>
      </c>
      <c r="CD55" s="472" t="n">
        <v>0</v>
      </c>
      <c r="CE55" s="472" t="n">
        <v>18</v>
      </c>
      <c r="CF55" s="472" t="n">
        <v>0</v>
      </c>
      <c r="CG55" s="472" t="n">
        <v>0</v>
      </c>
      <c r="CH55" s="472" t="n">
        <v>0</v>
      </c>
      <c r="CI55" s="472" t="n">
        <v>2.7</v>
      </c>
      <c r="CJ55" s="472" t="n">
        <v>0</v>
      </c>
      <c r="CK55" s="472" t="n">
        <v>0</v>
      </c>
      <c r="CL55" s="472" t="n">
        <v>0</v>
      </c>
      <c r="CM55" s="472" t="n">
        <v>2.7</v>
      </c>
      <c r="CN55" s="472" t="n">
        <v>0</v>
      </c>
    </row>
    <row r="56" ht="13.5" customHeight="1" s="253">
      <c r="A56" s="491" t="n">
        <v>45778</v>
      </c>
      <c r="B56" s="491" t="n">
        <v>45778</v>
      </c>
      <c r="C56" s="472" t="n">
        <v>2.29715200000016e+18</v>
      </c>
      <c r="D56" s="472" t="inlineStr">
        <is>
          <t>Razorpay Creditors</t>
        </is>
      </c>
      <c r="E56" s="472" t="n">
        <v>0</v>
      </c>
      <c r="F56" s="472" t="n">
        <v>0</v>
      </c>
      <c r="G56" s="472" t="inlineStr">
        <is>
          <t>Custom</t>
        </is>
      </c>
      <c r="H56" s="472" t="n">
        <v>254979</v>
      </c>
      <c r="J56" s="472" t="inlineStr">
        <is>
          <t>INR</t>
        </is>
      </c>
      <c r="K56" s="472" t="n">
        <v>1</v>
      </c>
      <c r="L56" s="472" t="n">
        <v>100</v>
      </c>
      <c r="M56" s="472" t="n">
        <v>118</v>
      </c>
      <c r="N56" s="472" t="n">
        <v>0</v>
      </c>
      <c r="R56" s="472" t="n">
        <v>0</v>
      </c>
      <c r="S56" s="472" t="inlineStr">
        <is>
          <t>Adjustment</t>
        </is>
      </c>
      <c r="T56" s="472">
        <f>FALSE()</f>
        <v/>
      </c>
      <c r="Y56" s="472" t="inlineStr">
        <is>
          <t>Paid</t>
        </is>
      </c>
      <c r="Z56" s="472" t="inlineStr">
        <is>
          <t>ridhi25madan</t>
        </is>
      </c>
      <c r="AC56" s="472" t="inlineStr">
        <is>
          <t>Platform Charges</t>
        </is>
      </c>
      <c r="AF56" s="472" t="n">
        <v>1</v>
      </c>
      <c r="AH56" s="472" t="n">
        <v>18</v>
      </c>
      <c r="AI56" s="472" t="n">
        <v>100</v>
      </c>
      <c r="AJ56" s="472">
        <f>FALSE()</f>
        <v/>
      </c>
      <c r="AL56" s="472" t="inlineStr">
        <is>
          <t>KA</t>
        </is>
      </c>
      <c r="AM56" s="472" t="inlineStr">
        <is>
          <t>UP</t>
        </is>
      </c>
      <c r="AN56" s="472" t="inlineStr">
        <is>
          <t>business_gst</t>
        </is>
      </c>
      <c r="AO56" s="472" t="inlineStr">
        <is>
          <t>29AAKCR4702K1Z1</t>
        </is>
      </c>
      <c r="AP56" s="472" t="inlineStr">
        <is>
          <t>item_level</t>
        </is>
      </c>
      <c r="AS56" s="472" t="n">
        <v>0</v>
      </c>
      <c r="AV56" s="472" t="n">
        <v>0</v>
      </c>
      <c r="AZ56" s="472" t="n">
        <v>100</v>
      </c>
      <c r="BA56" s="472" t="inlineStr">
        <is>
          <t>entity_level</t>
        </is>
      </c>
      <c r="BB56" s="472">
        <f>TRUE()</f>
        <v/>
      </c>
      <c r="BC56" s="472" t="n">
        <v>0</v>
      </c>
      <c r="BD56" s="472" t="n">
        <v>0</v>
      </c>
      <c r="BG56" s="472" t="n">
        <v>2.29715200000003e+18</v>
      </c>
      <c r="BH56" s="472" t="inlineStr">
        <is>
          <t>IGST18</t>
        </is>
      </c>
      <c r="BI56" s="472" t="n">
        <v>18</v>
      </c>
      <c r="BJ56" s="472" t="inlineStr">
        <is>
          <t>ItemAmount</t>
        </is>
      </c>
      <c r="BM56" s="472" t="n">
        <v>0</v>
      </c>
      <c r="BQ56" s="472" t="inlineStr">
        <is>
          <t>service</t>
        </is>
      </c>
      <c r="BV56" s="472" t="inlineStr">
        <is>
          <t>eligible</t>
        </is>
      </c>
      <c r="BW56" s="472" t="n">
        <v>0</v>
      </c>
      <c r="BZ56" s="472">
        <f>FALSE()</f>
        <v/>
      </c>
      <c r="CC56" s="472" t="n">
        <v>0</v>
      </c>
      <c r="CD56" s="472" t="n">
        <v>0</v>
      </c>
      <c r="CE56" s="472" t="n">
        <v>18</v>
      </c>
      <c r="CF56" s="472" t="n">
        <v>0</v>
      </c>
      <c r="CG56" s="472" t="n">
        <v>0</v>
      </c>
      <c r="CH56" s="472" t="n">
        <v>0</v>
      </c>
      <c r="CI56" s="472" t="n">
        <v>18</v>
      </c>
      <c r="CJ56" s="472" t="n">
        <v>0</v>
      </c>
      <c r="CK56" s="472" t="n">
        <v>0</v>
      </c>
      <c r="CL56" s="472" t="n">
        <v>0</v>
      </c>
      <c r="CM56" s="472" t="n">
        <v>18</v>
      </c>
      <c r="CN56" s="472" t="n">
        <v>0</v>
      </c>
    </row>
    <row r="57" ht="13.5" customHeight="1" s="253">
      <c r="A57" s="492" t="n">
        <v>45609</v>
      </c>
      <c r="B57" s="491" t="n">
        <v>45609</v>
      </c>
      <c r="C57" s="472" t="n">
        <v>2.29715200000019e+18</v>
      </c>
      <c r="D57" s="490" t="inlineStr">
        <is>
          <t>ANTHROPIC</t>
        </is>
      </c>
      <c r="E57" s="472" t="n">
        <v>0</v>
      </c>
      <c r="F57" s="472" t="n">
        <v>0</v>
      </c>
      <c r="G57" s="472" t="inlineStr">
        <is>
          <t>Due on Receipt</t>
        </is>
      </c>
      <c r="H57" s="472" t="inlineStr">
        <is>
          <t>41AF6FAD-0009</t>
        </is>
      </c>
      <c r="J57" s="472" t="inlineStr">
        <is>
          <t>INR</t>
        </is>
      </c>
      <c r="K57" s="472" t="n">
        <v>1</v>
      </c>
      <c r="L57" s="490" t="n">
        <v>10376.42</v>
      </c>
      <c r="M57" s="472" t="n">
        <v>10376.42</v>
      </c>
      <c r="N57" s="472" t="n">
        <v>0</v>
      </c>
      <c r="R57" s="472" t="n">
        <v>0</v>
      </c>
      <c r="S57" s="472" t="inlineStr">
        <is>
          <t>Adjustment</t>
        </is>
      </c>
      <c r="T57" s="472">
        <f>FALSE()</f>
        <v/>
      </c>
      <c r="Y57" s="472" t="inlineStr">
        <is>
          <t>Paid</t>
        </is>
      </c>
      <c r="Z57" s="472" t="inlineStr">
        <is>
          <t>ridhi25madan</t>
        </is>
      </c>
      <c r="AC57" s="490" t="inlineStr">
        <is>
          <t>Subscription charges</t>
        </is>
      </c>
      <c r="AE57" s="472" t="inlineStr">
        <is>
          <t>Subscription Charges</t>
        </is>
      </c>
      <c r="AF57" s="472" t="n">
        <v>1</v>
      </c>
      <c r="AH57" s="472" t="n">
        <v>0</v>
      </c>
      <c r="AI57" s="472" t="n">
        <v>10376.42</v>
      </c>
      <c r="AJ57" s="472">
        <f>FALSE()</f>
        <v/>
      </c>
      <c r="AM57" s="472" t="inlineStr">
        <is>
          <t>UP</t>
        </is>
      </c>
      <c r="AN57" s="472" t="inlineStr">
        <is>
          <t>overseas</t>
        </is>
      </c>
      <c r="AP57" s="472" t="inlineStr">
        <is>
          <t>item_level</t>
        </is>
      </c>
      <c r="AS57" s="472" t="n">
        <v>0</v>
      </c>
      <c r="AV57" s="472" t="n">
        <v>0</v>
      </c>
      <c r="AZ57" s="472" t="n">
        <v>10376.42</v>
      </c>
      <c r="BA57" s="472" t="inlineStr">
        <is>
          <t>entity_level</t>
        </is>
      </c>
      <c r="BB57" s="472">
        <f>TRUE()</f>
        <v/>
      </c>
      <c r="BC57" s="472" t="n">
        <v>0</v>
      </c>
      <c r="BD57" s="472" t="n">
        <v>0</v>
      </c>
      <c r="BM57" s="472" t="n">
        <v>0</v>
      </c>
      <c r="BQ57" s="472" t="inlineStr">
        <is>
          <t>service</t>
        </is>
      </c>
      <c r="BV57" s="472" t="inlineStr">
        <is>
          <t>eligible</t>
        </is>
      </c>
      <c r="BW57" s="472" t="n">
        <v>0</v>
      </c>
      <c r="BZ57" s="472">
        <f>FALSE()</f>
        <v/>
      </c>
    </row>
    <row r="58" ht="13.5" customHeight="1" s="253">
      <c r="A58" s="492" t="n">
        <v>45618</v>
      </c>
      <c r="B58" s="491" t="n">
        <v>45618</v>
      </c>
      <c r="C58" s="472" t="n">
        <v>2.29715200000019e+18</v>
      </c>
      <c r="D58" s="490" t="inlineStr">
        <is>
          <t>Indian Kanoon (IKanoon)</t>
        </is>
      </c>
      <c r="E58" s="472" t="n">
        <v>0</v>
      </c>
      <c r="F58" s="472" t="n">
        <v>0</v>
      </c>
      <c r="G58" s="472" t="inlineStr">
        <is>
          <t>Due on Receipt</t>
        </is>
      </c>
      <c r="H58" s="472" t="n">
        <v>2</v>
      </c>
      <c r="J58" s="472" t="inlineStr">
        <is>
          <t>INR</t>
        </is>
      </c>
      <c r="K58" s="472" t="n">
        <v>1</v>
      </c>
      <c r="L58" s="490" t="n">
        <v>3540</v>
      </c>
      <c r="M58" s="472" t="n">
        <v>3540</v>
      </c>
      <c r="N58" s="472" t="n">
        <v>0</v>
      </c>
      <c r="R58" s="472" t="n">
        <v>0</v>
      </c>
      <c r="S58" s="472" t="inlineStr">
        <is>
          <t>Adjustment</t>
        </is>
      </c>
      <c r="T58" s="472">
        <f>FALSE()</f>
        <v/>
      </c>
      <c r="Y58" s="472" t="inlineStr">
        <is>
          <t>Paid</t>
        </is>
      </c>
      <c r="Z58" s="472" t="inlineStr">
        <is>
          <t>ridhi25madan</t>
        </is>
      </c>
      <c r="AC58" s="490" t="inlineStr">
        <is>
          <t>Subscription charges</t>
        </is>
      </c>
      <c r="AE58" s="472" t="inlineStr">
        <is>
          <t>Subscription charges</t>
        </is>
      </c>
      <c r="AF58" s="472" t="n">
        <v>1</v>
      </c>
      <c r="AH58" s="472" t="n">
        <v>0</v>
      </c>
      <c r="AI58" s="472" t="n">
        <v>3540</v>
      </c>
      <c r="AJ58" s="472">
        <f>FALSE()</f>
        <v/>
      </c>
      <c r="AL58" s="472" t="inlineStr">
        <is>
          <t>KA</t>
        </is>
      </c>
      <c r="AM58" s="472" t="inlineStr">
        <is>
          <t>UP</t>
        </is>
      </c>
      <c r="AN58" s="472" t="inlineStr">
        <is>
          <t>business_gst</t>
        </is>
      </c>
      <c r="AO58" s="472" t="inlineStr">
        <is>
          <t>29AADCI5875P2ZM</t>
        </is>
      </c>
      <c r="AP58" s="472" t="inlineStr">
        <is>
          <t>item_level</t>
        </is>
      </c>
      <c r="AS58" s="472" t="n">
        <v>0</v>
      </c>
      <c r="AV58" s="472" t="n">
        <v>0</v>
      </c>
      <c r="AZ58" s="472" t="n">
        <v>3540</v>
      </c>
      <c r="BA58" s="472" t="inlineStr">
        <is>
          <t>entity_level</t>
        </is>
      </c>
      <c r="BB58" s="472">
        <f>TRUE()</f>
        <v/>
      </c>
      <c r="BC58" s="472" t="n">
        <v>0</v>
      </c>
      <c r="BD58" s="472" t="n">
        <v>0</v>
      </c>
      <c r="BM58" s="472" t="n">
        <v>0</v>
      </c>
      <c r="BQ58" s="472" t="inlineStr">
        <is>
          <t>service</t>
        </is>
      </c>
      <c r="BU58" s="472" t="inlineStr">
        <is>
          <t>Out of Scope</t>
        </is>
      </c>
      <c r="BW58" s="472" t="n">
        <v>0</v>
      </c>
      <c r="BZ58" s="472">
        <f>FALSE()</f>
        <v/>
      </c>
    </row>
    <row r="59" ht="13.5" customHeight="1" s="253">
      <c r="A59" s="492" t="n">
        <v>45625</v>
      </c>
      <c r="B59" s="491" t="n">
        <v>45625</v>
      </c>
      <c r="C59" s="472" t="n">
        <v>2.29715200000019e+18</v>
      </c>
      <c r="D59" s="490" t="inlineStr">
        <is>
          <t>CURSOR, AI POWERED</t>
        </is>
      </c>
      <c r="E59" s="472" t="n">
        <v>0</v>
      </c>
      <c r="F59" s="472" t="n">
        <v>0</v>
      </c>
      <c r="G59" s="472" t="inlineStr">
        <is>
          <t>Due on Receipt</t>
        </is>
      </c>
      <c r="H59" s="472" t="n">
        <v>1</v>
      </c>
      <c r="J59" s="472" t="inlineStr">
        <is>
          <t>INR</t>
        </is>
      </c>
      <c r="K59" s="472" t="n">
        <v>1</v>
      </c>
      <c r="L59" s="490" t="n">
        <v>1760.73</v>
      </c>
      <c r="M59" s="472" t="n">
        <v>1760.73</v>
      </c>
      <c r="N59" s="472" t="n">
        <v>0</v>
      </c>
      <c r="R59" s="472" t="n">
        <v>0</v>
      </c>
      <c r="S59" s="472" t="inlineStr">
        <is>
          <t>Adjustment</t>
        </is>
      </c>
      <c r="T59" s="472">
        <f>FALSE()</f>
        <v/>
      </c>
      <c r="Y59" s="472" t="inlineStr">
        <is>
          <t>Paid</t>
        </is>
      </c>
      <c r="Z59" s="472" t="inlineStr">
        <is>
          <t>ridhi25madan</t>
        </is>
      </c>
      <c r="AC59" s="490" t="inlineStr">
        <is>
          <t>Subscription charges</t>
        </is>
      </c>
      <c r="AE59" s="472" t="inlineStr">
        <is>
          <t>Subscription charges</t>
        </is>
      </c>
      <c r="AF59" s="472" t="n">
        <v>1</v>
      </c>
      <c r="AH59" s="472" t="n">
        <v>0</v>
      </c>
      <c r="AI59" s="472" t="n">
        <v>1760.73</v>
      </c>
      <c r="AJ59" s="472">
        <f>FALSE()</f>
        <v/>
      </c>
      <c r="AM59" s="472" t="inlineStr">
        <is>
          <t>UP</t>
        </is>
      </c>
      <c r="AN59" s="472" t="inlineStr">
        <is>
          <t>overseas</t>
        </is>
      </c>
      <c r="AP59" s="472" t="inlineStr">
        <is>
          <t>item_level</t>
        </is>
      </c>
      <c r="AS59" s="472" t="n">
        <v>0</v>
      </c>
      <c r="AV59" s="472" t="n">
        <v>0</v>
      </c>
      <c r="AZ59" s="472" t="n">
        <v>1760.73</v>
      </c>
      <c r="BA59" s="472" t="inlineStr">
        <is>
          <t>entity_level</t>
        </is>
      </c>
      <c r="BB59" s="472">
        <f>TRUE()</f>
        <v/>
      </c>
      <c r="BC59" s="472" t="n">
        <v>0</v>
      </c>
      <c r="BD59" s="472" t="n">
        <v>0</v>
      </c>
      <c r="BM59" s="472" t="n">
        <v>0</v>
      </c>
      <c r="BQ59" s="472" t="inlineStr">
        <is>
          <t>service</t>
        </is>
      </c>
      <c r="BV59" s="472" t="inlineStr">
        <is>
          <t>eligible</t>
        </is>
      </c>
      <c r="BW59" s="472" t="n">
        <v>0</v>
      </c>
      <c r="BZ59" s="472">
        <f>FALSE()</f>
        <v/>
      </c>
    </row>
    <row r="60" ht="13.5" customHeight="1" s="253">
      <c r="A60" s="492" t="n">
        <v>45635</v>
      </c>
      <c r="B60" s="491" t="n">
        <v>45635</v>
      </c>
      <c r="C60" s="472" t="n">
        <v>2.29715200000019e+18</v>
      </c>
      <c r="D60" s="490" t="inlineStr">
        <is>
          <t>SalesForce</t>
        </is>
      </c>
      <c r="E60" s="472" t="n">
        <v>0</v>
      </c>
      <c r="F60" s="472" t="n">
        <v>0</v>
      </c>
      <c r="G60" s="472" t="inlineStr">
        <is>
          <t>Due on Receipt</t>
        </is>
      </c>
      <c r="H60" s="472" t="n">
        <v>32264906</v>
      </c>
      <c r="J60" s="472" t="inlineStr">
        <is>
          <t>INR</t>
        </is>
      </c>
      <c r="K60" s="472" t="n">
        <v>1</v>
      </c>
      <c r="L60" s="490" t="n">
        <v>5081.67</v>
      </c>
      <c r="M60" s="472" t="n">
        <v>5081.67</v>
      </c>
      <c r="N60" s="472" t="n">
        <v>0</v>
      </c>
      <c r="R60" s="472" t="n">
        <v>0</v>
      </c>
      <c r="S60" s="472" t="inlineStr">
        <is>
          <t>Adjustment</t>
        </is>
      </c>
      <c r="T60" s="472">
        <f>FALSE()</f>
        <v/>
      </c>
      <c r="Y60" s="472" t="inlineStr">
        <is>
          <t>Paid</t>
        </is>
      </c>
      <c r="Z60" s="472" t="inlineStr">
        <is>
          <t>ridhi25madan</t>
        </is>
      </c>
      <c r="AC60" s="490" t="inlineStr">
        <is>
          <t>Subscription charges</t>
        </is>
      </c>
      <c r="AE60" s="472" t="inlineStr">
        <is>
          <t>Subs charges</t>
        </is>
      </c>
      <c r="AF60" s="472" t="n">
        <v>1</v>
      </c>
      <c r="AH60" s="472" t="n">
        <v>0</v>
      </c>
      <c r="AI60" s="472" t="n">
        <v>5081.67</v>
      </c>
      <c r="AJ60" s="472">
        <f>FALSE()</f>
        <v/>
      </c>
      <c r="AL60" s="472" t="inlineStr">
        <is>
          <t>KA</t>
        </is>
      </c>
      <c r="AM60" s="472" t="inlineStr">
        <is>
          <t>UP</t>
        </is>
      </c>
      <c r="AN60" s="472" t="inlineStr">
        <is>
          <t>business_gst</t>
        </is>
      </c>
      <c r="AO60" s="472" t="inlineStr">
        <is>
          <t>29AAJCS3582R1ZB</t>
        </is>
      </c>
      <c r="AP60" s="472" t="inlineStr">
        <is>
          <t>item_level</t>
        </is>
      </c>
      <c r="AS60" s="472" t="n">
        <v>0</v>
      </c>
      <c r="AV60" s="472" t="n">
        <v>0</v>
      </c>
      <c r="AZ60" s="472" t="n">
        <v>5081.67</v>
      </c>
      <c r="BA60" s="472" t="inlineStr">
        <is>
          <t>entity_level</t>
        </is>
      </c>
      <c r="BB60" s="472">
        <f>TRUE()</f>
        <v/>
      </c>
      <c r="BC60" s="472" t="n">
        <v>0</v>
      </c>
      <c r="BD60" s="472" t="n">
        <v>0</v>
      </c>
      <c r="BM60" s="472" t="n">
        <v>0</v>
      </c>
      <c r="BQ60" s="472" t="inlineStr">
        <is>
          <t>service</t>
        </is>
      </c>
      <c r="BU60" s="472" t="inlineStr">
        <is>
          <t>Out of Scope</t>
        </is>
      </c>
      <c r="BW60" s="472" t="n">
        <v>0</v>
      </c>
      <c r="BZ60" s="472">
        <f>FALSE()</f>
        <v/>
      </c>
    </row>
    <row r="61" ht="13.5" customHeight="1" s="253">
      <c r="A61" s="492" t="n">
        <v>45636</v>
      </c>
      <c r="B61" s="491" t="n">
        <v>45636</v>
      </c>
      <c r="C61" s="472" t="n">
        <v>2.29715200000019e+18</v>
      </c>
      <c r="D61" s="490" t="inlineStr">
        <is>
          <t>Indian Kanoon (IKanoon)</t>
        </is>
      </c>
      <c r="E61" s="472" t="n">
        <v>0</v>
      </c>
      <c r="F61" s="472" t="n">
        <v>0</v>
      </c>
      <c r="G61" s="472" t="inlineStr">
        <is>
          <t>Due on Receipt</t>
        </is>
      </c>
      <c r="H61" s="472" t="n">
        <v>3</v>
      </c>
      <c r="J61" s="472" t="inlineStr">
        <is>
          <t>INR</t>
        </is>
      </c>
      <c r="K61" s="472" t="n">
        <v>1</v>
      </c>
      <c r="L61" s="490" t="n">
        <v>3540</v>
      </c>
      <c r="M61" s="472" t="n">
        <v>3540</v>
      </c>
      <c r="N61" s="472" t="n">
        <v>0</v>
      </c>
      <c r="R61" s="472" t="n">
        <v>0</v>
      </c>
      <c r="S61" s="472" t="inlineStr">
        <is>
          <t>Adjustment</t>
        </is>
      </c>
      <c r="T61" s="472">
        <f>FALSE()</f>
        <v/>
      </c>
      <c r="Y61" s="472" t="inlineStr">
        <is>
          <t>Paid</t>
        </is>
      </c>
      <c r="Z61" s="472" t="inlineStr">
        <is>
          <t>ridhi25madan</t>
        </is>
      </c>
      <c r="AC61" s="490" t="inlineStr">
        <is>
          <t>Subscription charges</t>
        </is>
      </c>
      <c r="AE61" s="472" t="inlineStr">
        <is>
          <t>Subscription charges</t>
        </is>
      </c>
      <c r="AF61" s="472" t="n">
        <v>1</v>
      </c>
      <c r="AH61" s="472" t="n">
        <v>0</v>
      </c>
      <c r="AI61" s="472" t="n">
        <v>3540</v>
      </c>
      <c r="AJ61" s="472">
        <f>FALSE()</f>
        <v/>
      </c>
      <c r="AL61" s="472" t="inlineStr">
        <is>
          <t>KA</t>
        </is>
      </c>
      <c r="AM61" s="472" t="inlineStr">
        <is>
          <t>UP</t>
        </is>
      </c>
      <c r="AN61" s="472" t="inlineStr">
        <is>
          <t>business_gst</t>
        </is>
      </c>
      <c r="AO61" s="472" t="inlineStr">
        <is>
          <t>29AADCI5875P2ZM</t>
        </is>
      </c>
      <c r="AP61" s="472" t="inlineStr">
        <is>
          <t>item_level</t>
        </is>
      </c>
      <c r="AS61" s="472" t="n">
        <v>0</v>
      </c>
      <c r="AV61" s="472" t="n">
        <v>0</v>
      </c>
      <c r="AZ61" s="472" t="n">
        <v>3540</v>
      </c>
      <c r="BA61" s="472" t="inlineStr">
        <is>
          <t>entity_level</t>
        </is>
      </c>
      <c r="BB61" s="472">
        <f>TRUE()</f>
        <v/>
      </c>
      <c r="BC61" s="472" t="n">
        <v>0</v>
      </c>
      <c r="BD61" s="472" t="n">
        <v>0</v>
      </c>
      <c r="BM61" s="472" t="n">
        <v>0</v>
      </c>
      <c r="BQ61" s="472" t="inlineStr">
        <is>
          <t>service</t>
        </is>
      </c>
      <c r="BU61" s="472" t="inlineStr">
        <is>
          <t>Out of Scope</t>
        </is>
      </c>
      <c r="BW61" s="472" t="n">
        <v>0</v>
      </c>
      <c r="BZ61" s="472">
        <f>FALSE()</f>
        <v/>
      </c>
    </row>
    <row r="62" ht="13.5" customHeight="1" s="253">
      <c r="A62" s="492" t="n">
        <v>45649</v>
      </c>
      <c r="B62" s="491" t="n">
        <v>45649</v>
      </c>
      <c r="C62" s="472" t="n">
        <v>2.29715200000019e+18</v>
      </c>
      <c r="D62" s="490" t="inlineStr">
        <is>
          <t>Indian Kanoon (IKanoon)</t>
        </is>
      </c>
      <c r="E62" s="472" t="n">
        <v>0</v>
      </c>
      <c r="F62" s="472" t="n">
        <v>0</v>
      </c>
      <c r="G62" s="472" t="inlineStr">
        <is>
          <t>Due on Receipt</t>
        </is>
      </c>
      <c r="H62" s="472" t="n">
        <v>4</v>
      </c>
      <c r="J62" s="472" t="inlineStr">
        <is>
          <t>INR</t>
        </is>
      </c>
      <c r="K62" s="472" t="n">
        <v>1</v>
      </c>
      <c r="L62" s="490" t="n">
        <v>3540</v>
      </c>
      <c r="M62" s="472" t="n">
        <v>3540</v>
      </c>
      <c r="N62" s="472" t="n">
        <v>0</v>
      </c>
      <c r="R62" s="472" t="n">
        <v>0</v>
      </c>
      <c r="S62" s="472" t="inlineStr">
        <is>
          <t>Adjustment</t>
        </is>
      </c>
      <c r="T62" s="472">
        <f>FALSE()</f>
        <v/>
      </c>
      <c r="Y62" s="472" t="inlineStr">
        <is>
          <t>Paid</t>
        </is>
      </c>
      <c r="Z62" s="472" t="inlineStr">
        <is>
          <t>ridhi25madan</t>
        </is>
      </c>
      <c r="AC62" s="490" t="inlineStr">
        <is>
          <t>Subscription charges</t>
        </is>
      </c>
      <c r="AE62" s="472" t="inlineStr">
        <is>
          <t>Subscription charges</t>
        </is>
      </c>
      <c r="AF62" s="472" t="n">
        <v>1</v>
      </c>
      <c r="AH62" s="472" t="n">
        <v>0</v>
      </c>
      <c r="AI62" s="472" t="n">
        <v>3540</v>
      </c>
      <c r="AJ62" s="472">
        <f>FALSE()</f>
        <v/>
      </c>
      <c r="AL62" s="472" t="inlineStr">
        <is>
          <t>KA</t>
        </is>
      </c>
      <c r="AM62" s="472" t="inlineStr">
        <is>
          <t>UP</t>
        </is>
      </c>
      <c r="AN62" s="472" t="inlineStr">
        <is>
          <t>business_gst</t>
        </is>
      </c>
      <c r="AO62" s="472" t="inlineStr">
        <is>
          <t>29AADCI5875P2ZM</t>
        </is>
      </c>
      <c r="AP62" s="472" t="inlineStr">
        <is>
          <t>item_level</t>
        </is>
      </c>
      <c r="AS62" s="472" t="n">
        <v>0</v>
      </c>
      <c r="AV62" s="472" t="n">
        <v>0</v>
      </c>
      <c r="AZ62" s="472" t="n">
        <v>3540</v>
      </c>
      <c r="BA62" s="472" t="inlineStr">
        <is>
          <t>entity_level</t>
        </is>
      </c>
      <c r="BB62" s="472">
        <f>TRUE()</f>
        <v/>
      </c>
      <c r="BC62" s="472" t="n">
        <v>0</v>
      </c>
      <c r="BD62" s="472" t="n">
        <v>0</v>
      </c>
      <c r="BM62" s="472" t="n">
        <v>0</v>
      </c>
      <c r="BQ62" s="472" t="inlineStr">
        <is>
          <t>service</t>
        </is>
      </c>
      <c r="BU62" s="472" t="inlineStr">
        <is>
          <t>Out of Scope</t>
        </is>
      </c>
      <c r="BW62" s="472" t="n">
        <v>0</v>
      </c>
      <c r="BZ62" s="472">
        <f>FALSE()</f>
        <v/>
      </c>
    </row>
    <row r="63" ht="13.5" customHeight="1" s="253">
      <c r="A63" s="492" t="n">
        <v>45656</v>
      </c>
      <c r="B63" s="491" t="n">
        <v>45656</v>
      </c>
      <c r="C63" s="472" t="n">
        <v>2.29715200000019e+18</v>
      </c>
      <c r="D63" s="490" t="inlineStr">
        <is>
          <t>CURSOR, AI POWERED</t>
        </is>
      </c>
      <c r="E63" s="472" t="n">
        <v>0</v>
      </c>
      <c r="F63" s="472" t="n">
        <v>0</v>
      </c>
      <c r="G63" s="472" t="inlineStr">
        <is>
          <t>Due on Receipt</t>
        </is>
      </c>
      <c r="H63" s="472" t="n">
        <v>2</v>
      </c>
      <c r="J63" s="472" t="inlineStr">
        <is>
          <t>INR</t>
        </is>
      </c>
      <c r="K63" s="472" t="n">
        <v>1</v>
      </c>
      <c r="L63" s="490" t="n">
        <v>1787.65</v>
      </c>
      <c r="M63" s="472" t="n">
        <v>1787.65</v>
      </c>
      <c r="N63" s="472" t="n">
        <v>0</v>
      </c>
      <c r="R63" s="472" t="n">
        <v>0</v>
      </c>
      <c r="S63" s="472" t="inlineStr">
        <is>
          <t>Adjustment</t>
        </is>
      </c>
      <c r="T63" s="472">
        <f>FALSE()</f>
        <v/>
      </c>
      <c r="Y63" s="472" t="inlineStr">
        <is>
          <t>Paid</t>
        </is>
      </c>
      <c r="Z63" s="472" t="inlineStr">
        <is>
          <t>ridhi25madan</t>
        </is>
      </c>
      <c r="AC63" s="490" t="inlineStr">
        <is>
          <t>Subscription charges</t>
        </is>
      </c>
      <c r="AE63" s="472" t="inlineStr">
        <is>
          <t>Subscription charges</t>
        </is>
      </c>
      <c r="AF63" s="472" t="n">
        <v>1</v>
      </c>
      <c r="AH63" s="472" t="n">
        <v>0</v>
      </c>
      <c r="AI63" s="472" t="n">
        <v>1787.65</v>
      </c>
      <c r="AJ63" s="472">
        <f>FALSE()</f>
        <v/>
      </c>
      <c r="AM63" s="472" t="inlineStr">
        <is>
          <t>UP</t>
        </is>
      </c>
      <c r="AN63" s="472" t="inlineStr">
        <is>
          <t>overseas</t>
        </is>
      </c>
      <c r="AP63" s="472" t="inlineStr">
        <is>
          <t>item_level</t>
        </is>
      </c>
      <c r="AS63" s="472" t="n">
        <v>0</v>
      </c>
      <c r="AV63" s="472" t="n">
        <v>0</v>
      </c>
      <c r="AZ63" s="472" t="n">
        <v>1787.65</v>
      </c>
      <c r="BA63" s="472" t="inlineStr">
        <is>
          <t>entity_level</t>
        </is>
      </c>
      <c r="BB63" s="472">
        <f>TRUE()</f>
        <v/>
      </c>
      <c r="BC63" s="472" t="n">
        <v>0</v>
      </c>
      <c r="BD63" s="472" t="n">
        <v>0</v>
      </c>
      <c r="BM63" s="472" t="n">
        <v>0</v>
      </c>
      <c r="BQ63" s="472" t="inlineStr">
        <is>
          <t>service</t>
        </is>
      </c>
      <c r="BU63" s="472" t="inlineStr">
        <is>
          <t>Out of Scope</t>
        </is>
      </c>
      <c r="BW63" s="472" t="n">
        <v>0</v>
      </c>
      <c r="BZ63" s="472">
        <f>FALSE()</f>
        <v/>
      </c>
    </row>
    <row r="64" ht="13.5" customHeight="1" s="253">
      <c r="A64" s="491" t="n">
        <v>45658</v>
      </c>
      <c r="B64" s="491" t="n">
        <v>45658</v>
      </c>
      <c r="C64" s="472" t="n">
        <v>2.29715200000019e+18</v>
      </c>
      <c r="D64" s="472" t="inlineStr">
        <is>
          <t>Google Workspace</t>
        </is>
      </c>
      <c r="E64" s="472" t="n">
        <v>0</v>
      </c>
      <c r="F64" s="472" t="n">
        <v>0</v>
      </c>
      <c r="G64" s="472" t="inlineStr">
        <is>
          <t>Due on Receipt</t>
        </is>
      </c>
      <c r="H64" s="472" t="n">
        <v>1</v>
      </c>
      <c r="J64" s="472" t="inlineStr">
        <is>
          <t>INR</t>
        </is>
      </c>
      <c r="K64" s="472" t="n">
        <v>1</v>
      </c>
      <c r="L64" s="472" t="n">
        <v>12950.15</v>
      </c>
      <c r="M64" s="472" t="n">
        <v>12950.15</v>
      </c>
      <c r="N64" s="472" t="n">
        <v>0</v>
      </c>
      <c r="R64" s="472" t="n">
        <v>0</v>
      </c>
      <c r="S64" s="472" t="inlineStr">
        <is>
          <t>Adjustment</t>
        </is>
      </c>
      <c r="T64" s="472">
        <f>FALSE()</f>
        <v/>
      </c>
      <c r="Y64" s="472" t="inlineStr">
        <is>
          <t>Paid</t>
        </is>
      </c>
      <c r="Z64" s="472" t="inlineStr">
        <is>
          <t>ridhi25madan</t>
        </is>
      </c>
      <c r="AC64" s="472" t="inlineStr">
        <is>
          <t>Subscription charges</t>
        </is>
      </c>
      <c r="AF64" s="472" t="n">
        <v>1</v>
      </c>
      <c r="AH64" s="472" t="n">
        <v>0</v>
      </c>
      <c r="AI64" s="472" t="n">
        <v>12950.15</v>
      </c>
      <c r="AJ64" s="472">
        <f>FALSE()</f>
        <v/>
      </c>
      <c r="AL64" s="472" t="inlineStr">
        <is>
          <t>UP</t>
        </is>
      </c>
      <c r="AM64" s="472" t="inlineStr">
        <is>
          <t>UP</t>
        </is>
      </c>
      <c r="AN64" s="472" t="inlineStr">
        <is>
          <t>business_none</t>
        </is>
      </c>
      <c r="AP64" s="472" t="inlineStr">
        <is>
          <t>item_level</t>
        </is>
      </c>
      <c r="AS64" s="472" t="n">
        <v>0</v>
      </c>
      <c r="AV64" s="472" t="n">
        <v>0</v>
      </c>
      <c r="AZ64" s="472" t="n">
        <v>12950.15</v>
      </c>
      <c r="BA64" s="472" t="inlineStr">
        <is>
          <t>entity_level</t>
        </is>
      </c>
      <c r="BB64" s="472">
        <f>TRUE()</f>
        <v/>
      </c>
      <c r="BC64" s="472" t="n">
        <v>0</v>
      </c>
      <c r="BD64" s="472" t="n">
        <v>0</v>
      </c>
      <c r="BM64" s="472" t="n">
        <v>0</v>
      </c>
      <c r="BQ64" s="472" t="inlineStr">
        <is>
          <t>service</t>
        </is>
      </c>
      <c r="BV64" s="472" t="inlineStr">
        <is>
          <t>eligible</t>
        </is>
      </c>
      <c r="BW64" s="472" t="n">
        <v>0</v>
      </c>
      <c r="BZ64" s="472">
        <f>FALSE()</f>
        <v/>
      </c>
    </row>
    <row r="65" ht="13.5" customHeight="1" s="253">
      <c r="A65" s="491" t="n">
        <v>45670</v>
      </c>
      <c r="B65" s="491" t="n">
        <v>45670</v>
      </c>
      <c r="C65" s="472" t="n">
        <v>2.29715200000019e+18</v>
      </c>
      <c r="D65" s="472" t="inlineStr">
        <is>
          <t>Indian Kanoon (IKanoon)</t>
        </is>
      </c>
      <c r="E65" s="472" t="n">
        <v>0</v>
      </c>
      <c r="F65" s="472" t="n">
        <v>0</v>
      </c>
      <c r="G65" s="472" t="inlineStr">
        <is>
          <t>Due on Receipt</t>
        </is>
      </c>
      <c r="H65" s="472" t="n">
        <v>5</v>
      </c>
      <c r="J65" s="472" t="inlineStr">
        <is>
          <t>INR</t>
        </is>
      </c>
      <c r="K65" s="472" t="n">
        <v>1</v>
      </c>
      <c r="L65" s="472" t="n">
        <v>11800</v>
      </c>
      <c r="M65" s="472" t="n">
        <v>11800</v>
      </c>
      <c r="N65" s="472" t="n">
        <v>0</v>
      </c>
      <c r="R65" s="472" t="n">
        <v>0</v>
      </c>
      <c r="S65" s="472" t="inlineStr">
        <is>
          <t>Adjustment</t>
        </is>
      </c>
      <c r="T65" s="472">
        <f>FALSE()</f>
        <v/>
      </c>
      <c r="Y65" s="472" t="inlineStr">
        <is>
          <t>Paid</t>
        </is>
      </c>
      <c r="Z65" s="472" t="inlineStr">
        <is>
          <t>ridhi25madan</t>
        </is>
      </c>
      <c r="AC65" s="472" t="inlineStr">
        <is>
          <t>Subscription charges</t>
        </is>
      </c>
      <c r="AE65" s="472" t="inlineStr">
        <is>
          <t>Subscription charges</t>
        </is>
      </c>
      <c r="AF65" s="472" t="n">
        <v>1</v>
      </c>
      <c r="AH65" s="472" t="n">
        <v>0</v>
      </c>
      <c r="AI65" s="472" t="n">
        <v>11800</v>
      </c>
      <c r="AJ65" s="472">
        <f>FALSE()</f>
        <v/>
      </c>
      <c r="AL65" s="472" t="inlineStr">
        <is>
          <t>KA</t>
        </is>
      </c>
      <c r="AM65" s="472" t="inlineStr">
        <is>
          <t>UP</t>
        </is>
      </c>
      <c r="AN65" s="472" t="inlineStr">
        <is>
          <t>business_gst</t>
        </is>
      </c>
      <c r="AO65" s="472" t="inlineStr">
        <is>
          <t>29AADCI5875P2ZM</t>
        </is>
      </c>
      <c r="AP65" s="472" t="inlineStr">
        <is>
          <t>item_level</t>
        </is>
      </c>
      <c r="AS65" s="472" t="n">
        <v>0</v>
      </c>
      <c r="AV65" s="472" t="n">
        <v>0</v>
      </c>
      <c r="AZ65" s="472" t="n">
        <v>11800</v>
      </c>
      <c r="BA65" s="472" t="inlineStr">
        <is>
          <t>entity_level</t>
        </is>
      </c>
      <c r="BB65" s="472">
        <f>TRUE()</f>
        <v/>
      </c>
      <c r="BC65" s="472" t="n">
        <v>0</v>
      </c>
      <c r="BD65" s="472" t="n">
        <v>0</v>
      </c>
      <c r="BM65" s="472" t="n">
        <v>0</v>
      </c>
      <c r="BQ65" s="472" t="inlineStr">
        <is>
          <t>service</t>
        </is>
      </c>
      <c r="BU65" s="472" t="inlineStr">
        <is>
          <t>Out of Scope</t>
        </is>
      </c>
      <c r="BW65" s="472" t="n">
        <v>0</v>
      </c>
      <c r="BZ65" s="472">
        <f>FALSE()</f>
        <v/>
      </c>
    </row>
    <row r="66" ht="13.5" customHeight="1" s="253">
      <c r="A66" s="491" t="n">
        <v>45672</v>
      </c>
      <c r="B66" s="491" t="n">
        <v>45672</v>
      </c>
      <c r="C66" s="472" t="n">
        <v>2.29715200000019e+18</v>
      </c>
      <c r="D66" s="472" t="inlineStr">
        <is>
          <t>ANTHROPIC</t>
        </is>
      </c>
      <c r="E66" s="472" t="n">
        <v>0</v>
      </c>
      <c r="F66" s="472" t="n">
        <v>0</v>
      </c>
      <c r="G66" s="472" t="inlineStr">
        <is>
          <t>Due on Receipt</t>
        </is>
      </c>
      <c r="H66" s="472" t="inlineStr">
        <is>
          <t>41AF6FAD-0013</t>
        </is>
      </c>
      <c r="J66" s="472" t="inlineStr">
        <is>
          <t>INR</t>
        </is>
      </c>
      <c r="K66" s="472" t="n">
        <v>1</v>
      </c>
      <c r="L66" s="472" t="n">
        <v>53296.23</v>
      </c>
      <c r="M66" s="472" t="n">
        <v>53296.23</v>
      </c>
      <c r="N66" s="472" t="n">
        <v>0</v>
      </c>
      <c r="R66" s="472" t="n">
        <v>0</v>
      </c>
      <c r="S66" s="472" t="inlineStr">
        <is>
          <t>Adjustment</t>
        </is>
      </c>
      <c r="T66" s="472">
        <f>FALSE()</f>
        <v/>
      </c>
      <c r="Y66" s="472" t="inlineStr">
        <is>
          <t>Paid</t>
        </is>
      </c>
      <c r="Z66" s="472" t="inlineStr">
        <is>
          <t>ridhi25madan</t>
        </is>
      </c>
      <c r="AC66" s="472" t="inlineStr">
        <is>
          <t>Subscription charges</t>
        </is>
      </c>
      <c r="AE66" s="472" t="inlineStr">
        <is>
          <t>Subscription Charges</t>
        </is>
      </c>
      <c r="AF66" s="472" t="n">
        <v>1</v>
      </c>
      <c r="AH66" s="472" t="n">
        <v>0</v>
      </c>
      <c r="AI66" s="472" t="n">
        <v>53296.23</v>
      </c>
      <c r="AJ66" s="472">
        <f>FALSE()</f>
        <v/>
      </c>
      <c r="AM66" s="472" t="inlineStr">
        <is>
          <t>UP</t>
        </is>
      </c>
      <c r="AN66" s="472" t="inlineStr">
        <is>
          <t>overseas</t>
        </is>
      </c>
      <c r="AP66" s="472" t="inlineStr">
        <is>
          <t>item_level</t>
        </is>
      </c>
      <c r="AS66" s="472" t="n">
        <v>0</v>
      </c>
      <c r="AV66" s="472" t="n">
        <v>0</v>
      </c>
      <c r="AZ66" s="472" t="n">
        <v>53296.23</v>
      </c>
      <c r="BA66" s="472" t="inlineStr">
        <is>
          <t>entity_level</t>
        </is>
      </c>
      <c r="BB66" s="472">
        <f>TRUE()</f>
        <v/>
      </c>
      <c r="BC66" s="472" t="n">
        <v>0</v>
      </c>
      <c r="BD66" s="472" t="n">
        <v>0</v>
      </c>
      <c r="BM66" s="472" t="n">
        <v>0</v>
      </c>
      <c r="BQ66" s="472" t="inlineStr">
        <is>
          <t>service</t>
        </is>
      </c>
      <c r="BV66" s="472" t="inlineStr">
        <is>
          <t>eligible</t>
        </is>
      </c>
      <c r="BW66" s="472" t="n">
        <v>0</v>
      </c>
      <c r="BZ66" s="472">
        <f>FALSE()</f>
        <v/>
      </c>
    </row>
    <row r="67" ht="13.5" customHeight="1" s="253">
      <c r="A67" s="491" t="n">
        <v>45678</v>
      </c>
      <c r="B67" s="491" t="n">
        <v>45678</v>
      </c>
      <c r="C67" s="472" t="n">
        <v>2.29715200000019e+18</v>
      </c>
      <c r="D67" s="472" t="inlineStr">
        <is>
          <t>ANTHROPIC</t>
        </is>
      </c>
      <c r="E67" s="472" t="n">
        <v>0</v>
      </c>
      <c r="F67" s="472" t="n">
        <v>0</v>
      </c>
      <c r="G67" s="472" t="inlineStr">
        <is>
          <t>Due on Receipt</t>
        </is>
      </c>
      <c r="H67" s="472" t="inlineStr">
        <is>
          <t>41AF6FAD-0017</t>
        </is>
      </c>
      <c r="J67" s="472" t="inlineStr">
        <is>
          <t>INR</t>
        </is>
      </c>
      <c r="K67" s="472" t="n">
        <v>1</v>
      </c>
      <c r="L67" s="472" t="n">
        <v>53204.85</v>
      </c>
      <c r="M67" s="472" t="n">
        <v>53204.85</v>
      </c>
      <c r="N67" s="472" t="n">
        <v>0</v>
      </c>
      <c r="R67" s="472" t="n">
        <v>0</v>
      </c>
      <c r="S67" s="472" t="inlineStr">
        <is>
          <t>Adjustment</t>
        </is>
      </c>
      <c r="T67" s="472">
        <f>FALSE()</f>
        <v/>
      </c>
      <c r="Y67" s="472" t="inlineStr">
        <is>
          <t>Paid</t>
        </is>
      </c>
      <c r="Z67" s="472" t="inlineStr">
        <is>
          <t>ridhi25madan</t>
        </is>
      </c>
      <c r="AC67" s="472" t="inlineStr">
        <is>
          <t>Subscription charges</t>
        </is>
      </c>
      <c r="AE67" s="472" t="inlineStr">
        <is>
          <t>Subscription Charges</t>
        </is>
      </c>
      <c r="AF67" s="472" t="n">
        <v>1</v>
      </c>
      <c r="AH67" s="472" t="n">
        <v>0</v>
      </c>
      <c r="AI67" s="472" t="n">
        <v>53204.85</v>
      </c>
      <c r="AJ67" s="472">
        <f>FALSE()</f>
        <v/>
      </c>
      <c r="AM67" s="472" t="inlineStr">
        <is>
          <t>UP</t>
        </is>
      </c>
      <c r="AN67" s="472" t="inlineStr">
        <is>
          <t>overseas</t>
        </is>
      </c>
      <c r="AP67" s="472" t="inlineStr">
        <is>
          <t>item_level</t>
        </is>
      </c>
      <c r="AS67" s="472" t="n">
        <v>0</v>
      </c>
      <c r="AV67" s="472" t="n">
        <v>0</v>
      </c>
      <c r="AZ67" s="472" t="n">
        <v>53204.85</v>
      </c>
      <c r="BA67" s="472" t="inlineStr">
        <is>
          <t>entity_level</t>
        </is>
      </c>
      <c r="BB67" s="472">
        <f>TRUE()</f>
        <v/>
      </c>
      <c r="BC67" s="472" t="n">
        <v>0</v>
      </c>
      <c r="BD67" s="472" t="n">
        <v>0</v>
      </c>
      <c r="BM67" s="472" t="n">
        <v>0</v>
      </c>
      <c r="BQ67" s="472" t="inlineStr">
        <is>
          <t>service</t>
        </is>
      </c>
      <c r="BV67" s="472" t="inlineStr">
        <is>
          <t>eligible</t>
        </is>
      </c>
      <c r="BW67" s="472" t="n">
        <v>0</v>
      </c>
      <c r="BZ67" s="472">
        <f>FALSE()</f>
        <v/>
      </c>
    </row>
    <row r="68" ht="13.5" customHeight="1" s="253">
      <c r="A68" s="491" t="n">
        <v>45685</v>
      </c>
      <c r="B68" s="491" t="n">
        <v>45685</v>
      </c>
      <c r="C68" s="472" t="n">
        <v>2.29715200000019e+18</v>
      </c>
      <c r="D68" s="472" t="inlineStr">
        <is>
          <t>ANTHROPIC</t>
        </is>
      </c>
      <c r="E68" s="472" t="n">
        <v>0</v>
      </c>
      <c r="F68" s="472" t="n">
        <v>0</v>
      </c>
      <c r="G68" s="472" t="inlineStr">
        <is>
          <t>Due on Receipt</t>
        </is>
      </c>
      <c r="H68" s="472" t="inlineStr">
        <is>
          <t>41AF6FAD-0018</t>
        </is>
      </c>
      <c r="J68" s="472" t="inlineStr">
        <is>
          <t>INR</t>
        </is>
      </c>
      <c r="K68" s="472" t="n">
        <v>1</v>
      </c>
      <c r="L68" s="472" t="n">
        <v>26561.94</v>
      </c>
      <c r="M68" s="472" t="n">
        <v>26561.94</v>
      </c>
      <c r="N68" s="472" t="n">
        <v>0</v>
      </c>
      <c r="R68" s="472" t="n">
        <v>0</v>
      </c>
      <c r="S68" s="472" t="inlineStr">
        <is>
          <t>Adjustment</t>
        </is>
      </c>
      <c r="T68" s="472">
        <f>FALSE()</f>
        <v/>
      </c>
      <c r="Y68" s="472" t="inlineStr">
        <is>
          <t>Paid</t>
        </is>
      </c>
      <c r="Z68" s="472" t="inlineStr">
        <is>
          <t>ridhi25madan</t>
        </is>
      </c>
      <c r="AC68" s="472" t="inlineStr">
        <is>
          <t>Subscription charges</t>
        </is>
      </c>
      <c r="AE68" s="472" t="inlineStr">
        <is>
          <t>Subscription Charges</t>
        </is>
      </c>
      <c r="AF68" s="472" t="n">
        <v>1</v>
      </c>
      <c r="AH68" s="472" t="n">
        <v>0</v>
      </c>
      <c r="AI68" s="472" t="n">
        <v>26561.94</v>
      </c>
      <c r="AJ68" s="472">
        <f>FALSE()</f>
        <v/>
      </c>
      <c r="AM68" s="472" t="inlineStr">
        <is>
          <t>UP</t>
        </is>
      </c>
      <c r="AN68" s="472" t="inlineStr">
        <is>
          <t>overseas</t>
        </is>
      </c>
      <c r="AP68" s="472" t="inlineStr">
        <is>
          <t>item_level</t>
        </is>
      </c>
      <c r="AS68" s="472" t="n">
        <v>0</v>
      </c>
      <c r="AV68" s="472" t="n">
        <v>0</v>
      </c>
      <c r="AZ68" s="472" t="n">
        <v>26561.94</v>
      </c>
      <c r="BA68" s="472" t="inlineStr">
        <is>
          <t>entity_level</t>
        </is>
      </c>
      <c r="BB68" s="472">
        <f>TRUE()</f>
        <v/>
      </c>
      <c r="BC68" s="472" t="n">
        <v>0</v>
      </c>
      <c r="BD68" s="472" t="n">
        <v>0</v>
      </c>
      <c r="BM68" s="472" t="n">
        <v>0</v>
      </c>
      <c r="BQ68" s="472" t="inlineStr">
        <is>
          <t>service</t>
        </is>
      </c>
      <c r="BV68" s="472" t="inlineStr">
        <is>
          <t>eligible</t>
        </is>
      </c>
      <c r="BW68" s="472" t="n">
        <v>0</v>
      </c>
      <c r="BZ68" s="472">
        <f>FALSE()</f>
        <v/>
      </c>
    </row>
    <row r="69" ht="13.5" customHeight="1" s="253">
      <c r="A69" s="491" t="n">
        <v>45687</v>
      </c>
      <c r="B69" s="491" t="n">
        <v>45687</v>
      </c>
      <c r="C69" s="472" t="n">
        <v>2.29715200000019e+18</v>
      </c>
      <c r="D69" s="472" t="inlineStr">
        <is>
          <t>CURSOR, AI POWERED</t>
        </is>
      </c>
      <c r="E69" s="472" t="n">
        <v>0</v>
      </c>
      <c r="F69" s="472" t="n">
        <v>0</v>
      </c>
      <c r="G69" s="472" t="inlineStr">
        <is>
          <t>Due on Receipt</t>
        </is>
      </c>
      <c r="H69" s="472" t="n">
        <v>3</v>
      </c>
      <c r="J69" s="472" t="inlineStr">
        <is>
          <t>INR</t>
        </is>
      </c>
      <c r="K69" s="472" t="n">
        <v>1</v>
      </c>
      <c r="L69" s="472" t="n">
        <v>1804.89</v>
      </c>
      <c r="M69" s="472" t="n">
        <v>1804.89</v>
      </c>
      <c r="N69" s="472" t="n">
        <v>0</v>
      </c>
      <c r="R69" s="472" t="n">
        <v>0</v>
      </c>
      <c r="S69" s="472" t="inlineStr">
        <is>
          <t>Adjustment</t>
        </is>
      </c>
      <c r="T69" s="472">
        <f>FALSE()</f>
        <v/>
      </c>
      <c r="Y69" s="472" t="inlineStr">
        <is>
          <t>Paid</t>
        </is>
      </c>
      <c r="Z69" s="472" t="inlineStr">
        <is>
          <t>ridhi25madan</t>
        </is>
      </c>
      <c r="AC69" s="472" t="inlineStr">
        <is>
          <t>Subscription charges</t>
        </is>
      </c>
      <c r="AE69" s="472" t="inlineStr">
        <is>
          <t>Subscription charges</t>
        </is>
      </c>
      <c r="AF69" s="472" t="n">
        <v>1</v>
      </c>
      <c r="AH69" s="472" t="n">
        <v>0</v>
      </c>
      <c r="AI69" s="472" t="n">
        <v>1804.89</v>
      </c>
      <c r="AJ69" s="472">
        <f>FALSE()</f>
        <v/>
      </c>
      <c r="AM69" s="472" t="inlineStr">
        <is>
          <t>UP</t>
        </is>
      </c>
      <c r="AN69" s="472" t="inlineStr">
        <is>
          <t>overseas</t>
        </is>
      </c>
      <c r="AP69" s="472" t="inlineStr">
        <is>
          <t>item_level</t>
        </is>
      </c>
      <c r="AS69" s="472" t="n">
        <v>0</v>
      </c>
      <c r="AV69" s="472" t="n">
        <v>0</v>
      </c>
      <c r="AZ69" s="472" t="n">
        <v>1804.89</v>
      </c>
      <c r="BA69" s="472" t="inlineStr">
        <is>
          <t>entity_level</t>
        </is>
      </c>
      <c r="BB69" s="472">
        <f>TRUE()</f>
        <v/>
      </c>
      <c r="BC69" s="472" t="n">
        <v>0</v>
      </c>
      <c r="BD69" s="472" t="n">
        <v>0</v>
      </c>
      <c r="BM69" s="472" t="n">
        <v>0</v>
      </c>
      <c r="BQ69" s="472" t="inlineStr">
        <is>
          <t>service</t>
        </is>
      </c>
      <c r="BV69" s="472" t="inlineStr">
        <is>
          <t>eligible</t>
        </is>
      </c>
      <c r="BW69" s="472" t="n">
        <v>0</v>
      </c>
      <c r="BZ69" s="472">
        <f>FALSE()</f>
        <v/>
      </c>
    </row>
    <row r="70" ht="13.5" customHeight="1" s="253">
      <c r="A70" s="491" t="n">
        <v>45691</v>
      </c>
      <c r="B70" s="491" t="n">
        <v>45691</v>
      </c>
      <c r="C70" s="472" t="n">
        <v>2.29715200000019e+18</v>
      </c>
      <c r="D70" s="472" t="inlineStr">
        <is>
          <t>ANTHROPIC</t>
        </is>
      </c>
      <c r="E70" s="472" t="n">
        <v>0</v>
      </c>
      <c r="F70" s="472" t="n">
        <v>0</v>
      </c>
      <c r="G70" s="472" t="inlineStr">
        <is>
          <t>Due on Receipt</t>
        </is>
      </c>
      <c r="H70" s="472" t="inlineStr">
        <is>
          <t>41AF6FAD-0020</t>
        </is>
      </c>
      <c r="J70" s="472" t="inlineStr">
        <is>
          <t>INR</t>
        </is>
      </c>
      <c r="K70" s="472" t="n">
        <v>1</v>
      </c>
      <c r="L70" s="472" t="n">
        <v>26820.06</v>
      </c>
      <c r="M70" s="472" t="n">
        <v>26820.06</v>
      </c>
      <c r="N70" s="472" t="n">
        <v>0</v>
      </c>
      <c r="R70" s="472" t="n">
        <v>0</v>
      </c>
      <c r="S70" s="472" t="inlineStr">
        <is>
          <t>Adjustment</t>
        </is>
      </c>
      <c r="T70" s="472">
        <f>FALSE()</f>
        <v/>
      </c>
      <c r="Y70" s="472" t="inlineStr">
        <is>
          <t>Paid</t>
        </is>
      </c>
      <c r="Z70" s="472" t="inlineStr">
        <is>
          <t>ridhi25madan</t>
        </is>
      </c>
      <c r="AC70" s="472" t="inlineStr">
        <is>
          <t>Subscription charges</t>
        </is>
      </c>
      <c r="AE70" s="472" t="inlineStr">
        <is>
          <t>Subscription Charges</t>
        </is>
      </c>
      <c r="AF70" s="472" t="n">
        <v>1</v>
      </c>
      <c r="AH70" s="472" t="n">
        <v>0</v>
      </c>
      <c r="AI70" s="472" t="n">
        <v>26820.06</v>
      </c>
      <c r="AJ70" s="472">
        <f>FALSE()</f>
        <v/>
      </c>
      <c r="AM70" s="472" t="inlineStr">
        <is>
          <t>UP</t>
        </is>
      </c>
      <c r="AN70" s="472" t="inlineStr">
        <is>
          <t>overseas</t>
        </is>
      </c>
      <c r="AP70" s="472" t="inlineStr">
        <is>
          <t>item_level</t>
        </is>
      </c>
      <c r="AS70" s="472" t="n">
        <v>0</v>
      </c>
      <c r="AV70" s="472" t="n">
        <v>0</v>
      </c>
      <c r="AZ70" s="472" t="n">
        <v>26820.06</v>
      </c>
      <c r="BA70" s="472" t="inlineStr">
        <is>
          <t>entity_level</t>
        </is>
      </c>
      <c r="BB70" s="472">
        <f>TRUE()</f>
        <v/>
      </c>
      <c r="BC70" s="472" t="n">
        <v>0</v>
      </c>
      <c r="BD70" s="472" t="n">
        <v>0</v>
      </c>
      <c r="BM70" s="472" t="n">
        <v>0</v>
      </c>
      <c r="BQ70" s="472" t="inlineStr">
        <is>
          <t>service</t>
        </is>
      </c>
      <c r="BV70" s="472" t="inlineStr">
        <is>
          <t>eligible</t>
        </is>
      </c>
      <c r="BW70" s="472" t="n">
        <v>0</v>
      </c>
      <c r="BZ70" s="472">
        <f>FALSE()</f>
        <v/>
      </c>
    </row>
    <row r="71" ht="13.5" customHeight="1" s="253">
      <c r="A71" s="491" t="n">
        <v>45704</v>
      </c>
      <c r="B71" s="491" t="n">
        <v>45704</v>
      </c>
      <c r="C71" s="472" t="n">
        <v>2.29715200000019e+18</v>
      </c>
      <c r="D71" s="472" t="inlineStr">
        <is>
          <t>Indian Kanoon (IKanoon)</t>
        </is>
      </c>
      <c r="E71" s="472" t="n">
        <v>0</v>
      </c>
      <c r="F71" s="472" t="n">
        <v>0</v>
      </c>
      <c r="G71" s="472" t="inlineStr">
        <is>
          <t>Due on Receipt</t>
        </is>
      </c>
      <c r="H71" s="472" t="n">
        <v>6</v>
      </c>
      <c r="J71" s="472" t="inlineStr">
        <is>
          <t>INR</t>
        </is>
      </c>
      <c r="K71" s="472" t="n">
        <v>1</v>
      </c>
      <c r="L71" s="472" t="n">
        <v>11800</v>
      </c>
      <c r="M71" s="472" t="n">
        <v>11800</v>
      </c>
      <c r="N71" s="472" t="n">
        <v>0</v>
      </c>
      <c r="R71" s="472" t="n">
        <v>0</v>
      </c>
      <c r="S71" s="472" t="inlineStr">
        <is>
          <t>Adjustment</t>
        </is>
      </c>
      <c r="T71" s="472">
        <f>FALSE()</f>
        <v/>
      </c>
      <c r="Y71" s="472" t="inlineStr">
        <is>
          <t>Paid</t>
        </is>
      </c>
      <c r="Z71" s="472" t="inlineStr">
        <is>
          <t>ridhi25madan</t>
        </is>
      </c>
      <c r="AC71" s="472" t="inlineStr">
        <is>
          <t>Subscription charges</t>
        </is>
      </c>
      <c r="AE71" s="472" t="inlineStr">
        <is>
          <t>Subscription charges</t>
        </is>
      </c>
      <c r="AF71" s="472" t="n">
        <v>1</v>
      </c>
      <c r="AH71" s="472" t="n">
        <v>0</v>
      </c>
      <c r="AI71" s="472" t="n">
        <v>11800</v>
      </c>
      <c r="AJ71" s="472">
        <f>FALSE()</f>
        <v/>
      </c>
      <c r="AL71" s="472" t="inlineStr">
        <is>
          <t>KA</t>
        </is>
      </c>
      <c r="AM71" s="472" t="inlineStr">
        <is>
          <t>UP</t>
        </is>
      </c>
      <c r="AN71" s="472" t="inlineStr">
        <is>
          <t>business_gst</t>
        </is>
      </c>
      <c r="AO71" s="472" t="inlineStr">
        <is>
          <t>29AADCI5875P2ZM</t>
        </is>
      </c>
      <c r="AP71" s="472" t="inlineStr">
        <is>
          <t>item_level</t>
        </is>
      </c>
      <c r="AS71" s="472" t="n">
        <v>0</v>
      </c>
      <c r="AV71" s="472" t="n">
        <v>0</v>
      </c>
      <c r="AZ71" s="472" t="n">
        <v>11800</v>
      </c>
      <c r="BA71" s="472" t="inlineStr">
        <is>
          <t>entity_level</t>
        </is>
      </c>
      <c r="BB71" s="472">
        <f>TRUE()</f>
        <v/>
      </c>
      <c r="BC71" s="472" t="n">
        <v>0</v>
      </c>
      <c r="BD71" s="472" t="n">
        <v>0</v>
      </c>
      <c r="BM71" s="472" t="n">
        <v>0</v>
      </c>
      <c r="BQ71" s="472" t="inlineStr">
        <is>
          <t>service</t>
        </is>
      </c>
      <c r="BU71" s="472" t="inlineStr">
        <is>
          <t>Out of Scope</t>
        </is>
      </c>
      <c r="BW71" s="472" t="n">
        <v>0</v>
      </c>
      <c r="BZ71" s="472">
        <f>FALSE()</f>
        <v/>
      </c>
    </row>
    <row r="72" ht="13.5" customHeight="1" s="253">
      <c r="A72" s="491" t="n">
        <v>45717</v>
      </c>
      <c r="B72" s="491" t="n">
        <v>45717</v>
      </c>
      <c r="C72" s="472" t="n">
        <v>2.29715200000019e+18</v>
      </c>
      <c r="D72" s="472" t="inlineStr">
        <is>
          <t>CURSOR, AI POWERED</t>
        </is>
      </c>
      <c r="E72" s="472" t="n">
        <v>0</v>
      </c>
      <c r="F72" s="472" t="n">
        <v>0</v>
      </c>
      <c r="G72" s="472" t="inlineStr">
        <is>
          <t>Due on Receipt</t>
        </is>
      </c>
      <c r="H72" s="472" t="n">
        <v>4</v>
      </c>
      <c r="J72" s="472" t="inlineStr">
        <is>
          <t>INR</t>
        </is>
      </c>
      <c r="K72" s="472" t="n">
        <v>1</v>
      </c>
      <c r="L72" s="472" t="n">
        <v>1824.06</v>
      </c>
      <c r="M72" s="472" t="n">
        <v>1824.06</v>
      </c>
      <c r="N72" s="472" t="n">
        <v>0</v>
      </c>
      <c r="R72" s="472" t="n">
        <v>0</v>
      </c>
      <c r="S72" s="472" t="inlineStr">
        <is>
          <t>Adjustment</t>
        </is>
      </c>
      <c r="T72" s="472">
        <f>FALSE()</f>
        <v/>
      </c>
      <c r="Y72" s="472" t="inlineStr">
        <is>
          <t>Paid</t>
        </is>
      </c>
      <c r="Z72" s="472" t="inlineStr">
        <is>
          <t>ridhi25madan</t>
        </is>
      </c>
      <c r="AC72" s="472" t="inlineStr">
        <is>
          <t>Subscription charges</t>
        </is>
      </c>
      <c r="AE72" s="472" t="inlineStr">
        <is>
          <t>Subscription charges</t>
        </is>
      </c>
      <c r="AF72" s="472" t="n">
        <v>1</v>
      </c>
      <c r="AH72" s="472" t="n">
        <v>0</v>
      </c>
      <c r="AI72" s="472" t="n">
        <v>1824.06</v>
      </c>
      <c r="AJ72" s="472">
        <f>FALSE()</f>
        <v/>
      </c>
      <c r="AM72" s="472" t="inlineStr">
        <is>
          <t>UP</t>
        </is>
      </c>
      <c r="AN72" s="472" t="inlineStr">
        <is>
          <t>overseas</t>
        </is>
      </c>
      <c r="AP72" s="472" t="inlineStr">
        <is>
          <t>item_level</t>
        </is>
      </c>
      <c r="AS72" s="472" t="n">
        <v>0</v>
      </c>
      <c r="AV72" s="472" t="n">
        <v>0</v>
      </c>
      <c r="AZ72" s="472" t="n">
        <v>1824.06</v>
      </c>
      <c r="BA72" s="472" t="inlineStr">
        <is>
          <t>entity_level</t>
        </is>
      </c>
      <c r="BB72" s="472">
        <f>TRUE()</f>
        <v/>
      </c>
      <c r="BC72" s="472" t="n">
        <v>0</v>
      </c>
      <c r="BD72" s="472" t="n">
        <v>0</v>
      </c>
      <c r="BM72" s="472" t="n">
        <v>0</v>
      </c>
      <c r="BQ72" s="472" t="inlineStr">
        <is>
          <t>service</t>
        </is>
      </c>
      <c r="BV72" s="472" t="inlineStr">
        <is>
          <t>eligible</t>
        </is>
      </c>
      <c r="BW72" s="472" t="n">
        <v>0</v>
      </c>
      <c r="BZ72" s="472">
        <f>FALSE()</f>
        <v/>
      </c>
    </row>
    <row r="73" ht="13.5" customHeight="1" s="253">
      <c r="A73" s="491" t="n">
        <v>45719</v>
      </c>
      <c r="B73" s="491" t="n">
        <v>45719</v>
      </c>
      <c r="C73" s="472" t="n">
        <v>2.29715200000019e+18</v>
      </c>
      <c r="D73" s="472" t="inlineStr">
        <is>
          <t>SalesForce</t>
        </is>
      </c>
      <c r="E73" s="472" t="n">
        <v>0</v>
      </c>
      <c r="F73" s="472" t="n">
        <v>0</v>
      </c>
      <c r="G73" s="472" t="inlineStr">
        <is>
          <t>Due on Receipt</t>
        </is>
      </c>
      <c r="H73" s="472" t="inlineStr">
        <is>
          <t>Quote Number: Q-09344861</t>
        </is>
      </c>
      <c r="J73" s="472" t="inlineStr">
        <is>
          <t>INR</t>
        </is>
      </c>
      <c r="K73" s="472" t="n">
        <v>1</v>
      </c>
      <c r="L73" s="472" t="n">
        <v>20326.68</v>
      </c>
      <c r="M73" s="472" t="n">
        <v>20326.68</v>
      </c>
      <c r="N73" s="472" t="n">
        <v>0</v>
      </c>
      <c r="R73" s="472" t="n">
        <v>0</v>
      </c>
      <c r="S73" s="472" t="inlineStr">
        <is>
          <t>Adjustment</t>
        </is>
      </c>
      <c r="T73" s="472">
        <f>FALSE()</f>
        <v/>
      </c>
      <c r="Y73" s="472" t="inlineStr">
        <is>
          <t>Paid</t>
        </is>
      </c>
      <c r="Z73" s="472" t="inlineStr">
        <is>
          <t>ridhi25madan</t>
        </is>
      </c>
      <c r="AC73" s="472" t="inlineStr">
        <is>
          <t>Subscription charges</t>
        </is>
      </c>
      <c r="AE73" s="472" t="inlineStr">
        <is>
          <t>Subs charges</t>
        </is>
      </c>
      <c r="AF73" s="472" t="n">
        <v>1</v>
      </c>
      <c r="AH73" s="472" t="n">
        <v>0</v>
      </c>
      <c r="AI73" s="472" t="n">
        <v>20326.68</v>
      </c>
      <c r="AJ73" s="472">
        <f>FALSE()</f>
        <v/>
      </c>
      <c r="AL73" s="472" t="inlineStr">
        <is>
          <t>KA</t>
        </is>
      </c>
      <c r="AM73" s="472" t="inlineStr">
        <is>
          <t>UP</t>
        </is>
      </c>
      <c r="AN73" s="472" t="inlineStr">
        <is>
          <t>business_gst</t>
        </is>
      </c>
      <c r="AO73" s="472" t="inlineStr">
        <is>
          <t>29AAJCS3582R1ZB</t>
        </is>
      </c>
      <c r="AP73" s="472" t="inlineStr">
        <is>
          <t>item_level</t>
        </is>
      </c>
      <c r="AS73" s="472" t="n">
        <v>0</v>
      </c>
      <c r="AV73" s="472" t="n">
        <v>0</v>
      </c>
      <c r="AZ73" s="472" t="n">
        <v>20326.68</v>
      </c>
      <c r="BA73" s="472" t="inlineStr">
        <is>
          <t>entity_level</t>
        </is>
      </c>
      <c r="BB73" s="472">
        <f>TRUE()</f>
        <v/>
      </c>
      <c r="BC73" s="472" t="n">
        <v>0</v>
      </c>
      <c r="BD73" s="472" t="n">
        <v>0</v>
      </c>
      <c r="BM73" s="472" t="n">
        <v>0</v>
      </c>
      <c r="BQ73" s="472" t="inlineStr">
        <is>
          <t>service</t>
        </is>
      </c>
      <c r="BU73" s="472" t="inlineStr">
        <is>
          <t>Out of Scope</t>
        </is>
      </c>
      <c r="BW73" s="472" t="n">
        <v>0</v>
      </c>
      <c r="BZ73" s="472">
        <f>FALSE()</f>
        <v/>
      </c>
    </row>
    <row r="74" ht="13.5" customHeight="1" s="253">
      <c r="A74" s="491" t="n">
        <v>45746</v>
      </c>
      <c r="B74" s="491" t="n">
        <v>45746</v>
      </c>
      <c r="C74" s="472" t="n">
        <v>2.29715200000019e+18</v>
      </c>
      <c r="D74" s="472" t="inlineStr">
        <is>
          <t>CURSOR, AI POWERED</t>
        </is>
      </c>
      <c r="E74" s="472" t="n">
        <v>0</v>
      </c>
      <c r="F74" s="472" t="n">
        <v>0</v>
      </c>
      <c r="G74" s="472" t="inlineStr">
        <is>
          <t>Due on Receipt</t>
        </is>
      </c>
      <c r="H74" s="472" t="n">
        <v>5</v>
      </c>
      <c r="J74" s="472" t="inlineStr">
        <is>
          <t>INR</t>
        </is>
      </c>
      <c r="K74" s="472" t="n">
        <v>1</v>
      </c>
      <c r="L74" s="472" t="n">
        <v>1786.19</v>
      </c>
      <c r="M74" s="472" t="n">
        <v>1786.19</v>
      </c>
      <c r="N74" s="472" t="n">
        <v>0</v>
      </c>
      <c r="R74" s="472" t="n">
        <v>0</v>
      </c>
      <c r="S74" s="472" t="inlineStr">
        <is>
          <t>Adjustment</t>
        </is>
      </c>
      <c r="T74" s="472">
        <f>FALSE()</f>
        <v/>
      </c>
      <c r="Y74" s="472" t="inlineStr">
        <is>
          <t>Paid</t>
        </is>
      </c>
      <c r="Z74" s="472" t="inlineStr">
        <is>
          <t>ridhi25madan</t>
        </is>
      </c>
      <c r="AC74" s="472" t="inlineStr">
        <is>
          <t>Subscription charges</t>
        </is>
      </c>
      <c r="AE74" s="472" t="inlineStr">
        <is>
          <t>Subscription charges</t>
        </is>
      </c>
      <c r="AF74" s="472" t="n">
        <v>1</v>
      </c>
      <c r="AH74" s="472" t="n">
        <v>0</v>
      </c>
      <c r="AI74" s="472" t="n">
        <v>1786.19</v>
      </c>
      <c r="AJ74" s="472">
        <f>FALSE()</f>
        <v/>
      </c>
      <c r="AM74" s="472" t="inlineStr">
        <is>
          <t>UP</t>
        </is>
      </c>
      <c r="AN74" s="472" t="inlineStr">
        <is>
          <t>overseas</t>
        </is>
      </c>
      <c r="AP74" s="472" t="inlineStr">
        <is>
          <t>item_level</t>
        </is>
      </c>
      <c r="AS74" s="472" t="n">
        <v>0</v>
      </c>
      <c r="AV74" s="472" t="n">
        <v>0</v>
      </c>
      <c r="AZ74" s="472" t="n">
        <v>1786.19</v>
      </c>
      <c r="BA74" s="472" t="inlineStr">
        <is>
          <t>entity_level</t>
        </is>
      </c>
      <c r="BB74" s="472">
        <f>TRUE()</f>
        <v/>
      </c>
      <c r="BC74" s="472" t="n">
        <v>0</v>
      </c>
      <c r="BD74" s="472" t="n">
        <v>0</v>
      </c>
      <c r="BM74" s="472" t="n">
        <v>0</v>
      </c>
      <c r="BQ74" s="472" t="inlineStr">
        <is>
          <t>service</t>
        </is>
      </c>
      <c r="BV74" s="472" t="inlineStr">
        <is>
          <t>eligible</t>
        </is>
      </c>
      <c r="BW74" s="472" t="n">
        <v>0</v>
      </c>
      <c r="BZ74" s="472">
        <f>FALSE()</f>
        <v/>
      </c>
    </row>
    <row r="75" ht="13.5" customHeight="1" s="253">
      <c r="A75" s="492" t="n">
        <v>45598</v>
      </c>
      <c r="B75" s="491" t="n">
        <v>45598</v>
      </c>
      <c r="C75" s="472" t="n">
        <v>2.29715200000019e+18</v>
      </c>
      <c r="D75" s="490" t="inlineStr">
        <is>
          <t>Indian Kanoon (IKanoon)</t>
        </is>
      </c>
      <c r="E75" s="472" t="n">
        <v>0</v>
      </c>
      <c r="F75" s="472" t="n">
        <v>0</v>
      </c>
      <c r="G75" s="472" t="inlineStr">
        <is>
          <t>Due on Receipt</t>
        </is>
      </c>
      <c r="H75" s="472" t="n">
        <v>7</v>
      </c>
      <c r="J75" s="472" t="inlineStr">
        <is>
          <t>INR</t>
        </is>
      </c>
      <c r="K75" s="472" t="n">
        <v>1</v>
      </c>
      <c r="L75" s="490" t="n">
        <v>3540</v>
      </c>
      <c r="M75" s="472" t="n">
        <v>3540</v>
      </c>
      <c r="N75" s="472" t="n">
        <v>0</v>
      </c>
      <c r="R75" s="472" t="n">
        <v>0</v>
      </c>
      <c r="S75" s="472" t="inlineStr">
        <is>
          <t>Adjustment</t>
        </is>
      </c>
      <c r="T75" s="472">
        <f>FALSE()</f>
        <v/>
      </c>
      <c r="Y75" s="472" t="inlineStr">
        <is>
          <t>Paid</t>
        </is>
      </c>
      <c r="Z75" s="472" t="inlineStr">
        <is>
          <t>ridhi25madan</t>
        </is>
      </c>
      <c r="AC75" s="490" t="inlineStr">
        <is>
          <t>Subscription charges</t>
        </is>
      </c>
      <c r="AE75" s="472" t="inlineStr">
        <is>
          <t>Subscription charges</t>
        </is>
      </c>
      <c r="AF75" s="472" t="n">
        <v>1</v>
      </c>
      <c r="AH75" s="472" t="n">
        <v>0</v>
      </c>
      <c r="AI75" s="472" t="n">
        <v>3540</v>
      </c>
      <c r="AJ75" s="472">
        <f>FALSE()</f>
        <v/>
      </c>
      <c r="AL75" s="472" t="inlineStr">
        <is>
          <t>KA</t>
        </is>
      </c>
      <c r="AM75" s="472" t="inlineStr">
        <is>
          <t>UP</t>
        </is>
      </c>
      <c r="AN75" s="472" t="inlineStr">
        <is>
          <t>business_gst</t>
        </is>
      </c>
      <c r="AO75" s="472" t="inlineStr">
        <is>
          <t>29AADCI5875P2ZM</t>
        </is>
      </c>
      <c r="AP75" s="472" t="inlineStr">
        <is>
          <t>item_level</t>
        </is>
      </c>
      <c r="AS75" s="472" t="n">
        <v>0</v>
      </c>
      <c r="AV75" s="472" t="n">
        <v>0</v>
      </c>
      <c r="AZ75" s="472" t="n">
        <v>3540</v>
      </c>
      <c r="BA75" s="472" t="inlineStr">
        <is>
          <t>entity_level</t>
        </is>
      </c>
      <c r="BB75" s="472">
        <f>TRUE()</f>
        <v/>
      </c>
      <c r="BC75" s="472" t="n">
        <v>0</v>
      </c>
      <c r="BD75" s="472" t="n">
        <v>0</v>
      </c>
      <c r="BM75" s="472" t="n">
        <v>0</v>
      </c>
      <c r="BQ75" s="472" t="inlineStr">
        <is>
          <t>service</t>
        </is>
      </c>
      <c r="BU75" s="472" t="inlineStr">
        <is>
          <t>Out of Scope</t>
        </is>
      </c>
      <c r="BW75" s="472" t="n">
        <v>0</v>
      </c>
      <c r="BZ75" s="472">
        <f>FALSE()</f>
        <v/>
      </c>
    </row>
    <row r="76" ht="13.5" customHeight="1" s="253">
      <c r="A76" s="492" t="n">
        <v>45584</v>
      </c>
      <c r="B76" s="491" t="n">
        <v>45584</v>
      </c>
      <c r="C76" s="472" t="n">
        <v>2.29715200000019e+18</v>
      </c>
      <c r="D76" s="490" t="inlineStr">
        <is>
          <t>Indian Kanoon (IKanoon)</t>
        </is>
      </c>
      <c r="E76" s="472" t="n">
        <v>0</v>
      </c>
      <c r="F76" s="472" t="n">
        <v>0</v>
      </c>
      <c r="G76" s="472" t="inlineStr">
        <is>
          <t>Due on Receipt</t>
        </is>
      </c>
      <c r="H76" s="472" t="n">
        <v>8</v>
      </c>
      <c r="J76" s="472" t="inlineStr">
        <is>
          <t>INR</t>
        </is>
      </c>
      <c r="K76" s="472" t="n">
        <v>1</v>
      </c>
      <c r="L76" s="490" t="n">
        <v>3540</v>
      </c>
      <c r="M76" s="472" t="n">
        <v>3540</v>
      </c>
      <c r="N76" s="472" t="n">
        <v>0</v>
      </c>
      <c r="R76" s="472" t="n">
        <v>0</v>
      </c>
      <c r="S76" s="472" t="inlineStr">
        <is>
          <t>Adjustment</t>
        </is>
      </c>
      <c r="T76" s="472">
        <f>FALSE()</f>
        <v/>
      </c>
      <c r="Y76" s="472" t="inlineStr">
        <is>
          <t>Paid</t>
        </is>
      </c>
      <c r="Z76" s="472" t="inlineStr">
        <is>
          <t>ridhi25madan</t>
        </is>
      </c>
      <c r="AC76" s="490" t="inlineStr">
        <is>
          <t>Subscription charges</t>
        </is>
      </c>
      <c r="AE76" s="472" t="inlineStr">
        <is>
          <t>Subscription charges</t>
        </is>
      </c>
      <c r="AF76" s="472" t="n">
        <v>1</v>
      </c>
      <c r="AH76" s="472" t="n">
        <v>0</v>
      </c>
      <c r="AI76" s="472" t="n">
        <v>3540</v>
      </c>
      <c r="AJ76" s="472">
        <f>FALSE()</f>
        <v/>
      </c>
      <c r="AL76" s="472" t="inlineStr">
        <is>
          <t>KA</t>
        </is>
      </c>
      <c r="AM76" s="472" t="inlineStr">
        <is>
          <t>UP</t>
        </is>
      </c>
      <c r="AN76" s="472" t="inlineStr">
        <is>
          <t>business_gst</t>
        </is>
      </c>
      <c r="AO76" s="472" t="inlineStr">
        <is>
          <t>29AADCI5875P2ZM</t>
        </is>
      </c>
      <c r="AP76" s="472" t="inlineStr">
        <is>
          <t>item_level</t>
        </is>
      </c>
      <c r="AS76" s="472" t="n">
        <v>0</v>
      </c>
      <c r="AV76" s="472" t="n">
        <v>0</v>
      </c>
      <c r="AZ76" s="472" t="n">
        <v>3540</v>
      </c>
      <c r="BA76" s="472" t="inlineStr">
        <is>
          <t>entity_level</t>
        </is>
      </c>
      <c r="BB76" s="472">
        <f>TRUE()</f>
        <v/>
      </c>
      <c r="BC76" s="472" t="n">
        <v>0</v>
      </c>
      <c r="BD76" s="472" t="n">
        <v>0</v>
      </c>
      <c r="BM76" s="472" t="n">
        <v>0</v>
      </c>
      <c r="BQ76" s="472" t="inlineStr">
        <is>
          <t>service</t>
        </is>
      </c>
      <c r="BU76" s="472" t="inlineStr">
        <is>
          <t>Out of Scope</t>
        </is>
      </c>
      <c r="BW76" s="472" t="n">
        <v>0</v>
      </c>
      <c r="BZ76" s="472">
        <f>FALSE()</f>
        <v/>
      </c>
    </row>
    <row r="77" ht="13.5" customHeight="1" s="253">
      <c r="A77" s="491" t="n">
        <v>45671</v>
      </c>
      <c r="B77" s="491" t="n">
        <v>45671</v>
      </c>
      <c r="C77" s="472" t="n">
        <v>2.29715200000019e+18</v>
      </c>
      <c r="D77" s="472" t="inlineStr">
        <is>
          <t>TECHNOWIRE DATA</t>
        </is>
      </c>
      <c r="E77" s="472" t="n">
        <v>0</v>
      </c>
      <c r="F77" s="472" t="n">
        <v>0</v>
      </c>
      <c r="G77" s="472" t="inlineStr">
        <is>
          <t>Due on Receipt</t>
        </is>
      </c>
      <c r="H77" s="472" t="n">
        <v>1</v>
      </c>
      <c r="J77" s="472" t="inlineStr">
        <is>
          <t>INR</t>
        </is>
      </c>
      <c r="K77" s="472" t="n">
        <v>1</v>
      </c>
      <c r="L77" s="472" t="n">
        <v>3422</v>
      </c>
      <c r="M77" s="472" t="n">
        <v>3422</v>
      </c>
      <c r="N77" s="472" t="n">
        <v>0</v>
      </c>
      <c r="R77" s="472" t="n">
        <v>0</v>
      </c>
      <c r="S77" s="472" t="inlineStr">
        <is>
          <t>Adjustment</t>
        </is>
      </c>
      <c r="T77" s="472">
        <f>FALSE()</f>
        <v/>
      </c>
      <c r="Y77" s="472" t="inlineStr">
        <is>
          <t>Paid</t>
        </is>
      </c>
      <c r="Z77" s="472" t="inlineStr">
        <is>
          <t>ridhi25madan</t>
        </is>
      </c>
      <c r="AC77" s="472" t="inlineStr">
        <is>
          <t>Subscription charges</t>
        </is>
      </c>
      <c r="AE77" s="472" t="inlineStr">
        <is>
          <t>Subscription</t>
        </is>
      </c>
      <c r="AF77" s="472" t="n">
        <v>1</v>
      </c>
      <c r="AH77" s="472" t="n">
        <v>0</v>
      </c>
      <c r="AI77" s="472" t="n">
        <v>3422</v>
      </c>
      <c r="AJ77" s="472">
        <f>FALSE()</f>
        <v/>
      </c>
      <c r="AL77" s="472" t="inlineStr">
        <is>
          <t>GJ</t>
        </is>
      </c>
      <c r="AM77" s="472" t="inlineStr">
        <is>
          <t>UP</t>
        </is>
      </c>
      <c r="AN77" s="472" t="inlineStr">
        <is>
          <t>business_none</t>
        </is>
      </c>
      <c r="AP77" s="472" t="inlineStr">
        <is>
          <t>item_level</t>
        </is>
      </c>
      <c r="AS77" s="472" t="n">
        <v>0</v>
      </c>
      <c r="AV77" s="472" t="n">
        <v>0</v>
      </c>
      <c r="AZ77" s="472" t="n">
        <v>3422</v>
      </c>
      <c r="BA77" s="472" t="inlineStr">
        <is>
          <t>entity_level</t>
        </is>
      </c>
      <c r="BB77" s="472">
        <f>TRUE()</f>
        <v/>
      </c>
      <c r="BC77" s="472" t="n">
        <v>0</v>
      </c>
      <c r="BD77" s="472" t="n">
        <v>0</v>
      </c>
      <c r="BM77" s="472" t="n">
        <v>0</v>
      </c>
      <c r="BQ77" s="472" t="inlineStr">
        <is>
          <t>service</t>
        </is>
      </c>
      <c r="BV77" s="472" t="inlineStr">
        <is>
          <t>eligible</t>
        </is>
      </c>
      <c r="BW77" s="472" t="n">
        <v>0</v>
      </c>
      <c r="BZ77" s="472">
        <f>FALSE()</f>
        <v/>
      </c>
    </row>
    <row r="78" ht="13.5" customHeight="1" s="253">
      <c r="A78" s="491" t="n">
        <v>45677</v>
      </c>
      <c r="B78" s="491" t="n">
        <v>45677</v>
      </c>
      <c r="C78" s="472" t="n">
        <v>2.29715200000019e+18</v>
      </c>
      <c r="D78" s="472" t="inlineStr">
        <is>
          <t>TECHNOWIRE DATA</t>
        </is>
      </c>
      <c r="E78" s="472" t="n">
        <v>0</v>
      </c>
      <c r="F78" s="472" t="n">
        <v>0</v>
      </c>
      <c r="G78" s="472" t="inlineStr">
        <is>
          <t>Due on Receipt</t>
        </is>
      </c>
      <c r="H78" s="472" t="n">
        <v>2</v>
      </c>
      <c r="J78" s="472" t="inlineStr">
        <is>
          <t>INR</t>
        </is>
      </c>
      <c r="K78" s="472" t="n">
        <v>1</v>
      </c>
      <c r="L78" s="472" t="n">
        <v>4012</v>
      </c>
      <c r="M78" s="472" t="n">
        <v>4012</v>
      </c>
      <c r="N78" s="472" t="n">
        <v>0</v>
      </c>
      <c r="R78" s="472" t="n">
        <v>0</v>
      </c>
      <c r="S78" s="472" t="inlineStr">
        <is>
          <t>Adjustment</t>
        </is>
      </c>
      <c r="T78" s="472">
        <f>FALSE()</f>
        <v/>
      </c>
      <c r="Y78" s="472" t="inlineStr">
        <is>
          <t>Paid</t>
        </is>
      </c>
      <c r="Z78" s="472" t="inlineStr">
        <is>
          <t>ridhi25madan</t>
        </is>
      </c>
      <c r="AC78" s="472" t="inlineStr">
        <is>
          <t>Subscription charges</t>
        </is>
      </c>
      <c r="AE78" s="472" t="inlineStr">
        <is>
          <t>Subscription</t>
        </is>
      </c>
      <c r="AF78" s="472" t="n">
        <v>1</v>
      </c>
      <c r="AH78" s="472" t="n">
        <v>0</v>
      </c>
      <c r="AI78" s="472" t="n">
        <v>4012</v>
      </c>
      <c r="AJ78" s="472">
        <f>FALSE()</f>
        <v/>
      </c>
      <c r="AL78" s="472" t="inlineStr">
        <is>
          <t>GJ</t>
        </is>
      </c>
      <c r="AM78" s="472" t="inlineStr">
        <is>
          <t>UP</t>
        </is>
      </c>
      <c r="AN78" s="472" t="inlineStr">
        <is>
          <t>business_none</t>
        </is>
      </c>
      <c r="AP78" s="472" t="inlineStr">
        <is>
          <t>item_level</t>
        </is>
      </c>
      <c r="AS78" s="472" t="n">
        <v>0</v>
      </c>
      <c r="AV78" s="472" t="n">
        <v>0</v>
      </c>
      <c r="AZ78" s="472" t="n">
        <v>4012</v>
      </c>
      <c r="BA78" s="472" t="inlineStr">
        <is>
          <t>entity_level</t>
        </is>
      </c>
      <c r="BB78" s="472">
        <f>TRUE()</f>
        <v/>
      </c>
      <c r="BC78" s="472" t="n">
        <v>0</v>
      </c>
      <c r="BD78" s="472" t="n">
        <v>0</v>
      </c>
      <c r="BM78" s="472" t="n">
        <v>0</v>
      </c>
      <c r="BQ78" s="472" t="inlineStr">
        <is>
          <t>service</t>
        </is>
      </c>
      <c r="BV78" s="472" t="inlineStr">
        <is>
          <t>eligible</t>
        </is>
      </c>
      <c r="BW78" s="472" t="n">
        <v>0</v>
      </c>
      <c r="BZ78" s="472">
        <f>FALSE()</f>
        <v/>
      </c>
    </row>
    <row r="79" ht="13.5" customHeight="1" s="253">
      <c r="A79" s="491" t="n">
        <v>45699</v>
      </c>
      <c r="B79" s="491" t="n">
        <v>45699</v>
      </c>
      <c r="C79" s="472" t="n">
        <v>2.29715200000019e+18</v>
      </c>
      <c r="D79" s="472" t="inlineStr">
        <is>
          <t>TECHNOWIRE DATA</t>
        </is>
      </c>
      <c r="E79" s="472" t="n">
        <v>0</v>
      </c>
      <c r="F79" s="472" t="n">
        <v>0</v>
      </c>
      <c r="G79" s="472" t="inlineStr">
        <is>
          <t>Due on Receipt</t>
        </is>
      </c>
      <c r="H79" s="472" t="n">
        <v>3</v>
      </c>
      <c r="J79" s="472" t="inlineStr">
        <is>
          <t>INR</t>
        </is>
      </c>
      <c r="K79" s="472" t="n">
        <v>1</v>
      </c>
      <c r="L79" s="472" t="n">
        <v>23585</v>
      </c>
      <c r="M79" s="472" t="n">
        <v>23585</v>
      </c>
      <c r="N79" s="472" t="n">
        <v>0</v>
      </c>
      <c r="R79" s="472" t="n">
        <v>0</v>
      </c>
      <c r="S79" s="472" t="inlineStr">
        <is>
          <t>Adjustment</t>
        </is>
      </c>
      <c r="T79" s="472">
        <f>FALSE()</f>
        <v/>
      </c>
      <c r="Y79" s="472" t="inlineStr">
        <is>
          <t>Paid</t>
        </is>
      </c>
      <c r="Z79" s="472" t="inlineStr">
        <is>
          <t>ridhi25madan</t>
        </is>
      </c>
      <c r="AC79" s="472" t="inlineStr">
        <is>
          <t>Subscription charges</t>
        </is>
      </c>
      <c r="AE79" s="472" t="inlineStr">
        <is>
          <t>Subscription</t>
        </is>
      </c>
      <c r="AF79" s="472" t="n">
        <v>1</v>
      </c>
      <c r="AH79" s="472" t="n">
        <v>0</v>
      </c>
      <c r="AI79" s="472" t="n">
        <v>23585</v>
      </c>
      <c r="AJ79" s="472">
        <f>FALSE()</f>
        <v/>
      </c>
      <c r="AL79" s="472" t="inlineStr">
        <is>
          <t>GJ</t>
        </is>
      </c>
      <c r="AM79" s="472" t="inlineStr">
        <is>
          <t>UP</t>
        </is>
      </c>
      <c r="AN79" s="472" t="inlineStr">
        <is>
          <t>business_none</t>
        </is>
      </c>
      <c r="AP79" s="472" t="inlineStr">
        <is>
          <t>item_level</t>
        </is>
      </c>
      <c r="AS79" s="472" t="n">
        <v>0</v>
      </c>
      <c r="AV79" s="472" t="n">
        <v>0</v>
      </c>
      <c r="AZ79" s="472" t="n">
        <v>23585</v>
      </c>
      <c r="BA79" s="472" t="inlineStr">
        <is>
          <t>entity_level</t>
        </is>
      </c>
      <c r="BB79" s="472">
        <f>TRUE()</f>
        <v/>
      </c>
      <c r="BC79" s="472" t="n">
        <v>0</v>
      </c>
      <c r="BD79" s="472" t="n">
        <v>0</v>
      </c>
      <c r="BM79" s="472" t="n">
        <v>0</v>
      </c>
      <c r="BQ79" s="472" t="inlineStr">
        <is>
          <t>service</t>
        </is>
      </c>
      <c r="BV79" s="472" t="inlineStr">
        <is>
          <t>eligible</t>
        </is>
      </c>
      <c r="BW79" s="472" t="n">
        <v>0</v>
      </c>
      <c r="BZ79" s="472">
        <f>FALSE()</f>
        <v/>
      </c>
    </row>
    <row r="80" ht="13.5" customHeight="1" s="253">
      <c r="A80" s="491" t="n">
        <v>45741</v>
      </c>
      <c r="B80" s="491" t="n">
        <v>45741</v>
      </c>
      <c r="C80" s="472" t="n">
        <v>2.29715200000019e+18</v>
      </c>
      <c r="D80" s="472" t="inlineStr">
        <is>
          <t>TECHNOWIRE DATA</t>
        </is>
      </c>
      <c r="E80" s="472" t="n">
        <v>0</v>
      </c>
      <c r="F80" s="472" t="n">
        <v>0</v>
      </c>
      <c r="G80" s="472" t="inlineStr">
        <is>
          <t>Due on Receipt</t>
        </is>
      </c>
      <c r="H80" s="472" t="n">
        <v>4</v>
      </c>
      <c r="J80" s="472" t="inlineStr">
        <is>
          <t>INR</t>
        </is>
      </c>
      <c r="K80" s="472" t="n">
        <v>1</v>
      </c>
      <c r="L80" s="472" t="n">
        <v>15310</v>
      </c>
      <c r="M80" s="472" t="n">
        <v>15310</v>
      </c>
      <c r="N80" s="472" t="n">
        <v>0</v>
      </c>
      <c r="R80" s="472" t="n">
        <v>0</v>
      </c>
      <c r="S80" s="472" t="inlineStr">
        <is>
          <t>Adjustment</t>
        </is>
      </c>
      <c r="T80" s="472">
        <f>FALSE()</f>
        <v/>
      </c>
      <c r="Y80" s="472" t="inlineStr">
        <is>
          <t>Paid</t>
        </is>
      </c>
      <c r="Z80" s="472" t="inlineStr">
        <is>
          <t>ridhi25madan</t>
        </is>
      </c>
      <c r="AC80" s="472" t="inlineStr">
        <is>
          <t>Subscription charges</t>
        </is>
      </c>
      <c r="AE80" s="472" t="inlineStr">
        <is>
          <t>Subscription</t>
        </is>
      </c>
      <c r="AF80" s="472" t="n">
        <v>1</v>
      </c>
      <c r="AH80" s="472" t="n">
        <v>0</v>
      </c>
      <c r="AI80" s="472" t="n">
        <v>15310</v>
      </c>
      <c r="AJ80" s="472">
        <f>FALSE()</f>
        <v/>
      </c>
      <c r="AL80" s="472" t="inlineStr">
        <is>
          <t>GJ</t>
        </is>
      </c>
      <c r="AM80" s="472" t="inlineStr">
        <is>
          <t>UP</t>
        </is>
      </c>
      <c r="AN80" s="472" t="inlineStr">
        <is>
          <t>business_none</t>
        </is>
      </c>
      <c r="AP80" s="472" t="inlineStr">
        <is>
          <t>item_level</t>
        </is>
      </c>
      <c r="AS80" s="472" t="n">
        <v>0</v>
      </c>
      <c r="AV80" s="472" t="n">
        <v>0</v>
      </c>
      <c r="AZ80" s="472" t="n">
        <v>15310</v>
      </c>
      <c r="BA80" s="472" t="inlineStr">
        <is>
          <t>entity_level</t>
        </is>
      </c>
      <c r="BB80" s="472">
        <f>TRUE()</f>
        <v/>
      </c>
      <c r="BC80" s="472" t="n">
        <v>0</v>
      </c>
      <c r="BD80" s="472" t="n">
        <v>0</v>
      </c>
      <c r="BM80" s="472" t="n">
        <v>0</v>
      </c>
      <c r="BQ80" s="472" t="inlineStr">
        <is>
          <t>service</t>
        </is>
      </c>
      <c r="BV80" s="472" t="inlineStr">
        <is>
          <t>eligible</t>
        </is>
      </c>
      <c r="BW80" s="472" t="n">
        <v>0</v>
      </c>
      <c r="BZ80" s="472">
        <f>FALSE()</f>
        <v/>
      </c>
    </row>
    <row r="81" ht="13.5" customHeight="1" s="253">
      <c r="A81" s="491" t="n">
        <v>45716</v>
      </c>
      <c r="B81" s="491" t="n">
        <v>45716</v>
      </c>
      <c r="C81" s="472" t="n">
        <v>2.29715200000023e+18</v>
      </c>
      <c r="D81" s="472" t="inlineStr">
        <is>
          <t>JAYANTH BJ</t>
        </is>
      </c>
      <c r="E81" s="472" t="n">
        <v>0</v>
      </c>
      <c r="F81" s="472" t="n">
        <v>0</v>
      </c>
      <c r="G81" s="472" t="inlineStr">
        <is>
          <t>Due on Receipt</t>
        </is>
      </c>
      <c r="H81" s="472" t="n">
        <v>6</v>
      </c>
      <c r="J81" s="472" t="inlineStr">
        <is>
          <t>INR</t>
        </is>
      </c>
      <c r="K81" s="472" t="n">
        <v>1</v>
      </c>
      <c r="L81" s="472" t="n">
        <v>126846</v>
      </c>
      <c r="M81" s="472" t="n">
        <v>126846</v>
      </c>
      <c r="N81" s="472" t="n">
        <v>126846</v>
      </c>
      <c r="R81" s="472" t="n">
        <v>0</v>
      </c>
      <c r="S81" s="472" t="inlineStr">
        <is>
          <t>Adjustment</t>
        </is>
      </c>
      <c r="T81" s="472">
        <f>FALSE()</f>
        <v/>
      </c>
      <c r="Y81" s="472" t="inlineStr">
        <is>
          <t>Overdue</t>
        </is>
      </c>
      <c r="Z81" s="472" t="inlineStr">
        <is>
          <t>ridhi25madan</t>
        </is>
      </c>
      <c r="AC81" s="472" t="inlineStr">
        <is>
          <t>Content Writing Exp.</t>
        </is>
      </c>
      <c r="AE81" s="472" t="inlineStr">
        <is>
          <t>content Writing</t>
        </is>
      </c>
      <c r="AF81" s="472" t="n">
        <v>1</v>
      </c>
      <c r="AH81" s="472" t="n">
        <v>0</v>
      </c>
      <c r="AI81" s="472" t="n">
        <v>126846</v>
      </c>
      <c r="AJ81" s="472">
        <f>FALSE()</f>
        <v/>
      </c>
      <c r="AL81" s="472" t="inlineStr">
        <is>
          <t>UP</t>
        </is>
      </c>
      <c r="AM81" s="472" t="inlineStr">
        <is>
          <t>UP</t>
        </is>
      </c>
      <c r="AN81" s="472" t="inlineStr">
        <is>
          <t>business_none</t>
        </is>
      </c>
      <c r="AP81" s="472" t="inlineStr">
        <is>
          <t>item_level</t>
        </is>
      </c>
      <c r="AS81" s="472" t="n">
        <v>0</v>
      </c>
      <c r="AV81" s="472" t="n">
        <v>0</v>
      </c>
      <c r="AZ81" s="472" t="n">
        <v>126846</v>
      </c>
      <c r="BA81" s="472" t="inlineStr">
        <is>
          <t>entity_level</t>
        </is>
      </c>
      <c r="BB81" s="472">
        <f>TRUE()</f>
        <v/>
      </c>
      <c r="BC81" s="472" t="n">
        <v>0</v>
      </c>
      <c r="BD81" s="472" t="n">
        <v>0</v>
      </c>
      <c r="BM81" s="472" t="n">
        <v>0</v>
      </c>
      <c r="BQ81" s="472" t="inlineStr">
        <is>
          <t>service</t>
        </is>
      </c>
      <c r="BV81" s="472" t="inlineStr">
        <is>
          <t>eligible</t>
        </is>
      </c>
      <c r="BW81" s="472" t="n">
        <v>0</v>
      </c>
      <c r="BZ81" s="472">
        <f>FALSE()</f>
        <v/>
      </c>
    </row>
    <row r="82" ht="13.5" customHeight="1" s="253">
      <c r="A82" s="491" t="n">
        <v>45747</v>
      </c>
      <c r="B82" s="491" t="n">
        <v>45747</v>
      </c>
      <c r="C82" s="472" t="n">
        <v>2.29715200000023e+18</v>
      </c>
      <c r="D82" s="472" t="inlineStr">
        <is>
          <t>JAYANTH BJ</t>
        </is>
      </c>
      <c r="E82" s="472" t="n">
        <v>0</v>
      </c>
      <c r="F82" s="472" t="n">
        <v>0</v>
      </c>
      <c r="G82" s="472" t="inlineStr">
        <is>
          <t>Due on Receipt</t>
        </is>
      </c>
      <c r="H82" s="472" t="n">
        <v>7</v>
      </c>
      <c r="J82" s="472" t="inlineStr">
        <is>
          <t>INR</t>
        </is>
      </c>
      <c r="K82" s="472" t="n">
        <v>1</v>
      </c>
      <c r="L82" s="472" t="n">
        <v>89795</v>
      </c>
      <c r="M82" s="472" t="n">
        <v>89795</v>
      </c>
      <c r="N82" s="472" t="n">
        <v>89795</v>
      </c>
      <c r="R82" s="472" t="n">
        <v>0</v>
      </c>
      <c r="S82" s="472" t="inlineStr">
        <is>
          <t>Adjustment</t>
        </is>
      </c>
      <c r="T82" s="472">
        <f>FALSE()</f>
        <v/>
      </c>
      <c r="Y82" s="472" t="inlineStr">
        <is>
          <t>Overdue</t>
        </is>
      </c>
      <c r="Z82" s="472" t="inlineStr">
        <is>
          <t>ridhi25madan</t>
        </is>
      </c>
      <c r="AC82" s="472" t="inlineStr">
        <is>
          <t>Content Writing Exp.</t>
        </is>
      </c>
      <c r="AE82" s="472" t="inlineStr">
        <is>
          <t>content Writing</t>
        </is>
      </c>
      <c r="AF82" s="472" t="n">
        <v>1</v>
      </c>
      <c r="AH82" s="472" t="n">
        <v>0</v>
      </c>
      <c r="AI82" s="472" t="n">
        <v>89795</v>
      </c>
      <c r="AJ82" s="472">
        <f>FALSE()</f>
        <v/>
      </c>
      <c r="AL82" s="472" t="inlineStr">
        <is>
          <t>UP</t>
        </is>
      </c>
      <c r="AM82" s="472" t="inlineStr">
        <is>
          <t>UP</t>
        </is>
      </c>
      <c r="AN82" s="472" t="inlineStr">
        <is>
          <t>business_none</t>
        </is>
      </c>
      <c r="AP82" s="472" t="inlineStr">
        <is>
          <t>item_level</t>
        </is>
      </c>
      <c r="AS82" s="472" t="n">
        <v>0</v>
      </c>
      <c r="AV82" s="472" t="n">
        <v>0</v>
      </c>
      <c r="AZ82" s="472" t="n">
        <v>89795</v>
      </c>
      <c r="BA82" s="472" t="inlineStr">
        <is>
          <t>entity_level</t>
        </is>
      </c>
      <c r="BB82" s="472">
        <f>TRUE()</f>
        <v/>
      </c>
      <c r="BC82" s="472" t="n">
        <v>0</v>
      </c>
      <c r="BD82" s="472" t="n">
        <v>0</v>
      </c>
      <c r="BM82" s="472" t="n">
        <v>0</v>
      </c>
      <c r="BQ82" s="472" t="inlineStr">
        <is>
          <t>service</t>
        </is>
      </c>
      <c r="BV82" s="472" t="inlineStr">
        <is>
          <t>eligible</t>
        </is>
      </c>
      <c r="BW82" s="472" t="n">
        <v>0</v>
      </c>
      <c r="BZ82" s="472">
        <f>FALSE()</f>
        <v/>
      </c>
    </row>
    <row r="83" ht="13.5" customHeight="1" s="253">
      <c r="A83" s="492" t="n">
        <v>45777</v>
      </c>
      <c r="B83" s="491" t="n">
        <v>45777</v>
      </c>
      <c r="C83" s="472" t="n">
        <v>2.29715200000023e+18</v>
      </c>
      <c r="D83" s="490" t="inlineStr">
        <is>
          <t>Amit Kumar Ghosh</t>
        </is>
      </c>
      <c r="E83" s="472" t="n">
        <v>0</v>
      </c>
      <c r="F83" s="472" t="n">
        <v>0</v>
      </c>
      <c r="G83" s="472" t="inlineStr">
        <is>
          <t>Due on Receipt</t>
        </is>
      </c>
      <c r="H83" s="472" t="inlineStr">
        <is>
          <t>FY 25-26/02</t>
        </is>
      </c>
      <c r="J83" s="472" t="inlineStr">
        <is>
          <t>INR</t>
        </is>
      </c>
      <c r="K83" s="472" t="n">
        <v>1</v>
      </c>
      <c r="L83" s="490" t="n">
        <v>100000</v>
      </c>
      <c r="M83" s="472" t="n">
        <v>99000</v>
      </c>
      <c r="N83" s="472" t="n">
        <v>0</v>
      </c>
      <c r="R83" s="472" t="n">
        <v>0</v>
      </c>
      <c r="S83" s="472" t="inlineStr">
        <is>
          <t>Adjustment</t>
        </is>
      </c>
      <c r="T83" s="472">
        <f>FALSE()</f>
        <v/>
      </c>
      <c r="Y83" s="472" t="inlineStr">
        <is>
          <t>Paid</t>
        </is>
      </c>
      <c r="Z83" s="472" t="inlineStr">
        <is>
          <t>ridhi25madan</t>
        </is>
      </c>
      <c r="AC83" s="490" t="inlineStr">
        <is>
          <t>Content Writing Exp.</t>
        </is>
      </c>
      <c r="AE83" s="472" t="inlineStr">
        <is>
          <t>content Writing</t>
        </is>
      </c>
      <c r="AF83" s="472" t="n">
        <v>1</v>
      </c>
      <c r="AH83" s="472" t="n">
        <v>0</v>
      </c>
      <c r="AI83" s="472" t="n">
        <v>100000</v>
      </c>
      <c r="AJ83" s="472">
        <f>FALSE()</f>
        <v/>
      </c>
      <c r="AL83" s="472" t="inlineStr">
        <is>
          <t>UP</t>
        </is>
      </c>
      <c r="AM83" s="472" t="inlineStr">
        <is>
          <t>UP</t>
        </is>
      </c>
      <c r="AN83" s="472" t="inlineStr">
        <is>
          <t>business_none</t>
        </is>
      </c>
      <c r="AP83" s="472" t="inlineStr">
        <is>
          <t>entity_level</t>
        </is>
      </c>
      <c r="AQ83" s="472" t="n">
        <v>2.29715200000003e+18</v>
      </c>
      <c r="AR83" s="472" t="inlineStr">
        <is>
          <t>Payment of contractors HUF/Indiv</t>
        </is>
      </c>
      <c r="AS83" s="472" t="n">
        <v>1</v>
      </c>
      <c r="AT83" s="472" t="inlineStr">
        <is>
          <t>194C</t>
        </is>
      </c>
      <c r="AU83" s="472" t="inlineStr">
        <is>
          <t>Section 194 C</t>
        </is>
      </c>
      <c r="AV83" s="472" t="n">
        <v>1000</v>
      </c>
      <c r="AZ83" s="472" t="n">
        <v>100000</v>
      </c>
      <c r="BA83" s="472" t="inlineStr">
        <is>
          <t>entity_level</t>
        </is>
      </c>
      <c r="BB83" s="472">
        <f>TRUE()</f>
        <v/>
      </c>
      <c r="BC83" s="472" t="n">
        <v>0</v>
      </c>
      <c r="BD83" s="472" t="n">
        <v>0</v>
      </c>
      <c r="BQ83" s="472" t="inlineStr">
        <is>
          <t>service</t>
        </is>
      </c>
      <c r="BV83" s="472" t="inlineStr">
        <is>
          <t>eligible</t>
        </is>
      </c>
      <c r="BW83" s="472" t="n">
        <v>0</v>
      </c>
      <c r="BZ83" s="472">
        <f>FALSE()</f>
        <v/>
      </c>
    </row>
  </sheetData>
  <autoFilter ref="A1:CN83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M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0" activeCellId="0" sqref="A10"/>
    </sheetView>
  </sheetViews>
  <sheetFormatPr baseColWidth="8" defaultColWidth="8.73046875" defaultRowHeight="13.5" zeroHeight="0" outlineLevelRow="0"/>
  <cols>
    <col width="10.09" customWidth="1" style="493" min="1" max="1"/>
    <col width="15.64" customWidth="1" style="493" min="2" max="2"/>
    <col width="16.73" customWidth="1" style="493" min="3" max="3"/>
    <col width="25.73" customWidth="1" style="493" min="4" max="4"/>
    <col width="14.64" customWidth="1" style="493" min="5" max="5"/>
    <col width="12" customWidth="1" style="493" min="6" max="6"/>
    <col width="12.45" customWidth="1" style="493" min="7" max="7"/>
    <col width="16.09" customWidth="1" style="493" min="8" max="8"/>
    <col width="14" customWidth="1" style="493" min="9" max="9"/>
    <col width="14.45" customWidth="1" style="493" min="10" max="10"/>
    <col width="12.18" customWidth="1" style="493" min="11" max="11"/>
    <col width="13.27" customWidth="1" style="493" min="12" max="12"/>
    <col width="13.82" customWidth="1" style="493" min="13" max="13"/>
    <col width="8.73" customWidth="1" style="493" min="14" max="16384"/>
  </cols>
  <sheetData>
    <row r="1" ht="13.5" customHeight="1" s="253">
      <c r="A1" s="493" t="inlineStr">
        <is>
          <t>date</t>
        </is>
      </c>
      <c r="B1" s="493" t="inlineStr">
        <is>
          <t>entry_number</t>
        </is>
      </c>
      <c r="C1" s="493" t="inlineStr">
        <is>
          <t>transaction_type</t>
        </is>
      </c>
      <c r="D1" s="493" t="inlineStr">
        <is>
          <t>transaction_type_formatted</t>
        </is>
      </c>
      <c r="E1" s="493" t="inlineStr">
        <is>
          <t>transaction_id</t>
        </is>
      </c>
      <c r="F1" s="493" t="inlineStr">
        <is>
          <t>account_id</t>
        </is>
      </c>
      <c r="G1" s="493" t="inlineStr">
        <is>
          <t>currency_id</t>
        </is>
      </c>
      <c r="H1" s="493" t="inlineStr">
        <is>
          <t>taxable_amount</t>
        </is>
      </c>
      <c r="I1" s="493" t="inlineStr">
        <is>
          <t>account_type</t>
        </is>
      </c>
      <c r="J1" s="493" t="inlineStr">
        <is>
          <t>Integrated Tax</t>
        </is>
      </c>
      <c r="K1" s="493" t="inlineStr">
        <is>
          <t>Central Tax</t>
        </is>
      </c>
      <c r="L1" s="493" t="inlineStr">
        <is>
          <t>State/UT Tax</t>
        </is>
      </c>
      <c r="M1" s="493" t="inlineStr">
        <is>
          <t>Cess Amount</t>
        </is>
      </c>
    </row>
    <row r="2" ht="13.5" customHeight="1" s="253">
      <c r="A2" s="494" t="n">
        <v>45778</v>
      </c>
      <c r="B2" s="493" t="inlineStr">
        <is>
          <t>INV-25-26-000096</t>
        </is>
      </c>
      <c r="C2" s="493" t="inlineStr">
        <is>
          <t>invoice</t>
        </is>
      </c>
      <c r="D2" s="493" t="inlineStr">
        <is>
          <t>Invoice</t>
        </is>
      </c>
      <c r="E2" s="495" t="n">
        <v>2.29715e+18</v>
      </c>
      <c r="H2" s="493" t="n">
        <v>10000</v>
      </c>
      <c r="J2" s="493" t="n">
        <v>1800</v>
      </c>
      <c r="K2" s="493" t="n">
        <v>0</v>
      </c>
      <c r="L2" s="493" t="n">
        <v>0</v>
      </c>
      <c r="M2" s="493" t="n">
        <v>0</v>
      </c>
    </row>
    <row r="3" ht="13.5" customHeight="1" s="253">
      <c r="A3" s="494" t="n">
        <v>45779</v>
      </c>
      <c r="B3" s="493" t="inlineStr">
        <is>
          <t>INV-25-26-000097</t>
        </is>
      </c>
      <c r="C3" s="493" t="inlineStr">
        <is>
          <t>invoice</t>
        </is>
      </c>
      <c r="D3" s="493" t="inlineStr">
        <is>
          <t>Invoice</t>
        </is>
      </c>
      <c r="E3" s="495" t="n">
        <v>2.29715e+18</v>
      </c>
      <c r="H3" s="493" t="n">
        <v>15000</v>
      </c>
      <c r="J3" s="493" t="n">
        <v>2700</v>
      </c>
      <c r="K3" s="493" t="n">
        <v>0</v>
      </c>
      <c r="L3" s="493" t="n">
        <v>0</v>
      </c>
      <c r="M3" s="493" t="n">
        <v>0</v>
      </c>
    </row>
    <row r="4" ht="13.5" customHeight="1" s="253">
      <c r="A4" s="494" t="n">
        <v>45779</v>
      </c>
      <c r="B4" s="493" t="inlineStr">
        <is>
          <t>INV-25-26-000098</t>
        </is>
      </c>
      <c r="C4" s="493" t="inlineStr">
        <is>
          <t>invoice</t>
        </is>
      </c>
      <c r="D4" s="493" t="inlineStr">
        <is>
          <t>Invoice</t>
        </is>
      </c>
      <c r="E4" s="495" t="n">
        <v>2.29715e+18</v>
      </c>
      <c r="H4" s="493" t="n">
        <v>6346.62</v>
      </c>
      <c r="J4" s="493" t="n">
        <v>0</v>
      </c>
      <c r="K4" s="493" t="n">
        <v>571.2</v>
      </c>
      <c r="L4" s="493" t="n">
        <v>571.2</v>
      </c>
      <c r="M4" s="493" t="n">
        <v>0</v>
      </c>
    </row>
    <row r="5" ht="13.5" customHeight="1" s="253">
      <c r="A5" s="494" t="n">
        <v>45779</v>
      </c>
      <c r="B5" s="493" t="inlineStr">
        <is>
          <t>INV-25-26-000100</t>
        </is>
      </c>
      <c r="C5" s="493" t="inlineStr">
        <is>
          <t>invoice</t>
        </is>
      </c>
      <c r="D5" s="493" t="inlineStr">
        <is>
          <t>Invoice</t>
        </is>
      </c>
      <c r="E5" s="495" t="n">
        <v>2.29715e+18</v>
      </c>
      <c r="H5" s="493" t="n">
        <v>10000</v>
      </c>
      <c r="J5" s="493" t="n">
        <v>0</v>
      </c>
      <c r="K5" s="493" t="n">
        <v>900</v>
      </c>
      <c r="L5" s="493" t="n">
        <v>900</v>
      </c>
      <c r="M5" s="493" t="n">
        <v>0</v>
      </c>
    </row>
    <row r="6" ht="13.5" customHeight="1" s="253">
      <c r="A6" s="494" t="n">
        <v>45779</v>
      </c>
      <c r="B6" s="496" t="inlineStr">
        <is>
          <t>INV-25-26-000099</t>
        </is>
      </c>
      <c r="C6" s="493" t="inlineStr">
        <is>
          <t>invoice</t>
        </is>
      </c>
      <c r="D6" s="493" t="inlineStr">
        <is>
          <t>Invoice</t>
        </is>
      </c>
      <c r="E6" s="495" t="n">
        <v>2.29715e+18</v>
      </c>
      <c r="H6" s="493" t="n">
        <v>10000</v>
      </c>
      <c r="J6" s="493" t="n">
        <v>1800</v>
      </c>
      <c r="K6" s="493" t="n">
        <v>0</v>
      </c>
      <c r="L6" s="493" t="n">
        <v>0</v>
      </c>
      <c r="M6" s="493" t="n">
        <v>0</v>
      </c>
    </row>
    <row r="7" ht="13.5" customHeight="1" s="253">
      <c r="A7" s="494" t="n">
        <v>45780</v>
      </c>
      <c r="B7" s="493" t="inlineStr">
        <is>
          <t>INV-25-26-000102</t>
        </is>
      </c>
      <c r="C7" s="493" t="inlineStr">
        <is>
          <t>invoice</t>
        </is>
      </c>
      <c r="D7" s="493" t="inlineStr">
        <is>
          <t>Invoice</t>
        </is>
      </c>
      <c r="E7" s="495" t="n">
        <v>2.29715e+18</v>
      </c>
      <c r="H7" s="493" t="n">
        <v>64800</v>
      </c>
      <c r="J7" s="493" t="n">
        <v>11664</v>
      </c>
      <c r="K7" s="493" t="n">
        <v>0</v>
      </c>
      <c r="L7" s="493" t="n">
        <v>0</v>
      </c>
      <c r="M7" s="493" t="n">
        <v>0</v>
      </c>
    </row>
    <row r="8" ht="13.5" customHeight="1" s="253">
      <c r="A8" s="494" t="n">
        <v>45780</v>
      </c>
      <c r="B8" s="493" t="inlineStr">
        <is>
          <t>INV-25-26-000101</t>
        </is>
      </c>
      <c r="C8" s="493" t="inlineStr">
        <is>
          <t>invoice</t>
        </is>
      </c>
      <c r="D8" s="493" t="inlineStr">
        <is>
          <t>Invoice</t>
        </is>
      </c>
      <c r="E8" s="495" t="n">
        <v>2.29715e+18</v>
      </c>
      <c r="H8" s="493" t="n">
        <v>40667.8</v>
      </c>
      <c r="J8" s="493" t="n">
        <v>7320.2</v>
      </c>
      <c r="K8" s="493" t="n">
        <v>0</v>
      </c>
      <c r="L8" s="493" t="n">
        <v>0</v>
      </c>
      <c r="M8" s="493" t="n">
        <v>0</v>
      </c>
    </row>
    <row r="9" ht="13.5" customHeight="1" s="253">
      <c r="A9" s="494" t="n">
        <v>45782</v>
      </c>
      <c r="B9" s="493" t="inlineStr">
        <is>
          <t>INV-25-26-000103</t>
        </is>
      </c>
      <c r="C9" s="493" t="inlineStr">
        <is>
          <t>invoice</t>
        </is>
      </c>
      <c r="D9" s="493" t="inlineStr">
        <is>
          <t>Invoice</t>
        </is>
      </c>
      <c r="E9" s="495" t="n">
        <v>2.29715e+18</v>
      </c>
      <c r="H9" s="493" t="n">
        <v>5000</v>
      </c>
      <c r="J9" s="493" t="n">
        <v>0</v>
      </c>
      <c r="K9" s="493" t="n">
        <v>450</v>
      </c>
      <c r="L9" s="493" t="n">
        <v>450</v>
      </c>
      <c r="M9" s="493" t="n">
        <v>0</v>
      </c>
    </row>
    <row r="10" ht="13.5" customHeight="1" s="253">
      <c r="A10" s="494" t="n">
        <v>45782</v>
      </c>
      <c r="B10" s="496" t="inlineStr">
        <is>
          <t>INV-25-26-000104</t>
        </is>
      </c>
      <c r="C10" s="493" t="inlineStr">
        <is>
          <t>invoice</t>
        </is>
      </c>
      <c r="D10" s="493" t="inlineStr">
        <is>
          <t>Invoice</t>
        </is>
      </c>
      <c r="E10" s="495" t="n">
        <v>2.29715e+18</v>
      </c>
      <c r="H10" s="493" t="n">
        <v>30000</v>
      </c>
      <c r="J10" s="493" t="n">
        <v>5400</v>
      </c>
      <c r="K10" s="493" t="n">
        <v>0</v>
      </c>
      <c r="L10" s="493" t="n">
        <v>0</v>
      </c>
      <c r="M10" s="493" t="n">
        <v>0</v>
      </c>
    </row>
    <row r="11" ht="13.5" customHeight="1" s="253">
      <c r="A11" s="494" t="n">
        <v>45783</v>
      </c>
      <c r="B11" s="493" t="inlineStr">
        <is>
          <t>INV-25-26-000105</t>
        </is>
      </c>
      <c r="C11" s="493" t="inlineStr">
        <is>
          <t>invoice</t>
        </is>
      </c>
      <c r="D11" s="493" t="inlineStr">
        <is>
          <t>Invoice</t>
        </is>
      </c>
      <c r="E11" s="495" t="n">
        <v>2.29715e+18</v>
      </c>
      <c r="H11" s="493" t="n">
        <v>10000</v>
      </c>
      <c r="J11" s="493" t="n">
        <v>1800</v>
      </c>
      <c r="K11" s="493" t="n">
        <v>0</v>
      </c>
      <c r="L11" s="493" t="n">
        <v>0</v>
      </c>
      <c r="M11" s="493" t="n">
        <v>0</v>
      </c>
    </row>
    <row r="12" ht="13.5" customHeight="1" s="253">
      <c r="A12" s="494" t="n">
        <v>45783</v>
      </c>
      <c r="B12" s="493" t="inlineStr">
        <is>
          <t>INV-25-26-000106</t>
        </is>
      </c>
      <c r="C12" s="493" t="inlineStr">
        <is>
          <t>invoice</t>
        </is>
      </c>
      <c r="D12" s="493" t="inlineStr">
        <is>
          <t>Invoice</t>
        </is>
      </c>
      <c r="E12" s="495" t="n">
        <v>2.29715e+18</v>
      </c>
      <c r="H12" s="493" t="n">
        <v>14000</v>
      </c>
      <c r="J12" s="493" t="n">
        <v>2520</v>
      </c>
      <c r="K12" s="493" t="n">
        <v>0</v>
      </c>
      <c r="L12" s="493" t="n">
        <v>0</v>
      </c>
      <c r="M12" s="493" t="n">
        <v>0</v>
      </c>
    </row>
    <row r="13" ht="13.5" customHeight="1" s="253">
      <c r="A13" s="494" t="n">
        <v>45784</v>
      </c>
      <c r="B13" s="496" t="inlineStr">
        <is>
          <t>INV-25-26-000107</t>
        </is>
      </c>
      <c r="C13" s="493" t="inlineStr">
        <is>
          <t>invoice</t>
        </is>
      </c>
      <c r="D13" s="493" t="inlineStr">
        <is>
          <t>Invoice</t>
        </is>
      </c>
      <c r="E13" s="495" t="n">
        <v>2.29715e+18</v>
      </c>
      <c r="H13" s="493" t="n">
        <v>5000</v>
      </c>
      <c r="J13" s="493" t="n">
        <v>0</v>
      </c>
      <c r="K13" s="493" t="n">
        <v>450</v>
      </c>
      <c r="L13" s="493" t="n">
        <v>450</v>
      </c>
      <c r="M13" s="493" t="n">
        <v>0</v>
      </c>
    </row>
    <row r="14" ht="13.5" customHeight="1" s="253">
      <c r="A14" s="494" t="n">
        <v>45784</v>
      </c>
      <c r="B14" s="493" t="inlineStr">
        <is>
          <t>INV-25-26-000108</t>
        </is>
      </c>
      <c r="C14" s="493" t="inlineStr">
        <is>
          <t>invoice</t>
        </is>
      </c>
      <c r="D14" s="493" t="inlineStr">
        <is>
          <t>Invoice</t>
        </is>
      </c>
      <c r="E14" s="495" t="n">
        <v>2.29715e+18</v>
      </c>
      <c r="H14" s="493" t="n">
        <v>32000</v>
      </c>
      <c r="J14" s="493" t="n">
        <v>5760</v>
      </c>
      <c r="K14" s="493" t="n">
        <v>0</v>
      </c>
      <c r="L14" s="493" t="n">
        <v>0</v>
      </c>
      <c r="M14" s="493" t="n">
        <v>0</v>
      </c>
    </row>
    <row r="15" ht="13.5" customHeight="1" s="253">
      <c r="A15" s="494" t="n">
        <v>45784</v>
      </c>
      <c r="B15" s="496" t="inlineStr">
        <is>
          <t>INV-25-26-000109</t>
        </is>
      </c>
      <c r="C15" s="493" t="inlineStr">
        <is>
          <t>invoice</t>
        </is>
      </c>
      <c r="D15" s="493" t="inlineStr">
        <is>
          <t>Invoice</t>
        </is>
      </c>
      <c r="E15" s="495" t="n">
        <v>2.29715e+18</v>
      </c>
      <c r="H15" s="493" t="n">
        <v>10000</v>
      </c>
      <c r="J15" s="493" t="n">
        <v>1800</v>
      </c>
      <c r="K15" s="493" t="n">
        <v>0</v>
      </c>
      <c r="L15" s="493" t="n">
        <v>0</v>
      </c>
      <c r="M15" s="493" t="n">
        <v>0</v>
      </c>
    </row>
    <row r="16" ht="13.5" customHeight="1" s="253">
      <c r="A16" s="494" t="n">
        <v>45785</v>
      </c>
      <c r="B16" s="493" t="inlineStr">
        <is>
          <t>INV-25-26-000110</t>
        </is>
      </c>
      <c r="C16" s="493" t="inlineStr">
        <is>
          <t>invoice</t>
        </is>
      </c>
      <c r="D16" s="493" t="inlineStr">
        <is>
          <t>Invoice</t>
        </is>
      </c>
      <c r="E16" s="495" t="n">
        <v>2.29715e+18</v>
      </c>
      <c r="H16" s="493" t="n">
        <v>4000</v>
      </c>
      <c r="J16" s="493" t="n">
        <v>720</v>
      </c>
      <c r="K16" s="493" t="n">
        <v>0</v>
      </c>
      <c r="L16" s="493" t="n">
        <v>0</v>
      </c>
      <c r="M16" s="493" t="n">
        <v>0</v>
      </c>
    </row>
    <row r="17" ht="13.5" customHeight="1" s="253">
      <c r="A17" s="494" t="n">
        <v>45786</v>
      </c>
      <c r="B17" s="493" t="inlineStr">
        <is>
          <t>INV-25-26-000112</t>
        </is>
      </c>
      <c r="C17" s="493" t="inlineStr">
        <is>
          <t>invoice</t>
        </is>
      </c>
      <c r="D17" s="493" t="inlineStr">
        <is>
          <t>Invoice</t>
        </is>
      </c>
      <c r="E17" s="495" t="n">
        <v>2.29715e+18</v>
      </c>
      <c r="H17" s="493" t="n">
        <v>216000</v>
      </c>
      <c r="J17" s="493" t="n">
        <v>38880</v>
      </c>
      <c r="K17" s="493" t="n">
        <v>0</v>
      </c>
      <c r="L17" s="493" t="n">
        <v>0</v>
      </c>
      <c r="M17" s="493" t="n">
        <v>0</v>
      </c>
    </row>
    <row r="18" ht="13.5" customHeight="1" s="253">
      <c r="A18" s="494" t="n">
        <v>45786</v>
      </c>
      <c r="B18" s="496" t="inlineStr">
        <is>
          <t>INV-25-26-000111</t>
        </is>
      </c>
      <c r="C18" s="493" t="inlineStr">
        <is>
          <t>invoice</t>
        </is>
      </c>
      <c r="D18" s="493" t="inlineStr">
        <is>
          <t>Invoice</t>
        </is>
      </c>
      <c r="E18" s="495" t="n">
        <v>2.29715e+18</v>
      </c>
      <c r="H18" s="493" t="n">
        <v>3388.98</v>
      </c>
      <c r="J18" s="493" t="n">
        <v>610.02</v>
      </c>
      <c r="K18" s="493" t="n">
        <v>0</v>
      </c>
      <c r="L18" s="493" t="n">
        <v>0</v>
      </c>
      <c r="M18" s="493" t="n">
        <v>0</v>
      </c>
    </row>
    <row r="19" ht="13.5" customHeight="1" s="253">
      <c r="A19" s="494" t="n">
        <v>45787</v>
      </c>
      <c r="B19" s="496" t="inlineStr">
        <is>
          <t>INV-25-26-000113</t>
        </is>
      </c>
      <c r="C19" s="493" t="inlineStr">
        <is>
          <t>invoice</t>
        </is>
      </c>
      <c r="D19" s="493" t="inlineStr">
        <is>
          <t>Invoice</t>
        </is>
      </c>
      <c r="E19" s="495" t="n">
        <v>2.29715e+18</v>
      </c>
      <c r="H19" s="493" t="n">
        <v>10000</v>
      </c>
      <c r="J19" s="493" t="n">
        <v>1800</v>
      </c>
      <c r="K19" s="493" t="n">
        <v>0</v>
      </c>
      <c r="L19" s="493" t="n">
        <v>0</v>
      </c>
      <c r="M19" s="493" t="n">
        <v>0</v>
      </c>
    </row>
    <row r="20" ht="13.5" customHeight="1" s="253">
      <c r="A20" s="494" t="n">
        <v>45787</v>
      </c>
      <c r="B20" s="496" t="inlineStr">
        <is>
          <t>INV-25-26-000114</t>
        </is>
      </c>
      <c r="C20" s="493" t="inlineStr">
        <is>
          <t>invoice</t>
        </is>
      </c>
      <c r="D20" s="493" t="inlineStr">
        <is>
          <t>Invoice</t>
        </is>
      </c>
      <c r="E20" s="495" t="n">
        <v>2.29715e+18</v>
      </c>
      <c r="H20" s="493" t="n">
        <v>8729</v>
      </c>
      <c r="J20" s="493" t="n">
        <v>1571.22</v>
      </c>
      <c r="K20" s="493" t="n">
        <v>0</v>
      </c>
      <c r="L20" s="493" t="n">
        <v>0</v>
      </c>
      <c r="M20" s="493" t="n">
        <v>0</v>
      </c>
    </row>
    <row r="21" ht="13.5" customHeight="1" s="253">
      <c r="A21" s="494" t="n">
        <v>45789</v>
      </c>
      <c r="B21" s="493" t="inlineStr">
        <is>
          <t>INV-25-26-000116</t>
        </is>
      </c>
      <c r="C21" s="493" t="inlineStr">
        <is>
          <t>invoice</t>
        </is>
      </c>
      <c r="D21" s="493" t="inlineStr">
        <is>
          <t>Invoice</t>
        </is>
      </c>
      <c r="E21" s="495" t="n">
        <v>2.29715e+18</v>
      </c>
      <c r="H21" s="493" t="n">
        <v>12711.87</v>
      </c>
      <c r="J21" s="493" t="n">
        <v>2288.14</v>
      </c>
      <c r="K21" s="493" t="n">
        <v>0</v>
      </c>
      <c r="L21" s="493" t="n">
        <v>0</v>
      </c>
      <c r="M21" s="493" t="n">
        <v>0</v>
      </c>
    </row>
    <row r="22" ht="13.5" customHeight="1" s="253">
      <c r="A22" s="494" t="n">
        <v>45789</v>
      </c>
      <c r="B22" s="493" t="inlineStr">
        <is>
          <t>INV-25-26-000117</t>
        </is>
      </c>
      <c r="C22" s="493" t="inlineStr">
        <is>
          <t>invoice</t>
        </is>
      </c>
      <c r="D22" s="493" t="inlineStr">
        <is>
          <t>Invoice</t>
        </is>
      </c>
      <c r="E22" s="495" t="n">
        <v>2.29715e+18</v>
      </c>
      <c r="H22" s="493" t="n">
        <v>12711.87</v>
      </c>
      <c r="J22" s="493" t="n">
        <v>2288.14</v>
      </c>
      <c r="K22" s="493" t="n">
        <v>0</v>
      </c>
      <c r="L22" s="493" t="n">
        <v>0</v>
      </c>
      <c r="M22" s="493" t="n">
        <v>0</v>
      </c>
    </row>
    <row r="23" ht="13.5" customHeight="1" s="253">
      <c r="A23" s="494" t="n">
        <v>45789</v>
      </c>
      <c r="B23" s="496" t="inlineStr">
        <is>
          <t>INV-25-26-000115</t>
        </is>
      </c>
      <c r="C23" s="493" t="inlineStr">
        <is>
          <t>invoice</t>
        </is>
      </c>
      <c r="D23" s="493" t="inlineStr">
        <is>
          <t>Invoice</t>
        </is>
      </c>
      <c r="E23" s="495" t="n">
        <v>2.29715e+18</v>
      </c>
      <c r="H23" s="493" t="n">
        <v>4237.29</v>
      </c>
      <c r="J23" s="493" t="n">
        <v>0</v>
      </c>
      <c r="K23" s="493" t="n">
        <v>381.36</v>
      </c>
      <c r="L23" s="493" t="n">
        <v>381.36</v>
      </c>
      <c r="M23" s="493" t="n">
        <v>0</v>
      </c>
    </row>
    <row r="24" ht="13.5" customHeight="1" s="253">
      <c r="A24" s="494" t="n">
        <v>45789</v>
      </c>
      <c r="B24" s="493" t="inlineStr">
        <is>
          <t>INV-25-26-000118</t>
        </is>
      </c>
      <c r="C24" s="493" t="inlineStr">
        <is>
          <t>invoice</t>
        </is>
      </c>
      <c r="D24" s="493" t="inlineStr">
        <is>
          <t>Invoice</t>
        </is>
      </c>
      <c r="E24" s="495" t="n">
        <v>2.29715e+18</v>
      </c>
      <c r="H24" s="493" t="n">
        <v>6000</v>
      </c>
      <c r="J24" s="493" t="n">
        <v>1080</v>
      </c>
      <c r="K24" s="493" t="n">
        <v>0</v>
      </c>
      <c r="L24" s="493" t="n">
        <v>0</v>
      </c>
      <c r="M24" s="493" t="n">
        <v>0</v>
      </c>
    </row>
    <row r="25" ht="13.5" customHeight="1" s="253">
      <c r="A25" s="494" t="n">
        <v>45790</v>
      </c>
      <c r="B25" s="493" t="inlineStr">
        <is>
          <t>INV-25-26-000119</t>
        </is>
      </c>
      <c r="C25" s="493" t="inlineStr">
        <is>
          <t>invoice</t>
        </is>
      </c>
      <c r="D25" s="493" t="inlineStr">
        <is>
          <t>Invoice</t>
        </is>
      </c>
      <c r="E25" s="495" t="n">
        <v>2.29715e+18</v>
      </c>
      <c r="H25" s="493" t="n">
        <v>150000</v>
      </c>
      <c r="J25" s="493" t="n">
        <v>27000</v>
      </c>
      <c r="K25" s="493" t="n">
        <v>0</v>
      </c>
      <c r="L25" s="493" t="n">
        <v>0</v>
      </c>
      <c r="M25" s="493" t="n">
        <v>0</v>
      </c>
    </row>
    <row r="26" ht="13.5" customHeight="1" s="253">
      <c r="A26" s="494" t="n">
        <v>45790</v>
      </c>
      <c r="B26" s="493" t="inlineStr">
        <is>
          <t>INV-25-26-000122</t>
        </is>
      </c>
      <c r="C26" s="493" t="inlineStr">
        <is>
          <t>invoice</t>
        </is>
      </c>
      <c r="D26" s="493" t="inlineStr">
        <is>
          <t>Invoice</t>
        </is>
      </c>
      <c r="E26" s="495" t="n">
        <v>2.29715e+18</v>
      </c>
      <c r="H26" s="493" t="n">
        <v>81000</v>
      </c>
      <c r="J26" s="493" t="n">
        <v>14580</v>
      </c>
      <c r="K26" s="493" t="n">
        <v>0</v>
      </c>
      <c r="L26" s="493" t="n">
        <v>0</v>
      </c>
      <c r="M26" s="493" t="n">
        <v>0</v>
      </c>
    </row>
    <row r="27" ht="13.5" customHeight="1" s="253">
      <c r="A27" s="494" t="n">
        <v>45790</v>
      </c>
      <c r="B27" s="493" t="inlineStr">
        <is>
          <t>INV-25-26-000120</t>
        </is>
      </c>
      <c r="C27" s="493" t="inlineStr">
        <is>
          <t>invoice</t>
        </is>
      </c>
      <c r="D27" s="493" t="inlineStr">
        <is>
          <t>Invoice</t>
        </is>
      </c>
      <c r="E27" s="495" t="n">
        <v>2.29715e+18</v>
      </c>
      <c r="H27" s="493" t="n">
        <v>12000</v>
      </c>
      <c r="J27" s="493" t="n">
        <v>2160</v>
      </c>
      <c r="K27" s="493" t="n">
        <v>0</v>
      </c>
      <c r="L27" s="493" t="n">
        <v>0</v>
      </c>
      <c r="M27" s="493" t="n">
        <v>0</v>
      </c>
    </row>
    <row r="28" ht="13.5" customHeight="1" s="253">
      <c r="A28" s="494" t="n">
        <v>45790</v>
      </c>
      <c r="B28" s="493" t="inlineStr">
        <is>
          <t>INV-25-26-000121</t>
        </is>
      </c>
      <c r="C28" s="493" t="inlineStr">
        <is>
          <t>invoice</t>
        </is>
      </c>
      <c r="D28" s="493" t="inlineStr">
        <is>
          <t>Invoice</t>
        </is>
      </c>
      <c r="E28" s="495" t="n">
        <v>2.29715e+18</v>
      </c>
      <c r="H28" s="493" t="n">
        <v>19067.8</v>
      </c>
      <c r="J28" s="493" t="n">
        <v>3432.2</v>
      </c>
      <c r="K28" s="493" t="n">
        <v>0</v>
      </c>
      <c r="L28" s="493" t="n">
        <v>0</v>
      </c>
      <c r="M28" s="493" t="n">
        <v>0</v>
      </c>
    </row>
    <row r="29" ht="13.5" customHeight="1" s="253">
      <c r="A29" s="494" t="n">
        <v>45791</v>
      </c>
      <c r="B29" s="493" t="inlineStr">
        <is>
          <t>INV-25-26-000123</t>
        </is>
      </c>
      <c r="C29" s="493" t="inlineStr">
        <is>
          <t>invoice</t>
        </is>
      </c>
      <c r="D29" s="493" t="inlineStr">
        <is>
          <t>Invoice</t>
        </is>
      </c>
      <c r="E29" s="495" t="n">
        <v>2.29715e+18</v>
      </c>
      <c r="H29" s="493" t="n">
        <v>20000</v>
      </c>
      <c r="J29" s="493" t="n">
        <v>3600</v>
      </c>
      <c r="K29" s="493" t="n">
        <v>0</v>
      </c>
      <c r="L29" s="493" t="n">
        <v>0</v>
      </c>
      <c r="M29" s="493" t="n">
        <v>0</v>
      </c>
    </row>
    <row r="30" ht="13.5" customHeight="1" s="253">
      <c r="A30" s="494" t="n">
        <v>45792</v>
      </c>
      <c r="B30" s="493" t="inlineStr">
        <is>
          <t>INV-25-26-000126</t>
        </is>
      </c>
      <c r="C30" s="493" t="inlineStr">
        <is>
          <t>invoice</t>
        </is>
      </c>
      <c r="D30" s="493" t="inlineStr">
        <is>
          <t>Invoice</t>
        </is>
      </c>
      <c r="E30" s="495" t="n">
        <v>2.29715e+18</v>
      </c>
      <c r="H30" s="493" t="n">
        <v>100000</v>
      </c>
      <c r="J30" s="493" t="n">
        <v>18000</v>
      </c>
      <c r="K30" s="493" t="n">
        <v>0</v>
      </c>
      <c r="L30" s="493" t="n">
        <v>0</v>
      </c>
      <c r="M30" s="493" t="n">
        <v>0</v>
      </c>
    </row>
    <row r="31" ht="13.5" customHeight="1" s="253">
      <c r="A31" s="494" t="n">
        <v>45792</v>
      </c>
      <c r="B31" s="496" t="inlineStr">
        <is>
          <t>INV-25-26-000125</t>
        </is>
      </c>
      <c r="C31" s="493" t="inlineStr">
        <is>
          <t>invoice</t>
        </is>
      </c>
      <c r="D31" s="493" t="inlineStr">
        <is>
          <t>Invoice</t>
        </is>
      </c>
      <c r="E31" s="495" t="n">
        <v>2.29715e+18</v>
      </c>
      <c r="H31" s="493" t="n">
        <v>16950</v>
      </c>
      <c r="J31" s="493" t="n">
        <v>3051</v>
      </c>
      <c r="K31" s="493" t="n">
        <v>0</v>
      </c>
      <c r="L31" s="493" t="n">
        <v>0</v>
      </c>
      <c r="M31" s="493" t="n">
        <v>0</v>
      </c>
    </row>
    <row r="32" ht="13.5" customHeight="1" s="253">
      <c r="A32" s="494" t="n">
        <v>45792</v>
      </c>
      <c r="B32" s="496" t="inlineStr">
        <is>
          <t>INV-25-26-000124</t>
        </is>
      </c>
      <c r="C32" s="493" t="inlineStr">
        <is>
          <t>invoice</t>
        </is>
      </c>
      <c r="D32" s="493" t="inlineStr">
        <is>
          <t>Invoice</t>
        </is>
      </c>
      <c r="E32" s="495" t="n">
        <v>2.29715e+18</v>
      </c>
      <c r="H32" s="493" t="n">
        <v>150000</v>
      </c>
      <c r="J32" s="493" t="n">
        <v>27000</v>
      </c>
      <c r="K32" s="493" t="n">
        <v>0</v>
      </c>
      <c r="L32" s="493" t="n">
        <v>0</v>
      </c>
      <c r="M32" s="493" t="n">
        <v>0</v>
      </c>
    </row>
    <row r="33" ht="13.5" customHeight="1" s="253">
      <c r="A33" s="494" t="n">
        <v>45793</v>
      </c>
      <c r="B33" s="496" t="inlineStr">
        <is>
          <t>INV-25-26-000127</t>
        </is>
      </c>
      <c r="C33" s="493" t="inlineStr">
        <is>
          <t>invoice</t>
        </is>
      </c>
      <c r="D33" s="493" t="inlineStr">
        <is>
          <t>Invoice</t>
        </is>
      </c>
      <c r="E33" s="495" t="n">
        <v>2.29715e+18</v>
      </c>
      <c r="H33" s="493" t="n">
        <v>10000</v>
      </c>
      <c r="J33" s="493" t="n">
        <v>1800</v>
      </c>
      <c r="K33" s="493" t="n">
        <v>0</v>
      </c>
      <c r="L33" s="493" t="n">
        <v>0</v>
      </c>
      <c r="M33" s="493" t="n">
        <v>0</v>
      </c>
    </row>
    <row r="34" ht="13.5" customHeight="1" s="253">
      <c r="A34" s="494" t="n">
        <v>45793</v>
      </c>
      <c r="B34" s="493" t="inlineStr">
        <is>
          <t>INV-25-26-000128</t>
        </is>
      </c>
      <c r="C34" s="493" t="inlineStr">
        <is>
          <t>invoice</t>
        </is>
      </c>
      <c r="D34" s="493" t="inlineStr">
        <is>
          <t>Invoice</t>
        </is>
      </c>
      <c r="E34" s="495" t="n">
        <v>2.29715e+18</v>
      </c>
      <c r="H34" s="493" t="n">
        <v>55000</v>
      </c>
      <c r="J34" s="493" t="n">
        <v>9900</v>
      </c>
      <c r="K34" s="493" t="n">
        <v>0</v>
      </c>
      <c r="L34" s="493" t="n">
        <v>0</v>
      </c>
      <c r="M34" s="493" t="n">
        <v>0</v>
      </c>
    </row>
    <row r="35" ht="13.5" customHeight="1" s="253">
      <c r="A35" s="494" t="n">
        <v>45793</v>
      </c>
      <c r="B35" s="493" t="inlineStr">
        <is>
          <t>INV-25-26-000129</t>
        </is>
      </c>
      <c r="C35" s="493" t="inlineStr">
        <is>
          <t>invoice</t>
        </is>
      </c>
      <c r="D35" s="493" t="inlineStr">
        <is>
          <t>Invoice</t>
        </is>
      </c>
      <c r="E35" s="495" t="n">
        <v>2.29715e+18</v>
      </c>
      <c r="H35" s="493" t="n">
        <v>4000</v>
      </c>
      <c r="J35" s="493" t="n">
        <v>720</v>
      </c>
      <c r="K35" s="493" t="n">
        <v>0</v>
      </c>
      <c r="L35" s="493" t="n">
        <v>0</v>
      </c>
      <c r="M35" s="493" t="n">
        <v>0</v>
      </c>
    </row>
    <row r="36" ht="13.5" customHeight="1" s="253">
      <c r="A36" s="494" t="n">
        <v>45796</v>
      </c>
      <c r="B36" s="493" t="inlineStr">
        <is>
          <t>INV-25-26-000130</t>
        </is>
      </c>
      <c r="C36" s="493" t="inlineStr">
        <is>
          <t>invoice</t>
        </is>
      </c>
      <c r="D36" s="493" t="inlineStr">
        <is>
          <t>Invoice</t>
        </is>
      </c>
      <c r="E36" s="495" t="n">
        <v>2.29715e+18</v>
      </c>
      <c r="H36" s="493" t="n">
        <v>92540</v>
      </c>
      <c r="J36" s="493" t="n">
        <v>16657.2</v>
      </c>
      <c r="K36" s="493" t="n">
        <v>0</v>
      </c>
      <c r="L36" s="493" t="n">
        <v>0</v>
      </c>
      <c r="M36" s="493" t="n">
        <v>0</v>
      </c>
    </row>
    <row r="37" ht="13.5" customHeight="1" s="253">
      <c r="A37" s="494" t="n">
        <v>45797</v>
      </c>
      <c r="B37" s="493" t="inlineStr">
        <is>
          <t>INV-25-26-000134</t>
        </is>
      </c>
      <c r="C37" s="493" t="inlineStr">
        <is>
          <t>invoice</t>
        </is>
      </c>
      <c r="D37" s="493" t="inlineStr">
        <is>
          <t>Invoice</t>
        </is>
      </c>
      <c r="E37" s="495" t="n">
        <v>2.29715e+18</v>
      </c>
      <c r="H37" s="493" t="n">
        <v>36450</v>
      </c>
      <c r="J37" s="493" t="n">
        <v>6561</v>
      </c>
      <c r="K37" s="493" t="n">
        <v>0</v>
      </c>
      <c r="L37" s="493" t="n">
        <v>0</v>
      </c>
      <c r="M37" s="493" t="n">
        <v>0</v>
      </c>
    </row>
    <row r="38" ht="13.5" customHeight="1" s="253">
      <c r="A38" s="494" t="n">
        <v>45797</v>
      </c>
      <c r="B38" s="493" t="inlineStr">
        <is>
          <t>INV-25-26-000135</t>
        </is>
      </c>
      <c r="C38" s="493" t="inlineStr">
        <is>
          <t>invoice</t>
        </is>
      </c>
      <c r="D38" s="493" t="inlineStr">
        <is>
          <t>Invoice</t>
        </is>
      </c>
      <c r="E38" s="495" t="n">
        <v>2.29715e+18</v>
      </c>
      <c r="H38" s="493" t="n">
        <v>255000</v>
      </c>
      <c r="J38" s="493" t="n">
        <v>45900</v>
      </c>
      <c r="K38" s="493" t="n">
        <v>0</v>
      </c>
      <c r="L38" s="493" t="n">
        <v>0</v>
      </c>
      <c r="M38" s="493" t="n">
        <v>0</v>
      </c>
    </row>
    <row r="39" ht="13.5" customHeight="1" s="253">
      <c r="A39" s="494" t="n">
        <v>45797</v>
      </c>
      <c r="B39" s="493" t="inlineStr">
        <is>
          <t>INV-25-26-000131</t>
        </is>
      </c>
      <c r="C39" s="493" t="inlineStr">
        <is>
          <t>invoice</t>
        </is>
      </c>
      <c r="D39" s="493" t="inlineStr">
        <is>
          <t>Invoice</t>
        </is>
      </c>
      <c r="E39" s="495" t="n">
        <v>2.29715e+18</v>
      </c>
      <c r="H39" s="493" t="n">
        <v>36450</v>
      </c>
      <c r="J39" s="493" t="n">
        <v>6561</v>
      </c>
      <c r="K39" s="493" t="n">
        <v>0</v>
      </c>
      <c r="L39" s="493" t="n">
        <v>0</v>
      </c>
      <c r="M39" s="493" t="n">
        <v>0</v>
      </c>
    </row>
    <row r="40" ht="13.5" customHeight="1" s="253">
      <c r="A40" s="494" t="n">
        <v>45797</v>
      </c>
      <c r="B40" s="493" t="inlineStr">
        <is>
          <t>INV-25-26-000132</t>
        </is>
      </c>
      <c r="C40" s="493" t="inlineStr">
        <is>
          <t>invoice</t>
        </is>
      </c>
      <c r="D40" s="493" t="inlineStr">
        <is>
          <t>Invoice</t>
        </is>
      </c>
      <c r="E40" s="495" t="n">
        <v>2.29715e+18</v>
      </c>
      <c r="H40" s="493" t="n">
        <v>36450</v>
      </c>
      <c r="J40" s="493" t="n">
        <v>6561</v>
      </c>
      <c r="K40" s="493" t="n">
        <v>0</v>
      </c>
      <c r="L40" s="493" t="n">
        <v>0</v>
      </c>
      <c r="M40" s="493" t="n">
        <v>0</v>
      </c>
    </row>
    <row r="41" ht="13.5" customHeight="1" s="253">
      <c r="A41" s="494" t="n">
        <v>45797</v>
      </c>
      <c r="B41" s="493" t="inlineStr">
        <is>
          <t>INV-25-26-000133</t>
        </is>
      </c>
      <c r="C41" s="493" t="inlineStr">
        <is>
          <t>invoice</t>
        </is>
      </c>
      <c r="D41" s="493" t="inlineStr">
        <is>
          <t>Invoice</t>
        </is>
      </c>
      <c r="E41" s="495" t="n">
        <v>2.29715e+18</v>
      </c>
      <c r="H41" s="493" t="n">
        <v>36450</v>
      </c>
      <c r="J41" s="493" t="n">
        <v>6561</v>
      </c>
      <c r="K41" s="493" t="n">
        <v>0</v>
      </c>
      <c r="L41" s="493" t="n">
        <v>0</v>
      </c>
      <c r="M41" s="493" t="n">
        <v>0</v>
      </c>
    </row>
    <row r="42" ht="13.5" customHeight="1" s="253">
      <c r="A42" s="494" t="n">
        <v>45798</v>
      </c>
      <c r="B42" s="493" t="inlineStr">
        <is>
          <t>INV-25-26-000136</t>
        </is>
      </c>
      <c r="C42" s="493" t="inlineStr">
        <is>
          <t>invoice</t>
        </is>
      </c>
      <c r="D42" s="493" t="inlineStr">
        <is>
          <t>Invoice</t>
        </is>
      </c>
      <c r="E42" s="495" t="n">
        <v>2.29715e+18</v>
      </c>
      <c r="H42" s="493" t="n">
        <v>10000</v>
      </c>
      <c r="J42" s="493" t="n">
        <v>1800</v>
      </c>
      <c r="K42" s="493" t="n">
        <v>0</v>
      </c>
      <c r="L42" s="493" t="n">
        <v>0</v>
      </c>
      <c r="M42" s="493" t="n">
        <v>0</v>
      </c>
    </row>
    <row r="43" ht="13.5" customHeight="1" s="253">
      <c r="A43" s="494" t="n">
        <v>45800</v>
      </c>
      <c r="B43" s="493" t="inlineStr">
        <is>
          <t>INV-25-26-000139</t>
        </is>
      </c>
      <c r="C43" s="493" t="inlineStr">
        <is>
          <t>invoice</t>
        </is>
      </c>
      <c r="D43" s="493" t="inlineStr">
        <is>
          <t>Invoice</t>
        </is>
      </c>
      <c r="E43" s="495" t="n">
        <v>2.29715e+18</v>
      </c>
      <c r="H43" s="493" t="n">
        <v>144000</v>
      </c>
      <c r="J43" s="493" t="n">
        <v>25920</v>
      </c>
      <c r="K43" s="493" t="n">
        <v>0</v>
      </c>
      <c r="L43" s="493" t="n">
        <v>0</v>
      </c>
      <c r="M43" s="493" t="n">
        <v>0</v>
      </c>
    </row>
    <row r="44" ht="13.5" customHeight="1" s="253">
      <c r="A44" s="494" t="n">
        <v>45800</v>
      </c>
      <c r="B44" s="496" t="inlineStr">
        <is>
          <t>INV-25-26-000137</t>
        </is>
      </c>
      <c r="C44" s="493" t="inlineStr">
        <is>
          <t>invoice</t>
        </is>
      </c>
      <c r="D44" s="493" t="inlineStr">
        <is>
          <t>Invoice</t>
        </is>
      </c>
      <c r="E44" s="495" t="n">
        <v>2.29715e+18</v>
      </c>
      <c r="H44" s="493" t="n">
        <v>15000</v>
      </c>
      <c r="J44" s="493" t="n">
        <v>2700</v>
      </c>
      <c r="K44" s="493" t="n">
        <v>0</v>
      </c>
      <c r="L44" s="493" t="n">
        <v>0</v>
      </c>
      <c r="M44" s="493" t="n">
        <v>0</v>
      </c>
    </row>
    <row r="45" ht="13.5" customHeight="1" s="253">
      <c r="A45" s="494" t="n">
        <v>45800</v>
      </c>
      <c r="B45" s="493" t="inlineStr">
        <is>
          <t>INV-25-26-000138</t>
        </is>
      </c>
      <c r="C45" s="493" t="inlineStr">
        <is>
          <t>invoice</t>
        </is>
      </c>
      <c r="D45" s="493" t="inlineStr">
        <is>
          <t>Invoice</t>
        </is>
      </c>
      <c r="E45" s="495" t="n">
        <v>2.29715e+18</v>
      </c>
      <c r="H45" s="493" t="n">
        <v>5000</v>
      </c>
      <c r="J45" s="493" t="n">
        <v>900</v>
      </c>
      <c r="K45" s="493" t="n">
        <v>0</v>
      </c>
      <c r="L45" s="493" t="n">
        <v>0</v>
      </c>
      <c r="M45" s="493" t="n">
        <v>0</v>
      </c>
    </row>
    <row r="46" ht="13.5" customHeight="1" s="253">
      <c r="A46" s="494" t="n">
        <v>45803</v>
      </c>
      <c r="B46" s="493" t="inlineStr">
        <is>
          <t>INV-25-26-000144</t>
        </is>
      </c>
      <c r="C46" s="493" t="inlineStr">
        <is>
          <t>invoice</t>
        </is>
      </c>
      <c r="D46" s="493" t="inlineStr">
        <is>
          <t>Invoice</t>
        </is>
      </c>
      <c r="E46" s="495" t="n">
        <v>2.29715e+18</v>
      </c>
      <c r="H46" s="493" t="n">
        <v>12000</v>
      </c>
      <c r="J46" s="493" t="n">
        <v>2160</v>
      </c>
      <c r="K46" s="493" t="n">
        <v>0</v>
      </c>
      <c r="L46" s="493" t="n">
        <v>0</v>
      </c>
      <c r="M46" s="493" t="n">
        <v>0</v>
      </c>
    </row>
    <row r="47" ht="13.5" customHeight="1" s="253">
      <c r="A47" s="494" t="n">
        <v>45803</v>
      </c>
      <c r="B47" s="493" t="inlineStr">
        <is>
          <t>INV-25-26-000145</t>
        </is>
      </c>
      <c r="C47" s="493" t="inlineStr">
        <is>
          <t>invoice</t>
        </is>
      </c>
      <c r="D47" s="493" t="inlineStr">
        <is>
          <t>Invoice</t>
        </is>
      </c>
      <c r="E47" s="495" t="n">
        <v>2.29715e+18</v>
      </c>
      <c r="H47" s="493" t="n">
        <v>44915.5</v>
      </c>
      <c r="J47" s="493" t="n">
        <v>8084.79</v>
      </c>
      <c r="K47" s="493" t="n">
        <v>0</v>
      </c>
      <c r="L47" s="493" t="n">
        <v>0</v>
      </c>
      <c r="M47" s="493" t="n">
        <v>0</v>
      </c>
    </row>
    <row r="48" ht="13.5" customHeight="1" s="253">
      <c r="A48" s="494" t="n">
        <v>45803</v>
      </c>
      <c r="B48" s="493" t="inlineStr">
        <is>
          <t>INV-25-26-000142</t>
        </is>
      </c>
      <c r="C48" s="493" t="inlineStr">
        <is>
          <t>invoice</t>
        </is>
      </c>
      <c r="D48" s="493" t="inlineStr">
        <is>
          <t>Invoice</t>
        </is>
      </c>
      <c r="E48" s="495" t="n">
        <v>2.29715e+18</v>
      </c>
      <c r="H48" s="493" t="n">
        <v>70000</v>
      </c>
      <c r="J48" s="493" t="n">
        <v>12600</v>
      </c>
      <c r="K48" s="493" t="n">
        <v>0</v>
      </c>
      <c r="L48" s="493" t="n">
        <v>0</v>
      </c>
      <c r="M48" s="493" t="n">
        <v>0</v>
      </c>
    </row>
    <row r="49" ht="13.5" customHeight="1" s="253">
      <c r="A49" s="494" t="n">
        <v>45803</v>
      </c>
      <c r="B49" s="493" t="inlineStr">
        <is>
          <t>INV-25-26-000146</t>
        </is>
      </c>
      <c r="C49" s="493" t="inlineStr">
        <is>
          <t>invoice</t>
        </is>
      </c>
      <c r="D49" s="493" t="inlineStr">
        <is>
          <t>Invoice</t>
        </is>
      </c>
      <c r="E49" s="495" t="n">
        <v>2.29715e+18</v>
      </c>
      <c r="H49" s="493" t="n">
        <v>59322.03</v>
      </c>
      <c r="J49" s="493" t="n">
        <v>10677.97</v>
      </c>
      <c r="K49" s="493" t="n">
        <v>0</v>
      </c>
      <c r="L49" s="493" t="n">
        <v>0</v>
      </c>
      <c r="M49" s="493" t="n">
        <v>0</v>
      </c>
    </row>
    <row r="50" ht="13.5" customHeight="1" s="253">
      <c r="A50" s="494" t="n">
        <v>45803</v>
      </c>
      <c r="B50" s="493" t="inlineStr">
        <is>
          <t>INV-25-26-000140</t>
        </is>
      </c>
      <c r="C50" s="493" t="inlineStr">
        <is>
          <t>invoice</t>
        </is>
      </c>
      <c r="D50" s="493" t="inlineStr">
        <is>
          <t>Invoice</t>
        </is>
      </c>
      <c r="E50" s="495" t="n">
        <v>2.29715e+18</v>
      </c>
      <c r="H50" s="493" t="n">
        <v>137288.14</v>
      </c>
      <c r="J50" s="493" t="n">
        <v>24711.87</v>
      </c>
      <c r="K50" s="493" t="n">
        <v>0</v>
      </c>
      <c r="L50" s="493" t="n">
        <v>0</v>
      </c>
      <c r="M50" s="493" t="n">
        <v>0</v>
      </c>
    </row>
    <row r="51" ht="13.5" customHeight="1" s="253">
      <c r="A51" s="494" t="n">
        <v>45803</v>
      </c>
      <c r="B51" s="493" t="inlineStr">
        <is>
          <t>INV-25-26-000141</t>
        </is>
      </c>
      <c r="C51" s="493" t="inlineStr">
        <is>
          <t>invoice</t>
        </is>
      </c>
      <c r="D51" s="493" t="inlineStr">
        <is>
          <t>Invoice</t>
        </is>
      </c>
      <c r="E51" s="495" t="n">
        <v>2.29715e+18</v>
      </c>
      <c r="H51" s="493" t="n">
        <v>37800</v>
      </c>
      <c r="J51" s="493" t="n">
        <v>0</v>
      </c>
      <c r="K51" s="493" t="n">
        <v>3402</v>
      </c>
      <c r="L51" s="493" t="n">
        <v>3402</v>
      </c>
      <c r="M51" s="493" t="n">
        <v>0</v>
      </c>
    </row>
    <row r="52" ht="13.5" customHeight="1" s="253">
      <c r="A52" s="494" t="n">
        <v>45803</v>
      </c>
      <c r="B52" s="493" t="inlineStr">
        <is>
          <t>INV-25-26-000143</t>
        </is>
      </c>
      <c r="C52" s="493" t="inlineStr">
        <is>
          <t>invoice</t>
        </is>
      </c>
      <c r="D52" s="493" t="inlineStr">
        <is>
          <t>Invoice</t>
        </is>
      </c>
      <c r="E52" s="495" t="n">
        <v>2.29715e+18</v>
      </c>
      <c r="H52" s="493" t="n">
        <v>10000</v>
      </c>
      <c r="J52" s="493" t="n">
        <v>1800</v>
      </c>
      <c r="K52" s="493" t="n">
        <v>0</v>
      </c>
      <c r="L52" s="493" t="n">
        <v>0</v>
      </c>
      <c r="M52" s="493" t="n">
        <v>0</v>
      </c>
    </row>
    <row r="53" ht="13.5" customHeight="1" s="253">
      <c r="A53" s="494" t="n">
        <v>45805</v>
      </c>
      <c r="B53" s="496" t="inlineStr">
        <is>
          <t>INV-25-26-000148</t>
        </is>
      </c>
      <c r="C53" s="493" t="inlineStr">
        <is>
          <t>invoice</t>
        </is>
      </c>
      <c r="D53" s="493" t="inlineStr">
        <is>
          <t>Invoice</t>
        </is>
      </c>
      <c r="E53" s="495" t="n">
        <v>2.29715e+18</v>
      </c>
      <c r="H53" s="493" t="n">
        <v>16949.15</v>
      </c>
      <c r="J53" s="493" t="n">
        <v>3050.85</v>
      </c>
      <c r="K53" s="493" t="n">
        <v>0</v>
      </c>
      <c r="L53" s="493" t="n">
        <v>0</v>
      </c>
      <c r="M53" s="493" t="n">
        <v>0</v>
      </c>
    </row>
    <row r="54" ht="13.5" customHeight="1" s="253">
      <c r="A54" s="494" t="n">
        <v>45805</v>
      </c>
      <c r="B54" s="493" t="inlineStr">
        <is>
          <t>INV-25-26-000147</t>
        </is>
      </c>
      <c r="C54" s="493" t="inlineStr">
        <is>
          <t>invoice</t>
        </is>
      </c>
      <c r="D54" s="493" t="inlineStr">
        <is>
          <t>Invoice</t>
        </is>
      </c>
      <c r="E54" s="495" t="n">
        <v>2.29715e+18</v>
      </c>
      <c r="H54" s="493" t="n">
        <v>20000</v>
      </c>
      <c r="J54" s="493" t="n">
        <v>3600</v>
      </c>
      <c r="K54" s="493" t="n">
        <v>0</v>
      </c>
      <c r="L54" s="493" t="n">
        <v>0</v>
      </c>
      <c r="M54" s="493" t="n">
        <v>0</v>
      </c>
    </row>
    <row r="55" ht="13.5" customHeight="1" s="253">
      <c r="A55" s="494" t="n">
        <v>45806</v>
      </c>
      <c r="B55" s="493" t="inlineStr">
        <is>
          <t>INV-25-26-000152</t>
        </is>
      </c>
      <c r="C55" s="493" t="inlineStr">
        <is>
          <t>invoice</t>
        </is>
      </c>
      <c r="D55" s="493" t="inlineStr">
        <is>
          <t>Invoice</t>
        </is>
      </c>
      <c r="E55" s="495" t="n">
        <v>2.29715e+18</v>
      </c>
      <c r="H55" s="493" t="n">
        <v>20000</v>
      </c>
      <c r="J55" s="493" t="n">
        <v>3600</v>
      </c>
      <c r="K55" s="493" t="n">
        <v>0</v>
      </c>
      <c r="L55" s="493" t="n">
        <v>0</v>
      </c>
      <c r="M55" s="493" t="n">
        <v>0</v>
      </c>
    </row>
    <row r="56" ht="13.5" customHeight="1" s="253">
      <c r="A56" s="494" t="n">
        <v>45806</v>
      </c>
      <c r="B56" s="493" t="inlineStr">
        <is>
          <t>INV-25-26-000150</t>
        </is>
      </c>
      <c r="C56" s="493" t="inlineStr">
        <is>
          <t>invoice</t>
        </is>
      </c>
      <c r="D56" s="493" t="inlineStr">
        <is>
          <t>Invoice</t>
        </is>
      </c>
      <c r="E56" s="495" t="n">
        <v>2.29715e+18</v>
      </c>
      <c r="H56" s="493" t="n">
        <v>5000</v>
      </c>
      <c r="J56" s="493" t="n">
        <v>900</v>
      </c>
      <c r="K56" s="493" t="n">
        <v>0</v>
      </c>
      <c r="L56" s="493" t="n">
        <v>0</v>
      </c>
      <c r="M56" s="493" t="n">
        <v>0</v>
      </c>
    </row>
    <row r="57" ht="13.5" customHeight="1" s="253">
      <c r="A57" s="494" t="n">
        <v>45806</v>
      </c>
      <c r="B57" s="496" t="inlineStr">
        <is>
          <t>INV-25-26-000149</t>
        </is>
      </c>
      <c r="C57" s="493" t="inlineStr">
        <is>
          <t>invoice</t>
        </is>
      </c>
      <c r="D57" s="493" t="inlineStr">
        <is>
          <t>Invoice</t>
        </is>
      </c>
      <c r="E57" s="495" t="n">
        <v>2.29715e+18</v>
      </c>
      <c r="H57" s="493" t="n">
        <v>6779.66</v>
      </c>
      <c r="J57" s="493" t="n">
        <v>1220.34</v>
      </c>
      <c r="K57" s="493" t="n">
        <v>0</v>
      </c>
      <c r="L57" s="493" t="n">
        <v>0</v>
      </c>
      <c r="M57" s="493" t="n">
        <v>0</v>
      </c>
    </row>
    <row r="58" ht="13.5" customHeight="1" s="253">
      <c r="A58" s="494" t="n">
        <v>45806</v>
      </c>
      <c r="B58" s="493" t="inlineStr">
        <is>
          <t>INV-25-26-000155</t>
        </is>
      </c>
      <c r="C58" s="493" t="inlineStr">
        <is>
          <t>invoice</t>
        </is>
      </c>
      <c r="D58" s="493" t="inlineStr">
        <is>
          <t>Invoice</t>
        </is>
      </c>
      <c r="E58" s="495" t="n">
        <v>2.29715e+18</v>
      </c>
      <c r="H58" s="493" t="n">
        <v>15000</v>
      </c>
      <c r="J58" s="493" t="n">
        <v>2700</v>
      </c>
      <c r="K58" s="493" t="n">
        <v>0</v>
      </c>
      <c r="L58" s="493" t="n">
        <v>0</v>
      </c>
      <c r="M58" s="493" t="n">
        <v>0</v>
      </c>
    </row>
    <row r="59" ht="13.5" customHeight="1" s="253">
      <c r="A59" s="494" t="n">
        <v>45806</v>
      </c>
      <c r="B59" s="493" t="inlineStr">
        <is>
          <t>INV-25-26-000154</t>
        </is>
      </c>
      <c r="C59" s="493" t="inlineStr">
        <is>
          <t>invoice</t>
        </is>
      </c>
      <c r="D59" s="493" t="inlineStr">
        <is>
          <t>Invoice</t>
        </is>
      </c>
      <c r="E59" s="495" t="n">
        <v>2.29715e+18</v>
      </c>
      <c r="H59" s="493" t="n">
        <v>831384</v>
      </c>
      <c r="J59" s="493" t="n">
        <v>149649.12</v>
      </c>
      <c r="K59" s="493" t="n">
        <v>0</v>
      </c>
      <c r="L59" s="493" t="n">
        <v>0</v>
      </c>
      <c r="M59" s="493" t="n">
        <v>0</v>
      </c>
    </row>
    <row r="60" ht="13.5" customHeight="1" s="253">
      <c r="A60" s="494" t="n">
        <v>45806</v>
      </c>
      <c r="B60" s="493" t="inlineStr">
        <is>
          <t>INV-25-26-000151</t>
        </is>
      </c>
      <c r="C60" s="493" t="inlineStr">
        <is>
          <t>invoice</t>
        </is>
      </c>
      <c r="D60" s="493" t="inlineStr">
        <is>
          <t>Invoice</t>
        </is>
      </c>
      <c r="E60" s="495" t="n">
        <v>2.29715e+18</v>
      </c>
      <c r="H60" s="493" t="n">
        <v>70000</v>
      </c>
      <c r="J60" s="493" t="n">
        <v>12600</v>
      </c>
      <c r="K60" s="493" t="n">
        <v>0</v>
      </c>
      <c r="L60" s="493" t="n">
        <v>0</v>
      </c>
      <c r="M60" s="493" t="n">
        <v>0</v>
      </c>
    </row>
    <row r="61" ht="13.5" customHeight="1" s="253">
      <c r="A61" s="494" t="n">
        <v>45806</v>
      </c>
      <c r="B61" s="493" t="inlineStr">
        <is>
          <t>INV-25-26-000153</t>
        </is>
      </c>
      <c r="C61" s="493" t="inlineStr">
        <is>
          <t>invoice</t>
        </is>
      </c>
      <c r="D61" s="493" t="inlineStr">
        <is>
          <t>Invoice</t>
        </is>
      </c>
      <c r="E61" s="495" t="n">
        <v>2.29715e+18</v>
      </c>
      <c r="H61" s="493" t="n">
        <v>124200</v>
      </c>
      <c r="J61" s="493" t="n">
        <v>22356</v>
      </c>
      <c r="K61" s="493" t="n">
        <v>0</v>
      </c>
      <c r="L61" s="493" t="n">
        <v>0</v>
      </c>
      <c r="M61" s="493" t="n">
        <v>0</v>
      </c>
    </row>
    <row r="62" ht="13.5" customHeight="1" s="253">
      <c r="A62" s="494" t="n">
        <v>45807</v>
      </c>
      <c r="B62" s="493" t="inlineStr">
        <is>
          <t>INV-25-26-000157</t>
        </is>
      </c>
      <c r="C62" s="493" t="inlineStr">
        <is>
          <t>invoice</t>
        </is>
      </c>
      <c r="D62" s="493" t="inlineStr">
        <is>
          <t>Invoice</t>
        </is>
      </c>
      <c r="E62" s="495" t="n">
        <v>2.29715e+18</v>
      </c>
      <c r="H62" s="493" t="n">
        <v>9000</v>
      </c>
      <c r="J62" s="493" t="n">
        <v>1620</v>
      </c>
      <c r="K62" s="493" t="n">
        <v>0</v>
      </c>
      <c r="L62" s="493" t="n">
        <v>0</v>
      </c>
      <c r="M62" s="493" t="n">
        <v>0</v>
      </c>
    </row>
    <row r="63" ht="13.5" customHeight="1" s="253">
      <c r="A63" s="494" t="n">
        <v>45807</v>
      </c>
      <c r="B63" s="493" t="inlineStr">
        <is>
          <t>INV-25-26-000156</t>
        </is>
      </c>
      <c r="C63" s="493" t="inlineStr">
        <is>
          <t>invoice</t>
        </is>
      </c>
      <c r="D63" s="493" t="inlineStr">
        <is>
          <t>Invoice</t>
        </is>
      </c>
      <c r="E63" s="495" t="n">
        <v>2.29715e+18</v>
      </c>
      <c r="H63" s="493" t="n">
        <v>1458000</v>
      </c>
      <c r="J63" s="493" t="n">
        <v>262440</v>
      </c>
      <c r="K63" s="493" t="n">
        <v>0</v>
      </c>
      <c r="L63" s="493" t="n">
        <v>0</v>
      </c>
      <c r="M63" s="493" t="n">
        <v>0</v>
      </c>
    </row>
    <row r="64" ht="13.5" customHeight="1" s="253">
      <c r="A64" s="494" t="n">
        <v>45807</v>
      </c>
      <c r="B64" s="493" t="inlineStr">
        <is>
          <t>INV-25-26-000158</t>
        </is>
      </c>
      <c r="C64" s="493" t="inlineStr">
        <is>
          <t>invoice</t>
        </is>
      </c>
      <c r="D64" s="493" t="inlineStr">
        <is>
          <t>Invoice</t>
        </is>
      </c>
      <c r="E64" s="495" t="n">
        <v>2.29715e+18</v>
      </c>
      <c r="H64" s="493" t="n">
        <v>27000</v>
      </c>
      <c r="J64" s="493" t="n">
        <v>4860</v>
      </c>
      <c r="K64" s="493" t="n">
        <v>0</v>
      </c>
      <c r="L64" s="493" t="n">
        <v>0</v>
      </c>
      <c r="M64" s="493" t="n">
        <v>0</v>
      </c>
    </row>
    <row r="65" ht="13.5" customHeight="1" s="253">
      <c r="A65" s="494" t="n">
        <v>45808</v>
      </c>
      <c r="B65" s="493" t="inlineStr">
        <is>
          <t>INV-25-26-000160</t>
        </is>
      </c>
      <c r="C65" s="493" t="inlineStr">
        <is>
          <t>invoice</t>
        </is>
      </c>
      <c r="D65" s="493" t="inlineStr">
        <is>
          <t>Invoice</t>
        </is>
      </c>
      <c r="E65" s="495" t="n">
        <v>2.29715e+18</v>
      </c>
      <c r="H65" s="493" t="n">
        <v>25000</v>
      </c>
      <c r="J65" s="493" t="n">
        <v>4500</v>
      </c>
      <c r="K65" s="493" t="n">
        <v>0</v>
      </c>
      <c r="L65" s="493" t="n">
        <v>0</v>
      </c>
      <c r="M65" s="493" t="n">
        <v>0</v>
      </c>
    </row>
    <row r="66" ht="13.5" customHeight="1" s="253">
      <c r="A66" s="494" t="n">
        <v>45808</v>
      </c>
      <c r="B66" s="493" t="inlineStr">
        <is>
          <t>CN-00001</t>
        </is>
      </c>
      <c r="C66" s="493" t="inlineStr">
        <is>
          <t>creditnote</t>
        </is>
      </c>
      <c r="D66" s="493" t="inlineStr">
        <is>
          <t>Credit Note</t>
        </is>
      </c>
      <c r="E66" s="495" t="n">
        <v>2.29715e+18</v>
      </c>
      <c r="H66" s="493" t="n">
        <v>-22881.36</v>
      </c>
      <c r="J66" s="493" t="n">
        <v>-4118.64</v>
      </c>
      <c r="K66" s="493" t="n">
        <v>0</v>
      </c>
      <c r="L66" s="493" t="n">
        <v>0</v>
      </c>
      <c r="M66" s="493" t="n">
        <v>0</v>
      </c>
    </row>
    <row r="67" ht="13.5" customHeight="1" s="253">
      <c r="A67" s="494" t="n">
        <v>45808</v>
      </c>
      <c r="B67" s="493" t="inlineStr">
        <is>
          <t>CN-00002</t>
        </is>
      </c>
      <c r="C67" s="493" t="inlineStr">
        <is>
          <t>creditnote</t>
        </is>
      </c>
      <c r="D67" s="493" t="inlineStr">
        <is>
          <t>Credit Note</t>
        </is>
      </c>
      <c r="E67" s="495" t="n">
        <v>2.29715e+18</v>
      </c>
      <c r="H67" s="493" t="n">
        <v>-129600</v>
      </c>
      <c r="J67" s="493" t="n">
        <v>-23328</v>
      </c>
      <c r="K67" s="493" t="n">
        <v>0</v>
      </c>
      <c r="L67" s="493" t="n">
        <v>0</v>
      </c>
      <c r="M67" s="493" t="n">
        <v>0</v>
      </c>
    </row>
    <row r="68" ht="13.5" customHeight="1" s="253">
      <c r="A68" s="494" t="n">
        <v>45808</v>
      </c>
      <c r="B68" s="493" t="inlineStr">
        <is>
          <t>INV-25-26-000159</t>
        </is>
      </c>
      <c r="C68" s="493" t="inlineStr">
        <is>
          <t>invoice</t>
        </is>
      </c>
      <c r="D68" s="493" t="inlineStr">
        <is>
          <t>Invoice</t>
        </is>
      </c>
      <c r="E68" s="495" t="n">
        <v>2.29715e+18</v>
      </c>
      <c r="H68" s="493" t="n">
        <v>17781.37</v>
      </c>
      <c r="J68" s="493" t="n">
        <v>0</v>
      </c>
      <c r="K68" s="493" t="n">
        <v>1600.32</v>
      </c>
      <c r="L68" s="493" t="n">
        <v>1600.32</v>
      </c>
      <c r="M68" s="493" t="n">
        <v>0</v>
      </c>
    </row>
    <row r="70" ht="13.5" customHeight="1" s="253">
      <c r="G70" s="493">
        <f>'fy 25-26-accrual'!#ref!</f>
        <v/>
      </c>
      <c r="H70" s="497">
        <f>SUBTOTAL(9,H2:H68)</f>
        <v/>
      </c>
    </row>
    <row r="71" ht="13.5" customHeight="1" s="253">
      <c r="F71" s="493" t="inlineStr">
        <is>
          <t>CN</t>
        </is>
      </c>
      <c r="G71" s="498">
        <f>H70-G70</f>
        <v/>
      </c>
    </row>
  </sheetData>
  <autoFilter ref="A1:M68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N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16015625" defaultRowHeight="12.8" zeroHeight="0" outlineLevelRow="0"/>
  <sheetData>
    <row r="1" ht="13.8" customHeight="1" s="253">
      <c r="A1" s="298" t="inlineStr">
        <is>
          <t>Bill Date</t>
        </is>
      </c>
      <c r="B1" s="298" t="inlineStr">
        <is>
          <t>Due Date</t>
        </is>
      </c>
      <c r="C1" s="298" t="inlineStr">
        <is>
          <t>Bill ID</t>
        </is>
      </c>
      <c r="D1" s="298" t="inlineStr">
        <is>
          <t>Vendor Name</t>
        </is>
      </c>
      <c r="E1" s="298" t="inlineStr">
        <is>
          <t>Entity Discount Percent</t>
        </is>
      </c>
      <c r="F1" s="298" t="inlineStr">
        <is>
          <t>Payment Terms</t>
        </is>
      </c>
      <c r="G1" s="298" t="inlineStr">
        <is>
          <t>Payment Terms Label</t>
        </is>
      </c>
      <c r="H1" s="298" t="inlineStr">
        <is>
          <t>Bill Number</t>
        </is>
      </c>
      <c r="I1" s="298" t="inlineStr">
        <is>
          <t>PurchaseOrder</t>
        </is>
      </c>
      <c r="J1" s="298" t="inlineStr">
        <is>
          <t>Currency Code</t>
        </is>
      </c>
      <c r="K1" s="298" t="inlineStr">
        <is>
          <t>Exchange Rate</t>
        </is>
      </c>
      <c r="L1" s="298" t="inlineStr">
        <is>
          <t>SubTotal</t>
        </is>
      </c>
      <c r="M1" s="298" t="inlineStr">
        <is>
          <t>Total</t>
        </is>
      </c>
      <c r="N1" s="298" t="inlineStr">
        <is>
          <t>Balance</t>
        </is>
      </c>
      <c r="O1" s="298" t="inlineStr">
        <is>
          <t>TCS Amount</t>
        </is>
      </c>
      <c r="P1" s="298" t="inlineStr">
        <is>
          <t>Vendor Notes</t>
        </is>
      </c>
      <c r="Q1" s="298" t="inlineStr">
        <is>
          <t>Terms &amp; Conditions</t>
        </is>
      </c>
      <c r="R1" s="298" t="inlineStr">
        <is>
          <t>Adjustment</t>
        </is>
      </c>
      <c r="S1" s="298" t="inlineStr">
        <is>
          <t>Adjustment Description</t>
        </is>
      </c>
      <c r="T1" s="298" t="inlineStr">
        <is>
          <t>Is Inclusive Tax</t>
        </is>
      </c>
      <c r="U1" s="298" t="inlineStr">
        <is>
          <t>Submitted By</t>
        </is>
      </c>
      <c r="V1" s="298" t="inlineStr">
        <is>
          <t>Approved By</t>
        </is>
      </c>
      <c r="W1" s="298" t="inlineStr">
        <is>
          <t>Submitted Date</t>
        </is>
      </c>
      <c r="X1" s="298" t="inlineStr">
        <is>
          <t>Approved Date</t>
        </is>
      </c>
      <c r="Y1" s="298" t="inlineStr">
        <is>
          <t>Bill Status</t>
        </is>
      </c>
      <c r="Z1" s="298" t="inlineStr">
        <is>
          <t>Created By</t>
        </is>
      </c>
      <c r="AA1" s="298" t="inlineStr">
        <is>
          <t>Product ID</t>
        </is>
      </c>
      <c r="AB1" s="298" t="inlineStr">
        <is>
          <t>Item Name</t>
        </is>
      </c>
      <c r="AC1" s="298" t="inlineStr">
        <is>
          <t>Account</t>
        </is>
      </c>
      <c r="AD1" s="298" t="inlineStr">
        <is>
          <t>Account Code</t>
        </is>
      </c>
      <c r="AE1" s="298" t="inlineStr">
        <is>
          <t>Description</t>
        </is>
      </c>
      <c r="AF1" s="298" t="inlineStr">
        <is>
          <t>Quantity</t>
        </is>
      </c>
      <c r="AG1" s="298" t="inlineStr">
        <is>
          <t>Usage unit</t>
        </is>
      </c>
      <c r="AH1" s="298" t="inlineStr">
        <is>
          <t>Tax Amount</t>
        </is>
      </c>
      <c r="AI1" s="298" t="inlineStr">
        <is>
          <t>Item Total</t>
        </is>
      </c>
      <c r="AJ1" s="298" t="inlineStr">
        <is>
          <t>Is Billable</t>
        </is>
      </c>
      <c r="AK1" s="298" t="inlineStr">
        <is>
          <t>Reference Invoice Type</t>
        </is>
      </c>
      <c r="AL1" s="298" t="inlineStr">
        <is>
          <t>Source of Supply</t>
        </is>
      </c>
      <c r="AM1" s="298" t="inlineStr">
        <is>
          <t>Destination of Supply</t>
        </is>
      </c>
      <c r="AN1" s="298" t="inlineStr">
        <is>
          <t>GST Treatment</t>
        </is>
      </c>
      <c r="AO1" s="298" t="inlineStr">
        <is>
          <t>GST Identification Number (GSTIN)</t>
        </is>
      </c>
      <c r="AP1" s="298" t="inlineStr">
        <is>
          <t>TDS Calculation Type</t>
        </is>
      </c>
      <c r="AQ1" s="298" t="inlineStr">
        <is>
          <t>TDS TaxID</t>
        </is>
      </c>
      <c r="AR1" s="298" t="inlineStr">
        <is>
          <t>TDS Name</t>
        </is>
      </c>
      <c r="AS1" s="298" t="inlineStr">
        <is>
          <t>TDS Percentage</t>
        </is>
      </c>
      <c r="AT1" s="298" t="inlineStr">
        <is>
          <t>TDS Section Code</t>
        </is>
      </c>
      <c r="AU1" s="298" t="inlineStr">
        <is>
          <t>TDS Section</t>
        </is>
      </c>
      <c r="AV1" s="298" t="inlineStr">
        <is>
          <t>TDS Amount</t>
        </is>
      </c>
      <c r="AW1" s="298" t="inlineStr">
        <is>
          <t>TCS Tax Name</t>
        </is>
      </c>
      <c r="AX1" s="298" t="inlineStr">
        <is>
          <t>TCS Percentage</t>
        </is>
      </c>
      <c r="AY1" s="298" t="inlineStr">
        <is>
          <t>Nature Of Collection</t>
        </is>
      </c>
      <c r="AZ1" s="298" t="inlineStr">
        <is>
          <t>Rate</t>
        </is>
      </c>
      <c r="BA1" s="298" t="inlineStr">
        <is>
          <t>Discount Type</t>
        </is>
      </c>
      <c r="BB1" s="298" t="inlineStr">
        <is>
          <t>Is Discount Before Tax</t>
        </is>
      </c>
      <c r="BC1" s="298" t="inlineStr">
        <is>
          <t>Discount</t>
        </is>
      </c>
      <c r="BD1" s="298" t="inlineStr">
        <is>
          <t>Discount Amount</t>
        </is>
      </c>
      <c r="BE1" s="298" t="inlineStr">
        <is>
          <t>HSN/SAC</t>
        </is>
      </c>
      <c r="BF1" s="298" t="inlineStr">
        <is>
          <t>Purchase Order Number</t>
        </is>
      </c>
      <c r="BG1" s="298" t="inlineStr">
        <is>
          <t>Tax ID</t>
        </is>
      </c>
      <c r="BH1" s="298" t="inlineStr">
        <is>
          <t>Tax Name</t>
        </is>
      </c>
      <c r="BI1" s="298" t="inlineStr">
        <is>
          <t>Tax Percentage</t>
        </is>
      </c>
      <c r="BJ1" s="298" t="inlineStr">
        <is>
          <t>Tax Type</t>
        </is>
      </c>
      <c r="BK1" s="298" t="inlineStr">
        <is>
          <t>Item TDS Name</t>
        </is>
      </c>
      <c r="BL1" s="298" t="inlineStr">
        <is>
          <t>Item TDS Percentage</t>
        </is>
      </c>
      <c r="BM1" s="298" t="inlineStr">
        <is>
          <t>Item TDS Amount</t>
        </is>
      </c>
      <c r="BN1" s="298" t="inlineStr">
        <is>
          <t>Item TDS Section Code</t>
        </is>
      </c>
      <c r="BO1" s="298" t="inlineStr">
        <is>
          <t>Item TDS Section</t>
        </is>
      </c>
      <c r="BP1" s="298" t="inlineStr">
        <is>
          <t>Item Exemption Code</t>
        </is>
      </c>
      <c r="BQ1" s="298" t="inlineStr">
        <is>
          <t>Item Type</t>
        </is>
      </c>
      <c r="BR1" s="298" t="inlineStr">
        <is>
          <t>Reverse Charge Tax Name</t>
        </is>
      </c>
      <c r="BS1" s="298" t="inlineStr">
        <is>
          <t>Reverse Charge Tax Rate</t>
        </is>
      </c>
      <c r="BT1" s="298" t="inlineStr">
        <is>
          <t>Reverse Charge Tax Type</t>
        </is>
      </c>
      <c r="BU1" s="298" t="inlineStr">
        <is>
          <t>Supply Type</t>
        </is>
      </c>
      <c r="BV1" s="298" t="inlineStr">
        <is>
          <t>ITC Eligibility</t>
        </is>
      </c>
      <c r="BW1" s="298" t="inlineStr">
        <is>
          <t>Entity Discount Amount</t>
        </is>
      </c>
      <c r="BX1" s="298" t="inlineStr">
        <is>
          <t>Discount Account</t>
        </is>
      </c>
      <c r="BY1" s="298" t="inlineStr">
        <is>
          <t>Discount Account Code</t>
        </is>
      </c>
      <c r="BZ1" s="298" t="inlineStr">
        <is>
          <t>Is Landed Cost</t>
        </is>
      </c>
      <c r="CA1" s="298" t="inlineStr">
        <is>
          <t>Customer Name</t>
        </is>
      </c>
      <c r="CB1" s="298" t="inlineStr">
        <is>
          <t>Project Name</t>
        </is>
      </c>
      <c r="CC1" s="298" t="inlineStr">
        <is>
          <t>CGST Rate %</t>
        </is>
      </c>
      <c r="CD1" s="298" t="inlineStr">
        <is>
          <t>SGST Rate %</t>
        </is>
      </c>
      <c r="CE1" s="298" t="inlineStr">
        <is>
          <t>IGST Rate %</t>
        </is>
      </c>
      <c r="CF1" s="298" t="inlineStr">
        <is>
          <t>CESS Rate %</t>
        </is>
      </c>
      <c r="CG1" s="298" t="inlineStr">
        <is>
          <t>CGST(FCY)</t>
        </is>
      </c>
      <c r="CH1" s="298" t="inlineStr">
        <is>
          <t>SGST(FCY)</t>
        </is>
      </c>
      <c r="CI1" s="298" t="inlineStr">
        <is>
          <t>IGST(FCY)</t>
        </is>
      </c>
      <c r="CJ1" s="298" t="inlineStr">
        <is>
          <t>CESS(FCY)</t>
        </is>
      </c>
      <c r="CK1" s="298" t="inlineStr">
        <is>
          <t>CGST</t>
        </is>
      </c>
      <c r="CL1" s="298" t="inlineStr">
        <is>
          <t>SGST</t>
        </is>
      </c>
      <c r="CM1" s="298" t="inlineStr">
        <is>
          <t>IGST</t>
        </is>
      </c>
      <c r="CN1" s="298" t="inlineStr">
        <is>
          <t>CESS</t>
        </is>
      </c>
    </row>
    <row r="2" ht="13.8" customHeight="1" s="253">
      <c r="A2" s="499" t="n">
        <v>45734</v>
      </c>
      <c r="B2" s="499" t="n">
        <v>45734</v>
      </c>
      <c r="C2" s="298" t="n">
        <v>2.29715200000003e+18</v>
      </c>
      <c r="D2" s="298" t="inlineStr">
        <is>
          <t>ZOHO Corporation Private Limited</t>
        </is>
      </c>
      <c r="E2" s="298" t="n">
        <v>0</v>
      </c>
      <c r="F2" s="298" t="n">
        <v>0</v>
      </c>
      <c r="G2" s="298" t="inlineStr">
        <is>
          <t>Due On Receipt</t>
        </is>
      </c>
      <c r="H2" s="298" t="n">
        <v>1024250439264</v>
      </c>
      <c r="J2" s="298" t="inlineStr">
        <is>
          <t>INR</t>
        </is>
      </c>
      <c r="K2" s="298" t="n">
        <v>1</v>
      </c>
      <c r="L2" s="298" t="n">
        <v>8988</v>
      </c>
      <c r="M2" s="298" t="n">
        <v>10605.84</v>
      </c>
      <c r="N2" s="298" t="n">
        <v>0.84</v>
      </c>
      <c r="R2" s="298" t="n">
        <v>0</v>
      </c>
      <c r="S2" s="298" t="inlineStr">
        <is>
          <t>Adjustment</t>
        </is>
      </c>
      <c r="Y2" s="298" t="inlineStr">
        <is>
          <t>Overdue</t>
        </is>
      </c>
      <c r="Z2" s="298" t="inlineStr">
        <is>
          <t>ridhi25madan</t>
        </is>
      </c>
      <c r="AC2" s="298" t="inlineStr">
        <is>
          <t>Subscription charges</t>
        </is>
      </c>
      <c r="AF2" s="298" t="n">
        <v>1</v>
      </c>
      <c r="AH2" s="298" t="n">
        <v>1617.84</v>
      </c>
      <c r="AI2" s="298" t="n">
        <v>8988</v>
      </c>
      <c r="AL2" s="298" t="inlineStr">
        <is>
          <t>TN</t>
        </is>
      </c>
      <c r="AM2" s="298" t="inlineStr">
        <is>
          <t>UP</t>
        </is>
      </c>
      <c r="AN2" s="298" t="inlineStr">
        <is>
          <t>business_gst</t>
        </is>
      </c>
      <c r="AO2" s="298" t="inlineStr">
        <is>
          <t>33AAACZ4322M2Z9</t>
        </is>
      </c>
      <c r="AP2" s="298" t="inlineStr">
        <is>
          <t>item_level</t>
        </is>
      </c>
      <c r="AS2" s="298" t="n">
        <v>0</v>
      </c>
      <c r="AV2" s="298" t="n">
        <v>0</v>
      </c>
      <c r="AZ2" s="298" t="n">
        <v>8988</v>
      </c>
      <c r="BA2" s="298" t="inlineStr">
        <is>
          <t>entity_level</t>
        </is>
      </c>
      <c r="BC2" s="298" t="n">
        <v>0</v>
      </c>
      <c r="BD2" s="298" t="n">
        <v>0</v>
      </c>
      <c r="BG2" s="298" t="n">
        <v>2.29715200000003e+18</v>
      </c>
      <c r="BH2" s="298" t="inlineStr">
        <is>
          <t>IGST18</t>
        </is>
      </c>
      <c r="BI2" s="298" t="n">
        <v>18</v>
      </c>
      <c r="BJ2" s="298" t="inlineStr">
        <is>
          <t>ItemAmount</t>
        </is>
      </c>
      <c r="BM2" s="298" t="n">
        <v>0</v>
      </c>
      <c r="BQ2" s="298" t="inlineStr">
        <is>
          <t>service</t>
        </is>
      </c>
      <c r="BV2" s="298" t="inlineStr">
        <is>
          <t>eligible</t>
        </is>
      </c>
      <c r="BW2" s="298" t="n">
        <v>0</v>
      </c>
      <c r="CC2" s="298" t="n">
        <v>0</v>
      </c>
      <c r="CD2" s="298" t="n">
        <v>0</v>
      </c>
      <c r="CE2" s="298" t="n">
        <v>18</v>
      </c>
      <c r="CF2" s="298" t="n">
        <v>0</v>
      </c>
      <c r="CG2" s="298" t="n">
        <v>0</v>
      </c>
      <c r="CH2" s="298" t="n">
        <v>0</v>
      </c>
      <c r="CI2" s="298" t="n">
        <v>1617.84</v>
      </c>
      <c r="CJ2" s="298" t="n">
        <v>0</v>
      </c>
      <c r="CK2" s="298" t="n">
        <v>0</v>
      </c>
      <c r="CL2" s="298" t="n">
        <v>0</v>
      </c>
      <c r="CM2" s="298" t="n">
        <v>1617.84</v>
      </c>
      <c r="CN2" s="298" t="n">
        <v>0</v>
      </c>
    </row>
    <row r="3" ht="13.8" customHeight="1" s="253">
      <c r="A3" s="499" t="n">
        <v>45734</v>
      </c>
      <c r="B3" s="499" t="n">
        <v>45734</v>
      </c>
      <c r="C3" s="298" t="n">
        <v>2.29715200000003e+18</v>
      </c>
      <c r="D3" s="298" t="inlineStr">
        <is>
          <t>OLAMBIT CONSULTING PRIVATE LIMITED</t>
        </is>
      </c>
      <c r="E3" s="298" t="n">
        <v>0</v>
      </c>
      <c r="F3" s="298" t="n">
        <v>0</v>
      </c>
      <c r="G3" s="298" t="inlineStr">
        <is>
          <t>Due On Receipt</t>
        </is>
      </c>
      <c r="H3" s="298" t="inlineStr">
        <is>
          <t>GST/2024/126</t>
        </is>
      </c>
      <c r="J3" s="298" t="inlineStr">
        <is>
          <t>INR</t>
        </is>
      </c>
      <c r="K3" s="298" t="n">
        <v>1</v>
      </c>
      <c r="L3" s="298" t="n">
        <v>80605</v>
      </c>
      <c r="M3" s="298" t="n">
        <v>86205</v>
      </c>
      <c r="N3" s="298" t="n">
        <v>0</v>
      </c>
      <c r="R3" s="298" t="n">
        <v>0</v>
      </c>
      <c r="S3" s="298" t="inlineStr">
        <is>
          <t>Adjustment</t>
        </is>
      </c>
      <c r="Y3" s="298" t="inlineStr">
        <is>
          <t>Paid</t>
        </is>
      </c>
      <c r="Z3" s="298" t="inlineStr">
        <is>
          <t>ridhi25madan</t>
        </is>
      </c>
      <c r="AC3" s="298" t="inlineStr">
        <is>
          <t>Legal &amp; Professional Charges</t>
        </is>
      </c>
      <c r="AE3" s="298" t="inlineStr">
        <is>
          <t>Legal &amp; Professional</t>
        </is>
      </c>
      <c r="AF3" s="298" t="n">
        <v>1</v>
      </c>
      <c r="AH3" s="298" t="n">
        <v>12600</v>
      </c>
      <c r="AI3" s="298" t="n">
        <v>70000</v>
      </c>
      <c r="AL3" s="298" t="inlineStr">
        <is>
          <t>DL</t>
        </is>
      </c>
      <c r="AM3" s="298" t="inlineStr">
        <is>
          <t>UP</t>
        </is>
      </c>
      <c r="AN3" s="298" t="inlineStr">
        <is>
          <t>business_gst</t>
        </is>
      </c>
      <c r="AO3" s="298" t="inlineStr">
        <is>
          <t>07AADCO7267R1ZL</t>
        </is>
      </c>
      <c r="AP3" s="298" t="inlineStr">
        <is>
          <t>entity_level</t>
        </is>
      </c>
      <c r="AQ3" s="298" t="n">
        <v>2.29715200000003e+18</v>
      </c>
      <c r="AR3" s="298" t="inlineStr">
        <is>
          <t>Professional Fees</t>
        </is>
      </c>
      <c r="AS3" s="298" t="n">
        <v>10</v>
      </c>
      <c r="AT3" s="298" t="inlineStr">
        <is>
          <t>194J</t>
        </is>
      </c>
      <c r="AU3" s="298" t="inlineStr">
        <is>
          <t>Section 194 J</t>
        </is>
      </c>
      <c r="AV3" s="298" t="n">
        <v>7000</v>
      </c>
      <c r="AZ3" s="298" t="n">
        <v>70000</v>
      </c>
      <c r="BA3" s="298" t="inlineStr">
        <is>
          <t>entity_level</t>
        </is>
      </c>
      <c r="BC3" s="298" t="n">
        <v>0</v>
      </c>
      <c r="BD3" s="298" t="n">
        <v>0</v>
      </c>
      <c r="BG3" s="298" t="n">
        <v>2.29715200000003e+18</v>
      </c>
      <c r="BH3" s="298" t="inlineStr">
        <is>
          <t>IGST18</t>
        </is>
      </c>
      <c r="BI3" s="298" t="n">
        <v>18</v>
      </c>
      <c r="BJ3" s="298" t="inlineStr">
        <is>
          <t>ItemAmount</t>
        </is>
      </c>
      <c r="BQ3" s="298" t="inlineStr">
        <is>
          <t>service</t>
        </is>
      </c>
      <c r="BV3" s="298" t="inlineStr">
        <is>
          <t>eligible</t>
        </is>
      </c>
      <c r="BW3" s="298" t="n">
        <v>0</v>
      </c>
      <c r="CC3" s="298" t="n">
        <v>0</v>
      </c>
      <c r="CD3" s="298" t="n">
        <v>0</v>
      </c>
      <c r="CE3" s="298" t="n">
        <v>18</v>
      </c>
      <c r="CF3" s="298" t="n">
        <v>0</v>
      </c>
      <c r="CG3" s="298" t="n">
        <v>0</v>
      </c>
      <c r="CH3" s="298" t="n">
        <v>0</v>
      </c>
      <c r="CI3" s="298" t="n">
        <v>12600</v>
      </c>
      <c r="CJ3" s="298" t="n">
        <v>0</v>
      </c>
      <c r="CK3" s="298" t="n">
        <v>0</v>
      </c>
      <c r="CL3" s="298" t="n">
        <v>0</v>
      </c>
      <c r="CM3" s="298" t="n">
        <v>12600</v>
      </c>
      <c r="CN3" s="298" t="n">
        <v>0</v>
      </c>
    </row>
    <row r="4" ht="13.8" customHeight="1" s="253">
      <c r="A4" s="499" t="n">
        <v>45734</v>
      </c>
      <c r="B4" s="499" t="n">
        <v>45734</v>
      </c>
      <c r="C4" s="298" t="n">
        <v>2.29715200000003e+18</v>
      </c>
      <c r="D4" s="298" t="inlineStr">
        <is>
          <t>OLAMBIT CONSULTING PRIVATE LIMITED</t>
        </is>
      </c>
      <c r="E4" s="298" t="n">
        <v>0</v>
      </c>
      <c r="F4" s="298" t="n">
        <v>0</v>
      </c>
      <c r="G4" s="298" t="inlineStr">
        <is>
          <t>Due On Receipt</t>
        </is>
      </c>
      <c r="H4" s="298" t="inlineStr">
        <is>
          <t>GST/2024/126</t>
        </is>
      </c>
      <c r="J4" s="298" t="inlineStr">
        <is>
          <t>INR</t>
        </is>
      </c>
      <c r="K4" s="298" t="n">
        <v>1</v>
      </c>
      <c r="L4" s="298" t="n">
        <v>80605</v>
      </c>
      <c r="M4" s="298" t="n">
        <v>86205</v>
      </c>
      <c r="N4" s="298" t="n">
        <v>0</v>
      </c>
      <c r="R4" s="298" t="n">
        <v>0</v>
      </c>
      <c r="S4" s="298" t="inlineStr">
        <is>
          <t>Adjustment</t>
        </is>
      </c>
      <c r="Y4" s="298" t="inlineStr">
        <is>
          <t>Paid</t>
        </is>
      </c>
      <c r="Z4" s="298" t="inlineStr">
        <is>
          <t>ridhi25madan</t>
        </is>
      </c>
      <c r="AC4" s="298" t="inlineStr">
        <is>
          <t>Reimbursement</t>
        </is>
      </c>
      <c r="AE4" s="298" t="inlineStr">
        <is>
          <t>Reimbursement</t>
        </is>
      </c>
      <c r="AF4" s="298" t="n">
        <v>1</v>
      </c>
      <c r="AH4" s="298" t="n">
        <v>0</v>
      </c>
      <c r="AI4" s="298" t="n">
        <v>10605</v>
      </c>
      <c r="AL4" s="298" t="inlineStr">
        <is>
          <t>DL</t>
        </is>
      </c>
      <c r="AM4" s="298" t="inlineStr">
        <is>
          <t>UP</t>
        </is>
      </c>
      <c r="AN4" s="298" t="inlineStr">
        <is>
          <t>business_gst</t>
        </is>
      </c>
      <c r="AO4" s="298" t="inlineStr">
        <is>
          <t>07AADCO7267R1ZL</t>
        </is>
      </c>
      <c r="AP4" s="298" t="inlineStr">
        <is>
          <t>entity_level</t>
        </is>
      </c>
      <c r="AQ4" s="298" t="n">
        <v>2.29715200000003e+18</v>
      </c>
      <c r="AR4" s="298" t="inlineStr">
        <is>
          <t>Professional Fees</t>
        </is>
      </c>
      <c r="AS4" s="298" t="n">
        <v>10</v>
      </c>
      <c r="AT4" s="298" t="inlineStr">
        <is>
          <t>194J</t>
        </is>
      </c>
      <c r="AU4" s="298" t="inlineStr">
        <is>
          <t>Section 194 J</t>
        </is>
      </c>
      <c r="AV4" s="298" t="n">
        <v>7000</v>
      </c>
      <c r="AZ4" s="298" t="n">
        <v>10605</v>
      </c>
      <c r="BA4" s="298" t="inlineStr">
        <is>
          <t>entity_level</t>
        </is>
      </c>
      <c r="BC4" s="298" t="n">
        <v>0</v>
      </c>
      <c r="BD4" s="298" t="n">
        <v>0</v>
      </c>
      <c r="BG4" s="298" t="n">
        <v>2.29715200000003e+18</v>
      </c>
      <c r="BH4" s="298" t="inlineStr">
        <is>
          <t>IGST0</t>
        </is>
      </c>
      <c r="BI4" s="298" t="n">
        <v>0</v>
      </c>
      <c r="BJ4" s="298" t="inlineStr">
        <is>
          <t>ItemAmount</t>
        </is>
      </c>
      <c r="BQ4" s="298" t="inlineStr">
        <is>
          <t>service</t>
        </is>
      </c>
      <c r="BV4" s="298" t="inlineStr">
        <is>
          <t>eligible</t>
        </is>
      </c>
      <c r="BW4" s="298" t="n">
        <v>0</v>
      </c>
      <c r="CC4" s="298" t="n">
        <v>0</v>
      </c>
      <c r="CD4" s="298" t="n">
        <v>0</v>
      </c>
      <c r="CE4" s="298" t="n">
        <v>0</v>
      </c>
      <c r="CF4" s="298" t="n">
        <v>0</v>
      </c>
      <c r="CG4" s="298" t="n">
        <v>0</v>
      </c>
      <c r="CH4" s="298" t="n">
        <v>0</v>
      </c>
      <c r="CI4" s="298" t="n">
        <v>0</v>
      </c>
      <c r="CJ4" s="298" t="n">
        <v>0</v>
      </c>
      <c r="CK4" s="298" t="n">
        <v>0</v>
      </c>
      <c r="CL4" s="298" t="n">
        <v>0</v>
      </c>
      <c r="CM4" s="298" t="n">
        <v>0</v>
      </c>
      <c r="CN4" s="298" t="n">
        <v>0</v>
      </c>
    </row>
    <row r="5" ht="13.8" customHeight="1" s="253">
      <c r="A5" s="499" t="n">
        <v>45747</v>
      </c>
      <c r="B5" s="499" t="n">
        <v>45747</v>
      </c>
      <c r="C5" s="298" t="n">
        <v>2.29715200000005e+18</v>
      </c>
      <c r="D5" s="298" t="inlineStr">
        <is>
          <t>JAYANTH BJ</t>
        </is>
      </c>
      <c r="E5" s="298" t="n">
        <v>0</v>
      </c>
      <c r="F5" s="298" t="n">
        <v>0</v>
      </c>
      <c r="G5" s="298" t="inlineStr">
        <is>
          <t>Due On Receipt</t>
        </is>
      </c>
      <c r="H5" s="298" t="inlineStr">
        <is>
          <t>2/2025-26</t>
        </is>
      </c>
      <c r="J5" s="298" t="inlineStr">
        <is>
          <t>INR</t>
        </is>
      </c>
      <c r="K5" s="298" t="n">
        <v>1</v>
      </c>
      <c r="L5" s="298" t="n">
        <v>121651</v>
      </c>
      <c r="M5" s="298" t="n">
        <v>120651</v>
      </c>
      <c r="N5" s="298" t="n">
        <v>0</v>
      </c>
      <c r="R5" s="298" t="n">
        <v>0</v>
      </c>
      <c r="S5" s="298" t="inlineStr">
        <is>
          <t>Adjustment</t>
        </is>
      </c>
      <c r="Y5" s="298" t="inlineStr">
        <is>
          <t>Paid</t>
        </is>
      </c>
      <c r="Z5" s="298" t="inlineStr">
        <is>
          <t>ridhi25madan</t>
        </is>
      </c>
      <c r="AC5" s="298" t="inlineStr">
        <is>
          <t>Content Writing Exp.</t>
        </is>
      </c>
      <c r="AE5" s="298" t="inlineStr">
        <is>
          <t>content Writing</t>
        </is>
      </c>
      <c r="AF5" s="298" t="n">
        <v>1</v>
      </c>
      <c r="AH5" s="298" t="n">
        <v>0</v>
      </c>
      <c r="AI5" s="298" t="n">
        <v>100000</v>
      </c>
      <c r="AL5" s="298" t="inlineStr">
        <is>
          <t>UP</t>
        </is>
      </c>
      <c r="AM5" s="298" t="inlineStr">
        <is>
          <t>UP</t>
        </is>
      </c>
      <c r="AN5" s="298" t="inlineStr">
        <is>
          <t>business_none</t>
        </is>
      </c>
      <c r="AP5" s="298" t="inlineStr">
        <is>
          <t>entity_level</t>
        </is>
      </c>
      <c r="AQ5" s="298" t="n">
        <v>2.29715200000003e+18</v>
      </c>
      <c r="AR5" s="298" t="inlineStr">
        <is>
          <t>Payment of contractors HUF/Indiv</t>
        </is>
      </c>
      <c r="AS5" s="298" t="n">
        <v>1</v>
      </c>
      <c r="AT5" s="298" t="inlineStr">
        <is>
          <t>194C</t>
        </is>
      </c>
      <c r="AU5" s="298" t="inlineStr">
        <is>
          <t>Section 194 C</t>
        </is>
      </c>
      <c r="AV5" s="298" t="n">
        <v>1000</v>
      </c>
      <c r="AZ5" s="298" t="n">
        <v>100000</v>
      </c>
      <c r="BA5" s="298" t="inlineStr">
        <is>
          <t>entity_level</t>
        </is>
      </c>
      <c r="BC5" s="298" t="n">
        <v>0</v>
      </c>
      <c r="BD5" s="298" t="n">
        <v>0</v>
      </c>
      <c r="BQ5" s="298" t="inlineStr">
        <is>
          <t>service</t>
        </is>
      </c>
      <c r="BV5" s="298" t="inlineStr">
        <is>
          <t>eligible</t>
        </is>
      </c>
      <c r="BW5" s="298" t="n">
        <v>0</v>
      </c>
    </row>
    <row r="6" ht="13.8" customHeight="1" s="253">
      <c r="A6" s="499" t="n">
        <v>45747</v>
      </c>
      <c r="B6" s="499" t="n">
        <v>45747</v>
      </c>
      <c r="C6" s="298" t="n">
        <v>2.29715200000005e+18</v>
      </c>
      <c r="D6" s="298" t="inlineStr">
        <is>
          <t>JAYANTH BJ</t>
        </is>
      </c>
      <c r="E6" s="298" t="n">
        <v>0</v>
      </c>
      <c r="F6" s="298" t="n">
        <v>0</v>
      </c>
      <c r="G6" s="298" t="inlineStr">
        <is>
          <t>Due On Receipt</t>
        </is>
      </c>
      <c r="H6" s="298" t="inlineStr">
        <is>
          <t>2/2025-26</t>
        </is>
      </c>
      <c r="J6" s="298" t="inlineStr">
        <is>
          <t>INR</t>
        </is>
      </c>
      <c r="K6" s="298" t="n">
        <v>1</v>
      </c>
      <c r="L6" s="298" t="n">
        <v>121651</v>
      </c>
      <c r="M6" s="298" t="n">
        <v>120651</v>
      </c>
      <c r="N6" s="298" t="n">
        <v>0</v>
      </c>
      <c r="R6" s="298" t="n">
        <v>0</v>
      </c>
      <c r="S6" s="298" t="inlineStr">
        <is>
          <t>Adjustment</t>
        </is>
      </c>
      <c r="Y6" s="298" t="inlineStr">
        <is>
          <t>Paid</t>
        </is>
      </c>
      <c r="Z6" s="298" t="inlineStr">
        <is>
          <t>ridhi25madan</t>
        </is>
      </c>
      <c r="AC6" s="298" t="inlineStr">
        <is>
          <t>Employee Reimbursements</t>
        </is>
      </c>
      <c r="AF6" s="298" t="n">
        <v>1</v>
      </c>
      <c r="AH6" s="298" t="n">
        <v>0</v>
      </c>
      <c r="AI6" s="298" t="n">
        <v>21651</v>
      </c>
      <c r="AL6" s="298" t="inlineStr">
        <is>
          <t>UP</t>
        </is>
      </c>
      <c r="AM6" s="298" t="inlineStr">
        <is>
          <t>UP</t>
        </is>
      </c>
      <c r="AN6" s="298" t="inlineStr">
        <is>
          <t>business_none</t>
        </is>
      </c>
      <c r="AP6" s="298" t="inlineStr">
        <is>
          <t>entity_level</t>
        </is>
      </c>
      <c r="AQ6" s="298" t="n">
        <v>2.29715200000003e+18</v>
      </c>
      <c r="AR6" s="298" t="inlineStr">
        <is>
          <t>Payment of contractors HUF/Indiv</t>
        </is>
      </c>
      <c r="AS6" s="298" t="n">
        <v>1</v>
      </c>
      <c r="AT6" s="298" t="inlineStr">
        <is>
          <t>194C</t>
        </is>
      </c>
      <c r="AU6" s="298" t="inlineStr">
        <is>
          <t>Section 194 C</t>
        </is>
      </c>
      <c r="AV6" s="298" t="n">
        <v>1000</v>
      </c>
      <c r="AZ6" s="298" t="n">
        <v>21651</v>
      </c>
      <c r="BA6" s="298" t="inlineStr">
        <is>
          <t>entity_level</t>
        </is>
      </c>
      <c r="BC6" s="298" t="n">
        <v>0</v>
      </c>
      <c r="BD6" s="298" t="n">
        <v>0</v>
      </c>
      <c r="BQ6" s="298" t="inlineStr">
        <is>
          <t>service</t>
        </is>
      </c>
      <c r="BV6" s="298" t="inlineStr">
        <is>
          <t>eligible</t>
        </is>
      </c>
      <c r="BW6" s="298" t="n">
        <v>0</v>
      </c>
    </row>
    <row r="7" ht="13.8" customHeight="1" s="253">
      <c r="A7" s="499" t="n">
        <v>45657</v>
      </c>
      <c r="B7" s="499" t="n">
        <v>45657</v>
      </c>
      <c r="C7" s="298" t="n">
        <v>2.29715200000005e+18</v>
      </c>
      <c r="D7" s="298" t="inlineStr">
        <is>
          <t>JAYANTH BJ</t>
        </is>
      </c>
      <c r="E7" s="298" t="n">
        <v>0</v>
      </c>
      <c r="F7" s="298" t="n">
        <v>0</v>
      </c>
      <c r="G7" s="298" t="inlineStr">
        <is>
          <t>Due On Receipt</t>
        </is>
      </c>
      <c r="H7" s="298" t="n">
        <v>5</v>
      </c>
      <c r="J7" s="298" t="inlineStr">
        <is>
          <t>INR</t>
        </is>
      </c>
      <c r="K7" s="298" t="n">
        <v>1</v>
      </c>
      <c r="L7" s="298" t="n">
        <v>50000</v>
      </c>
      <c r="M7" s="298" t="n">
        <v>50000</v>
      </c>
      <c r="N7" s="298" t="n">
        <v>46125</v>
      </c>
      <c r="R7" s="298" t="n">
        <v>0</v>
      </c>
      <c r="S7" s="298" t="inlineStr">
        <is>
          <t>Adjustment</t>
        </is>
      </c>
      <c r="Y7" s="298" t="inlineStr">
        <is>
          <t>Overdue</t>
        </is>
      </c>
      <c r="Z7" s="298" t="inlineStr">
        <is>
          <t>ridhi25madan</t>
        </is>
      </c>
      <c r="AC7" s="298" t="inlineStr">
        <is>
          <t>Content Writing Exp.</t>
        </is>
      </c>
      <c r="AE7" s="298" t="inlineStr">
        <is>
          <t>content Writing</t>
        </is>
      </c>
      <c r="AF7" s="298" t="n">
        <v>1</v>
      </c>
      <c r="AH7" s="298" t="n">
        <v>0</v>
      </c>
      <c r="AI7" s="298" t="n">
        <v>50000</v>
      </c>
      <c r="AL7" s="298" t="inlineStr">
        <is>
          <t>UP</t>
        </is>
      </c>
      <c r="AM7" s="298" t="inlineStr">
        <is>
          <t>UP</t>
        </is>
      </c>
      <c r="AN7" s="298" t="inlineStr">
        <is>
          <t>business_none</t>
        </is>
      </c>
      <c r="AP7" s="298" t="inlineStr">
        <is>
          <t>item_level</t>
        </is>
      </c>
      <c r="AS7" s="298" t="n">
        <v>0</v>
      </c>
      <c r="AV7" s="298" t="n">
        <v>0</v>
      </c>
      <c r="AZ7" s="298" t="n">
        <v>50000</v>
      </c>
      <c r="BA7" s="298" t="inlineStr">
        <is>
          <t>entity_level</t>
        </is>
      </c>
      <c r="BC7" s="298" t="n">
        <v>0</v>
      </c>
      <c r="BD7" s="298" t="n">
        <v>0</v>
      </c>
      <c r="BM7" s="298" t="n">
        <v>0</v>
      </c>
      <c r="BQ7" s="298" t="inlineStr">
        <is>
          <t>service</t>
        </is>
      </c>
      <c r="BV7" s="298" t="inlineStr">
        <is>
          <t>eligible</t>
        </is>
      </c>
      <c r="BW7" s="298" t="n">
        <v>0</v>
      </c>
    </row>
    <row r="8" ht="13.8" customHeight="1" s="253">
      <c r="A8" s="499" t="n">
        <v>45626</v>
      </c>
      <c r="B8" s="499" t="n">
        <v>45626</v>
      </c>
      <c r="C8" s="298" t="n">
        <v>2.29715200000005e+18</v>
      </c>
      <c r="D8" s="298" t="inlineStr">
        <is>
          <t>JAYANTH BJ</t>
        </is>
      </c>
      <c r="E8" s="298" t="n">
        <v>0</v>
      </c>
      <c r="F8" s="298" t="n">
        <v>0</v>
      </c>
      <c r="G8" s="298" t="inlineStr">
        <is>
          <t>Due On Receipt</t>
        </is>
      </c>
      <c r="H8" s="298" t="n">
        <v>4</v>
      </c>
      <c r="J8" s="298" t="inlineStr">
        <is>
          <t>INR</t>
        </is>
      </c>
      <c r="K8" s="298" t="n">
        <v>1</v>
      </c>
      <c r="L8" s="298" t="n">
        <v>40000</v>
      </c>
      <c r="M8" s="298" t="n">
        <v>40000</v>
      </c>
      <c r="N8" s="298" t="n">
        <v>0</v>
      </c>
      <c r="R8" s="298" t="n">
        <v>0</v>
      </c>
      <c r="S8" s="298" t="inlineStr">
        <is>
          <t>Adjustment</t>
        </is>
      </c>
      <c r="Y8" s="298" t="inlineStr">
        <is>
          <t>Paid</t>
        </is>
      </c>
      <c r="Z8" s="298" t="inlineStr">
        <is>
          <t>ridhi25madan</t>
        </is>
      </c>
      <c r="AC8" s="298" t="inlineStr">
        <is>
          <t>Content Writing Exp.</t>
        </is>
      </c>
      <c r="AE8" s="298" t="inlineStr">
        <is>
          <t>content Writing</t>
        </is>
      </c>
      <c r="AF8" s="298" t="n">
        <v>1</v>
      </c>
      <c r="AH8" s="298" t="n">
        <v>0</v>
      </c>
      <c r="AI8" s="298" t="n">
        <v>40000</v>
      </c>
      <c r="AL8" s="298" t="inlineStr">
        <is>
          <t>UP</t>
        </is>
      </c>
      <c r="AM8" s="298" t="inlineStr">
        <is>
          <t>UP</t>
        </is>
      </c>
      <c r="AN8" s="298" t="inlineStr">
        <is>
          <t>business_none</t>
        </is>
      </c>
      <c r="AP8" s="298" t="inlineStr">
        <is>
          <t>item_level</t>
        </is>
      </c>
      <c r="AS8" s="298" t="n">
        <v>0</v>
      </c>
      <c r="AV8" s="298" t="n">
        <v>0</v>
      </c>
      <c r="AZ8" s="298" t="n">
        <v>40000</v>
      </c>
      <c r="BA8" s="298" t="inlineStr">
        <is>
          <t>entity_level</t>
        </is>
      </c>
      <c r="BC8" s="298" t="n">
        <v>0</v>
      </c>
      <c r="BD8" s="298" t="n">
        <v>0</v>
      </c>
      <c r="BM8" s="298" t="n">
        <v>0</v>
      </c>
      <c r="BQ8" s="298" t="inlineStr">
        <is>
          <t>service</t>
        </is>
      </c>
      <c r="BV8" s="298" t="inlineStr">
        <is>
          <t>eligible</t>
        </is>
      </c>
      <c r="BW8" s="298" t="n">
        <v>0</v>
      </c>
    </row>
    <row r="9" ht="13.8" customHeight="1" s="253">
      <c r="A9" s="499" t="n">
        <v>45596</v>
      </c>
      <c r="B9" s="499" t="n">
        <v>45596</v>
      </c>
      <c r="C9" s="298" t="n">
        <v>2.29715200000005e+18</v>
      </c>
      <c r="D9" s="298" t="inlineStr">
        <is>
          <t>JAYANTH BJ</t>
        </is>
      </c>
      <c r="E9" s="298" t="n">
        <v>0</v>
      </c>
      <c r="F9" s="298" t="n">
        <v>0</v>
      </c>
      <c r="G9" s="298" t="inlineStr">
        <is>
          <t>Due On Receipt</t>
        </is>
      </c>
      <c r="H9" s="298" t="n">
        <v>3</v>
      </c>
      <c r="J9" s="298" t="inlineStr">
        <is>
          <t>INR</t>
        </is>
      </c>
      <c r="K9" s="298" t="n">
        <v>1</v>
      </c>
      <c r="L9" s="298" t="n">
        <v>25000</v>
      </c>
      <c r="M9" s="298" t="n">
        <v>25000</v>
      </c>
      <c r="N9" s="298" t="n">
        <v>0</v>
      </c>
      <c r="R9" s="298" t="n">
        <v>0</v>
      </c>
      <c r="S9" s="298" t="inlineStr">
        <is>
          <t>Adjustment</t>
        </is>
      </c>
      <c r="Y9" s="298" t="inlineStr">
        <is>
          <t>Paid</t>
        </is>
      </c>
      <c r="Z9" s="298" t="inlineStr">
        <is>
          <t>ridhi25madan</t>
        </is>
      </c>
      <c r="AC9" s="298" t="inlineStr">
        <is>
          <t>Content Writing Exp.</t>
        </is>
      </c>
      <c r="AE9" s="298" t="inlineStr">
        <is>
          <t>content Writing</t>
        </is>
      </c>
      <c r="AF9" s="298" t="n">
        <v>1</v>
      </c>
      <c r="AH9" s="298" t="n">
        <v>0</v>
      </c>
      <c r="AI9" s="298" t="n">
        <v>25000</v>
      </c>
      <c r="AL9" s="298" t="inlineStr">
        <is>
          <t>UP</t>
        </is>
      </c>
      <c r="AM9" s="298" t="inlineStr">
        <is>
          <t>UP</t>
        </is>
      </c>
      <c r="AN9" s="298" t="inlineStr">
        <is>
          <t>business_none</t>
        </is>
      </c>
      <c r="AP9" s="298" t="inlineStr">
        <is>
          <t>item_level</t>
        </is>
      </c>
      <c r="AS9" s="298" t="n">
        <v>0</v>
      </c>
      <c r="AV9" s="298" t="n">
        <v>0</v>
      </c>
      <c r="AZ9" s="298" t="n">
        <v>25000</v>
      </c>
      <c r="BA9" s="298" t="inlineStr">
        <is>
          <t>entity_level</t>
        </is>
      </c>
      <c r="BC9" s="298" t="n">
        <v>0</v>
      </c>
      <c r="BD9" s="298" t="n">
        <v>0</v>
      </c>
      <c r="BM9" s="298" t="n">
        <v>0</v>
      </c>
      <c r="BQ9" s="298" t="inlineStr">
        <is>
          <t>service</t>
        </is>
      </c>
      <c r="BV9" s="298" t="inlineStr">
        <is>
          <t>eligible</t>
        </is>
      </c>
      <c r="BW9" s="298" t="n">
        <v>0</v>
      </c>
    </row>
    <row r="10" ht="13.8" customHeight="1" s="253">
      <c r="A10" s="499" t="n">
        <v>45565</v>
      </c>
      <c r="B10" s="499" t="n">
        <v>45565</v>
      </c>
      <c r="C10" s="298" t="n">
        <v>2.29715200000005e+18</v>
      </c>
      <c r="D10" s="298" t="inlineStr">
        <is>
          <t>JAYANTH BJ</t>
        </is>
      </c>
      <c r="E10" s="298" t="n">
        <v>0</v>
      </c>
      <c r="F10" s="298" t="n">
        <v>0</v>
      </c>
      <c r="G10" s="298" t="inlineStr">
        <is>
          <t>Due On Receipt</t>
        </is>
      </c>
      <c r="H10" s="298" t="n">
        <v>2</v>
      </c>
      <c r="J10" s="298" t="inlineStr">
        <is>
          <t>INR</t>
        </is>
      </c>
      <c r="K10" s="298" t="n">
        <v>1</v>
      </c>
      <c r="L10" s="298" t="n">
        <v>25000</v>
      </c>
      <c r="M10" s="298" t="n">
        <v>25000</v>
      </c>
      <c r="N10" s="298" t="n">
        <v>0</v>
      </c>
      <c r="R10" s="298" t="n">
        <v>0</v>
      </c>
      <c r="S10" s="298" t="inlineStr">
        <is>
          <t>Adjustment</t>
        </is>
      </c>
      <c r="Y10" s="298" t="inlineStr">
        <is>
          <t>Paid</t>
        </is>
      </c>
      <c r="Z10" s="298" t="inlineStr">
        <is>
          <t>ridhi25madan</t>
        </is>
      </c>
      <c r="AC10" s="298" t="inlineStr">
        <is>
          <t>Content Writing Exp.</t>
        </is>
      </c>
      <c r="AE10" s="298" t="inlineStr">
        <is>
          <t>content Writing</t>
        </is>
      </c>
      <c r="AF10" s="298" t="n">
        <v>1</v>
      </c>
      <c r="AH10" s="298" t="n">
        <v>0</v>
      </c>
      <c r="AI10" s="298" t="n">
        <v>25000</v>
      </c>
      <c r="AL10" s="298" t="inlineStr">
        <is>
          <t>UP</t>
        </is>
      </c>
      <c r="AM10" s="298" t="inlineStr">
        <is>
          <t>UP</t>
        </is>
      </c>
      <c r="AN10" s="298" t="inlineStr">
        <is>
          <t>business_none</t>
        </is>
      </c>
      <c r="AP10" s="298" t="inlineStr">
        <is>
          <t>item_level</t>
        </is>
      </c>
      <c r="AS10" s="298" t="n">
        <v>0</v>
      </c>
      <c r="AV10" s="298" t="n">
        <v>0</v>
      </c>
      <c r="AZ10" s="298" t="n">
        <v>25000</v>
      </c>
      <c r="BA10" s="298" t="inlineStr">
        <is>
          <t>entity_level</t>
        </is>
      </c>
      <c r="BC10" s="298" t="n">
        <v>0</v>
      </c>
      <c r="BD10" s="298" t="n">
        <v>0</v>
      </c>
      <c r="BM10" s="298" t="n">
        <v>0</v>
      </c>
      <c r="BQ10" s="298" t="inlineStr">
        <is>
          <t>service</t>
        </is>
      </c>
      <c r="BV10" s="298" t="inlineStr">
        <is>
          <t>eligible</t>
        </is>
      </c>
      <c r="BW10" s="298" t="n">
        <v>0</v>
      </c>
    </row>
    <row r="11" ht="13.8" customHeight="1" s="253">
      <c r="A11" s="499" t="n">
        <v>45535</v>
      </c>
      <c r="B11" s="499" t="n">
        <v>45535</v>
      </c>
      <c r="C11" s="298" t="n">
        <v>2.29715200000005e+18</v>
      </c>
      <c r="D11" s="298" t="inlineStr">
        <is>
          <t>JAYANTH BJ</t>
        </is>
      </c>
      <c r="E11" s="298" t="n">
        <v>0</v>
      </c>
      <c r="F11" s="298" t="n">
        <v>0</v>
      </c>
      <c r="G11" s="298" t="inlineStr">
        <is>
          <t>Due On Receipt</t>
        </is>
      </c>
      <c r="H11" s="298" t="n">
        <v>1</v>
      </c>
      <c r="J11" s="298" t="inlineStr">
        <is>
          <t>INR</t>
        </is>
      </c>
      <c r="K11" s="298" t="n">
        <v>1</v>
      </c>
      <c r="L11" s="298" t="n">
        <v>20000</v>
      </c>
      <c r="M11" s="298" t="n">
        <v>20000</v>
      </c>
      <c r="N11" s="298" t="n">
        <v>0</v>
      </c>
      <c r="R11" s="298" t="n">
        <v>0</v>
      </c>
      <c r="S11" s="298" t="inlineStr">
        <is>
          <t>Adjustment</t>
        </is>
      </c>
      <c r="Y11" s="298" t="inlineStr">
        <is>
          <t>Paid</t>
        </is>
      </c>
      <c r="Z11" s="298" t="inlineStr">
        <is>
          <t>ridhi25madan</t>
        </is>
      </c>
      <c r="AC11" s="298" t="inlineStr">
        <is>
          <t>Content Writing Exp.</t>
        </is>
      </c>
      <c r="AE11" s="298" t="inlineStr">
        <is>
          <t>content Writing</t>
        </is>
      </c>
      <c r="AF11" s="298" t="n">
        <v>1</v>
      </c>
      <c r="AH11" s="298" t="n">
        <v>0</v>
      </c>
      <c r="AI11" s="298" t="n">
        <v>20000</v>
      </c>
      <c r="AL11" s="298" t="inlineStr">
        <is>
          <t>UP</t>
        </is>
      </c>
      <c r="AM11" s="298" t="inlineStr">
        <is>
          <t>UP</t>
        </is>
      </c>
      <c r="AN11" s="298" t="inlineStr">
        <is>
          <t>business_none</t>
        </is>
      </c>
      <c r="AP11" s="298" t="inlineStr">
        <is>
          <t>item_level</t>
        </is>
      </c>
      <c r="AS11" s="298" t="n">
        <v>0</v>
      </c>
      <c r="AV11" s="298" t="n">
        <v>0</v>
      </c>
      <c r="AZ11" s="298" t="n">
        <v>20000</v>
      </c>
      <c r="BA11" s="298" t="inlineStr">
        <is>
          <t>entity_level</t>
        </is>
      </c>
      <c r="BC11" s="298" t="n">
        <v>0</v>
      </c>
      <c r="BD11" s="298" t="n">
        <v>0</v>
      </c>
      <c r="BM11" s="298" t="n">
        <v>0</v>
      </c>
      <c r="BQ11" s="298" t="inlineStr">
        <is>
          <t>service</t>
        </is>
      </c>
      <c r="BV11" s="298" t="inlineStr">
        <is>
          <t>eligible</t>
        </is>
      </c>
      <c r="BW11" s="298" t="n">
        <v>0</v>
      </c>
    </row>
    <row r="12" ht="13.8" customHeight="1" s="253">
      <c r="A12" s="499" t="n">
        <v>45685</v>
      </c>
      <c r="B12" s="499" t="n">
        <v>45685</v>
      </c>
      <c r="C12" s="298" t="n">
        <v>2.29715200000005e+18</v>
      </c>
      <c r="D12" s="298" t="inlineStr">
        <is>
          <t>Treelife Ventures Services Private Limited</t>
        </is>
      </c>
      <c r="E12" s="298" t="n">
        <v>0</v>
      </c>
      <c r="F12" s="298" t="n">
        <v>0</v>
      </c>
      <c r="G12" s="298" t="inlineStr">
        <is>
          <t>Due On Receipt</t>
        </is>
      </c>
      <c r="H12" s="298" t="n">
        <v>10070</v>
      </c>
      <c r="J12" s="298" t="inlineStr">
        <is>
          <t>INR</t>
        </is>
      </c>
      <c r="K12" s="298" t="n">
        <v>1</v>
      </c>
      <c r="L12" s="298" t="n">
        <v>30680</v>
      </c>
      <c r="M12" s="298" t="n">
        <v>28080</v>
      </c>
      <c r="N12" s="298" t="n">
        <v>0</v>
      </c>
      <c r="R12" s="298" t="n">
        <v>0</v>
      </c>
      <c r="S12" s="298" t="inlineStr">
        <is>
          <t>Adjustment</t>
        </is>
      </c>
      <c r="Y12" s="298" t="inlineStr">
        <is>
          <t>Paid</t>
        </is>
      </c>
      <c r="Z12" s="298" t="inlineStr">
        <is>
          <t>ridhi25madan</t>
        </is>
      </c>
      <c r="AC12" s="298" t="inlineStr">
        <is>
          <t>Legal &amp; Professional Charges</t>
        </is>
      </c>
      <c r="AF12" s="298" t="n">
        <v>4</v>
      </c>
      <c r="AH12" s="298" t="n">
        <v>0</v>
      </c>
      <c r="AI12" s="298" t="n">
        <v>30680</v>
      </c>
      <c r="AL12" s="298" t="inlineStr">
        <is>
          <t>MH</t>
        </is>
      </c>
      <c r="AM12" s="298" t="inlineStr">
        <is>
          <t>UP</t>
        </is>
      </c>
      <c r="AN12" s="298" t="inlineStr">
        <is>
          <t>business_gst</t>
        </is>
      </c>
      <c r="AO12" s="298" t="inlineStr">
        <is>
          <t>27AAFCT8389M1ZD</t>
        </is>
      </c>
      <c r="AP12" s="298" t="inlineStr">
        <is>
          <t>entity_level</t>
        </is>
      </c>
      <c r="AQ12" s="298" t="n">
        <v>2.29715200000003e+18</v>
      </c>
      <c r="AR12" s="298" t="inlineStr">
        <is>
          <t>Professional Fees</t>
        </is>
      </c>
      <c r="AS12" s="298" t="n">
        <v>10</v>
      </c>
      <c r="AT12" s="298" t="inlineStr">
        <is>
          <t>194J</t>
        </is>
      </c>
      <c r="AU12" s="298" t="inlineStr">
        <is>
          <t>Section 194 J</t>
        </is>
      </c>
      <c r="AV12" s="298" t="n">
        <v>2600</v>
      </c>
      <c r="AZ12" s="298" t="n">
        <v>7670</v>
      </c>
      <c r="BA12" s="298" t="inlineStr">
        <is>
          <t>entity_level</t>
        </is>
      </c>
      <c r="BC12" s="298" t="n">
        <v>0</v>
      </c>
      <c r="BD12" s="298" t="n">
        <v>0</v>
      </c>
      <c r="BQ12" s="298" t="inlineStr">
        <is>
          <t>service</t>
        </is>
      </c>
      <c r="BU12" s="298" t="inlineStr">
        <is>
          <t>Out of Scope</t>
        </is>
      </c>
      <c r="BW12" s="298" t="n">
        <v>0</v>
      </c>
    </row>
    <row r="13" ht="13.8" customHeight="1" s="253">
      <c r="A13" s="499" t="n">
        <v>45716</v>
      </c>
      <c r="B13" s="499" t="n">
        <v>45716</v>
      </c>
      <c r="C13" s="298" t="n">
        <v>2.29715200000005e+18</v>
      </c>
      <c r="D13" s="298" t="inlineStr">
        <is>
          <t>Treelife Ventures Services Private Limited</t>
        </is>
      </c>
      <c r="E13" s="298" t="n">
        <v>0</v>
      </c>
      <c r="F13" s="298" t="n">
        <v>0</v>
      </c>
      <c r="G13" s="298" t="inlineStr">
        <is>
          <t>Due On Receipt</t>
        </is>
      </c>
      <c r="H13" s="298" t="n">
        <v>10071</v>
      </c>
      <c r="J13" s="298" t="inlineStr">
        <is>
          <t>INR</t>
        </is>
      </c>
      <c r="K13" s="298" t="n">
        <v>1</v>
      </c>
      <c r="L13" s="298" t="n">
        <v>23010</v>
      </c>
      <c r="M13" s="298" t="n">
        <v>23010</v>
      </c>
      <c r="N13" s="298" t="n">
        <v>20410</v>
      </c>
      <c r="R13" s="298" t="n">
        <v>0</v>
      </c>
      <c r="S13" s="298" t="inlineStr">
        <is>
          <t>Adjustment</t>
        </is>
      </c>
      <c r="Y13" s="298" t="inlineStr">
        <is>
          <t>Overdue</t>
        </is>
      </c>
      <c r="Z13" s="298" t="inlineStr">
        <is>
          <t>ridhi25madan</t>
        </is>
      </c>
      <c r="AC13" s="298" t="inlineStr">
        <is>
          <t>Legal &amp; Professional Charges</t>
        </is>
      </c>
      <c r="AF13" s="298" t="n">
        <v>3</v>
      </c>
      <c r="AH13" s="298" t="n">
        <v>0</v>
      </c>
      <c r="AI13" s="298" t="n">
        <v>23010</v>
      </c>
      <c r="AL13" s="298" t="inlineStr">
        <is>
          <t>MH</t>
        </is>
      </c>
      <c r="AM13" s="298" t="inlineStr">
        <is>
          <t>UP</t>
        </is>
      </c>
      <c r="AN13" s="298" t="inlineStr">
        <is>
          <t>business_gst</t>
        </is>
      </c>
      <c r="AO13" s="298" t="inlineStr">
        <is>
          <t>27AAFCT8389M1ZD</t>
        </is>
      </c>
      <c r="AP13" s="298" t="inlineStr">
        <is>
          <t>item_level</t>
        </is>
      </c>
      <c r="AS13" s="298" t="n">
        <v>0</v>
      </c>
      <c r="AV13" s="298" t="n">
        <v>0</v>
      </c>
      <c r="AZ13" s="298" t="n">
        <v>7670</v>
      </c>
      <c r="BA13" s="298" t="inlineStr">
        <is>
          <t>entity_level</t>
        </is>
      </c>
      <c r="BC13" s="298" t="n">
        <v>0</v>
      </c>
      <c r="BD13" s="298" t="n">
        <v>0</v>
      </c>
      <c r="BM13" s="298" t="n">
        <v>0</v>
      </c>
      <c r="BQ13" s="298" t="inlineStr">
        <is>
          <t>service</t>
        </is>
      </c>
      <c r="BU13" s="298" t="inlineStr">
        <is>
          <t>Out of Scope</t>
        </is>
      </c>
      <c r="BW13" s="298" t="n">
        <v>0</v>
      </c>
    </row>
    <row r="14" ht="13.8" customHeight="1" s="253">
      <c r="A14" s="499" t="n">
        <v>45746</v>
      </c>
      <c r="B14" s="499" t="n">
        <v>45746</v>
      </c>
      <c r="C14" s="298" t="n">
        <v>2.29715200000005e+18</v>
      </c>
      <c r="D14" s="298" t="inlineStr">
        <is>
          <t>Riversys Technologies Pvt Ltd(SCRUT AUTOMATION)</t>
        </is>
      </c>
      <c r="E14" s="298" t="n">
        <v>0</v>
      </c>
      <c r="F14" s="298" t="n">
        <v>0</v>
      </c>
      <c r="G14" s="298" t="inlineStr">
        <is>
          <t>Due On Receipt</t>
        </is>
      </c>
      <c r="H14" s="298" t="inlineStr">
        <is>
          <t>INV-2324-3572</t>
        </is>
      </c>
      <c r="J14" s="298" t="inlineStr">
        <is>
          <t>INR</t>
        </is>
      </c>
      <c r="K14" s="298" t="n">
        <v>1</v>
      </c>
      <c r="L14" s="298" t="n">
        <v>127383.75</v>
      </c>
      <c r="M14" s="298" t="n">
        <v>147765.15</v>
      </c>
      <c r="N14" s="298" t="n">
        <v>0</v>
      </c>
      <c r="R14" s="298" t="n">
        <v>0</v>
      </c>
      <c r="S14" s="298" t="inlineStr">
        <is>
          <t>Adjustment</t>
        </is>
      </c>
      <c r="Y14" s="298" t="inlineStr">
        <is>
          <t>Paid</t>
        </is>
      </c>
      <c r="Z14" s="298" t="inlineStr">
        <is>
          <t>ridhi25madan</t>
        </is>
      </c>
      <c r="AC14" s="298" t="inlineStr">
        <is>
          <t>Security &amp; Certification Charges</t>
        </is>
      </c>
      <c r="AE14" s="298" t="inlineStr">
        <is>
          <t>Security &amp; certificate charges</t>
        </is>
      </c>
      <c r="AF14" s="298" t="n">
        <v>1</v>
      </c>
      <c r="AH14" s="298" t="n">
        <v>22929.08</v>
      </c>
      <c r="AI14" s="298" t="n">
        <v>127383.75</v>
      </c>
      <c r="AL14" s="298" t="inlineStr">
        <is>
          <t>KA</t>
        </is>
      </c>
      <c r="AM14" s="298" t="inlineStr">
        <is>
          <t>UP</t>
        </is>
      </c>
      <c r="AN14" s="298" t="inlineStr">
        <is>
          <t>business_gst</t>
        </is>
      </c>
      <c r="AO14" s="298" t="inlineStr">
        <is>
          <t>29AAKCR1346R1ZL</t>
        </is>
      </c>
      <c r="AP14" s="298" t="inlineStr">
        <is>
          <t>entity_level</t>
        </is>
      </c>
      <c r="AQ14" s="298" t="n">
        <v>2.29715200000003e+18</v>
      </c>
      <c r="AR14" s="298" t="inlineStr">
        <is>
          <t>Technical Fees (2%)</t>
        </is>
      </c>
      <c r="AS14" s="298" t="n">
        <v>2</v>
      </c>
      <c r="AT14" s="298" t="inlineStr">
        <is>
          <t>194J</t>
        </is>
      </c>
      <c r="AU14" s="298" t="inlineStr">
        <is>
          <t>Section 194 J</t>
        </is>
      </c>
      <c r="AV14" s="298" t="n">
        <v>2547.68</v>
      </c>
      <c r="AZ14" s="298" t="n">
        <v>127383.75</v>
      </c>
      <c r="BA14" s="298" t="inlineStr">
        <is>
          <t>entity_level</t>
        </is>
      </c>
      <c r="BC14" s="298" t="n">
        <v>0</v>
      </c>
      <c r="BD14" s="298" t="n">
        <v>0</v>
      </c>
      <c r="BG14" s="298" t="n">
        <v>2.29715200000003e+18</v>
      </c>
      <c r="BH14" s="298" t="inlineStr">
        <is>
          <t>IGST18</t>
        </is>
      </c>
      <c r="BI14" s="298" t="n">
        <v>18</v>
      </c>
      <c r="BJ14" s="298" t="inlineStr">
        <is>
          <t>ItemAmount</t>
        </is>
      </c>
      <c r="BQ14" s="298" t="inlineStr">
        <is>
          <t>service</t>
        </is>
      </c>
      <c r="BV14" s="298" t="inlineStr">
        <is>
          <t>eligible</t>
        </is>
      </c>
      <c r="BW14" s="298" t="n">
        <v>0</v>
      </c>
      <c r="CC14" s="298" t="n">
        <v>0</v>
      </c>
      <c r="CD14" s="298" t="n">
        <v>0</v>
      </c>
      <c r="CE14" s="298" t="n">
        <v>18</v>
      </c>
      <c r="CF14" s="298" t="n">
        <v>0</v>
      </c>
      <c r="CG14" s="298" t="n">
        <v>0</v>
      </c>
      <c r="CH14" s="298" t="n">
        <v>0</v>
      </c>
      <c r="CI14" s="298" t="n">
        <v>22929.08</v>
      </c>
      <c r="CJ14" s="298" t="n">
        <v>0</v>
      </c>
      <c r="CK14" s="298" t="n">
        <v>0</v>
      </c>
      <c r="CL14" s="298" t="n">
        <v>0</v>
      </c>
      <c r="CM14" s="298" t="n">
        <v>22929.08</v>
      </c>
      <c r="CN14" s="298" t="n">
        <v>0</v>
      </c>
    </row>
    <row r="15" ht="13.8" customHeight="1" s="253">
      <c r="A15" s="499" t="n">
        <v>45746</v>
      </c>
      <c r="B15" s="499" t="n">
        <v>45746</v>
      </c>
      <c r="C15" s="298" t="n">
        <v>2.29715200000005e+18</v>
      </c>
      <c r="D15" s="298" t="inlineStr">
        <is>
          <t>Riversys Technologies Pvt Ltd(SCRUT AUTOMATION)</t>
        </is>
      </c>
      <c r="E15" s="298" t="n">
        <v>0</v>
      </c>
      <c r="F15" s="298" t="n">
        <v>0</v>
      </c>
      <c r="G15" s="298" t="inlineStr">
        <is>
          <t>Due On Receipt</t>
        </is>
      </c>
      <c r="H15" s="298" t="inlineStr">
        <is>
          <t>INV-2324-3573</t>
        </is>
      </c>
      <c r="J15" s="298" t="inlineStr">
        <is>
          <t>INR</t>
        </is>
      </c>
      <c r="K15" s="298" t="n">
        <v>1</v>
      </c>
      <c r="L15" s="298" t="n">
        <v>129910</v>
      </c>
      <c r="M15" s="298" t="n">
        <v>150695.6</v>
      </c>
      <c r="N15" s="298" t="n">
        <v>150695.6</v>
      </c>
      <c r="R15" s="298" t="n">
        <v>0</v>
      </c>
      <c r="S15" s="298" t="inlineStr">
        <is>
          <t>Adjustment</t>
        </is>
      </c>
      <c r="Y15" s="298" t="inlineStr">
        <is>
          <t>Overdue</t>
        </is>
      </c>
      <c r="Z15" s="298" t="inlineStr">
        <is>
          <t>ridhi25madan</t>
        </is>
      </c>
      <c r="AC15" s="298" t="inlineStr">
        <is>
          <t>Security &amp; Certification Charges</t>
        </is>
      </c>
      <c r="AE15" s="298" t="inlineStr">
        <is>
          <t>Security &amp; certificate charges</t>
        </is>
      </c>
      <c r="AF15" s="298" t="n">
        <v>1</v>
      </c>
      <c r="AH15" s="298" t="n">
        <v>23383.8</v>
      </c>
      <c r="AI15" s="298" t="n">
        <v>129910</v>
      </c>
      <c r="AL15" s="298" t="inlineStr">
        <is>
          <t>KA</t>
        </is>
      </c>
      <c r="AM15" s="298" t="inlineStr">
        <is>
          <t>UP</t>
        </is>
      </c>
      <c r="AN15" s="298" t="inlineStr">
        <is>
          <t>business_gst</t>
        </is>
      </c>
      <c r="AO15" s="298" t="inlineStr">
        <is>
          <t>29AAKCR1346R1ZL</t>
        </is>
      </c>
      <c r="AP15" s="298" t="inlineStr">
        <is>
          <t>entity_level</t>
        </is>
      </c>
      <c r="AQ15" s="298" t="n">
        <v>2.29715200000003e+18</v>
      </c>
      <c r="AR15" s="298" t="inlineStr">
        <is>
          <t>Technical Fees (2%)</t>
        </is>
      </c>
      <c r="AS15" s="298" t="n">
        <v>2</v>
      </c>
      <c r="AT15" s="298" t="inlineStr">
        <is>
          <t>194J</t>
        </is>
      </c>
      <c r="AU15" s="298" t="inlineStr">
        <is>
          <t>Section 194 J</t>
        </is>
      </c>
      <c r="AV15" s="298" t="n">
        <v>2598.2</v>
      </c>
      <c r="AZ15" s="298" t="n">
        <v>129910</v>
      </c>
      <c r="BA15" s="298" t="inlineStr">
        <is>
          <t>entity_level</t>
        </is>
      </c>
      <c r="BC15" s="298" t="n">
        <v>0</v>
      </c>
      <c r="BD15" s="298" t="n">
        <v>0</v>
      </c>
      <c r="BG15" s="298" t="n">
        <v>2.29715200000003e+18</v>
      </c>
      <c r="BH15" s="298" t="inlineStr">
        <is>
          <t>IGST18</t>
        </is>
      </c>
      <c r="BI15" s="298" t="n">
        <v>18</v>
      </c>
      <c r="BJ15" s="298" t="inlineStr">
        <is>
          <t>ItemAmount</t>
        </is>
      </c>
      <c r="BQ15" s="298" t="inlineStr">
        <is>
          <t>service</t>
        </is>
      </c>
      <c r="BV15" s="298" t="inlineStr">
        <is>
          <t>eligible</t>
        </is>
      </c>
      <c r="BW15" s="298" t="n">
        <v>0</v>
      </c>
      <c r="CC15" s="298" t="n">
        <v>0</v>
      </c>
      <c r="CD15" s="298" t="n">
        <v>0</v>
      </c>
      <c r="CE15" s="298" t="n">
        <v>18</v>
      </c>
      <c r="CF15" s="298" t="n">
        <v>0</v>
      </c>
      <c r="CG15" s="298" t="n">
        <v>0</v>
      </c>
      <c r="CH15" s="298" t="n">
        <v>0</v>
      </c>
      <c r="CI15" s="298" t="n">
        <v>23383.8</v>
      </c>
      <c r="CJ15" s="298" t="n">
        <v>0</v>
      </c>
      <c r="CK15" s="298" t="n">
        <v>0</v>
      </c>
      <c r="CL15" s="298" t="n">
        <v>0</v>
      </c>
      <c r="CM15" s="298" t="n">
        <v>23383.8</v>
      </c>
      <c r="CN15" s="298" t="n">
        <v>0</v>
      </c>
    </row>
    <row r="16" ht="13.8" customHeight="1" s="253">
      <c r="A16" s="499" t="n">
        <v>45719</v>
      </c>
      <c r="B16" s="499" t="n">
        <v>45719</v>
      </c>
      <c r="C16" s="298" t="n">
        <v>2.29715200000005e+18</v>
      </c>
      <c r="D16" s="298" t="inlineStr">
        <is>
          <t>Ritik Maheshwari</t>
        </is>
      </c>
      <c r="E16" s="298" t="n">
        <v>0</v>
      </c>
      <c r="F16" s="298" t="n">
        <v>0</v>
      </c>
      <c r="G16" s="298" t="inlineStr">
        <is>
          <t>Due On Receipt</t>
        </is>
      </c>
      <c r="H16" s="298" t="inlineStr">
        <is>
          <t>2025/02</t>
        </is>
      </c>
      <c r="J16" s="298" t="inlineStr">
        <is>
          <t>INR</t>
        </is>
      </c>
      <c r="K16" s="298" t="n">
        <v>1</v>
      </c>
      <c r="L16" s="298" t="n">
        <v>20000</v>
      </c>
      <c r="M16" s="298" t="n">
        <v>18000</v>
      </c>
      <c r="N16" s="298" t="n">
        <v>0</v>
      </c>
      <c r="R16" s="298" t="n">
        <v>0</v>
      </c>
      <c r="S16" s="298" t="inlineStr">
        <is>
          <t>Adjustment</t>
        </is>
      </c>
      <c r="Y16" s="298" t="inlineStr">
        <is>
          <t>Paid</t>
        </is>
      </c>
      <c r="Z16" s="298" t="inlineStr">
        <is>
          <t>ridhi25madan</t>
        </is>
      </c>
      <c r="AC16" s="298" t="inlineStr">
        <is>
          <t>Legal &amp; Professional Charges</t>
        </is>
      </c>
      <c r="AF16" s="298" t="n">
        <v>1</v>
      </c>
      <c r="AH16" s="298" t="n">
        <v>0</v>
      </c>
      <c r="AI16" s="298" t="n">
        <v>20000</v>
      </c>
      <c r="AL16" s="298" t="inlineStr">
        <is>
          <t>MP</t>
        </is>
      </c>
      <c r="AM16" s="298" t="inlineStr">
        <is>
          <t>UP</t>
        </is>
      </c>
      <c r="AN16" s="298" t="inlineStr">
        <is>
          <t>business_none</t>
        </is>
      </c>
      <c r="AP16" s="298" t="inlineStr">
        <is>
          <t>entity_level</t>
        </is>
      </c>
      <c r="AQ16" s="298" t="n">
        <v>2.29715200000003e+18</v>
      </c>
      <c r="AR16" s="298" t="inlineStr">
        <is>
          <t>Professional Fees</t>
        </is>
      </c>
      <c r="AS16" s="298" t="n">
        <v>10</v>
      </c>
      <c r="AT16" s="298" t="inlineStr">
        <is>
          <t>194J</t>
        </is>
      </c>
      <c r="AU16" s="298" t="inlineStr">
        <is>
          <t>Section 194 J</t>
        </is>
      </c>
      <c r="AV16" s="298" t="n">
        <v>2000</v>
      </c>
      <c r="AZ16" s="298" t="n">
        <v>20000</v>
      </c>
      <c r="BA16" s="298" t="inlineStr">
        <is>
          <t>entity_level</t>
        </is>
      </c>
      <c r="BC16" s="298" t="n">
        <v>0</v>
      </c>
      <c r="BD16" s="298" t="n">
        <v>0</v>
      </c>
      <c r="BQ16" s="298" t="inlineStr">
        <is>
          <t>service</t>
        </is>
      </c>
      <c r="BV16" s="298" t="inlineStr">
        <is>
          <t>eligible</t>
        </is>
      </c>
      <c r="BW16" s="298" t="n">
        <v>0</v>
      </c>
    </row>
    <row r="17" ht="13.8" customHeight="1" s="253">
      <c r="A17" s="499" t="n">
        <v>45719</v>
      </c>
      <c r="B17" s="499" t="n">
        <v>45719</v>
      </c>
      <c r="C17" s="298" t="n">
        <v>2.29715200000005e+18</v>
      </c>
      <c r="D17" s="298" t="inlineStr">
        <is>
          <t>Ritik Maheshwari</t>
        </is>
      </c>
      <c r="E17" s="298" t="n">
        <v>0</v>
      </c>
      <c r="F17" s="298" t="n">
        <v>0</v>
      </c>
      <c r="G17" s="298" t="inlineStr">
        <is>
          <t>Due On Receipt</t>
        </is>
      </c>
      <c r="H17" s="298" t="inlineStr">
        <is>
          <t>2025/03</t>
        </is>
      </c>
      <c r="J17" s="298" t="inlineStr">
        <is>
          <t>INR</t>
        </is>
      </c>
      <c r="K17" s="298" t="n">
        <v>1</v>
      </c>
      <c r="L17" s="298" t="n">
        <v>20000</v>
      </c>
      <c r="M17" s="298" t="n">
        <v>18000</v>
      </c>
      <c r="N17" s="298" t="n">
        <v>0</v>
      </c>
      <c r="R17" s="298" t="n">
        <v>0</v>
      </c>
      <c r="S17" s="298" t="inlineStr">
        <is>
          <t>Adjustment</t>
        </is>
      </c>
      <c r="Y17" s="298" t="inlineStr">
        <is>
          <t>Paid</t>
        </is>
      </c>
      <c r="Z17" s="298" t="inlineStr">
        <is>
          <t>ridhi25madan</t>
        </is>
      </c>
      <c r="AC17" s="298" t="inlineStr">
        <is>
          <t>Legal &amp; Professional Charges</t>
        </is>
      </c>
      <c r="AF17" s="298" t="n">
        <v>1</v>
      </c>
      <c r="AH17" s="298" t="n">
        <v>0</v>
      </c>
      <c r="AI17" s="298" t="n">
        <v>20000</v>
      </c>
      <c r="AL17" s="298" t="inlineStr">
        <is>
          <t>MP</t>
        </is>
      </c>
      <c r="AM17" s="298" t="inlineStr">
        <is>
          <t>UP</t>
        </is>
      </c>
      <c r="AN17" s="298" t="inlineStr">
        <is>
          <t>business_none</t>
        </is>
      </c>
      <c r="AP17" s="298" t="inlineStr">
        <is>
          <t>entity_level</t>
        </is>
      </c>
      <c r="AQ17" s="298" t="n">
        <v>2.29715200000003e+18</v>
      </c>
      <c r="AR17" s="298" t="inlineStr">
        <is>
          <t>Professional Fees</t>
        </is>
      </c>
      <c r="AS17" s="298" t="n">
        <v>10</v>
      </c>
      <c r="AT17" s="298" t="inlineStr">
        <is>
          <t>194J</t>
        </is>
      </c>
      <c r="AU17" s="298" t="inlineStr">
        <is>
          <t>Section 194 J</t>
        </is>
      </c>
      <c r="AV17" s="298" t="n">
        <v>2000</v>
      </c>
      <c r="AZ17" s="298" t="n">
        <v>20000</v>
      </c>
      <c r="BA17" s="298" t="inlineStr">
        <is>
          <t>entity_level</t>
        </is>
      </c>
      <c r="BC17" s="298" t="n">
        <v>0</v>
      </c>
      <c r="BD17" s="298" t="n">
        <v>0</v>
      </c>
      <c r="BQ17" s="298" t="inlineStr">
        <is>
          <t>service</t>
        </is>
      </c>
      <c r="BV17" s="298" t="inlineStr">
        <is>
          <t>eligible</t>
        </is>
      </c>
      <c r="BW17" s="298" t="n">
        <v>0</v>
      </c>
    </row>
    <row r="18" ht="13.8" customHeight="1" s="253">
      <c r="A18" s="499" t="n">
        <v>45749</v>
      </c>
      <c r="B18" s="499" t="n">
        <v>45749</v>
      </c>
      <c r="C18" s="298" t="n">
        <v>2.29715200000009e+18</v>
      </c>
      <c r="D18" s="298" t="inlineStr">
        <is>
          <t>Amazon Web Service INC</t>
        </is>
      </c>
      <c r="E18" s="298" t="n">
        <v>0</v>
      </c>
      <c r="F18" s="298" t="n">
        <v>0</v>
      </c>
      <c r="G18" s="298" t="inlineStr">
        <is>
          <t>Due On Receipt</t>
        </is>
      </c>
      <c r="H18" s="298" t="n">
        <v>2115377585</v>
      </c>
      <c r="J18" s="298" t="inlineStr">
        <is>
          <t>INR</t>
        </is>
      </c>
      <c r="K18" s="298" t="n">
        <v>1</v>
      </c>
      <c r="L18" s="298" t="n">
        <v>68564.08</v>
      </c>
      <c r="M18" s="298" t="n">
        <v>68564.08</v>
      </c>
      <c r="N18" s="298" t="n">
        <v>0</v>
      </c>
      <c r="R18" s="298" t="n">
        <v>0</v>
      </c>
      <c r="S18" s="298" t="inlineStr">
        <is>
          <t>Adjustment</t>
        </is>
      </c>
      <c r="Y18" s="298" t="inlineStr">
        <is>
          <t>Paid</t>
        </is>
      </c>
      <c r="Z18" s="298" t="inlineStr">
        <is>
          <t>ridhi25madan</t>
        </is>
      </c>
      <c r="AC18" s="298" t="inlineStr">
        <is>
          <t>Advertising And Marketing</t>
        </is>
      </c>
      <c r="AE18" s="298" t="inlineStr">
        <is>
          <t>AWS Marketplace Charges</t>
        </is>
      </c>
      <c r="AF18" s="298" t="n">
        <v>1</v>
      </c>
      <c r="AH18" s="298" t="n">
        <v>0</v>
      </c>
      <c r="AI18" s="298" t="n">
        <v>68564.08</v>
      </c>
      <c r="AM18" s="298" t="inlineStr">
        <is>
          <t>UP</t>
        </is>
      </c>
      <c r="AN18" s="298" t="inlineStr">
        <is>
          <t>overseas</t>
        </is>
      </c>
      <c r="AP18" s="298" t="inlineStr">
        <is>
          <t>item_level</t>
        </is>
      </c>
      <c r="AS18" s="298" t="n">
        <v>0</v>
      </c>
      <c r="AV18" s="298" t="n">
        <v>0</v>
      </c>
      <c r="AZ18" s="298" t="n">
        <v>68564.08</v>
      </c>
      <c r="BA18" s="298" t="inlineStr">
        <is>
          <t>entity_level</t>
        </is>
      </c>
      <c r="BC18" s="298" t="n">
        <v>0</v>
      </c>
      <c r="BD18" s="298" t="n">
        <v>0</v>
      </c>
      <c r="BM18" s="298" t="n">
        <v>0</v>
      </c>
      <c r="BQ18" s="298" t="inlineStr">
        <is>
          <t>service</t>
        </is>
      </c>
      <c r="BR18" s="298" t="inlineStr">
        <is>
          <t>IGST18</t>
        </is>
      </c>
      <c r="BS18" s="298" t="n">
        <v>18</v>
      </c>
      <c r="BT18" s="298" t="inlineStr">
        <is>
          <t>ItemAmount</t>
        </is>
      </c>
      <c r="BV18" s="298" t="inlineStr">
        <is>
          <t>eligible</t>
        </is>
      </c>
      <c r="BW18" s="298" t="n">
        <v>0</v>
      </c>
    </row>
    <row r="19" ht="13.8" customHeight="1" s="253">
      <c r="A19" s="499" t="n">
        <v>45776</v>
      </c>
      <c r="B19" s="499" t="n">
        <v>45776</v>
      </c>
      <c r="C19" s="298" t="n">
        <v>2.29715200000012e+18</v>
      </c>
      <c r="D19" s="298" t="inlineStr">
        <is>
          <t>OLAMBIT CONSULTING PRIVATE LIMITED</t>
        </is>
      </c>
      <c r="E19" s="298" t="n">
        <v>0</v>
      </c>
      <c r="F19" s="298" t="n">
        <v>0</v>
      </c>
      <c r="G19" s="298" t="inlineStr">
        <is>
          <t>Due On Receipt</t>
        </is>
      </c>
      <c r="H19" s="298" t="inlineStr">
        <is>
          <t>GST-2025-00016</t>
        </is>
      </c>
      <c r="J19" s="298" t="inlineStr">
        <is>
          <t>INR</t>
        </is>
      </c>
      <c r="K19" s="298" t="n">
        <v>1</v>
      </c>
      <c r="L19" s="298" t="n">
        <v>65000</v>
      </c>
      <c r="M19" s="298" t="n">
        <v>70200</v>
      </c>
      <c r="N19" s="298" t="n">
        <v>63200</v>
      </c>
      <c r="R19" s="298" t="n">
        <v>0</v>
      </c>
      <c r="S19" s="298" t="inlineStr">
        <is>
          <t>Adjustment</t>
        </is>
      </c>
      <c r="Y19" s="298" t="inlineStr">
        <is>
          <t>Overdue</t>
        </is>
      </c>
      <c r="Z19" s="298" t="inlineStr">
        <is>
          <t>ridhi25madan</t>
        </is>
      </c>
      <c r="AC19" s="298" t="inlineStr">
        <is>
          <t>Legal &amp; Professional Charges</t>
        </is>
      </c>
      <c r="AF19" s="298" t="n">
        <v>1</v>
      </c>
      <c r="AH19" s="298" t="n">
        <v>11700</v>
      </c>
      <c r="AI19" s="298" t="n">
        <v>65000</v>
      </c>
      <c r="AL19" s="298" t="inlineStr">
        <is>
          <t>DL</t>
        </is>
      </c>
      <c r="AM19" s="298" t="inlineStr">
        <is>
          <t>UP</t>
        </is>
      </c>
      <c r="AN19" s="298" t="inlineStr">
        <is>
          <t>business_gst</t>
        </is>
      </c>
      <c r="AO19" s="298" t="inlineStr">
        <is>
          <t>07AADCO7267R1ZL</t>
        </is>
      </c>
      <c r="AP19" s="298" t="inlineStr">
        <is>
          <t>entity_level</t>
        </is>
      </c>
      <c r="AQ19" s="298" t="n">
        <v>2.29715200000003e+18</v>
      </c>
      <c r="AR19" s="298" t="inlineStr">
        <is>
          <t>Professional Fees</t>
        </is>
      </c>
      <c r="AS19" s="298" t="n">
        <v>10</v>
      </c>
      <c r="AT19" s="298" t="inlineStr">
        <is>
          <t>194J</t>
        </is>
      </c>
      <c r="AU19" s="298" t="inlineStr">
        <is>
          <t>Section 194 J</t>
        </is>
      </c>
      <c r="AV19" s="298" t="n">
        <v>6500</v>
      </c>
      <c r="AZ19" s="298" t="n">
        <v>65000</v>
      </c>
      <c r="BA19" s="298" t="inlineStr">
        <is>
          <t>entity_level</t>
        </is>
      </c>
      <c r="BC19" s="298" t="n">
        <v>0</v>
      </c>
      <c r="BD19" s="298" t="n">
        <v>0</v>
      </c>
      <c r="BG19" s="298" t="n">
        <v>2.29715200000003e+18</v>
      </c>
      <c r="BH19" s="298" t="inlineStr">
        <is>
          <t>IGST18</t>
        </is>
      </c>
      <c r="BI19" s="298" t="n">
        <v>18</v>
      </c>
      <c r="BJ19" s="298" t="inlineStr">
        <is>
          <t>ItemAmount</t>
        </is>
      </c>
      <c r="BQ19" s="298" t="inlineStr">
        <is>
          <t>service</t>
        </is>
      </c>
      <c r="BV19" s="298" t="inlineStr">
        <is>
          <t>eligible</t>
        </is>
      </c>
      <c r="BW19" s="298" t="n">
        <v>0</v>
      </c>
      <c r="CC19" s="298" t="n">
        <v>0</v>
      </c>
      <c r="CD19" s="298" t="n">
        <v>0</v>
      </c>
      <c r="CE19" s="298" t="n">
        <v>18</v>
      </c>
      <c r="CF19" s="298" t="n">
        <v>0</v>
      </c>
      <c r="CG19" s="298" t="n">
        <v>0</v>
      </c>
      <c r="CH19" s="298" t="n">
        <v>0</v>
      </c>
      <c r="CI19" s="298" t="n">
        <v>11700</v>
      </c>
      <c r="CJ19" s="298" t="n">
        <v>0</v>
      </c>
      <c r="CK19" s="298" t="n">
        <v>0</v>
      </c>
      <c r="CL19" s="298" t="n">
        <v>0</v>
      </c>
      <c r="CM19" s="298" t="n">
        <v>11700</v>
      </c>
      <c r="CN19" s="298" t="n">
        <v>0</v>
      </c>
    </row>
    <row r="20" ht="13.8" customHeight="1" s="253">
      <c r="A20" s="499" t="n">
        <v>45752</v>
      </c>
      <c r="B20" s="499" t="n">
        <v>45752</v>
      </c>
      <c r="C20" s="298" t="n">
        <v>2.29715200000014e+18</v>
      </c>
      <c r="D20" s="298" t="inlineStr">
        <is>
          <t>Razorpay Creditors</t>
        </is>
      </c>
      <c r="E20" s="298" t="n">
        <v>0</v>
      </c>
      <c r="F20" s="298" t="n">
        <v>0</v>
      </c>
      <c r="G20" s="298" t="inlineStr">
        <is>
          <t>Custom</t>
        </is>
      </c>
      <c r="H20" s="298" t="n">
        <v>249028</v>
      </c>
      <c r="J20" s="298" t="inlineStr">
        <is>
          <t>INR</t>
        </is>
      </c>
      <c r="K20" s="298" t="n">
        <v>1</v>
      </c>
      <c r="L20" s="298" t="n">
        <v>100</v>
      </c>
      <c r="M20" s="298" t="n">
        <v>118</v>
      </c>
      <c r="N20" s="298" t="n">
        <v>0</v>
      </c>
      <c r="R20" s="298" t="n">
        <v>0</v>
      </c>
      <c r="S20" s="298" t="inlineStr">
        <is>
          <t>Adjustment</t>
        </is>
      </c>
      <c r="Y20" s="298" t="inlineStr">
        <is>
          <t>Paid</t>
        </is>
      </c>
      <c r="Z20" s="298" t="inlineStr">
        <is>
          <t>ridhi25madan</t>
        </is>
      </c>
      <c r="AC20" s="298" t="inlineStr">
        <is>
          <t>Platform Charges</t>
        </is>
      </c>
      <c r="AF20" s="298" t="n">
        <v>1</v>
      </c>
      <c r="AH20" s="298" t="n">
        <v>18</v>
      </c>
      <c r="AI20" s="298" t="n">
        <v>100</v>
      </c>
      <c r="AL20" s="298" t="inlineStr">
        <is>
          <t>KA</t>
        </is>
      </c>
      <c r="AM20" s="298" t="inlineStr">
        <is>
          <t>UP</t>
        </is>
      </c>
      <c r="AN20" s="298" t="inlineStr">
        <is>
          <t>business_gst</t>
        </is>
      </c>
      <c r="AO20" s="298" t="inlineStr">
        <is>
          <t>29AAKCR4702K1Z1</t>
        </is>
      </c>
      <c r="AP20" s="298" t="inlineStr">
        <is>
          <t>item_level</t>
        </is>
      </c>
      <c r="AS20" s="298" t="n">
        <v>0</v>
      </c>
      <c r="AV20" s="298" t="n">
        <v>0</v>
      </c>
      <c r="AZ20" s="298" t="n">
        <v>100</v>
      </c>
      <c r="BA20" s="298" t="inlineStr">
        <is>
          <t>entity_level</t>
        </is>
      </c>
      <c r="BC20" s="298" t="n">
        <v>0</v>
      </c>
      <c r="BD20" s="298" t="n">
        <v>0</v>
      </c>
      <c r="BG20" s="298" t="n">
        <v>2.29715200000003e+18</v>
      </c>
      <c r="BH20" s="298" t="inlineStr">
        <is>
          <t>IGST18</t>
        </is>
      </c>
      <c r="BI20" s="298" t="n">
        <v>18</v>
      </c>
      <c r="BJ20" s="298" t="inlineStr">
        <is>
          <t>ItemAmount</t>
        </is>
      </c>
      <c r="BM20" s="298" t="n">
        <v>0</v>
      </c>
      <c r="BQ20" s="298" t="inlineStr">
        <is>
          <t>service</t>
        </is>
      </c>
      <c r="BV20" s="298" t="inlineStr">
        <is>
          <t>eligible</t>
        </is>
      </c>
      <c r="BW20" s="298" t="n">
        <v>0</v>
      </c>
      <c r="CC20" s="298" t="n">
        <v>0</v>
      </c>
      <c r="CD20" s="298" t="n">
        <v>0</v>
      </c>
      <c r="CE20" s="298" t="n">
        <v>18</v>
      </c>
      <c r="CF20" s="298" t="n">
        <v>0</v>
      </c>
      <c r="CG20" s="298" t="n">
        <v>0</v>
      </c>
      <c r="CH20" s="298" t="n">
        <v>0</v>
      </c>
      <c r="CI20" s="298" t="n">
        <v>18</v>
      </c>
      <c r="CJ20" s="298" t="n">
        <v>0</v>
      </c>
      <c r="CK20" s="298" t="n">
        <v>0</v>
      </c>
      <c r="CL20" s="298" t="n">
        <v>0</v>
      </c>
      <c r="CM20" s="298" t="n">
        <v>18</v>
      </c>
      <c r="CN20" s="298" t="n">
        <v>0</v>
      </c>
    </row>
    <row r="21" ht="13.8" customHeight="1" s="253">
      <c r="A21" s="499" t="n">
        <v>45716</v>
      </c>
      <c r="B21" s="499" t="n">
        <v>45716</v>
      </c>
      <c r="C21" s="298" t="n">
        <v>2.29715200000014e+18</v>
      </c>
      <c r="D21" s="298" t="inlineStr">
        <is>
          <t>RAZORPAY SOFTWARE PVT LTD(Sales Platform)</t>
        </is>
      </c>
      <c r="E21" s="298" t="n">
        <v>0</v>
      </c>
      <c r="F21" s="298" t="n">
        <v>0</v>
      </c>
      <c r="G21" s="298" t="inlineStr">
        <is>
          <t>Due On Receipt</t>
        </is>
      </c>
      <c r="H21" s="298" t="inlineStr">
        <is>
          <t>NAHGTQ81YYWY0225</t>
        </is>
      </c>
      <c r="J21" s="298" t="inlineStr">
        <is>
          <t>INR</t>
        </is>
      </c>
      <c r="K21" s="298" t="n">
        <v>1</v>
      </c>
      <c r="L21" s="298" t="n">
        <v>6790.02</v>
      </c>
      <c r="M21" s="298" t="n">
        <v>8010.44</v>
      </c>
      <c r="N21" s="298" t="n">
        <v>0</v>
      </c>
      <c r="R21" s="298" t="n">
        <v>0</v>
      </c>
      <c r="S21" s="298" t="inlineStr">
        <is>
          <t>Adjustment</t>
        </is>
      </c>
      <c r="Y21" s="298" t="inlineStr">
        <is>
          <t>Paid</t>
        </is>
      </c>
      <c r="Z21" s="298" t="inlineStr">
        <is>
          <t>ridhi25madan</t>
        </is>
      </c>
      <c r="AC21" s="298" t="inlineStr">
        <is>
          <t>Platform Charges</t>
        </is>
      </c>
      <c r="AF21" s="298" t="n">
        <v>1</v>
      </c>
      <c r="AH21" s="298" t="n">
        <v>1220.42</v>
      </c>
      <c r="AI21" s="298" t="n">
        <v>6780.13</v>
      </c>
      <c r="AL21" s="298" t="inlineStr">
        <is>
          <t>KA</t>
        </is>
      </c>
      <c r="AM21" s="298" t="inlineStr">
        <is>
          <t>UP</t>
        </is>
      </c>
      <c r="AN21" s="298" t="inlineStr">
        <is>
          <t>business_gst</t>
        </is>
      </c>
      <c r="AO21" s="298" t="inlineStr">
        <is>
          <t>29AAGCR4375J1ZU</t>
        </is>
      </c>
      <c r="AP21" s="298" t="inlineStr">
        <is>
          <t>item_level</t>
        </is>
      </c>
      <c r="AS21" s="298" t="n">
        <v>0</v>
      </c>
      <c r="AV21" s="298" t="n">
        <v>0</v>
      </c>
      <c r="AZ21" s="298" t="n">
        <v>6780.13</v>
      </c>
      <c r="BA21" s="298" t="inlineStr">
        <is>
          <t>entity_level</t>
        </is>
      </c>
      <c r="BC21" s="298" t="n">
        <v>0</v>
      </c>
      <c r="BD21" s="298" t="n">
        <v>0</v>
      </c>
      <c r="BG21" s="298" t="n">
        <v>2.29715200000003e+18</v>
      </c>
      <c r="BH21" s="298" t="inlineStr">
        <is>
          <t>IGST18</t>
        </is>
      </c>
      <c r="BI21" s="298" t="n">
        <v>18</v>
      </c>
      <c r="BJ21" s="298" t="inlineStr">
        <is>
          <t>ItemAmount</t>
        </is>
      </c>
      <c r="BM21" s="298" t="n">
        <v>0</v>
      </c>
      <c r="BQ21" s="298" t="inlineStr">
        <is>
          <t>service</t>
        </is>
      </c>
      <c r="BV21" s="298" t="inlineStr">
        <is>
          <t>eligible</t>
        </is>
      </c>
      <c r="BW21" s="298" t="n">
        <v>0</v>
      </c>
      <c r="CC21" s="298" t="n">
        <v>0</v>
      </c>
      <c r="CD21" s="298" t="n">
        <v>0</v>
      </c>
      <c r="CE21" s="298" t="n">
        <v>18</v>
      </c>
      <c r="CF21" s="298" t="n">
        <v>0</v>
      </c>
      <c r="CG21" s="298" t="n">
        <v>0</v>
      </c>
      <c r="CH21" s="298" t="n">
        <v>0</v>
      </c>
      <c r="CI21" s="298" t="n">
        <v>1220.42</v>
      </c>
      <c r="CJ21" s="298" t="n">
        <v>0</v>
      </c>
      <c r="CK21" s="298" t="n">
        <v>0</v>
      </c>
      <c r="CL21" s="298" t="n">
        <v>0</v>
      </c>
      <c r="CM21" s="298" t="n">
        <v>1220.42</v>
      </c>
      <c r="CN21" s="298" t="n">
        <v>0</v>
      </c>
    </row>
    <row r="22" ht="13.8" customHeight="1" s="253">
      <c r="A22" s="499" t="n">
        <v>45716</v>
      </c>
      <c r="B22" s="499" t="n">
        <v>45716</v>
      </c>
      <c r="C22" s="298" t="n">
        <v>2.29715200000014e+18</v>
      </c>
      <c r="D22" s="298" t="inlineStr">
        <is>
          <t>RAZORPAY SOFTWARE PVT LTD(Sales Platform)</t>
        </is>
      </c>
      <c r="E22" s="298" t="n">
        <v>0</v>
      </c>
      <c r="F22" s="298" t="n">
        <v>0</v>
      </c>
      <c r="G22" s="298" t="inlineStr">
        <is>
          <t>Due On Receipt</t>
        </is>
      </c>
      <c r="H22" s="298" t="inlineStr">
        <is>
          <t>NAHGTQ81YYWY0225</t>
        </is>
      </c>
      <c r="J22" s="298" t="inlineStr">
        <is>
          <t>INR</t>
        </is>
      </c>
      <c r="K22" s="298" t="n">
        <v>1</v>
      </c>
      <c r="L22" s="298" t="n">
        <v>6790.02</v>
      </c>
      <c r="M22" s="298" t="n">
        <v>8010.44</v>
      </c>
      <c r="N22" s="298" t="n">
        <v>0</v>
      </c>
      <c r="R22" s="298" t="n">
        <v>0</v>
      </c>
      <c r="S22" s="298" t="inlineStr">
        <is>
          <t>Adjustment</t>
        </is>
      </c>
      <c r="Y22" s="298" t="inlineStr">
        <is>
          <t>Paid</t>
        </is>
      </c>
      <c r="Z22" s="298" t="inlineStr">
        <is>
          <t>ridhi25madan</t>
        </is>
      </c>
      <c r="AC22" s="298" t="inlineStr">
        <is>
          <t>Platform Charges</t>
        </is>
      </c>
      <c r="AF22" s="298" t="n">
        <v>1</v>
      </c>
      <c r="AH22" s="298" t="n">
        <v>0</v>
      </c>
      <c r="AI22" s="298" t="n">
        <v>9.890000000000001</v>
      </c>
      <c r="AL22" s="298" t="inlineStr">
        <is>
          <t>KA</t>
        </is>
      </c>
      <c r="AM22" s="298" t="inlineStr">
        <is>
          <t>UP</t>
        </is>
      </c>
      <c r="AN22" s="298" t="inlineStr">
        <is>
          <t>business_gst</t>
        </is>
      </c>
      <c r="AO22" s="298" t="inlineStr">
        <is>
          <t>29AAGCR4375J1ZU</t>
        </is>
      </c>
      <c r="AP22" s="298" t="inlineStr">
        <is>
          <t>item_level</t>
        </is>
      </c>
      <c r="AS22" s="298" t="n">
        <v>0</v>
      </c>
      <c r="AV22" s="298" t="n">
        <v>0</v>
      </c>
      <c r="AZ22" s="298" t="n">
        <v>9.890000000000001</v>
      </c>
      <c r="BA22" s="298" t="inlineStr">
        <is>
          <t>entity_level</t>
        </is>
      </c>
      <c r="BC22" s="298" t="n">
        <v>0</v>
      </c>
      <c r="BD22" s="298" t="n">
        <v>0</v>
      </c>
      <c r="BG22" s="298" t="n">
        <v>2.29715200000003e+18</v>
      </c>
      <c r="BH22" s="298" t="inlineStr">
        <is>
          <t>IGST0</t>
        </is>
      </c>
      <c r="BI22" s="298" t="n">
        <v>0</v>
      </c>
      <c r="BJ22" s="298" t="inlineStr">
        <is>
          <t>ItemAmount</t>
        </is>
      </c>
      <c r="BM22" s="298" t="n">
        <v>0</v>
      </c>
      <c r="BQ22" s="298" t="inlineStr">
        <is>
          <t>service</t>
        </is>
      </c>
      <c r="BV22" s="298" t="inlineStr">
        <is>
          <t>eligible</t>
        </is>
      </c>
      <c r="BW22" s="298" t="n">
        <v>0</v>
      </c>
      <c r="CC22" s="298" t="n">
        <v>0</v>
      </c>
      <c r="CD22" s="298" t="n">
        <v>0</v>
      </c>
      <c r="CE22" s="298" t="n">
        <v>0</v>
      </c>
      <c r="CF22" s="298" t="n">
        <v>0</v>
      </c>
      <c r="CG22" s="298" t="n">
        <v>0</v>
      </c>
      <c r="CH22" s="298" t="n">
        <v>0</v>
      </c>
      <c r="CI22" s="298" t="n">
        <v>0</v>
      </c>
      <c r="CJ22" s="298" t="n">
        <v>0</v>
      </c>
      <c r="CK22" s="298" t="n">
        <v>0</v>
      </c>
      <c r="CL22" s="298" t="n">
        <v>0</v>
      </c>
      <c r="CM22" s="298" t="n">
        <v>0</v>
      </c>
      <c r="CN22" s="298" t="n">
        <v>0</v>
      </c>
    </row>
    <row r="23" ht="13.8" customHeight="1" s="253">
      <c r="A23" s="499" t="n">
        <v>45742</v>
      </c>
      <c r="B23" s="499" t="n">
        <v>45742</v>
      </c>
      <c r="C23" s="298" t="n">
        <v>2.29715200000014e+18</v>
      </c>
      <c r="D23" s="298" t="inlineStr">
        <is>
          <t>Indian Kanoon (IKanoon)</t>
        </is>
      </c>
      <c r="E23" s="298" t="n">
        <v>0</v>
      </c>
      <c r="F23" s="298" t="n">
        <v>0</v>
      </c>
      <c r="G23" s="298" t="inlineStr">
        <is>
          <t>Due On Receipt</t>
        </is>
      </c>
      <c r="H23" s="298" t="inlineStr">
        <is>
          <t>API-30715-25</t>
        </is>
      </c>
      <c r="J23" s="298" t="inlineStr">
        <is>
          <t>INR</t>
        </is>
      </c>
      <c r="K23" s="298" t="n">
        <v>1</v>
      </c>
      <c r="L23" s="298" t="n">
        <v>10000</v>
      </c>
      <c r="M23" s="298" t="n">
        <v>11800</v>
      </c>
      <c r="N23" s="298" t="n">
        <v>0</v>
      </c>
      <c r="R23" s="298" t="n">
        <v>0</v>
      </c>
      <c r="S23" s="298" t="inlineStr">
        <is>
          <t>Adjustment</t>
        </is>
      </c>
      <c r="Y23" s="298" t="inlineStr">
        <is>
          <t>Paid</t>
        </is>
      </c>
      <c r="Z23" s="298" t="inlineStr">
        <is>
          <t>ridhi25madan</t>
        </is>
      </c>
      <c r="AC23" s="298" t="inlineStr">
        <is>
          <t>Subscription charges</t>
        </is>
      </c>
      <c r="AE23" s="298" t="inlineStr">
        <is>
          <t>Subscription charges</t>
        </is>
      </c>
      <c r="AF23" s="298" t="n">
        <v>1</v>
      </c>
      <c r="AH23" s="298" t="n">
        <v>1800</v>
      </c>
      <c r="AI23" s="298" t="n">
        <v>10000</v>
      </c>
      <c r="AL23" s="298" t="inlineStr">
        <is>
          <t>KA</t>
        </is>
      </c>
      <c r="AM23" s="298" t="inlineStr">
        <is>
          <t>UP</t>
        </is>
      </c>
      <c r="AN23" s="298" t="inlineStr">
        <is>
          <t>business_gst</t>
        </is>
      </c>
      <c r="AO23" s="298" t="inlineStr">
        <is>
          <t>29AADCI5875P2ZM</t>
        </is>
      </c>
      <c r="AP23" s="298" t="inlineStr">
        <is>
          <t>item_level</t>
        </is>
      </c>
      <c r="AS23" s="298" t="n">
        <v>0</v>
      </c>
      <c r="AV23" s="298" t="n">
        <v>0</v>
      </c>
      <c r="AZ23" s="298" t="n">
        <v>10000</v>
      </c>
      <c r="BA23" s="298" t="inlineStr">
        <is>
          <t>entity_level</t>
        </is>
      </c>
      <c r="BC23" s="298" t="n">
        <v>0</v>
      </c>
      <c r="BD23" s="298" t="n">
        <v>0</v>
      </c>
      <c r="BG23" s="298" t="n">
        <v>2.29715200000003e+18</v>
      </c>
      <c r="BH23" s="298" t="inlineStr">
        <is>
          <t>IGST18</t>
        </is>
      </c>
      <c r="BI23" s="298" t="n">
        <v>18</v>
      </c>
      <c r="BJ23" s="298" t="inlineStr">
        <is>
          <t>ItemAmount</t>
        </is>
      </c>
      <c r="BM23" s="298" t="n">
        <v>0</v>
      </c>
      <c r="BQ23" s="298" t="inlineStr">
        <is>
          <t>service</t>
        </is>
      </c>
      <c r="BV23" s="298" t="inlineStr">
        <is>
          <t>eligible</t>
        </is>
      </c>
      <c r="BW23" s="298" t="n">
        <v>0</v>
      </c>
      <c r="CC23" s="298" t="n">
        <v>0</v>
      </c>
      <c r="CD23" s="298" t="n">
        <v>0</v>
      </c>
      <c r="CE23" s="298" t="n">
        <v>18</v>
      </c>
      <c r="CF23" s="298" t="n">
        <v>0</v>
      </c>
      <c r="CG23" s="298" t="n">
        <v>0</v>
      </c>
      <c r="CH23" s="298" t="n">
        <v>0</v>
      </c>
      <c r="CI23" s="298" t="n">
        <v>1800</v>
      </c>
      <c r="CJ23" s="298" t="n">
        <v>0</v>
      </c>
      <c r="CK23" s="298" t="n">
        <v>0</v>
      </c>
      <c r="CL23" s="298" t="n">
        <v>0</v>
      </c>
      <c r="CM23" s="298" t="n">
        <v>1800</v>
      </c>
      <c r="CN23" s="298" t="n">
        <v>0</v>
      </c>
    </row>
    <row r="24" ht="13.8" customHeight="1" s="253">
      <c r="A24" s="499" t="n">
        <v>45737</v>
      </c>
      <c r="B24" s="499" t="n">
        <v>45737</v>
      </c>
      <c r="C24" s="298" t="n">
        <v>2.29715200000014e+18</v>
      </c>
      <c r="D24" s="298" t="inlineStr">
        <is>
          <t>BHIVE Workspace</t>
        </is>
      </c>
      <c r="E24" s="298" t="n">
        <v>0</v>
      </c>
      <c r="F24" s="298" t="n">
        <v>0</v>
      </c>
      <c r="G24" s="298" t="inlineStr">
        <is>
          <t>Due On Receipt</t>
        </is>
      </c>
      <c r="H24" s="298" t="inlineStr">
        <is>
          <t>BHV/2425/10176</t>
        </is>
      </c>
      <c r="J24" s="298" t="inlineStr">
        <is>
          <t>INR</t>
        </is>
      </c>
      <c r="K24" s="298" t="n">
        <v>1</v>
      </c>
      <c r="L24" s="298" t="n">
        <v>1047</v>
      </c>
      <c r="M24" s="298" t="n">
        <v>1235.46</v>
      </c>
      <c r="N24" s="298" t="n">
        <v>1235.46</v>
      </c>
      <c r="R24" s="298" t="n">
        <v>0</v>
      </c>
      <c r="S24" s="298" t="inlineStr">
        <is>
          <t>Adjustment</t>
        </is>
      </c>
      <c r="Y24" s="298" t="inlineStr">
        <is>
          <t>Overdue</t>
        </is>
      </c>
      <c r="Z24" s="298" t="inlineStr">
        <is>
          <t>ridhi25madan</t>
        </is>
      </c>
      <c r="AC24" s="298" t="inlineStr">
        <is>
          <t>IT and Internet Expenses</t>
        </is>
      </c>
      <c r="AF24" s="298" t="n">
        <v>1</v>
      </c>
      <c r="AH24" s="298" t="n">
        <v>188.46</v>
      </c>
      <c r="AI24" s="298" t="n">
        <v>1047</v>
      </c>
      <c r="AL24" s="298" t="inlineStr">
        <is>
          <t>KA</t>
        </is>
      </c>
      <c r="AM24" s="298" t="inlineStr">
        <is>
          <t>UP</t>
        </is>
      </c>
      <c r="AN24" s="298" t="inlineStr">
        <is>
          <t>business_gst</t>
        </is>
      </c>
      <c r="AO24" s="298" t="inlineStr">
        <is>
          <t>29AAFCT2273G1Z7</t>
        </is>
      </c>
      <c r="AP24" s="298" t="inlineStr">
        <is>
          <t>item_level</t>
        </is>
      </c>
      <c r="AS24" s="298" t="n">
        <v>0</v>
      </c>
      <c r="AV24" s="298" t="n">
        <v>0</v>
      </c>
      <c r="AZ24" s="298" t="n">
        <v>1047</v>
      </c>
      <c r="BA24" s="298" t="inlineStr">
        <is>
          <t>entity_level</t>
        </is>
      </c>
      <c r="BC24" s="298" t="n">
        <v>0</v>
      </c>
      <c r="BD24" s="298" t="n">
        <v>0</v>
      </c>
      <c r="BG24" s="298" t="n">
        <v>2.29715200000003e+18</v>
      </c>
      <c r="BH24" s="298" t="inlineStr">
        <is>
          <t>IGST18</t>
        </is>
      </c>
      <c r="BI24" s="298" t="n">
        <v>18</v>
      </c>
      <c r="BJ24" s="298" t="inlineStr">
        <is>
          <t>ItemAmount</t>
        </is>
      </c>
      <c r="BM24" s="298" t="n">
        <v>0</v>
      </c>
      <c r="BQ24" s="298" t="inlineStr">
        <is>
          <t>service</t>
        </is>
      </c>
      <c r="BV24" s="298" t="inlineStr">
        <is>
          <t>eligible</t>
        </is>
      </c>
      <c r="BW24" s="298" t="n">
        <v>0</v>
      </c>
      <c r="CC24" s="298" t="n">
        <v>0</v>
      </c>
      <c r="CD24" s="298" t="n">
        <v>0</v>
      </c>
      <c r="CE24" s="298" t="n">
        <v>18</v>
      </c>
      <c r="CF24" s="298" t="n">
        <v>0</v>
      </c>
      <c r="CG24" s="298" t="n">
        <v>0</v>
      </c>
      <c r="CH24" s="298" t="n">
        <v>0</v>
      </c>
      <c r="CI24" s="298" t="n">
        <v>188.46</v>
      </c>
      <c r="CJ24" s="298" t="n">
        <v>0</v>
      </c>
      <c r="CK24" s="298" t="n">
        <v>0</v>
      </c>
      <c r="CL24" s="298" t="n">
        <v>0</v>
      </c>
      <c r="CM24" s="298" t="n">
        <v>188.46</v>
      </c>
      <c r="CN24" s="298" t="n">
        <v>0</v>
      </c>
    </row>
    <row r="25" ht="13.8" customHeight="1" s="253">
      <c r="A25" s="499" t="n">
        <v>45740</v>
      </c>
      <c r="B25" s="499" t="n">
        <v>45740</v>
      </c>
      <c r="C25" s="298" t="n">
        <v>2.29715200000014e+18</v>
      </c>
      <c r="D25" s="298" t="inlineStr">
        <is>
          <t>BHIVE Workspace</t>
        </is>
      </c>
      <c r="E25" s="298" t="n">
        <v>0</v>
      </c>
      <c r="F25" s="298" t="n">
        <v>0</v>
      </c>
      <c r="G25" s="298" t="inlineStr">
        <is>
          <t>Due On Receipt</t>
        </is>
      </c>
      <c r="H25" s="298" t="inlineStr">
        <is>
          <t>BHV/2425/10194</t>
        </is>
      </c>
      <c r="J25" s="298" t="inlineStr">
        <is>
          <t>INR</t>
        </is>
      </c>
      <c r="K25" s="298" t="n">
        <v>1</v>
      </c>
      <c r="L25" s="298" t="n">
        <v>698</v>
      </c>
      <c r="M25" s="298" t="n">
        <v>823.64</v>
      </c>
      <c r="N25" s="298" t="n">
        <v>823.64</v>
      </c>
      <c r="R25" s="298" t="n">
        <v>0</v>
      </c>
      <c r="S25" s="298" t="inlineStr">
        <is>
          <t>Adjustment</t>
        </is>
      </c>
      <c r="Y25" s="298" t="inlineStr">
        <is>
          <t>Overdue</t>
        </is>
      </c>
      <c r="Z25" s="298" t="inlineStr">
        <is>
          <t>ridhi25madan</t>
        </is>
      </c>
      <c r="AC25" s="298" t="inlineStr">
        <is>
          <t>IT and Internet Expenses</t>
        </is>
      </c>
      <c r="AF25" s="298" t="n">
        <v>1</v>
      </c>
      <c r="AH25" s="298" t="n">
        <v>125.64</v>
      </c>
      <c r="AI25" s="298" t="n">
        <v>698</v>
      </c>
      <c r="AL25" s="298" t="inlineStr">
        <is>
          <t>KA</t>
        </is>
      </c>
      <c r="AM25" s="298" t="inlineStr">
        <is>
          <t>UP</t>
        </is>
      </c>
      <c r="AN25" s="298" t="inlineStr">
        <is>
          <t>business_gst</t>
        </is>
      </c>
      <c r="AO25" s="298" t="inlineStr">
        <is>
          <t>29AAFCT2273G1Z7</t>
        </is>
      </c>
      <c r="AP25" s="298" t="inlineStr">
        <is>
          <t>item_level</t>
        </is>
      </c>
      <c r="AS25" s="298" t="n">
        <v>0</v>
      </c>
      <c r="AV25" s="298" t="n">
        <v>0</v>
      </c>
      <c r="AZ25" s="298" t="n">
        <v>698</v>
      </c>
      <c r="BA25" s="298" t="inlineStr">
        <is>
          <t>entity_level</t>
        </is>
      </c>
      <c r="BC25" s="298" t="n">
        <v>0</v>
      </c>
      <c r="BD25" s="298" t="n">
        <v>0</v>
      </c>
      <c r="BG25" s="298" t="n">
        <v>2.29715200000003e+18</v>
      </c>
      <c r="BH25" s="298" t="inlineStr">
        <is>
          <t>IGST18</t>
        </is>
      </c>
      <c r="BI25" s="298" t="n">
        <v>18</v>
      </c>
      <c r="BJ25" s="298" t="inlineStr">
        <is>
          <t>ItemAmount</t>
        </is>
      </c>
      <c r="BM25" s="298" t="n">
        <v>0</v>
      </c>
      <c r="BQ25" s="298" t="inlineStr">
        <is>
          <t>service</t>
        </is>
      </c>
      <c r="BV25" s="298" t="inlineStr">
        <is>
          <t>eligible</t>
        </is>
      </c>
      <c r="BW25" s="298" t="n">
        <v>0</v>
      </c>
      <c r="CC25" s="298" t="n">
        <v>0</v>
      </c>
      <c r="CD25" s="298" t="n">
        <v>0</v>
      </c>
      <c r="CE25" s="298" t="n">
        <v>18</v>
      </c>
      <c r="CF25" s="298" t="n">
        <v>0</v>
      </c>
      <c r="CG25" s="298" t="n">
        <v>0</v>
      </c>
      <c r="CH25" s="298" t="n">
        <v>0</v>
      </c>
      <c r="CI25" s="298" t="n">
        <v>125.64</v>
      </c>
      <c r="CJ25" s="298" t="n">
        <v>0</v>
      </c>
      <c r="CK25" s="298" t="n">
        <v>0</v>
      </c>
      <c r="CL25" s="298" t="n">
        <v>0</v>
      </c>
      <c r="CM25" s="298" t="n">
        <v>125.64</v>
      </c>
      <c r="CN25" s="298" t="n">
        <v>0</v>
      </c>
    </row>
    <row r="26" ht="13.8" customHeight="1" s="253">
      <c r="A26" s="499" t="n">
        <v>45742</v>
      </c>
      <c r="B26" s="499" t="n">
        <v>45742</v>
      </c>
      <c r="C26" s="298" t="n">
        <v>2.29715200000014e+18</v>
      </c>
      <c r="D26" s="298" t="inlineStr">
        <is>
          <t>BHIVE Workspace</t>
        </is>
      </c>
      <c r="E26" s="298" t="n">
        <v>0</v>
      </c>
      <c r="F26" s="298" t="n">
        <v>0</v>
      </c>
      <c r="G26" s="298" t="inlineStr">
        <is>
          <t>Due On Receipt</t>
        </is>
      </c>
      <c r="H26" s="298" t="inlineStr">
        <is>
          <t>BHV/2425/10232</t>
        </is>
      </c>
      <c r="J26" s="298" t="inlineStr">
        <is>
          <t>INR</t>
        </is>
      </c>
      <c r="K26" s="298" t="n">
        <v>1</v>
      </c>
      <c r="L26" s="298" t="n">
        <v>1047</v>
      </c>
      <c r="M26" s="298" t="n">
        <v>1235.46</v>
      </c>
      <c r="N26" s="298" t="n">
        <v>1235.46</v>
      </c>
      <c r="R26" s="298" t="n">
        <v>0</v>
      </c>
      <c r="S26" s="298" t="inlineStr">
        <is>
          <t>Adjustment</t>
        </is>
      </c>
      <c r="Y26" s="298" t="inlineStr">
        <is>
          <t>Draft</t>
        </is>
      </c>
      <c r="Z26" s="298" t="inlineStr">
        <is>
          <t>ridhi25madan</t>
        </is>
      </c>
      <c r="AC26" s="298" t="inlineStr">
        <is>
          <t>IT and Internet Expenses</t>
        </is>
      </c>
      <c r="AF26" s="298" t="n">
        <v>1</v>
      </c>
      <c r="AH26" s="298" t="n">
        <v>188.46</v>
      </c>
      <c r="AI26" s="298" t="n">
        <v>1047</v>
      </c>
      <c r="AL26" s="298" t="inlineStr">
        <is>
          <t>KA</t>
        </is>
      </c>
      <c r="AM26" s="298" t="inlineStr">
        <is>
          <t>UP</t>
        </is>
      </c>
      <c r="AN26" s="298" t="inlineStr">
        <is>
          <t>business_gst</t>
        </is>
      </c>
      <c r="AO26" s="298" t="inlineStr">
        <is>
          <t>29AAFCT2273G1Z7</t>
        </is>
      </c>
      <c r="AP26" s="298" t="inlineStr">
        <is>
          <t>item_level</t>
        </is>
      </c>
      <c r="AS26" s="298" t="n">
        <v>0</v>
      </c>
      <c r="AV26" s="298" t="n">
        <v>0</v>
      </c>
      <c r="AZ26" s="298" t="n">
        <v>1047</v>
      </c>
      <c r="BA26" s="298" t="inlineStr">
        <is>
          <t>entity_level</t>
        </is>
      </c>
      <c r="BC26" s="298" t="n">
        <v>0</v>
      </c>
      <c r="BD26" s="298" t="n">
        <v>0</v>
      </c>
      <c r="BG26" s="298" t="n">
        <v>2.29715200000003e+18</v>
      </c>
      <c r="BH26" s="298" t="inlineStr">
        <is>
          <t>IGST18</t>
        </is>
      </c>
      <c r="BI26" s="298" t="n">
        <v>18</v>
      </c>
      <c r="BJ26" s="298" t="inlineStr">
        <is>
          <t>ItemAmount</t>
        </is>
      </c>
      <c r="BM26" s="298" t="n">
        <v>0</v>
      </c>
      <c r="BQ26" s="298" t="inlineStr">
        <is>
          <t>service</t>
        </is>
      </c>
      <c r="BV26" s="298" t="inlineStr">
        <is>
          <t>eligible</t>
        </is>
      </c>
      <c r="BW26" s="298" t="n">
        <v>0</v>
      </c>
      <c r="CC26" s="298" t="n">
        <v>0</v>
      </c>
      <c r="CD26" s="298" t="n">
        <v>0</v>
      </c>
      <c r="CE26" s="298" t="n">
        <v>18</v>
      </c>
      <c r="CF26" s="298" t="n">
        <v>0</v>
      </c>
      <c r="CG26" s="298" t="n">
        <v>0</v>
      </c>
      <c r="CH26" s="298" t="n">
        <v>0</v>
      </c>
      <c r="CI26" s="298" t="n">
        <v>188.46</v>
      </c>
      <c r="CJ26" s="298" t="n">
        <v>0</v>
      </c>
      <c r="CK26" s="298" t="n">
        <v>0</v>
      </c>
      <c r="CL26" s="298" t="n">
        <v>0</v>
      </c>
      <c r="CM26" s="298" t="n">
        <v>188.46</v>
      </c>
      <c r="CN26" s="298" t="n">
        <v>0</v>
      </c>
    </row>
    <row r="27" ht="13.8" customHeight="1" s="253">
      <c r="A27" s="499" t="n">
        <v>45744</v>
      </c>
      <c r="B27" s="499" t="n">
        <v>45744</v>
      </c>
      <c r="C27" s="298" t="n">
        <v>2.29715200000014e+18</v>
      </c>
      <c r="D27" s="298" t="inlineStr">
        <is>
          <t>BHIVE Workspace</t>
        </is>
      </c>
      <c r="E27" s="298" t="n">
        <v>0</v>
      </c>
      <c r="F27" s="298" t="n">
        <v>0</v>
      </c>
      <c r="G27" s="298" t="inlineStr">
        <is>
          <t>Due On Receipt</t>
        </is>
      </c>
      <c r="H27" s="298" t="inlineStr">
        <is>
          <t>BHV/2425/10406</t>
        </is>
      </c>
      <c r="J27" s="298" t="inlineStr">
        <is>
          <t>INR</t>
        </is>
      </c>
      <c r="K27" s="298" t="n">
        <v>1</v>
      </c>
      <c r="L27" s="298" t="n">
        <v>1047</v>
      </c>
      <c r="M27" s="298" t="n">
        <v>1235.46</v>
      </c>
      <c r="N27" s="298" t="n">
        <v>1235.46</v>
      </c>
      <c r="R27" s="298" t="n">
        <v>0</v>
      </c>
      <c r="S27" s="298" t="inlineStr">
        <is>
          <t>Adjustment</t>
        </is>
      </c>
      <c r="Y27" s="298" t="inlineStr">
        <is>
          <t>Overdue</t>
        </is>
      </c>
      <c r="Z27" s="298" t="inlineStr">
        <is>
          <t>ridhi25madan</t>
        </is>
      </c>
      <c r="AC27" s="298" t="inlineStr">
        <is>
          <t>Workspace Rent</t>
        </is>
      </c>
      <c r="AF27" s="298" t="n">
        <v>1</v>
      </c>
      <c r="AH27" s="298" t="n">
        <v>188.46</v>
      </c>
      <c r="AI27" s="298" t="n">
        <v>1047</v>
      </c>
      <c r="AL27" s="298" t="inlineStr">
        <is>
          <t>KA</t>
        </is>
      </c>
      <c r="AM27" s="298" t="inlineStr">
        <is>
          <t>UP</t>
        </is>
      </c>
      <c r="AN27" s="298" t="inlineStr">
        <is>
          <t>business_gst</t>
        </is>
      </c>
      <c r="AO27" s="298" t="inlineStr">
        <is>
          <t>29AAFCT2273G1Z7</t>
        </is>
      </c>
      <c r="AP27" s="298" t="inlineStr">
        <is>
          <t>item_level</t>
        </is>
      </c>
      <c r="AS27" s="298" t="n">
        <v>0</v>
      </c>
      <c r="AV27" s="298" t="n">
        <v>0</v>
      </c>
      <c r="AZ27" s="298" t="n">
        <v>1047</v>
      </c>
      <c r="BA27" s="298" t="inlineStr">
        <is>
          <t>entity_level</t>
        </is>
      </c>
      <c r="BC27" s="298" t="n">
        <v>0</v>
      </c>
      <c r="BD27" s="298" t="n">
        <v>0</v>
      </c>
      <c r="BG27" s="298" t="n">
        <v>2.29715200000003e+18</v>
      </c>
      <c r="BH27" s="298" t="inlineStr">
        <is>
          <t>IGST18</t>
        </is>
      </c>
      <c r="BI27" s="298" t="n">
        <v>18</v>
      </c>
      <c r="BJ27" s="298" t="inlineStr">
        <is>
          <t>ItemAmount</t>
        </is>
      </c>
      <c r="BM27" s="298" t="n">
        <v>0</v>
      </c>
      <c r="BQ27" s="298" t="inlineStr">
        <is>
          <t>service</t>
        </is>
      </c>
      <c r="BV27" s="298" t="inlineStr">
        <is>
          <t>eligible</t>
        </is>
      </c>
      <c r="BW27" s="298" t="n">
        <v>0</v>
      </c>
      <c r="CC27" s="298" t="n">
        <v>0</v>
      </c>
      <c r="CD27" s="298" t="n">
        <v>0</v>
      </c>
      <c r="CE27" s="298" t="n">
        <v>18</v>
      </c>
      <c r="CF27" s="298" t="n">
        <v>0</v>
      </c>
      <c r="CG27" s="298" t="n">
        <v>0</v>
      </c>
      <c r="CH27" s="298" t="n">
        <v>0</v>
      </c>
      <c r="CI27" s="298" t="n">
        <v>188.46</v>
      </c>
      <c r="CJ27" s="298" t="n">
        <v>0</v>
      </c>
      <c r="CK27" s="298" t="n">
        <v>0</v>
      </c>
      <c r="CL27" s="298" t="n">
        <v>0</v>
      </c>
      <c r="CM27" s="298" t="n">
        <v>188.46</v>
      </c>
      <c r="CN27" s="298" t="n">
        <v>0</v>
      </c>
    </row>
    <row r="28" ht="13.8" customHeight="1" s="253">
      <c r="A28" s="499" t="n">
        <v>45744</v>
      </c>
      <c r="B28" s="499" t="n">
        <v>45744</v>
      </c>
      <c r="C28" s="298" t="n">
        <v>2.29715200000014e+18</v>
      </c>
      <c r="D28" s="298" t="inlineStr">
        <is>
          <t>BHIVE Workspace</t>
        </is>
      </c>
      <c r="E28" s="298" t="n">
        <v>0</v>
      </c>
      <c r="F28" s="298" t="n">
        <v>0</v>
      </c>
      <c r="G28" s="298" t="inlineStr">
        <is>
          <t>Due On Receipt</t>
        </is>
      </c>
      <c r="H28" s="298" t="inlineStr">
        <is>
          <t>BHV/2425/10407</t>
        </is>
      </c>
      <c r="J28" s="298" t="inlineStr">
        <is>
          <t>INR</t>
        </is>
      </c>
      <c r="K28" s="298" t="n">
        <v>1</v>
      </c>
      <c r="L28" s="298" t="n">
        <v>1047</v>
      </c>
      <c r="M28" s="298" t="n">
        <v>1235.46</v>
      </c>
      <c r="N28" s="298" t="n">
        <v>1235.46</v>
      </c>
      <c r="R28" s="298" t="n">
        <v>0</v>
      </c>
      <c r="S28" s="298" t="inlineStr">
        <is>
          <t>Adjustment</t>
        </is>
      </c>
      <c r="Y28" s="298" t="inlineStr">
        <is>
          <t>Overdue</t>
        </is>
      </c>
      <c r="Z28" s="298" t="inlineStr">
        <is>
          <t>ridhi25madan</t>
        </is>
      </c>
      <c r="AC28" s="298" t="inlineStr">
        <is>
          <t>IT and Internet Expenses</t>
        </is>
      </c>
      <c r="AF28" s="298" t="n">
        <v>1</v>
      </c>
      <c r="AH28" s="298" t="n">
        <v>188.46</v>
      </c>
      <c r="AI28" s="298" t="n">
        <v>1047</v>
      </c>
      <c r="AL28" s="298" t="inlineStr">
        <is>
          <t>KA</t>
        </is>
      </c>
      <c r="AM28" s="298" t="inlineStr">
        <is>
          <t>UP</t>
        </is>
      </c>
      <c r="AN28" s="298" t="inlineStr">
        <is>
          <t>business_gst</t>
        </is>
      </c>
      <c r="AO28" s="298" t="inlineStr">
        <is>
          <t>29AAFCT2273G1Z7</t>
        </is>
      </c>
      <c r="AP28" s="298" t="inlineStr">
        <is>
          <t>item_level</t>
        </is>
      </c>
      <c r="AS28" s="298" t="n">
        <v>0</v>
      </c>
      <c r="AV28" s="298" t="n">
        <v>0</v>
      </c>
      <c r="AZ28" s="298" t="n">
        <v>1047</v>
      </c>
      <c r="BA28" s="298" t="inlineStr">
        <is>
          <t>entity_level</t>
        </is>
      </c>
      <c r="BC28" s="298" t="n">
        <v>0</v>
      </c>
      <c r="BD28" s="298" t="n">
        <v>0</v>
      </c>
      <c r="BG28" s="298" t="n">
        <v>2.29715200000003e+18</v>
      </c>
      <c r="BH28" s="298" t="inlineStr">
        <is>
          <t>IGST18</t>
        </is>
      </c>
      <c r="BI28" s="298" t="n">
        <v>18</v>
      </c>
      <c r="BJ28" s="298" t="inlineStr">
        <is>
          <t>ItemAmount</t>
        </is>
      </c>
      <c r="BM28" s="298" t="n">
        <v>0</v>
      </c>
      <c r="BQ28" s="298" t="inlineStr">
        <is>
          <t>service</t>
        </is>
      </c>
      <c r="BV28" s="298" t="inlineStr">
        <is>
          <t>eligible</t>
        </is>
      </c>
      <c r="BW28" s="298" t="n">
        <v>0</v>
      </c>
      <c r="CC28" s="298" t="n">
        <v>0</v>
      </c>
      <c r="CD28" s="298" t="n">
        <v>0</v>
      </c>
      <c r="CE28" s="298" t="n">
        <v>18</v>
      </c>
      <c r="CF28" s="298" t="n">
        <v>0</v>
      </c>
      <c r="CG28" s="298" t="n">
        <v>0</v>
      </c>
      <c r="CH28" s="298" t="n">
        <v>0</v>
      </c>
      <c r="CI28" s="298" t="n">
        <v>188.46</v>
      </c>
      <c r="CJ28" s="298" t="n">
        <v>0</v>
      </c>
      <c r="CK28" s="298" t="n">
        <v>0</v>
      </c>
      <c r="CL28" s="298" t="n">
        <v>0</v>
      </c>
      <c r="CM28" s="298" t="n">
        <v>188.46</v>
      </c>
      <c r="CN28" s="298" t="n">
        <v>0</v>
      </c>
    </row>
    <row r="29" ht="13.8" customHeight="1" s="253">
      <c r="A29" s="499" t="n">
        <v>45747</v>
      </c>
      <c r="B29" s="499" t="n">
        <v>45747</v>
      </c>
      <c r="C29" s="298" t="n">
        <v>2.29715200000014e+18</v>
      </c>
      <c r="D29" s="298" t="inlineStr">
        <is>
          <t>BHIVE Workspace</t>
        </is>
      </c>
      <c r="E29" s="298" t="n">
        <v>0</v>
      </c>
      <c r="F29" s="298" t="n">
        <v>0</v>
      </c>
      <c r="G29" s="298" t="inlineStr">
        <is>
          <t>Due On Receipt</t>
        </is>
      </c>
      <c r="H29" s="298" t="inlineStr">
        <is>
          <t>BHV/2425/10445</t>
        </is>
      </c>
      <c r="J29" s="298" t="inlineStr">
        <is>
          <t>INR</t>
        </is>
      </c>
      <c r="K29" s="298" t="n">
        <v>1</v>
      </c>
      <c r="L29" s="298" t="n">
        <v>1047</v>
      </c>
      <c r="M29" s="298" t="n">
        <v>1235.46</v>
      </c>
      <c r="N29" s="298" t="n">
        <v>1235.46</v>
      </c>
      <c r="R29" s="298" t="n">
        <v>0</v>
      </c>
      <c r="S29" s="298" t="inlineStr">
        <is>
          <t>Adjustment</t>
        </is>
      </c>
      <c r="Y29" s="298" t="inlineStr">
        <is>
          <t>Overdue</t>
        </is>
      </c>
      <c r="Z29" s="298" t="inlineStr">
        <is>
          <t>ridhi25madan</t>
        </is>
      </c>
      <c r="AC29" s="298" t="inlineStr">
        <is>
          <t>Workspace Rent</t>
        </is>
      </c>
      <c r="AF29" s="298" t="n">
        <v>1</v>
      </c>
      <c r="AH29" s="298" t="n">
        <v>188.46</v>
      </c>
      <c r="AI29" s="298" t="n">
        <v>1047</v>
      </c>
      <c r="AL29" s="298" t="inlineStr">
        <is>
          <t>KA</t>
        </is>
      </c>
      <c r="AM29" s="298" t="inlineStr">
        <is>
          <t>UP</t>
        </is>
      </c>
      <c r="AN29" s="298" t="inlineStr">
        <is>
          <t>business_gst</t>
        </is>
      </c>
      <c r="AO29" s="298" t="inlineStr">
        <is>
          <t>29AAFCT2273G1Z7</t>
        </is>
      </c>
      <c r="AP29" s="298" t="inlineStr">
        <is>
          <t>item_level</t>
        </is>
      </c>
      <c r="AS29" s="298" t="n">
        <v>0</v>
      </c>
      <c r="AV29" s="298" t="n">
        <v>0</v>
      </c>
      <c r="AZ29" s="298" t="n">
        <v>1047</v>
      </c>
      <c r="BA29" s="298" t="inlineStr">
        <is>
          <t>entity_level</t>
        </is>
      </c>
      <c r="BC29" s="298" t="n">
        <v>0</v>
      </c>
      <c r="BD29" s="298" t="n">
        <v>0</v>
      </c>
      <c r="BG29" s="298" t="n">
        <v>2.29715200000003e+18</v>
      </c>
      <c r="BH29" s="298" t="inlineStr">
        <is>
          <t>IGST18</t>
        </is>
      </c>
      <c r="BI29" s="298" t="n">
        <v>18</v>
      </c>
      <c r="BJ29" s="298" t="inlineStr">
        <is>
          <t>ItemAmount</t>
        </is>
      </c>
      <c r="BM29" s="298" t="n">
        <v>0</v>
      </c>
      <c r="BQ29" s="298" t="inlineStr">
        <is>
          <t>service</t>
        </is>
      </c>
      <c r="BV29" s="298" t="inlineStr">
        <is>
          <t>eligible</t>
        </is>
      </c>
      <c r="BW29" s="298" t="n">
        <v>0</v>
      </c>
      <c r="CC29" s="298" t="n">
        <v>0</v>
      </c>
      <c r="CD29" s="298" t="n">
        <v>0</v>
      </c>
      <c r="CE29" s="298" t="n">
        <v>18</v>
      </c>
      <c r="CF29" s="298" t="n">
        <v>0</v>
      </c>
      <c r="CG29" s="298" t="n">
        <v>0</v>
      </c>
      <c r="CH29" s="298" t="n">
        <v>0</v>
      </c>
      <c r="CI29" s="298" t="n">
        <v>188.46</v>
      </c>
      <c r="CJ29" s="298" t="n">
        <v>0</v>
      </c>
      <c r="CK29" s="298" t="n">
        <v>0</v>
      </c>
      <c r="CL29" s="298" t="n">
        <v>0</v>
      </c>
      <c r="CM29" s="298" t="n">
        <v>188.46</v>
      </c>
      <c r="CN29" s="298" t="n">
        <v>0</v>
      </c>
    </row>
    <row r="30" ht="13.8" customHeight="1" s="253">
      <c r="A30" s="499" t="n">
        <v>45747</v>
      </c>
      <c r="B30" s="499" t="n">
        <v>45747</v>
      </c>
      <c r="C30" s="298" t="n">
        <v>2.29715200000014e+18</v>
      </c>
      <c r="D30" s="298" t="inlineStr">
        <is>
          <t>RAZORPAY SOFTWARE PVT LTD(Sales Platform)</t>
        </is>
      </c>
      <c r="E30" s="298" t="n">
        <v>0</v>
      </c>
      <c r="F30" s="298" t="n">
        <v>0</v>
      </c>
      <c r="G30" s="298" t="inlineStr">
        <is>
          <t>Due On Receipt</t>
        </is>
      </c>
      <c r="H30" s="298" t="inlineStr">
        <is>
          <t>NAHGTQ81YYWY0325</t>
        </is>
      </c>
      <c r="J30" s="298" t="inlineStr">
        <is>
          <t>INR</t>
        </is>
      </c>
      <c r="K30" s="298" t="n">
        <v>1</v>
      </c>
      <c r="L30" s="298" t="n">
        <v>4861.23</v>
      </c>
      <c r="M30" s="298" t="n">
        <v>5736.25</v>
      </c>
      <c r="N30" s="298" t="n">
        <v>0</v>
      </c>
      <c r="R30" s="298" t="n">
        <v>0</v>
      </c>
      <c r="S30" s="298" t="inlineStr">
        <is>
          <t>Adjustment</t>
        </is>
      </c>
      <c r="Y30" s="298" t="inlineStr">
        <is>
          <t>Paid</t>
        </is>
      </c>
      <c r="Z30" s="298" t="inlineStr">
        <is>
          <t>ridhi25madan</t>
        </is>
      </c>
      <c r="AC30" s="298" t="inlineStr">
        <is>
          <t>Platform Charges</t>
        </is>
      </c>
      <c r="AF30" s="298" t="n">
        <v>1</v>
      </c>
      <c r="AH30" s="298" t="n">
        <v>875.02</v>
      </c>
      <c r="AI30" s="298" t="n">
        <v>4861.23</v>
      </c>
      <c r="AL30" s="298" t="inlineStr">
        <is>
          <t>KA</t>
        </is>
      </c>
      <c r="AM30" s="298" t="inlineStr">
        <is>
          <t>UP</t>
        </is>
      </c>
      <c r="AN30" s="298" t="inlineStr">
        <is>
          <t>business_gst</t>
        </is>
      </c>
      <c r="AO30" s="298" t="inlineStr">
        <is>
          <t>29AAGCR4375J1ZU</t>
        </is>
      </c>
      <c r="AP30" s="298" t="inlineStr">
        <is>
          <t>item_level</t>
        </is>
      </c>
      <c r="AS30" s="298" t="n">
        <v>0</v>
      </c>
      <c r="AV30" s="298" t="n">
        <v>0</v>
      </c>
      <c r="AZ30" s="298" t="n">
        <v>4861.23</v>
      </c>
      <c r="BA30" s="298" t="inlineStr">
        <is>
          <t>entity_level</t>
        </is>
      </c>
      <c r="BC30" s="298" t="n">
        <v>0</v>
      </c>
      <c r="BD30" s="298" t="n">
        <v>0</v>
      </c>
      <c r="BG30" s="298" t="n">
        <v>2.29715200000003e+18</v>
      </c>
      <c r="BH30" s="298" t="inlineStr">
        <is>
          <t>IGST18</t>
        </is>
      </c>
      <c r="BI30" s="298" t="n">
        <v>18</v>
      </c>
      <c r="BJ30" s="298" t="inlineStr">
        <is>
          <t>ItemAmount</t>
        </is>
      </c>
      <c r="BM30" s="298" t="n">
        <v>0</v>
      </c>
      <c r="BQ30" s="298" t="inlineStr">
        <is>
          <t>service</t>
        </is>
      </c>
      <c r="BV30" s="298" t="inlineStr">
        <is>
          <t>eligible</t>
        </is>
      </c>
      <c r="BW30" s="298" t="n">
        <v>0</v>
      </c>
      <c r="CC30" s="298" t="n">
        <v>0</v>
      </c>
      <c r="CD30" s="298" t="n">
        <v>0</v>
      </c>
      <c r="CE30" s="298" t="n">
        <v>18</v>
      </c>
      <c r="CF30" s="298" t="n">
        <v>0</v>
      </c>
      <c r="CG30" s="298" t="n">
        <v>0</v>
      </c>
      <c r="CH30" s="298" t="n">
        <v>0</v>
      </c>
      <c r="CI30" s="298" t="n">
        <v>875.02</v>
      </c>
      <c r="CJ30" s="298" t="n">
        <v>0</v>
      </c>
      <c r="CK30" s="298" t="n">
        <v>0</v>
      </c>
      <c r="CL30" s="298" t="n">
        <v>0</v>
      </c>
      <c r="CM30" s="298" t="n">
        <v>875.02</v>
      </c>
      <c r="CN30" s="298" t="n">
        <v>0</v>
      </c>
    </row>
    <row r="31" ht="13.8" customHeight="1" s="253">
      <c r="A31" s="499" t="n">
        <v>45750</v>
      </c>
      <c r="B31" s="499" t="n">
        <v>45750</v>
      </c>
      <c r="C31" s="298" t="n">
        <v>2.29715200000014e+18</v>
      </c>
      <c r="D31" s="298" t="inlineStr">
        <is>
          <t>Riversys Technologies Pvt Ltd(SCRUT AUTOMATION)</t>
        </is>
      </c>
      <c r="E31" s="298" t="n">
        <v>0</v>
      </c>
      <c r="F31" s="298" t="n">
        <v>0</v>
      </c>
      <c r="G31" s="298" t="inlineStr">
        <is>
          <t>Due On Receipt</t>
        </is>
      </c>
      <c r="H31" s="298" t="inlineStr">
        <is>
          <t>INV-2526-0021</t>
        </is>
      </c>
      <c r="J31" s="298" t="inlineStr">
        <is>
          <t>INR</t>
        </is>
      </c>
      <c r="K31" s="298" t="n">
        <v>1</v>
      </c>
      <c r="L31" s="298" t="n">
        <v>256100</v>
      </c>
      <c r="M31" s="298" t="n">
        <v>297076</v>
      </c>
      <c r="N31" s="298" t="n">
        <v>0</v>
      </c>
      <c r="R31" s="298" t="n">
        <v>0</v>
      </c>
      <c r="S31" s="298" t="inlineStr">
        <is>
          <t>Adjustment</t>
        </is>
      </c>
      <c r="Y31" s="298" t="inlineStr">
        <is>
          <t>Paid</t>
        </is>
      </c>
      <c r="Z31" s="298" t="inlineStr">
        <is>
          <t>ridhi25madan</t>
        </is>
      </c>
      <c r="AC31" s="298" t="inlineStr">
        <is>
          <t>Security &amp; Certification Charges</t>
        </is>
      </c>
      <c r="AE31" s="298" t="inlineStr">
        <is>
          <t>Security &amp; certificate charges</t>
        </is>
      </c>
      <c r="AF31" s="298" t="n">
        <v>1</v>
      </c>
      <c r="AH31" s="298" t="n">
        <v>46098</v>
      </c>
      <c r="AI31" s="298" t="n">
        <v>256100</v>
      </c>
      <c r="AL31" s="298" t="inlineStr">
        <is>
          <t>KA</t>
        </is>
      </c>
      <c r="AM31" s="298" t="inlineStr">
        <is>
          <t>UP</t>
        </is>
      </c>
      <c r="AN31" s="298" t="inlineStr">
        <is>
          <t>business_gst</t>
        </is>
      </c>
      <c r="AO31" s="298" t="inlineStr">
        <is>
          <t>29AAKCR1346R1ZL</t>
        </is>
      </c>
      <c r="AP31" s="298" t="inlineStr">
        <is>
          <t>entity_level</t>
        </is>
      </c>
      <c r="AQ31" s="298" t="n">
        <v>2.29715200000003e+18</v>
      </c>
      <c r="AR31" s="298" t="inlineStr">
        <is>
          <t>Technical Fees (2%)</t>
        </is>
      </c>
      <c r="AS31" s="298" t="n">
        <v>2</v>
      </c>
      <c r="AT31" s="298" t="inlineStr">
        <is>
          <t>194J</t>
        </is>
      </c>
      <c r="AU31" s="298" t="inlineStr">
        <is>
          <t>Section 194 J</t>
        </is>
      </c>
      <c r="AV31" s="298" t="n">
        <v>5122</v>
      </c>
      <c r="AZ31" s="298" t="n">
        <v>256100</v>
      </c>
      <c r="BA31" s="298" t="inlineStr">
        <is>
          <t>entity_level</t>
        </is>
      </c>
      <c r="BC31" s="298" t="n">
        <v>0</v>
      </c>
      <c r="BD31" s="298" t="n">
        <v>0</v>
      </c>
      <c r="BG31" s="298" t="n">
        <v>2.29715200000003e+18</v>
      </c>
      <c r="BH31" s="298" t="inlineStr">
        <is>
          <t>IGST18</t>
        </is>
      </c>
      <c r="BI31" s="298" t="n">
        <v>18</v>
      </c>
      <c r="BJ31" s="298" t="inlineStr">
        <is>
          <t>ItemAmount</t>
        </is>
      </c>
      <c r="BQ31" s="298" t="inlineStr">
        <is>
          <t>service</t>
        </is>
      </c>
      <c r="BV31" s="298" t="inlineStr">
        <is>
          <t>eligible</t>
        </is>
      </c>
      <c r="BW31" s="298" t="n">
        <v>0</v>
      </c>
      <c r="CC31" s="298" t="n">
        <v>0</v>
      </c>
      <c r="CD31" s="298" t="n">
        <v>0</v>
      </c>
      <c r="CE31" s="298" t="n">
        <v>18</v>
      </c>
      <c r="CF31" s="298" t="n">
        <v>0</v>
      </c>
      <c r="CG31" s="298" t="n">
        <v>0</v>
      </c>
      <c r="CH31" s="298" t="n">
        <v>0</v>
      </c>
      <c r="CI31" s="298" t="n">
        <v>46098</v>
      </c>
      <c r="CJ31" s="298" t="n">
        <v>0</v>
      </c>
      <c r="CK31" s="298" t="n">
        <v>0</v>
      </c>
      <c r="CL31" s="298" t="n">
        <v>0</v>
      </c>
      <c r="CM31" s="298" t="n">
        <v>46098</v>
      </c>
      <c r="CN31" s="298" t="n">
        <v>0</v>
      </c>
    </row>
    <row r="32" ht="13.8" customHeight="1" s="253">
      <c r="A32" s="499" t="n">
        <v>45763</v>
      </c>
      <c r="B32" s="499" t="n">
        <v>45763</v>
      </c>
      <c r="C32" s="298" t="n">
        <v>2.29715200000014e+18</v>
      </c>
      <c r="D32" s="298" t="inlineStr">
        <is>
          <t>Riversys Technologies Pvt Ltd(SCRUT AUTOMATION)</t>
        </is>
      </c>
      <c r="E32" s="298" t="n">
        <v>0</v>
      </c>
      <c r="F32" s="298" t="n">
        <v>0</v>
      </c>
      <c r="G32" s="298" t="inlineStr">
        <is>
          <t>Due On Receipt</t>
        </is>
      </c>
      <c r="H32" s="298" t="inlineStr">
        <is>
          <t>INV-2526-0110</t>
        </is>
      </c>
      <c r="J32" s="298" t="inlineStr">
        <is>
          <t>INR</t>
        </is>
      </c>
      <c r="K32" s="298" t="n">
        <v>1</v>
      </c>
      <c r="L32" s="298" t="n">
        <v>128450</v>
      </c>
      <c r="M32" s="298" t="n">
        <v>149002</v>
      </c>
      <c r="N32" s="298" t="n">
        <v>149002</v>
      </c>
      <c r="R32" s="298" t="n">
        <v>0</v>
      </c>
      <c r="S32" s="298" t="inlineStr">
        <is>
          <t>Adjustment</t>
        </is>
      </c>
      <c r="Y32" s="298" t="inlineStr">
        <is>
          <t>Overdue</t>
        </is>
      </c>
      <c r="Z32" s="298" t="inlineStr">
        <is>
          <t>ridhi25madan</t>
        </is>
      </c>
      <c r="AC32" s="298" t="inlineStr">
        <is>
          <t>Security &amp; Certification Charges</t>
        </is>
      </c>
      <c r="AE32" s="298" t="inlineStr">
        <is>
          <t>Security &amp; certificate charges</t>
        </is>
      </c>
      <c r="AF32" s="298" t="n">
        <v>1</v>
      </c>
      <c r="AH32" s="298" t="n">
        <v>23121</v>
      </c>
      <c r="AI32" s="298" t="n">
        <v>128450</v>
      </c>
      <c r="AL32" s="298" t="inlineStr">
        <is>
          <t>KA</t>
        </is>
      </c>
      <c r="AM32" s="298" t="inlineStr">
        <is>
          <t>UP</t>
        </is>
      </c>
      <c r="AN32" s="298" t="inlineStr">
        <is>
          <t>business_gst</t>
        </is>
      </c>
      <c r="AO32" s="298" t="inlineStr">
        <is>
          <t>29AAKCR1346R1ZL</t>
        </is>
      </c>
      <c r="AP32" s="298" t="inlineStr">
        <is>
          <t>entity_level</t>
        </is>
      </c>
      <c r="AQ32" s="298" t="n">
        <v>2.29715200000003e+18</v>
      </c>
      <c r="AR32" s="298" t="inlineStr">
        <is>
          <t>Technical Fees (2%)</t>
        </is>
      </c>
      <c r="AS32" s="298" t="n">
        <v>2</v>
      </c>
      <c r="AT32" s="298" t="inlineStr">
        <is>
          <t>194J</t>
        </is>
      </c>
      <c r="AU32" s="298" t="inlineStr">
        <is>
          <t>Section 194 J</t>
        </is>
      </c>
      <c r="AV32" s="298" t="n">
        <v>2569</v>
      </c>
      <c r="AZ32" s="298" t="n">
        <v>128450</v>
      </c>
      <c r="BA32" s="298" t="inlineStr">
        <is>
          <t>entity_level</t>
        </is>
      </c>
      <c r="BC32" s="298" t="n">
        <v>0</v>
      </c>
      <c r="BD32" s="298" t="n">
        <v>0</v>
      </c>
      <c r="BG32" s="298" t="n">
        <v>2.29715200000003e+18</v>
      </c>
      <c r="BH32" s="298" t="inlineStr">
        <is>
          <t>IGST18</t>
        </is>
      </c>
      <c r="BI32" s="298" t="n">
        <v>18</v>
      </c>
      <c r="BJ32" s="298" t="inlineStr">
        <is>
          <t>ItemAmount</t>
        </is>
      </c>
      <c r="BQ32" s="298" t="inlineStr">
        <is>
          <t>service</t>
        </is>
      </c>
      <c r="BV32" s="298" t="inlineStr">
        <is>
          <t>eligible</t>
        </is>
      </c>
      <c r="BW32" s="298" t="n">
        <v>0</v>
      </c>
      <c r="CC32" s="298" t="n">
        <v>0</v>
      </c>
      <c r="CD32" s="298" t="n">
        <v>0</v>
      </c>
      <c r="CE32" s="298" t="n">
        <v>18</v>
      </c>
      <c r="CF32" s="298" t="n">
        <v>0</v>
      </c>
      <c r="CG32" s="298" t="n">
        <v>0</v>
      </c>
      <c r="CH32" s="298" t="n">
        <v>0</v>
      </c>
      <c r="CI32" s="298" t="n">
        <v>23121</v>
      </c>
      <c r="CJ32" s="298" t="n">
        <v>0</v>
      </c>
      <c r="CK32" s="298" t="n">
        <v>0</v>
      </c>
      <c r="CL32" s="298" t="n">
        <v>0</v>
      </c>
      <c r="CM32" s="298" t="n">
        <v>23121</v>
      </c>
      <c r="CN32" s="298" t="n">
        <v>0</v>
      </c>
    </row>
    <row r="33" ht="13.8" customHeight="1" s="253">
      <c r="A33" s="499" t="n">
        <v>45751</v>
      </c>
      <c r="B33" s="499" t="n">
        <v>45751</v>
      </c>
      <c r="C33" s="298" t="n">
        <v>2.29715200000014e+18</v>
      </c>
      <c r="D33" s="298" t="inlineStr">
        <is>
          <t>BHIVE Workspace</t>
        </is>
      </c>
      <c r="E33" s="298" t="n">
        <v>0</v>
      </c>
      <c r="F33" s="298" t="n">
        <v>0</v>
      </c>
      <c r="G33" s="298" t="inlineStr">
        <is>
          <t>Due On Receipt</t>
        </is>
      </c>
      <c r="H33" s="298" t="inlineStr">
        <is>
          <t>BHV/25-26/00584</t>
        </is>
      </c>
      <c r="J33" s="298" t="inlineStr">
        <is>
          <t>INR</t>
        </is>
      </c>
      <c r="K33" s="298" t="n">
        <v>1</v>
      </c>
      <c r="L33" s="298" t="n">
        <v>698</v>
      </c>
      <c r="M33" s="298" t="n">
        <v>823.64</v>
      </c>
      <c r="N33" s="298" t="n">
        <v>823.64</v>
      </c>
      <c r="R33" s="298" t="n">
        <v>0</v>
      </c>
      <c r="S33" s="298" t="inlineStr">
        <is>
          <t>Adjustment</t>
        </is>
      </c>
      <c r="Y33" s="298" t="inlineStr">
        <is>
          <t>Overdue</t>
        </is>
      </c>
      <c r="Z33" s="298" t="inlineStr">
        <is>
          <t>ridhi25madan</t>
        </is>
      </c>
      <c r="AC33" s="298" t="inlineStr">
        <is>
          <t>Workspace Rent</t>
        </is>
      </c>
      <c r="AF33" s="298" t="n">
        <v>1</v>
      </c>
      <c r="AH33" s="298" t="n">
        <v>125.64</v>
      </c>
      <c r="AI33" s="298" t="n">
        <v>698</v>
      </c>
      <c r="AL33" s="298" t="inlineStr">
        <is>
          <t>KA</t>
        </is>
      </c>
      <c r="AM33" s="298" t="inlineStr">
        <is>
          <t>UP</t>
        </is>
      </c>
      <c r="AN33" s="298" t="inlineStr">
        <is>
          <t>business_gst</t>
        </is>
      </c>
      <c r="AO33" s="298" t="inlineStr">
        <is>
          <t>29AAFCT2273G1Z7</t>
        </is>
      </c>
      <c r="AP33" s="298" t="inlineStr">
        <is>
          <t>item_level</t>
        </is>
      </c>
      <c r="AS33" s="298" t="n">
        <v>0</v>
      </c>
      <c r="AV33" s="298" t="n">
        <v>0</v>
      </c>
      <c r="AZ33" s="298" t="n">
        <v>698</v>
      </c>
      <c r="BA33" s="298" t="inlineStr">
        <is>
          <t>entity_level</t>
        </is>
      </c>
      <c r="BC33" s="298" t="n">
        <v>0</v>
      </c>
      <c r="BD33" s="298" t="n">
        <v>0</v>
      </c>
      <c r="BG33" s="298" t="n">
        <v>2.29715200000003e+18</v>
      </c>
      <c r="BH33" s="298" t="inlineStr">
        <is>
          <t>IGST18</t>
        </is>
      </c>
      <c r="BI33" s="298" t="n">
        <v>18</v>
      </c>
      <c r="BJ33" s="298" t="inlineStr">
        <is>
          <t>ItemAmount</t>
        </is>
      </c>
      <c r="BM33" s="298" t="n">
        <v>0</v>
      </c>
      <c r="BQ33" s="298" t="inlineStr">
        <is>
          <t>service</t>
        </is>
      </c>
      <c r="BV33" s="298" t="inlineStr">
        <is>
          <t>eligible</t>
        </is>
      </c>
      <c r="BW33" s="298" t="n">
        <v>0</v>
      </c>
      <c r="CC33" s="298" t="n">
        <v>0</v>
      </c>
      <c r="CD33" s="298" t="n">
        <v>0</v>
      </c>
      <c r="CE33" s="298" t="n">
        <v>18</v>
      </c>
      <c r="CF33" s="298" t="n">
        <v>0</v>
      </c>
      <c r="CG33" s="298" t="n">
        <v>0</v>
      </c>
      <c r="CH33" s="298" t="n">
        <v>0</v>
      </c>
      <c r="CI33" s="298" t="n">
        <v>125.64</v>
      </c>
      <c r="CJ33" s="298" t="n">
        <v>0</v>
      </c>
      <c r="CK33" s="298" t="n">
        <v>0</v>
      </c>
      <c r="CL33" s="298" t="n">
        <v>0</v>
      </c>
      <c r="CM33" s="298" t="n">
        <v>125.64</v>
      </c>
      <c r="CN33" s="298" t="n">
        <v>0</v>
      </c>
    </row>
    <row r="34" ht="13.8" customHeight="1" s="253">
      <c r="A34" s="499" t="n">
        <v>45754</v>
      </c>
      <c r="B34" s="499" t="n">
        <v>45754</v>
      </c>
      <c r="C34" s="298" t="n">
        <v>2.29715200000014e+18</v>
      </c>
      <c r="D34" s="298" t="inlineStr">
        <is>
          <t>BHIVE Workspace</t>
        </is>
      </c>
      <c r="E34" s="298" t="n">
        <v>0</v>
      </c>
      <c r="F34" s="298" t="n">
        <v>0</v>
      </c>
      <c r="G34" s="298" t="inlineStr">
        <is>
          <t>Due On Receipt</t>
        </is>
      </c>
      <c r="H34" s="298" t="inlineStr">
        <is>
          <t>BHV/25-26/00630</t>
        </is>
      </c>
      <c r="J34" s="298" t="inlineStr">
        <is>
          <t>INR</t>
        </is>
      </c>
      <c r="K34" s="298" t="n">
        <v>1</v>
      </c>
      <c r="L34" s="298" t="n">
        <v>1047</v>
      </c>
      <c r="M34" s="298" t="n">
        <v>1235.46</v>
      </c>
      <c r="N34" s="298" t="n">
        <v>1235.46</v>
      </c>
      <c r="R34" s="298" t="n">
        <v>0</v>
      </c>
      <c r="S34" s="298" t="inlineStr">
        <is>
          <t>Adjustment</t>
        </is>
      </c>
      <c r="Y34" s="298" t="inlineStr">
        <is>
          <t>Overdue</t>
        </is>
      </c>
      <c r="Z34" s="298" t="inlineStr">
        <is>
          <t>ridhi25madan</t>
        </is>
      </c>
      <c r="AC34" s="298" t="inlineStr">
        <is>
          <t>Workspace Rent</t>
        </is>
      </c>
      <c r="AF34" s="298" t="n">
        <v>1</v>
      </c>
      <c r="AH34" s="298" t="n">
        <v>188.46</v>
      </c>
      <c r="AI34" s="298" t="n">
        <v>1047</v>
      </c>
      <c r="AL34" s="298" t="inlineStr">
        <is>
          <t>KA</t>
        </is>
      </c>
      <c r="AM34" s="298" t="inlineStr">
        <is>
          <t>UP</t>
        </is>
      </c>
      <c r="AN34" s="298" t="inlineStr">
        <is>
          <t>business_gst</t>
        </is>
      </c>
      <c r="AO34" s="298" t="inlineStr">
        <is>
          <t>29AAFCT2273G1Z7</t>
        </is>
      </c>
      <c r="AP34" s="298" t="inlineStr">
        <is>
          <t>item_level</t>
        </is>
      </c>
      <c r="AS34" s="298" t="n">
        <v>0</v>
      </c>
      <c r="AV34" s="298" t="n">
        <v>0</v>
      </c>
      <c r="AZ34" s="298" t="n">
        <v>1047</v>
      </c>
      <c r="BA34" s="298" t="inlineStr">
        <is>
          <t>entity_level</t>
        </is>
      </c>
      <c r="BC34" s="298" t="n">
        <v>0</v>
      </c>
      <c r="BD34" s="298" t="n">
        <v>0</v>
      </c>
      <c r="BG34" s="298" t="n">
        <v>2.29715200000003e+18</v>
      </c>
      <c r="BH34" s="298" t="inlineStr">
        <is>
          <t>IGST18</t>
        </is>
      </c>
      <c r="BI34" s="298" t="n">
        <v>18</v>
      </c>
      <c r="BJ34" s="298" t="inlineStr">
        <is>
          <t>ItemAmount</t>
        </is>
      </c>
      <c r="BM34" s="298" t="n">
        <v>0</v>
      </c>
      <c r="BQ34" s="298" t="inlineStr">
        <is>
          <t>service</t>
        </is>
      </c>
      <c r="BV34" s="298" t="inlineStr">
        <is>
          <t>eligible</t>
        </is>
      </c>
      <c r="BW34" s="298" t="n">
        <v>0</v>
      </c>
      <c r="CC34" s="298" t="n">
        <v>0</v>
      </c>
      <c r="CD34" s="298" t="n">
        <v>0</v>
      </c>
      <c r="CE34" s="298" t="n">
        <v>18</v>
      </c>
      <c r="CF34" s="298" t="n">
        <v>0</v>
      </c>
      <c r="CG34" s="298" t="n">
        <v>0</v>
      </c>
      <c r="CH34" s="298" t="n">
        <v>0</v>
      </c>
      <c r="CI34" s="298" t="n">
        <v>188.46</v>
      </c>
      <c r="CJ34" s="298" t="n">
        <v>0</v>
      </c>
      <c r="CK34" s="298" t="n">
        <v>0</v>
      </c>
      <c r="CL34" s="298" t="n">
        <v>0</v>
      </c>
      <c r="CM34" s="298" t="n">
        <v>188.46</v>
      </c>
      <c r="CN34" s="298" t="n">
        <v>0</v>
      </c>
    </row>
    <row r="35" ht="13.8" customHeight="1" s="253">
      <c r="A35" s="499" t="n">
        <v>45758</v>
      </c>
      <c r="B35" s="499" t="n">
        <v>45758</v>
      </c>
      <c r="C35" s="298" t="n">
        <v>2.29715200000014e+18</v>
      </c>
      <c r="D35" s="298" t="inlineStr">
        <is>
          <t>BHIVE Workspace</t>
        </is>
      </c>
      <c r="E35" s="298" t="n">
        <v>0</v>
      </c>
      <c r="F35" s="298" t="n">
        <v>0</v>
      </c>
      <c r="G35" s="298" t="inlineStr">
        <is>
          <t>Due On Receipt</t>
        </is>
      </c>
      <c r="H35" s="298" t="inlineStr">
        <is>
          <t>BHV/25-26/00873</t>
        </is>
      </c>
      <c r="J35" s="298" t="inlineStr">
        <is>
          <t>INR</t>
        </is>
      </c>
      <c r="K35" s="298" t="n">
        <v>1</v>
      </c>
      <c r="L35" s="298" t="n">
        <v>38500</v>
      </c>
      <c r="M35" s="298" t="n">
        <v>45430</v>
      </c>
      <c r="N35" s="298" t="n">
        <v>45430</v>
      </c>
      <c r="R35" s="298" t="n">
        <v>0</v>
      </c>
      <c r="S35" s="298" t="inlineStr">
        <is>
          <t>Adjustment</t>
        </is>
      </c>
      <c r="Y35" s="298" t="inlineStr">
        <is>
          <t>Overdue</t>
        </is>
      </c>
      <c r="Z35" s="298" t="inlineStr">
        <is>
          <t>ridhi25madan</t>
        </is>
      </c>
      <c r="AC35" s="298" t="inlineStr">
        <is>
          <t>Workspace Rent</t>
        </is>
      </c>
      <c r="AF35" s="298" t="n">
        <v>1</v>
      </c>
      <c r="AH35" s="298" t="n">
        <v>6930</v>
      </c>
      <c r="AI35" s="298" t="n">
        <v>38500</v>
      </c>
      <c r="AL35" s="298" t="inlineStr">
        <is>
          <t>KA</t>
        </is>
      </c>
      <c r="AM35" s="298" t="inlineStr">
        <is>
          <t>UP</t>
        </is>
      </c>
      <c r="AN35" s="298" t="inlineStr">
        <is>
          <t>business_gst</t>
        </is>
      </c>
      <c r="AO35" s="298" t="inlineStr">
        <is>
          <t>29AAFCT2273G1Z7</t>
        </is>
      </c>
      <c r="AP35" s="298" t="inlineStr">
        <is>
          <t>item_level</t>
        </is>
      </c>
      <c r="AS35" s="298" t="n">
        <v>0</v>
      </c>
      <c r="AV35" s="298" t="n">
        <v>0</v>
      </c>
      <c r="AZ35" s="298" t="n">
        <v>38500</v>
      </c>
      <c r="BA35" s="298" t="inlineStr">
        <is>
          <t>entity_level</t>
        </is>
      </c>
      <c r="BC35" s="298" t="n">
        <v>0</v>
      </c>
      <c r="BD35" s="298" t="n">
        <v>0</v>
      </c>
      <c r="BG35" s="298" t="n">
        <v>2.29715200000003e+18</v>
      </c>
      <c r="BH35" s="298" t="inlineStr">
        <is>
          <t>IGST18</t>
        </is>
      </c>
      <c r="BI35" s="298" t="n">
        <v>18</v>
      </c>
      <c r="BJ35" s="298" t="inlineStr">
        <is>
          <t>ItemAmount</t>
        </is>
      </c>
      <c r="BM35" s="298" t="n">
        <v>0</v>
      </c>
      <c r="BQ35" s="298" t="inlineStr">
        <is>
          <t>service</t>
        </is>
      </c>
      <c r="BV35" s="298" t="inlineStr">
        <is>
          <t>eligible</t>
        </is>
      </c>
      <c r="BW35" s="298" t="n">
        <v>0</v>
      </c>
      <c r="CC35" s="298" t="n">
        <v>0</v>
      </c>
      <c r="CD35" s="298" t="n">
        <v>0</v>
      </c>
      <c r="CE35" s="298" t="n">
        <v>18</v>
      </c>
      <c r="CF35" s="298" t="n">
        <v>0</v>
      </c>
      <c r="CG35" s="298" t="n">
        <v>0</v>
      </c>
      <c r="CH35" s="298" t="n">
        <v>0</v>
      </c>
      <c r="CI35" s="298" t="n">
        <v>6930</v>
      </c>
      <c r="CJ35" s="298" t="n">
        <v>0</v>
      </c>
      <c r="CK35" s="298" t="n">
        <v>0</v>
      </c>
      <c r="CL35" s="298" t="n">
        <v>0</v>
      </c>
      <c r="CM35" s="298" t="n">
        <v>6930</v>
      </c>
      <c r="CN35" s="298" t="n">
        <v>0</v>
      </c>
    </row>
    <row r="36" ht="13.8" customHeight="1" s="253">
      <c r="A36" s="499" t="n">
        <v>45777</v>
      </c>
      <c r="B36" s="499" t="n">
        <v>45777</v>
      </c>
      <c r="C36" s="298" t="n">
        <v>2.29715200000014e+18</v>
      </c>
      <c r="D36" s="298" t="inlineStr">
        <is>
          <t>RAZORPAY SOFTWARE PVT LTD(Sales Platform)</t>
        </is>
      </c>
      <c r="E36" s="298" t="n">
        <v>0</v>
      </c>
      <c r="F36" s="298" t="n">
        <v>0</v>
      </c>
      <c r="G36" s="298" t="inlineStr">
        <is>
          <t>Due On Receipt</t>
        </is>
      </c>
      <c r="H36" s="298" t="inlineStr">
        <is>
          <t>NAHGTQ81YYWY0425</t>
        </is>
      </c>
      <c r="J36" s="298" t="inlineStr">
        <is>
          <t>INR</t>
        </is>
      </c>
      <c r="K36" s="298" t="n">
        <v>1</v>
      </c>
      <c r="L36" s="298" t="n">
        <v>11185.68</v>
      </c>
      <c r="M36" s="298" t="n">
        <v>12973.6</v>
      </c>
      <c r="N36" s="298" t="n">
        <v>12973.6</v>
      </c>
      <c r="R36" s="298" t="n">
        <v>0</v>
      </c>
      <c r="S36" s="298" t="inlineStr">
        <is>
          <t>Adjustment</t>
        </is>
      </c>
      <c r="Y36" s="298" t="inlineStr">
        <is>
          <t>Overdue</t>
        </is>
      </c>
      <c r="Z36" s="298" t="inlineStr">
        <is>
          <t>ridhi25madan</t>
        </is>
      </c>
      <c r="AC36" s="298" t="inlineStr">
        <is>
          <t>Platform Charges</t>
        </is>
      </c>
      <c r="AF36" s="298" t="n">
        <v>1</v>
      </c>
      <c r="AH36" s="298" t="n">
        <v>2011.63</v>
      </c>
      <c r="AI36" s="298" t="n">
        <v>11175.7</v>
      </c>
      <c r="AL36" s="298" t="inlineStr">
        <is>
          <t>KA</t>
        </is>
      </c>
      <c r="AM36" s="298" t="inlineStr">
        <is>
          <t>UP</t>
        </is>
      </c>
      <c r="AN36" s="298" t="inlineStr">
        <is>
          <t>business_gst</t>
        </is>
      </c>
      <c r="AO36" s="298" t="inlineStr">
        <is>
          <t>29AAGCR4375J1ZU</t>
        </is>
      </c>
      <c r="AP36" s="298" t="inlineStr">
        <is>
          <t>entity_level</t>
        </is>
      </c>
      <c r="AQ36" s="298" t="n">
        <v>2.29715200000003e+18</v>
      </c>
      <c r="AR36" s="298" t="inlineStr">
        <is>
          <t>Commission or Brokerage</t>
        </is>
      </c>
      <c r="AS36" s="298" t="n">
        <v>2</v>
      </c>
      <c r="AT36" s="298" t="inlineStr">
        <is>
          <t>194H</t>
        </is>
      </c>
      <c r="AU36" s="298" t="inlineStr">
        <is>
          <t>Section 194 H</t>
        </is>
      </c>
      <c r="AV36" s="298" t="n">
        <v>223.71</v>
      </c>
      <c r="AZ36" s="298" t="n">
        <v>11175.7</v>
      </c>
      <c r="BA36" s="298" t="inlineStr">
        <is>
          <t>entity_level</t>
        </is>
      </c>
      <c r="BC36" s="298" t="n">
        <v>0</v>
      </c>
      <c r="BD36" s="298" t="n">
        <v>0</v>
      </c>
      <c r="BG36" s="298" t="n">
        <v>2.29715200000003e+18</v>
      </c>
      <c r="BH36" s="298" t="inlineStr">
        <is>
          <t>IGST18</t>
        </is>
      </c>
      <c r="BI36" s="298" t="n">
        <v>18</v>
      </c>
      <c r="BJ36" s="298" t="inlineStr">
        <is>
          <t>ItemAmount</t>
        </is>
      </c>
      <c r="BQ36" s="298" t="inlineStr">
        <is>
          <t>service</t>
        </is>
      </c>
      <c r="BV36" s="298" t="inlineStr">
        <is>
          <t>eligible</t>
        </is>
      </c>
      <c r="BW36" s="298" t="n">
        <v>0</v>
      </c>
      <c r="CC36" s="298" t="n">
        <v>0</v>
      </c>
      <c r="CD36" s="298" t="n">
        <v>0</v>
      </c>
      <c r="CE36" s="298" t="n">
        <v>18</v>
      </c>
      <c r="CF36" s="298" t="n">
        <v>0</v>
      </c>
      <c r="CG36" s="298" t="n">
        <v>0</v>
      </c>
      <c r="CH36" s="298" t="n">
        <v>0</v>
      </c>
      <c r="CI36" s="298" t="n">
        <v>2011.63</v>
      </c>
      <c r="CJ36" s="298" t="n">
        <v>0</v>
      </c>
      <c r="CK36" s="298" t="n">
        <v>0</v>
      </c>
      <c r="CL36" s="298" t="n">
        <v>0</v>
      </c>
      <c r="CM36" s="298" t="n">
        <v>2011.63</v>
      </c>
      <c r="CN36" s="298" t="n">
        <v>0</v>
      </c>
    </row>
    <row r="37" ht="13.8" customHeight="1" s="253">
      <c r="A37" s="499" t="n">
        <v>45777</v>
      </c>
      <c r="B37" s="499" t="n">
        <v>45777</v>
      </c>
      <c r="C37" s="298" t="n">
        <v>2.29715200000014e+18</v>
      </c>
      <c r="D37" s="298" t="inlineStr">
        <is>
          <t>RAZORPAY SOFTWARE PVT LTD(Sales Platform)</t>
        </is>
      </c>
      <c r="E37" s="298" t="n">
        <v>0</v>
      </c>
      <c r="F37" s="298" t="n">
        <v>0</v>
      </c>
      <c r="G37" s="298" t="inlineStr">
        <is>
          <t>Due On Receipt</t>
        </is>
      </c>
      <c r="H37" s="298" t="inlineStr">
        <is>
          <t>NAHGTQ81YYWY0425</t>
        </is>
      </c>
      <c r="J37" s="298" t="inlineStr">
        <is>
          <t>INR</t>
        </is>
      </c>
      <c r="K37" s="298" t="n">
        <v>1</v>
      </c>
      <c r="L37" s="298" t="n">
        <v>11185.68</v>
      </c>
      <c r="M37" s="298" t="n">
        <v>12973.6</v>
      </c>
      <c r="N37" s="298" t="n">
        <v>12973.6</v>
      </c>
      <c r="R37" s="298" t="n">
        <v>0</v>
      </c>
      <c r="S37" s="298" t="inlineStr">
        <is>
          <t>Adjustment</t>
        </is>
      </c>
      <c r="Y37" s="298" t="inlineStr">
        <is>
          <t>Overdue</t>
        </is>
      </c>
      <c r="Z37" s="298" t="inlineStr">
        <is>
          <t>ridhi25madan</t>
        </is>
      </c>
      <c r="AC37" s="298" t="inlineStr">
        <is>
          <t>Platform Charges</t>
        </is>
      </c>
      <c r="AF37" s="298" t="n">
        <v>1</v>
      </c>
      <c r="AH37" s="298" t="n">
        <v>0</v>
      </c>
      <c r="AI37" s="298" t="n">
        <v>9.98</v>
      </c>
      <c r="AL37" s="298" t="inlineStr">
        <is>
          <t>KA</t>
        </is>
      </c>
      <c r="AM37" s="298" t="inlineStr">
        <is>
          <t>UP</t>
        </is>
      </c>
      <c r="AN37" s="298" t="inlineStr">
        <is>
          <t>business_gst</t>
        </is>
      </c>
      <c r="AO37" s="298" t="inlineStr">
        <is>
          <t>29AAGCR4375J1ZU</t>
        </is>
      </c>
      <c r="AP37" s="298" t="inlineStr">
        <is>
          <t>entity_level</t>
        </is>
      </c>
      <c r="AQ37" s="298" t="n">
        <v>2.29715200000003e+18</v>
      </c>
      <c r="AR37" s="298" t="inlineStr">
        <is>
          <t>Commission or Brokerage</t>
        </is>
      </c>
      <c r="AS37" s="298" t="n">
        <v>2</v>
      </c>
      <c r="AT37" s="298" t="inlineStr">
        <is>
          <t>194H</t>
        </is>
      </c>
      <c r="AU37" s="298" t="inlineStr">
        <is>
          <t>Section 194 H</t>
        </is>
      </c>
      <c r="AV37" s="298" t="n">
        <v>223.71</v>
      </c>
      <c r="AZ37" s="298" t="n">
        <v>9.98</v>
      </c>
      <c r="BA37" s="298" t="inlineStr">
        <is>
          <t>entity_level</t>
        </is>
      </c>
      <c r="BC37" s="298" t="n">
        <v>0</v>
      </c>
      <c r="BD37" s="298" t="n">
        <v>0</v>
      </c>
      <c r="BG37" s="298" t="n">
        <v>2.29715200000003e+18</v>
      </c>
      <c r="BH37" s="298" t="inlineStr">
        <is>
          <t>IGST0</t>
        </is>
      </c>
      <c r="BI37" s="298" t="n">
        <v>0</v>
      </c>
      <c r="BJ37" s="298" t="inlineStr">
        <is>
          <t>ItemAmount</t>
        </is>
      </c>
      <c r="BQ37" s="298" t="inlineStr">
        <is>
          <t>service</t>
        </is>
      </c>
      <c r="BV37" s="298" t="inlineStr">
        <is>
          <t>eligible</t>
        </is>
      </c>
      <c r="BW37" s="298" t="n">
        <v>0</v>
      </c>
      <c r="CC37" s="298" t="n">
        <v>0</v>
      </c>
      <c r="CD37" s="298" t="n">
        <v>0</v>
      </c>
      <c r="CE37" s="298" t="n">
        <v>0</v>
      </c>
      <c r="CF37" s="298" t="n">
        <v>0</v>
      </c>
      <c r="CG37" s="298" t="n">
        <v>0</v>
      </c>
      <c r="CH37" s="298" t="n">
        <v>0</v>
      </c>
      <c r="CI37" s="298" t="n">
        <v>0</v>
      </c>
      <c r="CJ37" s="298" t="n">
        <v>0</v>
      </c>
      <c r="CK37" s="298" t="n">
        <v>0</v>
      </c>
      <c r="CL37" s="298" t="n">
        <v>0</v>
      </c>
      <c r="CM37" s="298" t="n">
        <v>0</v>
      </c>
      <c r="CN37" s="298" t="n">
        <v>0</v>
      </c>
    </row>
    <row r="38" ht="13.8" customHeight="1" s="253">
      <c r="A38" s="499" t="n">
        <v>45772</v>
      </c>
      <c r="B38" s="499" t="n">
        <v>45772</v>
      </c>
      <c r="C38" s="298" t="n">
        <v>2.29715200000014e+18</v>
      </c>
      <c r="D38" s="298" t="inlineStr">
        <is>
          <t>First Principles Law</t>
        </is>
      </c>
      <c r="E38" s="298" t="n">
        <v>0</v>
      </c>
      <c r="F38" s="298" t="n">
        <v>0</v>
      </c>
      <c r="G38" s="298" t="inlineStr">
        <is>
          <t>Due On Receipt</t>
        </is>
      </c>
      <c r="H38" s="298" t="inlineStr">
        <is>
          <t>FPL/202504-03</t>
        </is>
      </c>
      <c r="J38" s="298" t="inlineStr">
        <is>
          <t>INR</t>
        </is>
      </c>
      <c r="K38" s="298" t="n">
        <v>1</v>
      </c>
      <c r="L38" s="298" t="n">
        <v>100000</v>
      </c>
      <c r="M38" s="298" t="n">
        <v>90000</v>
      </c>
      <c r="N38" s="298" t="n">
        <v>0</v>
      </c>
      <c r="R38" s="298" t="n">
        <v>0</v>
      </c>
      <c r="S38" s="298" t="inlineStr">
        <is>
          <t>Adjustment</t>
        </is>
      </c>
      <c r="Y38" s="298" t="inlineStr">
        <is>
          <t>Paid</t>
        </is>
      </c>
      <c r="Z38" s="298" t="inlineStr">
        <is>
          <t>ridhi25madan</t>
        </is>
      </c>
      <c r="AC38" s="298" t="inlineStr">
        <is>
          <t>Legal &amp; Professional Charges</t>
        </is>
      </c>
      <c r="AF38" s="298" t="n">
        <v>1</v>
      </c>
      <c r="AH38" s="298" t="n">
        <v>0</v>
      </c>
      <c r="AI38" s="298" t="n">
        <v>100000</v>
      </c>
      <c r="AL38" s="298" t="inlineStr">
        <is>
          <t>KA</t>
        </is>
      </c>
      <c r="AM38" s="298" t="inlineStr">
        <is>
          <t>UP</t>
        </is>
      </c>
      <c r="AN38" s="298" t="inlineStr">
        <is>
          <t>business_none</t>
        </is>
      </c>
      <c r="AP38" s="298" t="inlineStr">
        <is>
          <t>entity_level</t>
        </is>
      </c>
      <c r="AQ38" s="298" t="n">
        <v>2.29715200000003e+18</v>
      </c>
      <c r="AR38" s="298" t="inlineStr">
        <is>
          <t>Professional Fees</t>
        </is>
      </c>
      <c r="AS38" s="298" t="n">
        <v>10</v>
      </c>
      <c r="AT38" s="298" t="inlineStr">
        <is>
          <t>194J</t>
        </is>
      </c>
      <c r="AU38" s="298" t="inlineStr">
        <is>
          <t>Section 194 J</t>
        </is>
      </c>
      <c r="AV38" s="298" t="n">
        <v>10000</v>
      </c>
      <c r="AZ38" s="298" t="n">
        <v>100000</v>
      </c>
      <c r="BA38" s="298" t="inlineStr">
        <is>
          <t>entity_level</t>
        </is>
      </c>
      <c r="BC38" s="298" t="n">
        <v>0</v>
      </c>
      <c r="BD38" s="298" t="n">
        <v>0</v>
      </c>
      <c r="BQ38" s="298" t="inlineStr">
        <is>
          <t>service</t>
        </is>
      </c>
      <c r="BV38" s="298" t="inlineStr">
        <is>
          <t>eligible</t>
        </is>
      </c>
      <c r="BW38" s="298" t="n">
        <v>0</v>
      </c>
    </row>
    <row r="39" ht="13.8" customHeight="1" s="253">
      <c r="A39" s="499" t="n">
        <v>45536</v>
      </c>
      <c r="B39" s="499" t="n">
        <v>45536</v>
      </c>
      <c r="C39" s="298" t="n">
        <v>2.29715200000014e+18</v>
      </c>
      <c r="D39" s="298" t="inlineStr">
        <is>
          <t>Amit Kumar Ghosh</t>
        </is>
      </c>
      <c r="E39" s="298" t="n">
        <v>0</v>
      </c>
      <c r="F39" s="298" t="n">
        <v>0</v>
      </c>
      <c r="G39" s="298" t="inlineStr">
        <is>
          <t>Due On Receipt</t>
        </is>
      </c>
      <c r="H39" s="298" t="n">
        <v>1</v>
      </c>
      <c r="J39" s="298" t="inlineStr">
        <is>
          <t>INR</t>
        </is>
      </c>
      <c r="K39" s="298" t="n">
        <v>1</v>
      </c>
      <c r="L39" s="298" t="n">
        <v>28000</v>
      </c>
      <c r="M39" s="298" t="n">
        <v>28000</v>
      </c>
      <c r="N39" s="298" t="n">
        <v>0</v>
      </c>
      <c r="R39" s="298" t="n">
        <v>0</v>
      </c>
      <c r="S39" s="298" t="inlineStr">
        <is>
          <t>Adjustment</t>
        </is>
      </c>
      <c r="Y39" s="298" t="inlineStr">
        <is>
          <t>Paid</t>
        </is>
      </c>
      <c r="Z39" s="298" t="inlineStr">
        <is>
          <t>ridhi25madan</t>
        </is>
      </c>
      <c r="AC39" s="298" t="inlineStr">
        <is>
          <t>Content Writing Exp.</t>
        </is>
      </c>
      <c r="AE39" s="298" t="inlineStr">
        <is>
          <t>content Writing</t>
        </is>
      </c>
      <c r="AF39" s="298" t="n">
        <v>1</v>
      </c>
      <c r="AH39" s="298" t="n">
        <v>0</v>
      </c>
      <c r="AI39" s="298" t="n">
        <v>28000</v>
      </c>
      <c r="AL39" s="298" t="inlineStr">
        <is>
          <t>UP</t>
        </is>
      </c>
      <c r="AM39" s="298" t="inlineStr">
        <is>
          <t>UP</t>
        </is>
      </c>
      <c r="AN39" s="298" t="inlineStr">
        <is>
          <t>business_none</t>
        </is>
      </c>
      <c r="AP39" s="298" t="inlineStr">
        <is>
          <t>item_level</t>
        </is>
      </c>
      <c r="AS39" s="298" t="n">
        <v>0</v>
      </c>
      <c r="AV39" s="298" t="n">
        <v>0</v>
      </c>
      <c r="AZ39" s="298" t="n">
        <v>28000</v>
      </c>
      <c r="BA39" s="298" t="inlineStr">
        <is>
          <t>entity_level</t>
        </is>
      </c>
      <c r="BC39" s="298" t="n">
        <v>0</v>
      </c>
      <c r="BD39" s="298" t="n">
        <v>0</v>
      </c>
      <c r="BM39" s="298" t="n">
        <v>0</v>
      </c>
      <c r="BQ39" s="298" t="inlineStr">
        <is>
          <t>service</t>
        </is>
      </c>
      <c r="BV39" s="298" t="inlineStr">
        <is>
          <t>eligible</t>
        </is>
      </c>
      <c r="BW39" s="298" t="n">
        <v>0</v>
      </c>
    </row>
    <row r="40" ht="13.8" customHeight="1" s="253">
      <c r="A40" s="499" t="n">
        <v>45566</v>
      </c>
      <c r="B40" s="499" t="n">
        <v>45566</v>
      </c>
      <c r="C40" s="298" t="n">
        <v>2.29715200000014e+18</v>
      </c>
      <c r="D40" s="298" t="inlineStr">
        <is>
          <t>Amit Kumar Ghosh</t>
        </is>
      </c>
      <c r="E40" s="298" t="n">
        <v>0</v>
      </c>
      <c r="F40" s="298" t="n">
        <v>0</v>
      </c>
      <c r="G40" s="298" t="inlineStr">
        <is>
          <t>Due On Receipt</t>
        </is>
      </c>
      <c r="H40" s="298" t="n">
        <v>2</v>
      </c>
      <c r="J40" s="298" t="inlineStr">
        <is>
          <t>INR</t>
        </is>
      </c>
      <c r="K40" s="298" t="n">
        <v>1</v>
      </c>
      <c r="L40" s="298" t="n">
        <v>82000</v>
      </c>
      <c r="M40" s="298" t="n">
        <v>82000</v>
      </c>
      <c r="N40" s="298" t="n">
        <v>0</v>
      </c>
      <c r="R40" s="298" t="n">
        <v>0</v>
      </c>
      <c r="S40" s="298" t="inlineStr">
        <is>
          <t>Adjustment</t>
        </is>
      </c>
      <c r="Y40" s="298" t="inlineStr">
        <is>
          <t>Paid</t>
        </is>
      </c>
      <c r="Z40" s="298" t="inlineStr">
        <is>
          <t>ridhi25madan</t>
        </is>
      </c>
      <c r="AC40" s="298" t="inlineStr">
        <is>
          <t>Content Writing Exp.</t>
        </is>
      </c>
      <c r="AE40" s="298" t="inlineStr">
        <is>
          <t>content Writing</t>
        </is>
      </c>
      <c r="AF40" s="298" t="n">
        <v>1</v>
      </c>
      <c r="AH40" s="298" t="n">
        <v>0</v>
      </c>
      <c r="AI40" s="298" t="n">
        <v>82000</v>
      </c>
      <c r="AL40" s="298" t="inlineStr">
        <is>
          <t>UP</t>
        </is>
      </c>
      <c r="AM40" s="298" t="inlineStr">
        <is>
          <t>UP</t>
        </is>
      </c>
      <c r="AN40" s="298" t="inlineStr">
        <is>
          <t>business_none</t>
        </is>
      </c>
      <c r="AP40" s="298" t="inlineStr">
        <is>
          <t>item_level</t>
        </is>
      </c>
      <c r="AS40" s="298" t="n">
        <v>0</v>
      </c>
      <c r="AV40" s="298" t="n">
        <v>0</v>
      </c>
      <c r="AZ40" s="298" t="n">
        <v>82000</v>
      </c>
      <c r="BA40" s="298" t="inlineStr">
        <is>
          <t>entity_level</t>
        </is>
      </c>
      <c r="BC40" s="298" t="n">
        <v>0</v>
      </c>
      <c r="BD40" s="298" t="n">
        <v>0</v>
      </c>
      <c r="BM40" s="298" t="n">
        <v>0</v>
      </c>
      <c r="BQ40" s="298" t="inlineStr">
        <is>
          <t>service</t>
        </is>
      </c>
      <c r="BV40" s="298" t="inlineStr">
        <is>
          <t>eligible</t>
        </is>
      </c>
      <c r="BW40" s="298" t="n">
        <v>0</v>
      </c>
    </row>
    <row r="41" ht="13.8" customHeight="1" s="253">
      <c r="A41" s="499" t="n">
        <v>45597</v>
      </c>
      <c r="B41" s="499" t="n">
        <v>45597</v>
      </c>
      <c r="C41" s="298" t="n">
        <v>2.29715200000014e+18</v>
      </c>
      <c r="D41" s="298" t="inlineStr">
        <is>
          <t>Amit Kumar Ghosh</t>
        </is>
      </c>
      <c r="E41" s="298" t="n">
        <v>0</v>
      </c>
      <c r="F41" s="298" t="n">
        <v>0</v>
      </c>
      <c r="G41" s="298" t="inlineStr">
        <is>
          <t>Due On Receipt</t>
        </is>
      </c>
      <c r="H41" s="298" t="n">
        <v>3</v>
      </c>
      <c r="J41" s="298" t="inlineStr">
        <is>
          <t>INR</t>
        </is>
      </c>
      <c r="K41" s="298" t="n">
        <v>1</v>
      </c>
      <c r="L41" s="298" t="n">
        <v>78000</v>
      </c>
      <c r="M41" s="298" t="n">
        <v>78000</v>
      </c>
      <c r="N41" s="298" t="n">
        <v>0</v>
      </c>
      <c r="R41" s="298" t="n">
        <v>0</v>
      </c>
      <c r="S41" s="298" t="inlineStr">
        <is>
          <t>Adjustment</t>
        </is>
      </c>
      <c r="Y41" s="298" t="inlineStr">
        <is>
          <t>Paid</t>
        </is>
      </c>
      <c r="Z41" s="298" t="inlineStr">
        <is>
          <t>ridhi25madan</t>
        </is>
      </c>
      <c r="AC41" s="298" t="inlineStr">
        <is>
          <t>Content Writing Exp.</t>
        </is>
      </c>
      <c r="AE41" s="298" t="inlineStr">
        <is>
          <t>content Writing</t>
        </is>
      </c>
      <c r="AF41" s="298" t="n">
        <v>1</v>
      </c>
      <c r="AH41" s="298" t="n">
        <v>0</v>
      </c>
      <c r="AI41" s="298" t="n">
        <v>78000</v>
      </c>
      <c r="AL41" s="298" t="inlineStr">
        <is>
          <t>UP</t>
        </is>
      </c>
      <c r="AM41" s="298" t="inlineStr">
        <is>
          <t>UP</t>
        </is>
      </c>
      <c r="AN41" s="298" t="inlineStr">
        <is>
          <t>business_none</t>
        </is>
      </c>
      <c r="AP41" s="298" t="inlineStr">
        <is>
          <t>item_level</t>
        </is>
      </c>
      <c r="AS41" s="298" t="n">
        <v>0</v>
      </c>
      <c r="AV41" s="298" t="n">
        <v>0</v>
      </c>
      <c r="AZ41" s="298" t="n">
        <v>78000</v>
      </c>
      <c r="BA41" s="298" t="inlineStr">
        <is>
          <t>entity_level</t>
        </is>
      </c>
      <c r="BC41" s="298" t="n">
        <v>0</v>
      </c>
      <c r="BD41" s="298" t="n">
        <v>0</v>
      </c>
      <c r="BM41" s="298" t="n">
        <v>0</v>
      </c>
      <c r="BQ41" s="298" t="inlineStr">
        <is>
          <t>service</t>
        </is>
      </c>
      <c r="BV41" s="298" t="inlineStr">
        <is>
          <t>eligible</t>
        </is>
      </c>
      <c r="BW41" s="298" t="n">
        <v>0</v>
      </c>
    </row>
    <row r="42" ht="13.8" customHeight="1" s="253">
      <c r="A42" s="499" t="n">
        <v>45627</v>
      </c>
      <c r="B42" s="499" t="n">
        <v>45627</v>
      </c>
      <c r="C42" s="298" t="n">
        <v>2.29715200000014e+18</v>
      </c>
      <c r="D42" s="298" t="inlineStr">
        <is>
          <t>Amit Kumar Ghosh</t>
        </is>
      </c>
      <c r="E42" s="298" t="n">
        <v>0</v>
      </c>
      <c r="F42" s="298" t="n">
        <v>0</v>
      </c>
      <c r="G42" s="298" t="inlineStr">
        <is>
          <t>Due On Receipt</t>
        </is>
      </c>
      <c r="H42" s="298" t="n">
        <v>4</v>
      </c>
      <c r="J42" s="298" t="inlineStr">
        <is>
          <t>INR</t>
        </is>
      </c>
      <c r="K42" s="298" t="n">
        <v>1</v>
      </c>
      <c r="L42" s="298" t="n">
        <v>110000</v>
      </c>
      <c r="M42" s="298" t="n">
        <v>110000</v>
      </c>
      <c r="N42" s="298" t="n">
        <v>0</v>
      </c>
      <c r="R42" s="298" t="n">
        <v>0</v>
      </c>
      <c r="S42" s="298" t="inlineStr">
        <is>
          <t>Adjustment</t>
        </is>
      </c>
      <c r="Y42" s="298" t="inlineStr">
        <is>
          <t>Paid</t>
        </is>
      </c>
      <c r="Z42" s="298" t="inlineStr">
        <is>
          <t>ridhi25madan</t>
        </is>
      </c>
      <c r="AC42" s="298" t="inlineStr">
        <is>
          <t>Content Writing Exp.</t>
        </is>
      </c>
      <c r="AE42" s="298" t="inlineStr">
        <is>
          <t>content Writing</t>
        </is>
      </c>
      <c r="AF42" s="298" t="n">
        <v>1</v>
      </c>
      <c r="AH42" s="298" t="n">
        <v>0</v>
      </c>
      <c r="AI42" s="298" t="n">
        <v>110000</v>
      </c>
      <c r="AL42" s="298" t="inlineStr">
        <is>
          <t>UP</t>
        </is>
      </c>
      <c r="AM42" s="298" t="inlineStr">
        <is>
          <t>UP</t>
        </is>
      </c>
      <c r="AN42" s="298" t="inlineStr">
        <is>
          <t>business_none</t>
        </is>
      </c>
      <c r="AP42" s="298" t="inlineStr">
        <is>
          <t>item_level</t>
        </is>
      </c>
      <c r="AS42" s="298" t="n">
        <v>0</v>
      </c>
      <c r="AV42" s="298" t="n">
        <v>0</v>
      </c>
      <c r="AZ42" s="298" t="n">
        <v>110000</v>
      </c>
      <c r="BA42" s="298" t="inlineStr">
        <is>
          <t>entity_level</t>
        </is>
      </c>
      <c r="BC42" s="298" t="n">
        <v>0</v>
      </c>
      <c r="BD42" s="298" t="n">
        <v>0</v>
      </c>
      <c r="BM42" s="298" t="n">
        <v>0</v>
      </c>
      <c r="BQ42" s="298" t="inlineStr">
        <is>
          <t>service</t>
        </is>
      </c>
      <c r="BV42" s="298" t="inlineStr">
        <is>
          <t>eligible</t>
        </is>
      </c>
      <c r="BW42" s="298" t="n">
        <v>0</v>
      </c>
    </row>
    <row r="43" ht="13.8" customHeight="1" s="253">
      <c r="A43" s="499" t="n">
        <v>45658</v>
      </c>
      <c r="B43" s="499" t="n">
        <v>45658</v>
      </c>
      <c r="C43" s="298" t="n">
        <v>2.29715200000014e+18</v>
      </c>
      <c r="D43" s="298" t="inlineStr">
        <is>
          <t>Amit Kumar Ghosh</t>
        </is>
      </c>
      <c r="E43" s="298" t="n">
        <v>0</v>
      </c>
      <c r="F43" s="298" t="n">
        <v>0</v>
      </c>
      <c r="G43" s="298" t="inlineStr">
        <is>
          <t>Due On Receipt</t>
        </is>
      </c>
      <c r="H43" s="298" t="n">
        <v>5</v>
      </c>
      <c r="J43" s="298" t="inlineStr">
        <is>
          <t>INR</t>
        </is>
      </c>
      <c r="K43" s="298" t="n">
        <v>1</v>
      </c>
      <c r="L43" s="298" t="n">
        <v>48000</v>
      </c>
      <c r="M43" s="298" t="n">
        <v>48000</v>
      </c>
      <c r="N43" s="298" t="n">
        <v>0</v>
      </c>
      <c r="R43" s="298" t="n">
        <v>0</v>
      </c>
      <c r="S43" s="298" t="inlineStr">
        <is>
          <t>Adjustment</t>
        </is>
      </c>
      <c r="Y43" s="298" t="inlineStr">
        <is>
          <t>Paid</t>
        </is>
      </c>
      <c r="Z43" s="298" t="inlineStr">
        <is>
          <t>ridhi25madan</t>
        </is>
      </c>
      <c r="AC43" s="298" t="inlineStr">
        <is>
          <t>Content Writing Exp.</t>
        </is>
      </c>
      <c r="AE43" s="298" t="inlineStr">
        <is>
          <t>content Writing</t>
        </is>
      </c>
      <c r="AF43" s="298" t="n">
        <v>1</v>
      </c>
      <c r="AH43" s="298" t="n">
        <v>0</v>
      </c>
      <c r="AI43" s="298" t="n">
        <v>48000</v>
      </c>
      <c r="AL43" s="298" t="inlineStr">
        <is>
          <t>UP</t>
        </is>
      </c>
      <c r="AM43" s="298" t="inlineStr">
        <is>
          <t>UP</t>
        </is>
      </c>
      <c r="AN43" s="298" t="inlineStr">
        <is>
          <t>business_none</t>
        </is>
      </c>
      <c r="AP43" s="298" t="inlineStr">
        <is>
          <t>item_level</t>
        </is>
      </c>
      <c r="AS43" s="298" t="n">
        <v>0</v>
      </c>
      <c r="AV43" s="298" t="n">
        <v>0</v>
      </c>
      <c r="AZ43" s="298" t="n">
        <v>48000</v>
      </c>
      <c r="BA43" s="298" t="inlineStr">
        <is>
          <t>entity_level</t>
        </is>
      </c>
      <c r="BC43" s="298" t="n">
        <v>0</v>
      </c>
      <c r="BD43" s="298" t="n">
        <v>0</v>
      </c>
      <c r="BM43" s="298" t="n">
        <v>0</v>
      </c>
      <c r="BQ43" s="298" t="inlineStr">
        <is>
          <t>service</t>
        </is>
      </c>
      <c r="BV43" s="298" t="inlineStr">
        <is>
          <t>eligible</t>
        </is>
      </c>
      <c r="BW43" s="298" t="n">
        <v>0</v>
      </c>
    </row>
    <row r="44" ht="13.8" customHeight="1" s="253">
      <c r="A44" s="499" t="n">
        <v>45689</v>
      </c>
      <c r="B44" s="499" t="n">
        <v>45689</v>
      </c>
      <c r="C44" s="298" t="n">
        <v>2.29715200000014e+18</v>
      </c>
      <c r="D44" s="298" t="inlineStr">
        <is>
          <t>Amit Kumar Ghosh</t>
        </is>
      </c>
      <c r="E44" s="298" t="n">
        <v>0</v>
      </c>
      <c r="F44" s="298" t="n">
        <v>0</v>
      </c>
      <c r="G44" s="298" t="inlineStr">
        <is>
          <t>Due On Receipt</t>
        </is>
      </c>
      <c r="H44" s="298" t="n">
        <v>6</v>
      </c>
      <c r="J44" s="298" t="inlineStr">
        <is>
          <t>INR</t>
        </is>
      </c>
      <c r="K44" s="298" t="n">
        <v>1</v>
      </c>
      <c r="L44" s="298" t="n">
        <v>60000</v>
      </c>
      <c r="M44" s="298" t="n">
        <v>60000</v>
      </c>
      <c r="N44" s="298" t="n">
        <v>0</v>
      </c>
      <c r="R44" s="298" t="n">
        <v>0</v>
      </c>
      <c r="S44" s="298" t="inlineStr">
        <is>
          <t>Adjustment</t>
        </is>
      </c>
      <c r="Y44" s="298" t="inlineStr">
        <is>
          <t>Paid</t>
        </is>
      </c>
      <c r="Z44" s="298" t="inlineStr">
        <is>
          <t>ridhi25madan</t>
        </is>
      </c>
      <c r="AC44" s="298" t="inlineStr">
        <is>
          <t>Content Writing Exp.</t>
        </is>
      </c>
      <c r="AE44" s="298" t="inlineStr">
        <is>
          <t>content Writing</t>
        </is>
      </c>
      <c r="AF44" s="298" t="n">
        <v>1</v>
      </c>
      <c r="AH44" s="298" t="n">
        <v>0</v>
      </c>
      <c r="AI44" s="298" t="n">
        <v>60000</v>
      </c>
      <c r="AL44" s="298" t="inlineStr">
        <is>
          <t>UP</t>
        </is>
      </c>
      <c r="AM44" s="298" t="inlineStr">
        <is>
          <t>UP</t>
        </is>
      </c>
      <c r="AN44" s="298" t="inlineStr">
        <is>
          <t>business_none</t>
        </is>
      </c>
      <c r="AP44" s="298" t="inlineStr">
        <is>
          <t>item_level</t>
        </is>
      </c>
      <c r="AS44" s="298" t="n">
        <v>0</v>
      </c>
      <c r="AV44" s="298" t="n">
        <v>0</v>
      </c>
      <c r="AZ44" s="298" t="n">
        <v>60000</v>
      </c>
      <c r="BA44" s="298" t="inlineStr">
        <is>
          <t>entity_level</t>
        </is>
      </c>
      <c r="BC44" s="298" t="n">
        <v>0</v>
      </c>
      <c r="BD44" s="298" t="n">
        <v>0</v>
      </c>
      <c r="BM44" s="298" t="n">
        <v>0</v>
      </c>
      <c r="BQ44" s="298" t="inlineStr">
        <is>
          <t>service</t>
        </is>
      </c>
      <c r="BV44" s="298" t="inlineStr">
        <is>
          <t>eligible</t>
        </is>
      </c>
      <c r="BW44" s="298" t="n">
        <v>0</v>
      </c>
    </row>
    <row r="45" ht="13.8" customHeight="1" s="253">
      <c r="A45" s="499" t="n">
        <v>45717</v>
      </c>
      <c r="B45" s="499" t="n">
        <v>45717</v>
      </c>
      <c r="C45" s="298" t="n">
        <v>2.29715200000014e+18</v>
      </c>
      <c r="D45" s="298" t="inlineStr">
        <is>
          <t>Amit Kumar Ghosh</t>
        </is>
      </c>
      <c r="E45" s="298" t="n">
        <v>0</v>
      </c>
      <c r="F45" s="298" t="n">
        <v>0</v>
      </c>
      <c r="G45" s="298" t="inlineStr">
        <is>
          <t>Due On Receipt</t>
        </is>
      </c>
      <c r="H45" s="298" t="n">
        <v>7</v>
      </c>
      <c r="J45" s="298" t="inlineStr">
        <is>
          <t>INR</t>
        </is>
      </c>
      <c r="K45" s="298" t="n">
        <v>1</v>
      </c>
      <c r="L45" s="298" t="n">
        <v>105000</v>
      </c>
      <c r="M45" s="298" t="n">
        <v>103950</v>
      </c>
      <c r="N45" s="298" t="n">
        <v>630</v>
      </c>
      <c r="R45" s="298" t="n">
        <v>0</v>
      </c>
      <c r="S45" s="298" t="inlineStr">
        <is>
          <t>Adjustment</t>
        </is>
      </c>
      <c r="Y45" s="298" t="inlineStr">
        <is>
          <t>Overdue</t>
        </is>
      </c>
      <c r="Z45" s="298" t="inlineStr">
        <is>
          <t>ridhi25madan</t>
        </is>
      </c>
      <c r="AC45" s="298" t="inlineStr">
        <is>
          <t>Content Writing Exp.</t>
        </is>
      </c>
      <c r="AE45" s="298" t="inlineStr">
        <is>
          <t>content Writing</t>
        </is>
      </c>
      <c r="AF45" s="298" t="n">
        <v>1</v>
      </c>
      <c r="AH45" s="298" t="n">
        <v>0</v>
      </c>
      <c r="AI45" s="298" t="n">
        <v>105000</v>
      </c>
      <c r="AL45" s="298" t="inlineStr">
        <is>
          <t>UP</t>
        </is>
      </c>
      <c r="AM45" s="298" t="inlineStr">
        <is>
          <t>UP</t>
        </is>
      </c>
      <c r="AN45" s="298" t="inlineStr">
        <is>
          <t>business_none</t>
        </is>
      </c>
      <c r="AP45" s="298" t="inlineStr">
        <is>
          <t>entity_level</t>
        </is>
      </c>
      <c r="AQ45" s="298" t="n">
        <v>2.29715200000003e+18</v>
      </c>
      <c r="AR45" s="298" t="inlineStr">
        <is>
          <t>Payment of contractors HUF/Indiv</t>
        </is>
      </c>
      <c r="AS45" s="298" t="n">
        <v>1</v>
      </c>
      <c r="AT45" s="298" t="inlineStr">
        <is>
          <t>194C</t>
        </is>
      </c>
      <c r="AU45" s="298" t="inlineStr">
        <is>
          <t>Section 194 C</t>
        </is>
      </c>
      <c r="AV45" s="298" t="n">
        <v>1050</v>
      </c>
      <c r="AZ45" s="298" t="n">
        <v>105000</v>
      </c>
      <c r="BA45" s="298" t="inlineStr">
        <is>
          <t>entity_level</t>
        </is>
      </c>
      <c r="BC45" s="298" t="n">
        <v>0</v>
      </c>
      <c r="BD45" s="298" t="n">
        <v>0</v>
      </c>
      <c r="BQ45" s="298" t="inlineStr">
        <is>
          <t>service</t>
        </is>
      </c>
      <c r="BV45" s="298" t="inlineStr">
        <is>
          <t>eligible</t>
        </is>
      </c>
      <c r="BW45" s="298" t="n">
        <v>0</v>
      </c>
    </row>
    <row r="46" ht="13.8" customHeight="1" s="253">
      <c r="A46" s="499" t="n">
        <v>45747</v>
      </c>
      <c r="B46" s="499" t="n">
        <v>45747</v>
      </c>
      <c r="C46" s="298" t="n">
        <v>2.29715200000014e+18</v>
      </c>
      <c r="D46" s="298" t="inlineStr">
        <is>
          <t>Amit Kumar Ghosh</t>
        </is>
      </c>
      <c r="E46" s="298" t="n">
        <v>0</v>
      </c>
      <c r="F46" s="298" t="n">
        <v>0</v>
      </c>
      <c r="G46" s="298" t="inlineStr">
        <is>
          <t>Due On Receipt</t>
        </is>
      </c>
      <c r="H46" s="298" t="inlineStr">
        <is>
          <t>FY 25-26/1</t>
        </is>
      </c>
      <c r="J46" s="298" t="inlineStr">
        <is>
          <t>INR</t>
        </is>
      </c>
      <c r="K46" s="298" t="n">
        <v>1</v>
      </c>
      <c r="L46" s="298" t="n">
        <v>100000</v>
      </c>
      <c r="M46" s="298" t="n">
        <v>99000</v>
      </c>
      <c r="N46" s="298" t="n">
        <v>0</v>
      </c>
      <c r="R46" s="298" t="n">
        <v>0</v>
      </c>
      <c r="S46" s="298" t="inlineStr">
        <is>
          <t>Adjustment</t>
        </is>
      </c>
      <c r="Y46" s="298" t="inlineStr">
        <is>
          <t>Paid</t>
        </is>
      </c>
      <c r="Z46" s="298" t="inlineStr">
        <is>
          <t>ridhi25madan</t>
        </is>
      </c>
      <c r="AC46" s="298" t="inlineStr">
        <is>
          <t>Content Writing Exp.</t>
        </is>
      </c>
      <c r="AE46" s="298" t="inlineStr">
        <is>
          <t>content Writing</t>
        </is>
      </c>
      <c r="AF46" s="298" t="n">
        <v>1</v>
      </c>
      <c r="AH46" s="298" t="n">
        <v>0</v>
      </c>
      <c r="AI46" s="298" t="n">
        <v>100000</v>
      </c>
      <c r="AL46" s="298" t="inlineStr">
        <is>
          <t>UP</t>
        </is>
      </c>
      <c r="AM46" s="298" t="inlineStr">
        <is>
          <t>UP</t>
        </is>
      </c>
      <c r="AN46" s="298" t="inlineStr">
        <is>
          <t>business_none</t>
        </is>
      </c>
      <c r="AP46" s="298" t="inlineStr">
        <is>
          <t>entity_level</t>
        </is>
      </c>
      <c r="AQ46" s="298" t="n">
        <v>2.29715200000003e+18</v>
      </c>
      <c r="AR46" s="298" t="inlineStr">
        <is>
          <t>Payment of contractors HUF/Indiv</t>
        </is>
      </c>
      <c r="AS46" s="298" t="n">
        <v>1</v>
      </c>
      <c r="AT46" s="298" t="inlineStr">
        <is>
          <t>194C</t>
        </is>
      </c>
      <c r="AU46" s="298" t="inlineStr">
        <is>
          <t>Section 194 C</t>
        </is>
      </c>
      <c r="AV46" s="298" t="n">
        <v>1000</v>
      </c>
      <c r="AZ46" s="298" t="n">
        <v>100000</v>
      </c>
      <c r="BA46" s="298" t="inlineStr">
        <is>
          <t>entity_level</t>
        </is>
      </c>
      <c r="BC46" s="298" t="n">
        <v>0</v>
      </c>
      <c r="BD46" s="298" t="n">
        <v>0</v>
      </c>
      <c r="BQ46" s="298" t="inlineStr">
        <is>
          <t>service</t>
        </is>
      </c>
      <c r="BV46" s="298" t="inlineStr">
        <is>
          <t>eligible</t>
        </is>
      </c>
      <c r="BW46" s="298" t="n">
        <v>0</v>
      </c>
    </row>
    <row r="47" ht="13.8" customHeight="1" s="253">
      <c r="A47" s="499" t="n">
        <v>45777</v>
      </c>
      <c r="B47" s="499" t="n">
        <v>45777</v>
      </c>
      <c r="C47" s="298" t="n">
        <v>2.29715200000014e+18</v>
      </c>
      <c r="D47" s="298" t="inlineStr">
        <is>
          <t>Jai Vardhan Malaviya</t>
        </is>
      </c>
      <c r="E47" s="298" t="n">
        <v>0</v>
      </c>
      <c r="F47" s="298" t="n">
        <v>0</v>
      </c>
      <c r="G47" s="298" t="inlineStr">
        <is>
          <t>Due On Receipt</t>
        </is>
      </c>
      <c r="H47" s="298" t="inlineStr">
        <is>
          <t>1/2025-26</t>
        </is>
      </c>
      <c r="J47" s="298" t="inlineStr">
        <is>
          <t>INR</t>
        </is>
      </c>
      <c r="K47" s="298" t="n">
        <v>1</v>
      </c>
      <c r="L47" s="298" t="n">
        <v>50000</v>
      </c>
      <c r="M47" s="298" t="n">
        <v>49500</v>
      </c>
      <c r="N47" s="298" t="n">
        <v>0</v>
      </c>
      <c r="R47" s="298" t="n">
        <v>0</v>
      </c>
      <c r="S47" s="298" t="inlineStr">
        <is>
          <t>Adjustment</t>
        </is>
      </c>
      <c r="Y47" s="298" t="inlineStr">
        <is>
          <t>Paid</t>
        </is>
      </c>
      <c r="Z47" s="298" t="inlineStr">
        <is>
          <t>ridhi25madan</t>
        </is>
      </c>
      <c r="AC47" s="298" t="inlineStr">
        <is>
          <t>Content Writing Exp.</t>
        </is>
      </c>
      <c r="AE47" s="298" t="inlineStr">
        <is>
          <t>content Writing</t>
        </is>
      </c>
      <c r="AF47" s="298" t="n">
        <v>1</v>
      </c>
      <c r="AH47" s="298" t="n">
        <v>0</v>
      </c>
      <c r="AI47" s="298" t="n">
        <v>50000</v>
      </c>
      <c r="AL47" s="298" t="inlineStr">
        <is>
          <t>DL</t>
        </is>
      </c>
      <c r="AM47" s="298" t="inlineStr">
        <is>
          <t>UP</t>
        </is>
      </c>
      <c r="AN47" s="298" t="inlineStr">
        <is>
          <t>business_none</t>
        </is>
      </c>
      <c r="AP47" s="298" t="inlineStr">
        <is>
          <t>entity_level</t>
        </is>
      </c>
      <c r="AQ47" s="298" t="n">
        <v>2.29715200000003e+18</v>
      </c>
      <c r="AR47" s="298" t="inlineStr">
        <is>
          <t>Payment of contractors HUF/Indiv</t>
        </is>
      </c>
      <c r="AS47" s="298" t="n">
        <v>1</v>
      </c>
      <c r="AT47" s="298" t="inlineStr">
        <is>
          <t>194C</t>
        </is>
      </c>
      <c r="AU47" s="298" t="inlineStr">
        <is>
          <t>Section 194 C</t>
        </is>
      </c>
      <c r="AV47" s="298" t="n">
        <v>500</v>
      </c>
      <c r="AZ47" s="298" t="n">
        <v>50000</v>
      </c>
      <c r="BA47" s="298" t="inlineStr">
        <is>
          <t>entity_level</t>
        </is>
      </c>
      <c r="BC47" s="298" t="n">
        <v>0</v>
      </c>
      <c r="BD47" s="298" t="n">
        <v>0</v>
      </c>
      <c r="BQ47" s="298" t="inlineStr">
        <is>
          <t>service</t>
        </is>
      </c>
      <c r="BV47" s="298" t="inlineStr">
        <is>
          <t>eligible</t>
        </is>
      </c>
      <c r="BW47" s="298" t="n">
        <v>0</v>
      </c>
    </row>
    <row r="48" ht="13.8" customHeight="1" s="253">
      <c r="A48" s="499" t="n">
        <v>45777</v>
      </c>
      <c r="B48" s="499" t="n">
        <v>45777</v>
      </c>
      <c r="C48" s="298" t="n">
        <v>2.29715200000014e+18</v>
      </c>
      <c r="D48" s="298" t="inlineStr">
        <is>
          <t>JAYANTH BJ</t>
        </is>
      </c>
      <c r="E48" s="298" t="n">
        <v>0</v>
      </c>
      <c r="F48" s="298" t="n">
        <v>0</v>
      </c>
      <c r="G48" s="298" t="inlineStr">
        <is>
          <t>Due On Receipt</t>
        </is>
      </c>
      <c r="H48" s="298" t="inlineStr">
        <is>
          <t>3/2025-26</t>
        </is>
      </c>
      <c r="J48" s="298" t="inlineStr">
        <is>
          <t>INR</t>
        </is>
      </c>
      <c r="K48" s="298" t="n">
        <v>1</v>
      </c>
      <c r="L48" s="298" t="n">
        <v>114456</v>
      </c>
      <c r="M48" s="298" t="n">
        <v>113456</v>
      </c>
      <c r="N48" s="298" t="n">
        <v>0</v>
      </c>
      <c r="R48" s="298" t="n">
        <v>0</v>
      </c>
      <c r="S48" s="298" t="inlineStr">
        <is>
          <t>Adjustment</t>
        </is>
      </c>
      <c r="Y48" s="298" t="inlineStr">
        <is>
          <t>Paid</t>
        </is>
      </c>
      <c r="Z48" s="298" t="inlineStr">
        <is>
          <t>ridhi25madan</t>
        </is>
      </c>
      <c r="AC48" s="298" t="inlineStr">
        <is>
          <t>Content Writing Exp.</t>
        </is>
      </c>
      <c r="AE48" s="298" t="inlineStr">
        <is>
          <t>content Writing</t>
        </is>
      </c>
      <c r="AF48" s="298" t="n">
        <v>1</v>
      </c>
      <c r="AH48" s="298" t="n">
        <v>0</v>
      </c>
      <c r="AI48" s="298" t="n">
        <v>100000</v>
      </c>
      <c r="AL48" s="298" t="inlineStr">
        <is>
          <t>UP</t>
        </is>
      </c>
      <c r="AM48" s="298" t="inlineStr">
        <is>
          <t>UP</t>
        </is>
      </c>
      <c r="AN48" s="298" t="inlineStr">
        <is>
          <t>business_none</t>
        </is>
      </c>
      <c r="AP48" s="298" t="inlineStr">
        <is>
          <t>entity_level</t>
        </is>
      </c>
      <c r="AQ48" s="298" t="n">
        <v>2.29715200000003e+18</v>
      </c>
      <c r="AR48" s="298" t="inlineStr">
        <is>
          <t>Payment of contractors HUF/Indiv</t>
        </is>
      </c>
      <c r="AS48" s="298" t="n">
        <v>1</v>
      </c>
      <c r="AT48" s="298" t="inlineStr">
        <is>
          <t>194C</t>
        </is>
      </c>
      <c r="AU48" s="298" t="inlineStr">
        <is>
          <t>Section 194 C</t>
        </is>
      </c>
      <c r="AV48" s="298" t="n">
        <v>1000</v>
      </c>
      <c r="AZ48" s="298" t="n">
        <v>100000</v>
      </c>
      <c r="BA48" s="298" t="inlineStr">
        <is>
          <t>entity_level</t>
        </is>
      </c>
      <c r="BC48" s="298" t="n">
        <v>0</v>
      </c>
      <c r="BD48" s="298" t="n">
        <v>0</v>
      </c>
      <c r="BQ48" s="298" t="inlineStr">
        <is>
          <t>service</t>
        </is>
      </c>
      <c r="BV48" s="298" t="inlineStr">
        <is>
          <t>eligible</t>
        </is>
      </c>
      <c r="BW48" s="298" t="n">
        <v>0</v>
      </c>
    </row>
    <row r="49" ht="13.8" customHeight="1" s="253">
      <c r="A49" s="499" t="n">
        <v>45777</v>
      </c>
      <c r="B49" s="499" t="n">
        <v>45777</v>
      </c>
      <c r="C49" s="298" t="n">
        <v>2.29715200000014e+18</v>
      </c>
      <c r="D49" s="298" t="inlineStr">
        <is>
          <t>JAYANTH BJ</t>
        </is>
      </c>
      <c r="E49" s="298" t="n">
        <v>0</v>
      </c>
      <c r="F49" s="298" t="n">
        <v>0</v>
      </c>
      <c r="G49" s="298" t="inlineStr">
        <is>
          <t>Due On Receipt</t>
        </is>
      </c>
      <c r="H49" s="298" t="inlineStr">
        <is>
          <t>3/2025-26</t>
        </is>
      </c>
      <c r="J49" s="298" t="inlineStr">
        <is>
          <t>INR</t>
        </is>
      </c>
      <c r="K49" s="298" t="n">
        <v>1</v>
      </c>
      <c r="L49" s="298" t="n">
        <v>114456</v>
      </c>
      <c r="M49" s="298" t="n">
        <v>113456</v>
      </c>
      <c r="N49" s="298" t="n">
        <v>0</v>
      </c>
      <c r="R49" s="298" t="n">
        <v>0</v>
      </c>
      <c r="S49" s="298" t="inlineStr">
        <is>
          <t>Adjustment</t>
        </is>
      </c>
      <c r="Y49" s="298" t="inlineStr">
        <is>
          <t>Paid</t>
        </is>
      </c>
      <c r="Z49" s="298" t="inlineStr">
        <is>
          <t>ridhi25madan</t>
        </is>
      </c>
      <c r="AC49" s="298" t="inlineStr">
        <is>
          <t>Travel Expense</t>
        </is>
      </c>
      <c r="AE49" s="298" t="inlineStr">
        <is>
          <t>Trvelling Reimb</t>
        </is>
      </c>
      <c r="AF49" s="298" t="n">
        <v>1</v>
      </c>
      <c r="AH49" s="298" t="n">
        <v>0</v>
      </c>
      <c r="AI49" s="298" t="n">
        <v>14456</v>
      </c>
      <c r="AL49" s="298" t="inlineStr">
        <is>
          <t>UP</t>
        </is>
      </c>
      <c r="AM49" s="298" t="inlineStr">
        <is>
          <t>UP</t>
        </is>
      </c>
      <c r="AN49" s="298" t="inlineStr">
        <is>
          <t>business_none</t>
        </is>
      </c>
      <c r="AP49" s="298" t="inlineStr">
        <is>
          <t>entity_level</t>
        </is>
      </c>
      <c r="AQ49" s="298" t="n">
        <v>2.29715200000003e+18</v>
      </c>
      <c r="AR49" s="298" t="inlineStr">
        <is>
          <t>Payment of contractors HUF/Indiv</t>
        </is>
      </c>
      <c r="AS49" s="298" t="n">
        <v>1</v>
      </c>
      <c r="AT49" s="298" t="inlineStr">
        <is>
          <t>194C</t>
        </is>
      </c>
      <c r="AU49" s="298" t="inlineStr">
        <is>
          <t>Section 194 C</t>
        </is>
      </c>
      <c r="AV49" s="298" t="n">
        <v>1000</v>
      </c>
      <c r="AZ49" s="298" t="n">
        <v>14456</v>
      </c>
      <c r="BA49" s="298" t="inlineStr">
        <is>
          <t>entity_level</t>
        </is>
      </c>
      <c r="BC49" s="298" t="n">
        <v>0</v>
      </c>
      <c r="BD49" s="298" t="n">
        <v>0</v>
      </c>
      <c r="BQ49" s="298" t="inlineStr">
        <is>
          <t>service</t>
        </is>
      </c>
      <c r="BV49" s="298" t="inlineStr">
        <is>
          <t>eligible</t>
        </is>
      </c>
      <c r="BW49" s="298" t="n">
        <v>0</v>
      </c>
    </row>
    <row r="50" ht="13.8" customHeight="1" s="253">
      <c r="A50" s="499" t="n">
        <v>45777</v>
      </c>
      <c r="B50" s="499" t="n">
        <v>45777</v>
      </c>
      <c r="C50" s="298" t="n">
        <v>2.29715200000014e+18</v>
      </c>
      <c r="D50" s="298" t="inlineStr">
        <is>
          <t>PRACHETA RATHORE</t>
        </is>
      </c>
      <c r="E50" s="298" t="n">
        <v>0</v>
      </c>
      <c r="F50" s="298" t="n">
        <v>0</v>
      </c>
      <c r="G50" s="298" t="inlineStr">
        <is>
          <t>Due On Receipt</t>
        </is>
      </c>
      <c r="H50" s="298" t="inlineStr">
        <is>
          <t>1/2025-26</t>
        </is>
      </c>
      <c r="J50" s="298" t="inlineStr">
        <is>
          <t>INR</t>
        </is>
      </c>
      <c r="K50" s="298" t="n">
        <v>1</v>
      </c>
      <c r="L50" s="298" t="n">
        <v>52572</v>
      </c>
      <c r="M50" s="298" t="n">
        <v>52072</v>
      </c>
      <c r="N50" s="298" t="n">
        <v>0</v>
      </c>
      <c r="R50" s="298" t="n">
        <v>0</v>
      </c>
      <c r="S50" s="298" t="inlineStr">
        <is>
          <t>Adjustment</t>
        </is>
      </c>
      <c r="Y50" s="298" t="inlineStr">
        <is>
          <t>Paid</t>
        </is>
      </c>
      <c r="Z50" s="298" t="inlineStr">
        <is>
          <t>ridhi25madan</t>
        </is>
      </c>
      <c r="AC50" s="298" t="inlineStr">
        <is>
          <t>Content Writing Exp.</t>
        </is>
      </c>
      <c r="AE50" s="298" t="inlineStr">
        <is>
          <t>content Writing</t>
        </is>
      </c>
      <c r="AF50" s="298" t="n">
        <v>1</v>
      </c>
      <c r="AH50" s="298" t="n">
        <v>0</v>
      </c>
      <c r="AI50" s="298" t="n">
        <v>50000</v>
      </c>
      <c r="AL50" s="298" t="inlineStr">
        <is>
          <t>UP</t>
        </is>
      </c>
      <c r="AM50" s="298" t="inlineStr">
        <is>
          <t>UP</t>
        </is>
      </c>
      <c r="AN50" s="298" t="inlineStr">
        <is>
          <t>business_none</t>
        </is>
      </c>
      <c r="AP50" s="298" t="inlineStr">
        <is>
          <t>entity_level</t>
        </is>
      </c>
      <c r="AQ50" s="298" t="n">
        <v>2.29715200000003e+18</v>
      </c>
      <c r="AR50" s="298" t="inlineStr">
        <is>
          <t>Payment of contractors HUF/Indiv</t>
        </is>
      </c>
      <c r="AS50" s="298" t="n">
        <v>1</v>
      </c>
      <c r="AT50" s="298" t="inlineStr">
        <is>
          <t>194C</t>
        </is>
      </c>
      <c r="AU50" s="298" t="inlineStr">
        <is>
          <t>Section 194 C</t>
        </is>
      </c>
      <c r="AV50" s="298" t="n">
        <v>500</v>
      </c>
      <c r="AZ50" s="298" t="n">
        <v>50000</v>
      </c>
      <c r="BA50" s="298" t="inlineStr">
        <is>
          <t>entity_level</t>
        </is>
      </c>
      <c r="BC50" s="298" t="n">
        <v>0</v>
      </c>
      <c r="BD50" s="298" t="n">
        <v>0</v>
      </c>
      <c r="BQ50" s="298" t="inlineStr">
        <is>
          <t>service</t>
        </is>
      </c>
      <c r="BV50" s="298" t="inlineStr">
        <is>
          <t>eligible</t>
        </is>
      </c>
      <c r="BW50" s="298" t="n">
        <v>0</v>
      </c>
    </row>
    <row r="51" ht="13.8" customHeight="1" s="253">
      <c r="A51" s="499" t="n">
        <v>45777</v>
      </c>
      <c r="B51" s="499" t="n">
        <v>45777</v>
      </c>
      <c r="C51" s="298" t="n">
        <v>2.29715200000014e+18</v>
      </c>
      <c r="D51" s="298" t="inlineStr">
        <is>
          <t>PRACHETA RATHORE</t>
        </is>
      </c>
      <c r="E51" s="298" t="n">
        <v>0</v>
      </c>
      <c r="F51" s="298" t="n">
        <v>0</v>
      </c>
      <c r="G51" s="298" t="inlineStr">
        <is>
          <t>Due On Receipt</t>
        </is>
      </c>
      <c r="H51" s="298" t="inlineStr">
        <is>
          <t>1/2025-26</t>
        </is>
      </c>
      <c r="J51" s="298" t="inlineStr">
        <is>
          <t>INR</t>
        </is>
      </c>
      <c r="K51" s="298" t="n">
        <v>1</v>
      </c>
      <c r="L51" s="298" t="n">
        <v>52572</v>
      </c>
      <c r="M51" s="298" t="n">
        <v>52072</v>
      </c>
      <c r="N51" s="298" t="n">
        <v>0</v>
      </c>
      <c r="R51" s="298" t="n">
        <v>0</v>
      </c>
      <c r="S51" s="298" t="inlineStr">
        <is>
          <t>Adjustment</t>
        </is>
      </c>
      <c r="Y51" s="298" t="inlineStr">
        <is>
          <t>Paid</t>
        </is>
      </c>
      <c r="Z51" s="298" t="inlineStr">
        <is>
          <t>ridhi25madan</t>
        </is>
      </c>
      <c r="AC51" s="298" t="inlineStr">
        <is>
          <t>Travel Expense</t>
        </is>
      </c>
      <c r="AE51" s="298" t="inlineStr">
        <is>
          <t>Travelling Reimb</t>
        </is>
      </c>
      <c r="AF51" s="298" t="n">
        <v>1</v>
      </c>
      <c r="AH51" s="298" t="n">
        <v>0</v>
      </c>
      <c r="AI51" s="298" t="n">
        <v>2572</v>
      </c>
      <c r="AL51" s="298" t="inlineStr">
        <is>
          <t>UP</t>
        </is>
      </c>
      <c r="AM51" s="298" t="inlineStr">
        <is>
          <t>UP</t>
        </is>
      </c>
      <c r="AN51" s="298" t="inlineStr">
        <is>
          <t>business_none</t>
        </is>
      </c>
      <c r="AP51" s="298" t="inlineStr">
        <is>
          <t>entity_level</t>
        </is>
      </c>
      <c r="AQ51" s="298" t="n">
        <v>2.29715200000003e+18</v>
      </c>
      <c r="AR51" s="298" t="inlineStr">
        <is>
          <t>Payment of contractors HUF/Indiv</t>
        </is>
      </c>
      <c r="AS51" s="298" t="n">
        <v>1</v>
      </c>
      <c r="AT51" s="298" t="inlineStr">
        <is>
          <t>194C</t>
        </is>
      </c>
      <c r="AU51" s="298" t="inlineStr">
        <is>
          <t>Section 194 C</t>
        </is>
      </c>
      <c r="AV51" s="298" t="n">
        <v>500</v>
      </c>
      <c r="AZ51" s="298" t="n">
        <v>2572</v>
      </c>
      <c r="BA51" s="298" t="inlineStr">
        <is>
          <t>entity_level</t>
        </is>
      </c>
      <c r="BC51" s="298" t="n">
        <v>0</v>
      </c>
      <c r="BD51" s="298" t="n">
        <v>0</v>
      </c>
      <c r="BQ51" s="298" t="inlineStr">
        <is>
          <t>service</t>
        </is>
      </c>
      <c r="BV51" s="298" t="inlineStr">
        <is>
          <t>eligible</t>
        </is>
      </c>
      <c r="BW51" s="298" t="n">
        <v>0</v>
      </c>
    </row>
    <row r="52" ht="13.8" customHeight="1" s="253">
      <c r="A52" s="499" t="n">
        <v>45758</v>
      </c>
      <c r="B52" s="499" t="n">
        <v>45758</v>
      </c>
      <c r="C52" s="298" t="n">
        <v>2.29715200000014e+18</v>
      </c>
      <c r="D52" s="298" t="inlineStr">
        <is>
          <t>Sab Media and Publication Services Pvt. Ltd.</t>
        </is>
      </c>
      <c r="E52" s="298" t="n">
        <v>0</v>
      </c>
      <c r="F52" s="298" t="n">
        <v>0</v>
      </c>
      <c r="G52" s="298" t="inlineStr">
        <is>
          <t>Due On Receipt</t>
        </is>
      </c>
      <c r="H52" s="298" t="inlineStr">
        <is>
          <t>Proforma7/24-25</t>
        </is>
      </c>
      <c r="J52" s="298" t="inlineStr">
        <is>
          <t>INR</t>
        </is>
      </c>
      <c r="K52" s="298" t="n">
        <v>1</v>
      </c>
      <c r="L52" s="298" t="n">
        <v>125000</v>
      </c>
      <c r="M52" s="298" t="n">
        <v>145000</v>
      </c>
      <c r="N52" s="298" t="n">
        <v>0</v>
      </c>
      <c r="R52" s="298" t="n">
        <v>0</v>
      </c>
      <c r="S52" s="298" t="inlineStr">
        <is>
          <t>Adjustment</t>
        </is>
      </c>
      <c r="Y52" s="298" t="inlineStr">
        <is>
          <t>Paid</t>
        </is>
      </c>
      <c r="Z52" s="298" t="inlineStr">
        <is>
          <t>ridhi25madan</t>
        </is>
      </c>
      <c r="AC52" s="298" t="inlineStr">
        <is>
          <t>Advertising And Marketing</t>
        </is>
      </c>
      <c r="AE52" s="298" t="inlineStr">
        <is>
          <t>Annual Collaboration, Deliverables: 12 articles or announcements. Duration 12 months.</t>
        </is>
      </c>
      <c r="AF52" s="298" t="n">
        <v>1</v>
      </c>
      <c r="AH52" s="298" t="n">
        <v>22500</v>
      </c>
      <c r="AI52" s="298" t="n">
        <v>125000</v>
      </c>
      <c r="AL52" s="298" t="inlineStr">
        <is>
          <t>KA</t>
        </is>
      </c>
      <c r="AM52" s="298" t="inlineStr">
        <is>
          <t>UP</t>
        </is>
      </c>
      <c r="AN52" s="298" t="inlineStr">
        <is>
          <t>business_gst</t>
        </is>
      </c>
      <c r="AO52" s="298" t="inlineStr">
        <is>
          <t>29AAMCS6235L1ZO</t>
        </is>
      </c>
      <c r="AP52" s="298" t="inlineStr">
        <is>
          <t>entity_level</t>
        </is>
      </c>
      <c r="AQ52" s="298" t="n">
        <v>2.29715200000003e+18</v>
      </c>
      <c r="AR52" s="298" t="inlineStr">
        <is>
          <t>Payment of contractors for Others</t>
        </is>
      </c>
      <c r="AS52" s="298" t="n">
        <v>2</v>
      </c>
      <c r="AT52" s="298" t="inlineStr">
        <is>
          <t>194C</t>
        </is>
      </c>
      <c r="AU52" s="298" t="inlineStr">
        <is>
          <t>Section 194 C</t>
        </is>
      </c>
      <c r="AV52" s="298" t="n">
        <v>2500</v>
      </c>
      <c r="AZ52" s="298" t="n">
        <v>125000</v>
      </c>
      <c r="BA52" s="298" t="inlineStr">
        <is>
          <t>entity_level</t>
        </is>
      </c>
      <c r="BC52" s="298" t="n">
        <v>0</v>
      </c>
      <c r="BD52" s="298" t="n">
        <v>0</v>
      </c>
      <c r="BG52" s="298" t="n">
        <v>2.29715200000003e+18</v>
      </c>
      <c r="BH52" s="298" t="inlineStr">
        <is>
          <t>IGST18</t>
        </is>
      </c>
      <c r="BI52" s="298" t="n">
        <v>18</v>
      </c>
      <c r="BJ52" s="298" t="inlineStr">
        <is>
          <t>ItemAmount</t>
        </is>
      </c>
      <c r="BQ52" s="298" t="inlineStr">
        <is>
          <t>service</t>
        </is>
      </c>
      <c r="BV52" s="298" t="inlineStr">
        <is>
          <t>eligible</t>
        </is>
      </c>
      <c r="BW52" s="298" t="n">
        <v>0</v>
      </c>
      <c r="CC52" s="298" t="n">
        <v>0</v>
      </c>
      <c r="CD52" s="298" t="n">
        <v>0</v>
      </c>
      <c r="CE52" s="298" t="n">
        <v>18</v>
      </c>
      <c r="CF52" s="298" t="n">
        <v>0</v>
      </c>
      <c r="CG52" s="298" t="n">
        <v>0</v>
      </c>
      <c r="CH52" s="298" t="n">
        <v>0</v>
      </c>
      <c r="CI52" s="298" t="n">
        <v>22500</v>
      </c>
      <c r="CJ52" s="298" t="n">
        <v>0</v>
      </c>
      <c r="CK52" s="298" t="n">
        <v>0</v>
      </c>
      <c r="CL52" s="298" t="n">
        <v>0</v>
      </c>
      <c r="CM52" s="298" t="n">
        <v>22500</v>
      </c>
      <c r="CN52" s="298" t="n">
        <v>0</v>
      </c>
    </row>
    <row r="53" ht="13.8" customHeight="1" s="253">
      <c r="A53" s="499" t="n">
        <v>45749</v>
      </c>
      <c r="B53" s="499" t="n">
        <v>45749</v>
      </c>
      <c r="C53" s="298" t="n">
        <v>2.29715200000014e+18</v>
      </c>
      <c r="D53" s="298" t="inlineStr">
        <is>
          <t>Amazon Web Services India Private Limited</t>
        </is>
      </c>
      <c r="E53" s="298" t="n">
        <v>0</v>
      </c>
      <c r="F53" s="298" t="n">
        <v>0</v>
      </c>
      <c r="G53" s="298" t="inlineStr">
        <is>
          <t>Due On Receipt</t>
        </is>
      </c>
      <c r="H53" s="298" t="n">
        <v>2121043933</v>
      </c>
      <c r="J53" s="298" t="inlineStr">
        <is>
          <t>INR</t>
        </is>
      </c>
      <c r="K53" s="298" t="n">
        <v>1</v>
      </c>
      <c r="L53" s="298" t="n">
        <v>9956.860000000001</v>
      </c>
      <c r="M53" s="298" t="n">
        <v>8961.17</v>
      </c>
      <c r="N53" s="298" t="n">
        <v>0</v>
      </c>
      <c r="R53" s="298" t="n">
        <v>0</v>
      </c>
      <c r="S53" s="298" t="inlineStr">
        <is>
          <t>Adjustment</t>
        </is>
      </c>
      <c r="Y53" s="298" t="inlineStr">
        <is>
          <t>Paid</t>
        </is>
      </c>
      <c r="Z53" s="298" t="inlineStr">
        <is>
          <t>ridhi25madan</t>
        </is>
      </c>
      <c r="AC53" s="298" t="inlineStr">
        <is>
          <t>Subscription charges</t>
        </is>
      </c>
      <c r="AE53" s="298" t="inlineStr">
        <is>
          <t>AWS Service Charges</t>
        </is>
      </c>
      <c r="AF53" s="298" t="n">
        <v>1</v>
      </c>
      <c r="AH53" s="298" t="n">
        <v>0</v>
      </c>
      <c r="AI53" s="298" t="n">
        <v>9956.860000000001</v>
      </c>
      <c r="AL53" s="298" t="inlineStr">
        <is>
          <t>UP</t>
        </is>
      </c>
      <c r="AM53" s="298" t="inlineStr">
        <is>
          <t>UP</t>
        </is>
      </c>
      <c r="AN53" s="298" t="inlineStr">
        <is>
          <t>business_none</t>
        </is>
      </c>
      <c r="AP53" s="298" t="inlineStr">
        <is>
          <t>entity_level</t>
        </is>
      </c>
      <c r="AQ53" s="298" t="n">
        <v>2.29715200000003e+18</v>
      </c>
      <c r="AR53" s="298" t="inlineStr">
        <is>
          <t>Professional Fees</t>
        </is>
      </c>
      <c r="AS53" s="298" t="n">
        <v>10</v>
      </c>
      <c r="AT53" s="298" t="inlineStr">
        <is>
          <t>194J</t>
        </is>
      </c>
      <c r="AU53" s="298" t="inlineStr">
        <is>
          <t>Section 194 J</t>
        </is>
      </c>
      <c r="AV53" s="298" t="n">
        <v>995.6900000000001</v>
      </c>
      <c r="AZ53" s="298" t="n">
        <v>9956.856</v>
      </c>
      <c r="BA53" s="298" t="inlineStr">
        <is>
          <t>entity_level</t>
        </is>
      </c>
      <c r="BC53" s="298" t="n">
        <v>0</v>
      </c>
      <c r="BD53" s="298" t="n">
        <v>0</v>
      </c>
      <c r="BQ53" s="298" t="inlineStr">
        <is>
          <t>service</t>
        </is>
      </c>
      <c r="BV53" s="298" t="inlineStr">
        <is>
          <t>eligible</t>
        </is>
      </c>
      <c r="BW53" s="298" t="n">
        <v>0</v>
      </c>
    </row>
    <row r="54" ht="13.8" customHeight="1" s="253">
      <c r="A54" s="499" t="n">
        <v>45748</v>
      </c>
      <c r="B54" s="499" t="n">
        <v>45748</v>
      </c>
      <c r="C54" s="298" t="n">
        <v>2.29715200000014e+18</v>
      </c>
      <c r="D54" s="298" t="inlineStr">
        <is>
          <t>Google Workspace</t>
        </is>
      </c>
      <c r="E54" s="298" t="n">
        <v>0</v>
      </c>
      <c r="F54" s="298" t="n">
        <v>0</v>
      </c>
      <c r="G54" s="298" t="inlineStr">
        <is>
          <t>Due On Receipt</t>
        </is>
      </c>
      <c r="H54" s="298" t="n">
        <v>1</v>
      </c>
      <c r="J54" s="298" t="inlineStr">
        <is>
          <t>INR</t>
        </is>
      </c>
      <c r="K54" s="298" t="n">
        <v>1</v>
      </c>
      <c r="L54" s="298" t="n">
        <v>27408.94</v>
      </c>
      <c r="M54" s="298" t="n">
        <v>24668.05</v>
      </c>
      <c r="N54" s="298" t="n">
        <v>0</v>
      </c>
      <c r="R54" s="298" t="n">
        <v>0</v>
      </c>
      <c r="S54" s="298" t="inlineStr">
        <is>
          <t>Adjustment</t>
        </is>
      </c>
      <c r="Y54" s="298" t="inlineStr">
        <is>
          <t>Paid</t>
        </is>
      </c>
      <c r="Z54" s="298" t="inlineStr">
        <is>
          <t>ridhi25madan</t>
        </is>
      </c>
      <c r="AC54" s="298" t="inlineStr">
        <is>
          <t>Subscription charges</t>
        </is>
      </c>
      <c r="AE54" s="298" t="inlineStr">
        <is>
          <t>Subscription</t>
        </is>
      </c>
      <c r="AF54" s="298" t="n">
        <v>1</v>
      </c>
      <c r="AH54" s="298" t="n">
        <v>0</v>
      </c>
      <c r="AI54" s="298" t="n">
        <v>27408.94</v>
      </c>
      <c r="AL54" s="298" t="inlineStr">
        <is>
          <t>UP</t>
        </is>
      </c>
      <c r="AM54" s="298" t="inlineStr">
        <is>
          <t>UP</t>
        </is>
      </c>
      <c r="AN54" s="298" t="inlineStr">
        <is>
          <t>business_none</t>
        </is>
      </c>
      <c r="AP54" s="298" t="inlineStr">
        <is>
          <t>entity_level</t>
        </is>
      </c>
      <c r="AQ54" s="298" t="n">
        <v>2.29715200000003e+18</v>
      </c>
      <c r="AR54" s="298" t="inlineStr">
        <is>
          <t>Professional Fees</t>
        </is>
      </c>
      <c r="AS54" s="298" t="n">
        <v>10</v>
      </c>
      <c r="AT54" s="298" t="inlineStr">
        <is>
          <t>194J</t>
        </is>
      </c>
      <c r="AU54" s="298" t="inlineStr">
        <is>
          <t>Section 194 J</t>
        </is>
      </c>
      <c r="AV54" s="298" t="n">
        <v>2740.89</v>
      </c>
      <c r="AZ54" s="298" t="n">
        <v>27408.94</v>
      </c>
      <c r="BA54" s="298" t="inlineStr">
        <is>
          <t>entity_level</t>
        </is>
      </c>
      <c r="BC54" s="298" t="n">
        <v>0</v>
      </c>
      <c r="BD54" s="298" t="n">
        <v>0</v>
      </c>
      <c r="BQ54" s="298" t="inlineStr">
        <is>
          <t>service</t>
        </is>
      </c>
      <c r="BV54" s="298" t="inlineStr">
        <is>
          <t>eligible</t>
        </is>
      </c>
      <c r="BW54" s="298" t="n">
        <v>0</v>
      </c>
    </row>
    <row r="55" ht="13.8" customHeight="1" s="253">
      <c r="A55" s="499" t="n">
        <v>45778</v>
      </c>
      <c r="B55" s="499" t="n">
        <v>45778</v>
      </c>
      <c r="C55" s="298" t="n">
        <v>2.29715200000016e+18</v>
      </c>
      <c r="D55" s="298" t="inlineStr">
        <is>
          <t>Razorpay Creditors</t>
        </is>
      </c>
      <c r="E55" s="298" t="n">
        <v>0</v>
      </c>
      <c r="F55" s="298" t="n">
        <v>0</v>
      </c>
      <c r="G55" s="298" t="inlineStr">
        <is>
          <t>Custom</t>
        </is>
      </c>
      <c r="H55" s="298" t="n">
        <v>254326</v>
      </c>
      <c r="J55" s="298" t="inlineStr">
        <is>
          <t>INR</t>
        </is>
      </c>
      <c r="K55" s="298" t="n">
        <v>1</v>
      </c>
      <c r="L55" s="298" t="n">
        <v>15</v>
      </c>
      <c r="M55" s="298" t="n">
        <v>17.7</v>
      </c>
      <c r="N55" s="298" t="n">
        <v>0</v>
      </c>
      <c r="R55" s="298" t="n">
        <v>0</v>
      </c>
      <c r="S55" s="298" t="inlineStr">
        <is>
          <t>Adjustment</t>
        </is>
      </c>
      <c r="Y55" s="298" t="inlineStr">
        <is>
          <t>Paid</t>
        </is>
      </c>
      <c r="Z55" s="298" t="inlineStr">
        <is>
          <t>ridhi25madan</t>
        </is>
      </c>
      <c r="AC55" s="298" t="inlineStr">
        <is>
          <t>Platform Charges</t>
        </is>
      </c>
      <c r="AF55" s="298" t="n">
        <v>1</v>
      </c>
      <c r="AH55" s="298" t="n">
        <v>2.7</v>
      </c>
      <c r="AI55" s="298" t="n">
        <v>15</v>
      </c>
      <c r="AL55" s="298" t="inlineStr">
        <is>
          <t>KA</t>
        </is>
      </c>
      <c r="AM55" s="298" t="inlineStr">
        <is>
          <t>UP</t>
        </is>
      </c>
      <c r="AN55" s="298" t="inlineStr">
        <is>
          <t>business_gst</t>
        </is>
      </c>
      <c r="AO55" s="298" t="inlineStr">
        <is>
          <t>29AAKCR4702K1Z1</t>
        </is>
      </c>
      <c r="AP55" s="298" t="inlineStr">
        <is>
          <t>item_level</t>
        </is>
      </c>
      <c r="AS55" s="298" t="n">
        <v>0</v>
      </c>
      <c r="AV55" s="298" t="n">
        <v>0</v>
      </c>
      <c r="AZ55" s="298" t="n">
        <v>15</v>
      </c>
      <c r="BA55" s="298" t="inlineStr">
        <is>
          <t>entity_level</t>
        </is>
      </c>
      <c r="BC55" s="298" t="n">
        <v>0</v>
      </c>
      <c r="BD55" s="298" t="n">
        <v>0</v>
      </c>
      <c r="BG55" s="298" t="n">
        <v>2.29715200000003e+18</v>
      </c>
      <c r="BH55" s="298" t="inlineStr">
        <is>
          <t>IGST18</t>
        </is>
      </c>
      <c r="BI55" s="298" t="n">
        <v>18</v>
      </c>
      <c r="BJ55" s="298" t="inlineStr">
        <is>
          <t>ItemAmount</t>
        </is>
      </c>
      <c r="BM55" s="298" t="n">
        <v>0</v>
      </c>
      <c r="BQ55" s="298" t="inlineStr">
        <is>
          <t>service</t>
        </is>
      </c>
      <c r="BV55" s="298" t="inlineStr">
        <is>
          <t>eligible</t>
        </is>
      </c>
      <c r="BW55" s="298" t="n">
        <v>0</v>
      </c>
      <c r="CC55" s="298" t="n">
        <v>0</v>
      </c>
      <c r="CD55" s="298" t="n">
        <v>0</v>
      </c>
      <c r="CE55" s="298" t="n">
        <v>18</v>
      </c>
      <c r="CF55" s="298" t="n">
        <v>0</v>
      </c>
      <c r="CG55" s="298" t="n">
        <v>0</v>
      </c>
      <c r="CH55" s="298" t="n">
        <v>0</v>
      </c>
      <c r="CI55" s="298" t="n">
        <v>2.7</v>
      </c>
      <c r="CJ55" s="298" t="n">
        <v>0</v>
      </c>
      <c r="CK55" s="298" t="n">
        <v>0</v>
      </c>
      <c r="CL55" s="298" t="n">
        <v>0</v>
      </c>
      <c r="CM55" s="298" t="n">
        <v>2.7</v>
      </c>
      <c r="CN55" s="298" t="n">
        <v>0</v>
      </c>
    </row>
    <row r="56" ht="13.8" customHeight="1" s="253">
      <c r="A56" s="499" t="n">
        <v>45778</v>
      </c>
      <c r="B56" s="499" t="n">
        <v>45778</v>
      </c>
      <c r="C56" s="298" t="n">
        <v>2.29715200000016e+18</v>
      </c>
      <c r="D56" s="298" t="inlineStr">
        <is>
          <t>Razorpay Creditors</t>
        </is>
      </c>
      <c r="E56" s="298" t="n">
        <v>0</v>
      </c>
      <c r="F56" s="298" t="n">
        <v>0</v>
      </c>
      <c r="G56" s="298" t="inlineStr">
        <is>
          <t>Custom</t>
        </is>
      </c>
      <c r="H56" s="298" t="n">
        <v>254979</v>
      </c>
      <c r="J56" s="298" t="inlineStr">
        <is>
          <t>INR</t>
        </is>
      </c>
      <c r="K56" s="298" t="n">
        <v>1</v>
      </c>
      <c r="L56" s="298" t="n">
        <v>100</v>
      </c>
      <c r="M56" s="298" t="n">
        <v>118</v>
      </c>
      <c r="N56" s="298" t="n">
        <v>0</v>
      </c>
      <c r="R56" s="298" t="n">
        <v>0</v>
      </c>
      <c r="S56" s="298" t="inlineStr">
        <is>
          <t>Adjustment</t>
        </is>
      </c>
      <c r="Y56" s="298" t="inlineStr">
        <is>
          <t>Paid</t>
        </is>
      </c>
      <c r="Z56" s="298" t="inlineStr">
        <is>
          <t>ridhi25madan</t>
        </is>
      </c>
      <c r="AC56" s="298" t="inlineStr">
        <is>
          <t>Platform Charges</t>
        </is>
      </c>
      <c r="AF56" s="298" t="n">
        <v>1</v>
      </c>
      <c r="AH56" s="298" t="n">
        <v>18</v>
      </c>
      <c r="AI56" s="298" t="n">
        <v>100</v>
      </c>
      <c r="AL56" s="298" t="inlineStr">
        <is>
          <t>KA</t>
        </is>
      </c>
      <c r="AM56" s="298" t="inlineStr">
        <is>
          <t>UP</t>
        </is>
      </c>
      <c r="AN56" s="298" t="inlineStr">
        <is>
          <t>business_gst</t>
        </is>
      </c>
      <c r="AO56" s="298" t="inlineStr">
        <is>
          <t>29AAKCR4702K1Z1</t>
        </is>
      </c>
      <c r="AP56" s="298" t="inlineStr">
        <is>
          <t>item_level</t>
        </is>
      </c>
      <c r="AS56" s="298" t="n">
        <v>0</v>
      </c>
      <c r="AV56" s="298" t="n">
        <v>0</v>
      </c>
      <c r="AZ56" s="298" t="n">
        <v>100</v>
      </c>
      <c r="BA56" s="298" t="inlineStr">
        <is>
          <t>entity_level</t>
        </is>
      </c>
      <c r="BC56" s="298" t="n">
        <v>0</v>
      </c>
      <c r="BD56" s="298" t="n">
        <v>0</v>
      </c>
      <c r="BG56" s="298" t="n">
        <v>2.29715200000003e+18</v>
      </c>
      <c r="BH56" s="298" t="inlineStr">
        <is>
          <t>IGST18</t>
        </is>
      </c>
      <c r="BI56" s="298" t="n">
        <v>18</v>
      </c>
      <c r="BJ56" s="298" t="inlineStr">
        <is>
          <t>ItemAmount</t>
        </is>
      </c>
      <c r="BM56" s="298" t="n">
        <v>0</v>
      </c>
      <c r="BQ56" s="298" t="inlineStr">
        <is>
          <t>service</t>
        </is>
      </c>
      <c r="BV56" s="298" t="inlineStr">
        <is>
          <t>eligible</t>
        </is>
      </c>
      <c r="BW56" s="298" t="n">
        <v>0</v>
      </c>
      <c r="CC56" s="298" t="n">
        <v>0</v>
      </c>
      <c r="CD56" s="298" t="n">
        <v>0</v>
      </c>
      <c r="CE56" s="298" t="n">
        <v>18</v>
      </c>
      <c r="CF56" s="298" t="n">
        <v>0</v>
      </c>
      <c r="CG56" s="298" t="n">
        <v>0</v>
      </c>
      <c r="CH56" s="298" t="n">
        <v>0</v>
      </c>
      <c r="CI56" s="298" t="n">
        <v>18</v>
      </c>
      <c r="CJ56" s="298" t="n">
        <v>0</v>
      </c>
      <c r="CK56" s="298" t="n">
        <v>0</v>
      </c>
      <c r="CL56" s="298" t="n">
        <v>0</v>
      </c>
      <c r="CM56" s="298" t="n">
        <v>18</v>
      </c>
      <c r="CN56" s="298" t="n">
        <v>0</v>
      </c>
    </row>
    <row r="57" ht="13.8" customHeight="1" s="253">
      <c r="A57" s="499" t="n">
        <v>45609</v>
      </c>
      <c r="B57" s="499" t="n">
        <v>45609</v>
      </c>
      <c r="C57" s="298" t="n">
        <v>2.29715200000019e+18</v>
      </c>
      <c r="D57" s="298" t="inlineStr">
        <is>
          <t>ANTHROPIC</t>
        </is>
      </c>
      <c r="E57" s="298" t="n">
        <v>0</v>
      </c>
      <c r="F57" s="298" t="n">
        <v>0</v>
      </c>
      <c r="G57" s="298" t="inlineStr">
        <is>
          <t>Due On Receipt</t>
        </is>
      </c>
      <c r="H57" s="298" t="inlineStr">
        <is>
          <t>41AF6FAD-0009</t>
        </is>
      </c>
      <c r="J57" s="298" t="inlineStr">
        <is>
          <t>INR</t>
        </is>
      </c>
      <c r="K57" s="298" t="n">
        <v>1</v>
      </c>
      <c r="L57" s="298" t="n">
        <v>10376.42</v>
      </c>
      <c r="M57" s="298" t="n">
        <v>10376.42</v>
      </c>
      <c r="N57" s="298" t="n">
        <v>0</v>
      </c>
      <c r="R57" s="298" t="n">
        <v>0</v>
      </c>
      <c r="S57" s="298" t="inlineStr">
        <is>
          <t>Adjustment</t>
        </is>
      </c>
      <c r="Y57" s="298" t="inlineStr">
        <is>
          <t>Paid</t>
        </is>
      </c>
      <c r="Z57" s="298" t="inlineStr">
        <is>
          <t>ridhi25madan</t>
        </is>
      </c>
      <c r="AC57" s="298" t="inlineStr">
        <is>
          <t>Subscription charges</t>
        </is>
      </c>
      <c r="AE57" s="298" t="inlineStr">
        <is>
          <t>Subscription charges</t>
        </is>
      </c>
      <c r="AF57" s="298" t="n">
        <v>1</v>
      </c>
      <c r="AH57" s="298" t="n">
        <v>0</v>
      </c>
      <c r="AI57" s="298" t="n">
        <v>10376.42</v>
      </c>
      <c r="AM57" s="298" t="inlineStr">
        <is>
          <t>UP</t>
        </is>
      </c>
      <c r="AN57" s="298" t="inlineStr">
        <is>
          <t>overseas</t>
        </is>
      </c>
      <c r="AP57" s="298" t="inlineStr">
        <is>
          <t>item_level</t>
        </is>
      </c>
      <c r="AS57" s="298" t="n">
        <v>0</v>
      </c>
      <c r="AV57" s="298" t="n">
        <v>0</v>
      </c>
      <c r="AZ57" s="298" t="n">
        <v>10376.42</v>
      </c>
      <c r="BA57" s="298" t="inlineStr">
        <is>
          <t>entity_level</t>
        </is>
      </c>
      <c r="BC57" s="298" t="n">
        <v>0</v>
      </c>
      <c r="BD57" s="298" t="n">
        <v>0</v>
      </c>
      <c r="BM57" s="298" t="n">
        <v>0</v>
      </c>
      <c r="BQ57" s="298" t="inlineStr">
        <is>
          <t>service</t>
        </is>
      </c>
      <c r="BV57" s="298" t="inlineStr">
        <is>
          <t>eligible</t>
        </is>
      </c>
      <c r="BW57" s="298" t="n">
        <v>0</v>
      </c>
    </row>
    <row r="58" ht="13.8" customHeight="1" s="253">
      <c r="A58" s="499" t="n">
        <v>45618</v>
      </c>
      <c r="B58" s="499" t="n">
        <v>45618</v>
      </c>
      <c r="C58" s="298" t="n">
        <v>2.29715200000019e+18</v>
      </c>
      <c r="D58" s="298" t="inlineStr">
        <is>
          <t>Indian Kanoon (IKanoon)</t>
        </is>
      </c>
      <c r="E58" s="298" t="n">
        <v>0</v>
      </c>
      <c r="F58" s="298" t="n">
        <v>0</v>
      </c>
      <c r="G58" s="298" t="inlineStr">
        <is>
          <t>Due On Receipt</t>
        </is>
      </c>
      <c r="H58" s="298" t="n">
        <v>2</v>
      </c>
      <c r="J58" s="298" t="inlineStr">
        <is>
          <t>INR</t>
        </is>
      </c>
      <c r="K58" s="298" t="n">
        <v>1</v>
      </c>
      <c r="L58" s="298" t="n">
        <v>3540</v>
      </c>
      <c r="M58" s="298" t="n">
        <v>3540</v>
      </c>
      <c r="N58" s="298" t="n">
        <v>0</v>
      </c>
      <c r="R58" s="298" t="n">
        <v>0</v>
      </c>
      <c r="S58" s="298" t="inlineStr">
        <is>
          <t>Adjustment</t>
        </is>
      </c>
      <c r="Y58" s="298" t="inlineStr">
        <is>
          <t>Paid</t>
        </is>
      </c>
      <c r="Z58" s="298" t="inlineStr">
        <is>
          <t>ridhi25madan</t>
        </is>
      </c>
      <c r="AC58" s="298" t="inlineStr">
        <is>
          <t>Subscription charges</t>
        </is>
      </c>
      <c r="AE58" s="298" t="inlineStr">
        <is>
          <t>Subscription charges</t>
        </is>
      </c>
      <c r="AF58" s="298" t="n">
        <v>1</v>
      </c>
      <c r="AH58" s="298" t="n">
        <v>0</v>
      </c>
      <c r="AI58" s="298" t="n">
        <v>3540</v>
      </c>
      <c r="AL58" s="298" t="inlineStr">
        <is>
          <t>KA</t>
        </is>
      </c>
      <c r="AM58" s="298" t="inlineStr">
        <is>
          <t>UP</t>
        </is>
      </c>
      <c r="AN58" s="298" t="inlineStr">
        <is>
          <t>business_gst</t>
        </is>
      </c>
      <c r="AO58" s="298" t="inlineStr">
        <is>
          <t>29AADCI5875P2ZM</t>
        </is>
      </c>
      <c r="AP58" s="298" t="inlineStr">
        <is>
          <t>item_level</t>
        </is>
      </c>
      <c r="AS58" s="298" t="n">
        <v>0</v>
      </c>
      <c r="AV58" s="298" t="n">
        <v>0</v>
      </c>
      <c r="AZ58" s="298" t="n">
        <v>3540</v>
      </c>
      <c r="BA58" s="298" t="inlineStr">
        <is>
          <t>entity_level</t>
        </is>
      </c>
      <c r="BC58" s="298" t="n">
        <v>0</v>
      </c>
      <c r="BD58" s="298" t="n">
        <v>0</v>
      </c>
      <c r="BM58" s="298" t="n">
        <v>0</v>
      </c>
      <c r="BQ58" s="298" t="inlineStr">
        <is>
          <t>service</t>
        </is>
      </c>
      <c r="BU58" s="298" t="inlineStr">
        <is>
          <t>Out of Scope</t>
        </is>
      </c>
      <c r="BW58" s="298" t="n">
        <v>0</v>
      </c>
    </row>
    <row r="59" ht="13.8" customHeight="1" s="253">
      <c r="A59" s="499" t="n">
        <v>45625</v>
      </c>
      <c r="B59" s="499" t="n">
        <v>45625</v>
      </c>
      <c r="C59" s="298" t="n">
        <v>2.29715200000019e+18</v>
      </c>
      <c r="D59" s="298" t="inlineStr">
        <is>
          <t>CURSOR, AI POWERED</t>
        </is>
      </c>
      <c r="E59" s="298" t="n">
        <v>0</v>
      </c>
      <c r="F59" s="298" t="n">
        <v>0</v>
      </c>
      <c r="G59" s="298" t="inlineStr">
        <is>
          <t>Due On Receipt</t>
        </is>
      </c>
      <c r="H59" s="298" t="n">
        <v>1</v>
      </c>
      <c r="J59" s="298" t="inlineStr">
        <is>
          <t>INR</t>
        </is>
      </c>
      <c r="K59" s="298" t="n">
        <v>1</v>
      </c>
      <c r="L59" s="298" t="n">
        <v>1760.73</v>
      </c>
      <c r="M59" s="298" t="n">
        <v>1760.73</v>
      </c>
      <c r="N59" s="298" t="n">
        <v>0</v>
      </c>
      <c r="R59" s="298" t="n">
        <v>0</v>
      </c>
      <c r="S59" s="298" t="inlineStr">
        <is>
          <t>Adjustment</t>
        </is>
      </c>
      <c r="Y59" s="298" t="inlineStr">
        <is>
          <t>Paid</t>
        </is>
      </c>
      <c r="Z59" s="298" t="inlineStr">
        <is>
          <t>ridhi25madan</t>
        </is>
      </c>
      <c r="AC59" s="298" t="inlineStr">
        <is>
          <t>Subscription charges</t>
        </is>
      </c>
      <c r="AE59" s="298" t="inlineStr">
        <is>
          <t>Subscription charges</t>
        </is>
      </c>
      <c r="AF59" s="298" t="n">
        <v>1</v>
      </c>
      <c r="AH59" s="298" t="n">
        <v>0</v>
      </c>
      <c r="AI59" s="298" t="n">
        <v>1760.73</v>
      </c>
      <c r="AM59" s="298" t="inlineStr">
        <is>
          <t>UP</t>
        </is>
      </c>
      <c r="AN59" s="298" t="inlineStr">
        <is>
          <t>overseas</t>
        </is>
      </c>
      <c r="AP59" s="298" t="inlineStr">
        <is>
          <t>item_level</t>
        </is>
      </c>
      <c r="AS59" s="298" t="n">
        <v>0</v>
      </c>
      <c r="AV59" s="298" t="n">
        <v>0</v>
      </c>
      <c r="AZ59" s="298" t="n">
        <v>1760.73</v>
      </c>
      <c r="BA59" s="298" t="inlineStr">
        <is>
          <t>entity_level</t>
        </is>
      </c>
      <c r="BC59" s="298" t="n">
        <v>0</v>
      </c>
      <c r="BD59" s="298" t="n">
        <v>0</v>
      </c>
      <c r="BM59" s="298" t="n">
        <v>0</v>
      </c>
      <c r="BQ59" s="298" t="inlineStr">
        <is>
          <t>service</t>
        </is>
      </c>
      <c r="BV59" s="298" t="inlineStr">
        <is>
          <t>eligible</t>
        </is>
      </c>
      <c r="BW59" s="298" t="n">
        <v>0</v>
      </c>
    </row>
    <row r="60" ht="13.8" customHeight="1" s="253">
      <c r="A60" s="499" t="n">
        <v>45635</v>
      </c>
      <c r="B60" s="499" t="n">
        <v>45635</v>
      </c>
      <c r="C60" s="298" t="n">
        <v>2.29715200000019e+18</v>
      </c>
      <c r="D60" s="298" t="inlineStr">
        <is>
          <t>SalesForce</t>
        </is>
      </c>
      <c r="E60" s="298" t="n">
        <v>0</v>
      </c>
      <c r="F60" s="298" t="n">
        <v>0</v>
      </c>
      <c r="G60" s="298" t="inlineStr">
        <is>
          <t>Due On Receipt</t>
        </is>
      </c>
      <c r="H60" s="298" t="n">
        <v>32264906</v>
      </c>
      <c r="J60" s="298" t="inlineStr">
        <is>
          <t>INR</t>
        </is>
      </c>
      <c r="K60" s="298" t="n">
        <v>1</v>
      </c>
      <c r="L60" s="298" t="n">
        <v>5081.67</v>
      </c>
      <c r="M60" s="298" t="n">
        <v>5081.67</v>
      </c>
      <c r="N60" s="298" t="n">
        <v>0</v>
      </c>
      <c r="R60" s="298" t="n">
        <v>0</v>
      </c>
      <c r="S60" s="298" t="inlineStr">
        <is>
          <t>Adjustment</t>
        </is>
      </c>
      <c r="Y60" s="298" t="inlineStr">
        <is>
          <t>Paid</t>
        </is>
      </c>
      <c r="Z60" s="298" t="inlineStr">
        <is>
          <t>ridhi25madan</t>
        </is>
      </c>
      <c r="AC60" s="298" t="inlineStr">
        <is>
          <t>Subscription charges</t>
        </is>
      </c>
      <c r="AE60" s="298" t="inlineStr">
        <is>
          <t>Subs charges</t>
        </is>
      </c>
      <c r="AF60" s="298" t="n">
        <v>1</v>
      </c>
      <c r="AH60" s="298" t="n">
        <v>0</v>
      </c>
      <c r="AI60" s="298" t="n">
        <v>5081.67</v>
      </c>
      <c r="AL60" s="298" t="inlineStr">
        <is>
          <t>KA</t>
        </is>
      </c>
      <c r="AM60" s="298" t="inlineStr">
        <is>
          <t>UP</t>
        </is>
      </c>
      <c r="AN60" s="298" t="inlineStr">
        <is>
          <t>business_gst</t>
        </is>
      </c>
      <c r="AO60" s="298" t="inlineStr">
        <is>
          <t>29AAJCS3582R1ZB</t>
        </is>
      </c>
      <c r="AP60" s="298" t="inlineStr">
        <is>
          <t>item_level</t>
        </is>
      </c>
      <c r="AS60" s="298" t="n">
        <v>0</v>
      </c>
      <c r="AV60" s="298" t="n">
        <v>0</v>
      </c>
      <c r="AZ60" s="298" t="n">
        <v>5081.67</v>
      </c>
      <c r="BA60" s="298" t="inlineStr">
        <is>
          <t>entity_level</t>
        </is>
      </c>
      <c r="BC60" s="298" t="n">
        <v>0</v>
      </c>
      <c r="BD60" s="298" t="n">
        <v>0</v>
      </c>
      <c r="BM60" s="298" t="n">
        <v>0</v>
      </c>
      <c r="BQ60" s="298" t="inlineStr">
        <is>
          <t>service</t>
        </is>
      </c>
      <c r="BU60" s="298" t="inlineStr">
        <is>
          <t>Out of Scope</t>
        </is>
      </c>
      <c r="BW60" s="298" t="n">
        <v>0</v>
      </c>
    </row>
    <row r="61" ht="13.8" customHeight="1" s="253">
      <c r="A61" s="499" t="n">
        <v>45636</v>
      </c>
      <c r="B61" s="499" t="n">
        <v>45636</v>
      </c>
      <c r="C61" s="298" t="n">
        <v>2.29715200000019e+18</v>
      </c>
      <c r="D61" s="298" t="inlineStr">
        <is>
          <t>Indian Kanoon (IKanoon)</t>
        </is>
      </c>
      <c r="E61" s="298" t="n">
        <v>0</v>
      </c>
      <c r="F61" s="298" t="n">
        <v>0</v>
      </c>
      <c r="G61" s="298" t="inlineStr">
        <is>
          <t>Due On Receipt</t>
        </is>
      </c>
      <c r="H61" s="298" t="n">
        <v>3</v>
      </c>
      <c r="J61" s="298" t="inlineStr">
        <is>
          <t>INR</t>
        </is>
      </c>
      <c r="K61" s="298" t="n">
        <v>1</v>
      </c>
      <c r="L61" s="298" t="n">
        <v>3540</v>
      </c>
      <c r="M61" s="298" t="n">
        <v>3540</v>
      </c>
      <c r="N61" s="298" t="n">
        <v>0</v>
      </c>
      <c r="R61" s="298" t="n">
        <v>0</v>
      </c>
      <c r="S61" s="298" t="inlineStr">
        <is>
          <t>Adjustment</t>
        </is>
      </c>
      <c r="Y61" s="298" t="inlineStr">
        <is>
          <t>Paid</t>
        </is>
      </c>
      <c r="Z61" s="298" t="inlineStr">
        <is>
          <t>ridhi25madan</t>
        </is>
      </c>
      <c r="AC61" s="298" t="inlineStr">
        <is>
          <t>Subscription charges</t>
        </is>
      </c>
      <c r="AE61" s="298" t="inlineStr">
        <is>
          <t>Subscription charges</t>
        </is>
      </c>
      <c r="AF61" s="298" t="n">
        <v>1</v>
      </c>
      <c r="AH61" s="298" t="n">
        <v>0</v>
      </c>
      <c r="AI61" s="298" t="n">
        <v>3540</v>
      </c>
      <c r="AL61" s="298" t="inlineStr">
        <is>
          <t>KA</t>
        </is>
      </c>
      <c r="AM61" s="298" t="inlineStr">
        <is>
          <t>UP</t>
        </is>
      </c>
      <c r="AN61" s="298" t="inlineStr">
        <is>
          <t>business_gst</t>
        </is>
      </c>
      <c r="AO61" s="298" t="inlineStr">
        <is>
          <t>29AADCI5875P2ZM</t>
        </is>
      </c>
      <c r="AP61" s="298" t="inlineStr">
        <is>
          <t>item_level</t>
        </is>
      </c>
      <c r="AS61" s="298" t="n">
        <v>0</v>
      </c>
      <c r="AV61" s="298" t="n">
        <v>0</v>
      </c>
      <c r="AZ61" s="298" t="n">
        <v>3540</v>
      </c>
      <c r="BA61" s="298" t="inlineStr">
        <is>
          <t>entity_level</t>
        </is>
      </c>
      <c r="BC61" s="298" t="n">
        <v>0</v>
      </c>
      <c r="BD61" s="298" t="n">
        <v>0</v>
      </c>
      <c r="BM61" s="298" t="n">
        <v>0</v>
      </c>
      <c r="BQ61" s="298" t="inlineStr">
        <is>
          <t>service</t>
        </is>
      </c>
      <c r="BU61" s="298" t="inlineStr">
        <is>
          <t>Out of Scope</t>
        </is>
      </c>
      <c r="BW61" s="298" t="n">
        <v>0</v>
      </c>
    </row>
    <row r="62" ht="13.8" customHeight="1" s="253">
      <c r="A62" s="499" t="n">
        <v>45649</v>
      </c>
      <c r="B62" s="499" t="n">
        <v>45649</v>
      </c>
      <c r="C62" s="298" t="n">
        <v>2.29715200000019e+18</v>
      </c>
      <c r="D62" s="298" t="inlineStr">
        <is>
          <t>Indian Kanoon (IKanoon)</t>
        </is>
      </c>
      <c r="E62" s="298" t="n">
        <v>0</v>
      </c>
      <c r="F62" s="298" t="n">
        <v>0</v>
      </c>
      <c r="G62" s="298" t="inlineStr">
        <is>
          <t>Due On Receipt</t>
        </is>
      </c>
      <c r="H62" s="298" t="n">
        <v>4</v>
      </c>
      <c r="J62" s="298" t="inlineStr">
        <is>
          <t>INR</t>
        </is>
      </c>
      <c r="K62" s="298" t="n">
        <v>1</v>
      </c>
      <c r="L62" s="298" t="n">
        <v>3540</v>
      </c>
      <c r="M62" s="298" t="n">
        <v>3540</v>
      </c>
      <c r="N62" s="298" t="n">
        <v>0</v>
      </c>
      <c r="R62" s="298" t="n">
        <v>0</v>
      </c>
      <c r="S62" s="298" t="inlineStr">
        <is>
          <t>Adjustment</t>
        </is>
      </c>
      <c r="Y62" s="298" t="inlineStr">
        <is>
          <t>Paid</t>
        </is>
      </c>
      <c r="Z62" s="298" t="inlineStr">
        <is>
          <t>ridhi25madan</t>
        </is>
      </c>
      <c r="AC62" s="298" t="inlineStr">
        <is>
          <t>Subscription charges</t>
        </is>
      </c>
      <c r="AE62" s="298" t="inlineStr">
        <is>
          <t>Subscription charges</t>
        </is>
      </c>
      <c r="AF62" s="298" t="n">
        <v>1</v>
      </c>
      <c r="AH62" s="298" t="n">
        <v>0</v>
      </c>
      <c r="AI62" s="298" t="n">
        <v>3540</v>
      </c>
      <c r="AL62" s="298" t="inlineStr">
        <is>
          <t>KA</t>
        </is>
      </c>
      <c r="AM62" s="298" t="inlineStr">
        <is>
          <t>UP</t>
        </is>
      </c>
      <c r="AN62" s="298" t="inlineStr">
        <is>
          <t>business_gst</t>
        </is>
      </c>
      <c r="AO62" s="298" t="inlineStr">
        <is>
          <t>29AADCI5875P2ZM</t>
        </is>
      </c>
      <c r="AP62" s="298" t="inlineStr">
        <is>
          <t>item_level</t>
        </is>
      </c>
      <c r="AS62" s="298" t="n">
        <v>0</v>
      </c>
      <c r="AV62" s="298" t="n">
        <v>0</v>
      </c>
      <c r="AZ62" s="298" t="n">
        <v>3540</v>
      </c>
      <c r="BA62" s="298" t="inlineStr">
        <is>
          <t>entity_level</t>
        </is>
      </c>
      <c r="BC62" s="298" t="n">
        <v>0</v>
      </c>
      <c r="BD62" s="298" t="n">
        <v>0</v>
      </c>
      <c r="BM62" s="298" t="n">
        <v>0</v>
      </c>
      <c r="BQ62" s="298" t="inlineStr">
        <is>
          <t>service</t>
        </is>
      </c>
      <c r="BU62" s="298" t="inlineStr">
        <is>
          <t>Out of Scope</t>
        </is>
      </c>
      <c r="BW62" s="298" t="n">
        <v>0</v>
      </c>
    </row>
    <row r="63" ht="13.8" customHeight="1" s="253">
      <c r="A63" s="499" t="n">
        <v>45656</v>
      </c>
      <c r="B63" s="499" t="n">
        <v>45656</v>
      </c>
      <c r="C63" s="298" t="n">
        <v>2.29715200000019e+18</v>
      </c>
      <c r="D63" s="298" t="inlineStr">
        <is>
          <t>CURSOR, AI POWERED</t>
        </is>
      </c>
      <c r="E63" s="298" t="n">
        <v>0</v>
      </c>
      <c r="F63" s="298" t="n">
        <v>0</v>
      </c>
      <c r="G63" s="298" t="inlineStr">
        <is>
          <t>Due On Receipt</t>
        </is>
      </c>
      <c r="H63" s="298" t="n">
        <v>2</v>
      </c>
      <c r="J63" s="298" t="inlineStr">
        <is>
          <t>INR</t>
        </is>
      </c>
      <c r="K63" s="298" t="n">
        <v>1</v>
      </c>
      <c r="L63" s="298" t="n">
        <v>1787.65</v>
      </c>
      <c r="M63" s="298" t="n">
        <v>1787.65</v>
      </c>
      <c r="N63" s="298" t="n">
        <v>0</v>
      </c>
      <c r="R63" s="298" t="n">
        <v>0</v>
      </c>
      <c r="S63" s="298" t="inlineStr">
        <is>
          <t>Adjustment</t>
        </is>
      </c>
      <c r="Y63" s="298" t="inlineStr">
        <is>
          <t>Paid</t>
        </is>
      </c>
      <c r="Z63" s="298" t="inlineStr">
        <is>
          <t>ridhi25madan</t>
        </is>
      </c>
      <c r="AC63" s="298" t="inlineStr">
        <is>
          <t>Subscription charges</t>
        </is>
      </c>
      <c r="AE63" s="298" t="inlineStr">
        <is>
          <t>Subscription charges</t>
        </is>
      </c>
      <c r="AF63" s="298" t="n">
        <v>1</v>
      </c>
      <c r="AH63" s="298" t="n">
        <v>0</v>
      </c>
      <c r="AI63" s="298" t="n">
        <v>1787.65</v>
      </c>
      <c r="AM63" s="298" t="inlineStr">
        <is>
          <t>UP</t>
        </is>
      </c>
      <c r="AN63" s="298" t="inlineStr">
        <is>
          <t>overseas</t>
        </is>
      </c>
      <c r="AP63" s="298" t="inlineStr">
        <is>
          <t>item_level</t>
        </is>
      </c>
      <c r="AS63" s="298" t="n">
        <v>0</v>
      </c>
      <c r="AV63" s="298" t="n">
        <v>0</v>
      </c>
      <c r="AZ63" s="298" t="n">
        <v>1787.65</v>
      </c>
      <c r="BA63" s="298" t="inlineStr">
        <is>
          <t>entity_level</t>
        </is>
      </c>
      <c r="BC63" s="298" t="n">
        <v>0</v>
      </c>
      <c r="BD63" s="298" t="n">
        <v>0</v>
      </c>
      <c r="BM63" s="298" t="n">
        <v>0</v>
      </c>
      <c r="BQ63" s="298" t="inlineStr">
        <is>
          <t>service</t>
        </is>
      </c>
      <c r="BU63" s="298" t="inlineStr">
        <is>
          <t>Out of Scope</t>
        </is>
      </c>
      <c r="BW63" s="298" t="n">
        <v>0</v>
      </c>
    </row>
    <row r="64" ht="13.8" customHeight="1" s="253">
      <c r="A64" s="499" t="n">
        <v>45658</v>
      </c>
      <c r="B64" s="499" t="n">
        <v>45658</v>
      </c>
      <c r="C64" s="298" t="n">
        <v>2.29715200000019e+18</v>
      </c>
      <c r="D64" s="298" t="inlineStr">
        <is>
          <t>Google Workspace</t>
        </is>
      </c>
      <c r="E64" s="298" t="n">
        <v>0</v>
      </c>
      <c r="F64" s="298" t="n">
        <v>0</v>
      </c>
      <c r="G64" s="298" t="inlineStr">
        <is>
          <t>Due On Receipt</t>
        </is>
      </c>
      <c r="H64" s="298" t="n">
        <v>1</v>
      </c>
      <c r="J64" s="298" t="inlineStr">
        <is>
          <t>INR</t>
        </is>
      </c>
      <c r="K64" s="298" t="n">
        <v>1</v>
      </c>
      <c r="L64" s="298" t="n">
        <v>12950.15</v>
      </c>
      <c r="M64" s="298" t="n">
        <v>12950.15</v>
      </c>
      <c r="N64" s="298" t="n">
        <v>0</v>
      </c>
      <c r="R64" s="298" t="n">
        <v>0</v>
      </c>
      <c r="S64" s="298" t="inlineStr">
        <is>
          <t>Adjustment</t>
        </is>
      </c>
      <c r="Y64" s="298" t="inlineStr">
        <is>
          <t>Paid</t>
        </is>
      </c>
      <c r="Z64" s="298" t="inlineStr">
        <is>
          <t>ridhi25madan</t>
        </is>
      </c>
      <c r="AC64" s="298" t="inlineStr">
        <is>
          <t>Subscription charges</t>
        </is>
      </c>
      <c r="AF64" s="298" t="n">
        <v>1</v>
      </c>
      <c r="AH64" s="298" t="n">
        <v>0</v>
      </c>
      <c r="AI64" s="298" t="n">
        <v>12950.15</v>
      </c>
      <c r="AL64" s="298" t="inlineStr">
        <is>
          <t>UP</t>
        </is>
      </c>
      <c r="AM64" s="298" t="inlineStr">
        <is>
          <t>UP</t>
        </is>
      </c>
      <c r="AN64" s="298" t="inlineStr">
        <is>
          <t>business_none</t>
        </is>
      </c>
      <c r="AP64" s="298" t="inlineStr">
        <is>
          <t>item_level</t>
        </is>
      </c>
      <c r="AS64" s="298" t="n">
        <v>0</v>
      </c>
      <c r="AV64" s="298" t="n">
        <v>0</v>
      </c>
      <c r="AZ64" s="298" t="n">
        <v>12950.15</v>
      </c>
      <c r="BA64" s="298" t="inlineStr">
        <is>
          <t>entity_level</t>
        </is>
      </c>
      <c r="BC64" s="298" t="n">
        <v>0</v>
      </c>
      <c r="BD64" s="298" t="n">
        <v>0</v>
      </c>
      <c r="BM64" s="298" t="n">
        <v>0</v>
      </c>
      <c r="BQ64" s="298" t="inlineStr">
        <is>
          <t>service</t>
        </is>
      </c>
      <c r="BV64" s="298" t="inlineStr">
        <is>
          <t>eligible</t>
        </is>
      </c>
      <c r="BW64" s="298" t="n">
        <v>0</v>
      </c>
    </row>
    <row r="65" ht="13.8" customHeight="1" s="253">
      <c r="A65" s="499" t="n">
        <v>45670</v>
      </c>
      <c r="B65" s="499" t="n">
        <v>45670</v>
      </c>
      <c r="C65" s="298" t="n">
        <v>2.29715200000019e+18</v>
      </c>
      <c r="D65" s="298" t="inlineStr">
        <is>
          <t>Indian Kanoon (IKanoon)</t>
        </is>
      </c>
      <c r="E65" s="298" t="n">
        <v>0</v>
      </c>
      <c r="F65" s="298" t="n">
        <v>0</v>
      </c>
      <c r="G65" s="298" t="inlineStr">
        <is>
          <t>Due On Receipt</t>
        </is>
      </c>
      <c r="H65" s="298" t="n">
        <v>5</v>
      </c>
      <c r="J65" s="298" t="inlineStr">
        <is>
          <t>INR</t>
        </is>
      </c>
      <c r="K65" s="298" t="n">
        <v>1</v>
      </c>
      <c r="L65" s="298" t="n">
        <v>11800</v>
      </c>
      <c r="M65" s="298" t="n">
        <v>11800</v>
      </c>
      <c r="N65" s="298" t="n">
        <v>0</v>
      </c>
      <c r="R65" s="298" t="n">
        <v>0</v>
      </c>
      <c r="S65" s="298" t="inlineStr">
        <is>
          <t>Adjustment</t>
        </is>
      </c>
      <c r="Y65" s="298" t="inlineStr">
        <is>
          <t>Paid</t>
        </is>
      </c>
      <c r="Z65" s="298" t="inlineStr">
        <is>
          <t>ridhi25madan</t>
        </is>
      </c>
      <c r="AC65" s="298" t="inlineStr">
        <is>
          <t>Subscription charges</t>
        </is>
      </c>
      <c r="AE65" s="298" t="inlineStr">
        <is>
          <t>Subscription charges</t>
        </is>
      </c>
      <c r="AF65" s="298" t="n">
        <v>1</v>
      </c>
      <c r="AH65" s="298" t="n">
        <v>0</v>
      </c>
      <c r="AI65" s="298" t="n">
        <v>11800</v>
      </c>
      <c r="AL65" s="298" t="inlineStr">
        <is>
          <t>KA</t>
        </is>
      </c>
      <c r="AM65" s="298" t="inlineStr">
        <is>
          <t>UP</t>
        </is>
      </c>
      <c r="AN65" s="298" t="inlineStr">
        <is>
          <t>business_gst</t>
        </is>
      </c>
      <c r="AO65" s="298" t="inlineStr">
        <is>
          <t>29AADCI5875P2ZM</t>
        </is>
      </c>
      <c r="AP65" s="298" t="inlineStr">
        <is>
          <t>item_level</t>
        </is>
      </c>
      <c r="AS65" s="298" t="n">
        <v>0</v>
      </c>
      <c r="AV65" s="298" t="n">
        <v>0</v>
      </c>
      <c r="AZ65" s="298" t="n">
        <v>11800</v>
      </c>
      <c r="BA65" s="298" t="inlineStr">
        <is>
          <t>entity_level</t>
        </is>
      </c>
      <c r="BC65" s="298" t="n">
        <v>0</v>
      </c>
      <c r="BD65" s="298" t="n">
        <v>0</v>
      </c>
      <c r="BM65" s="298" t="n">
        <v>0</v>
      </c>
      <c r="BQ65" s="298" t="inlineStr">
        <is>
          <t>service</t>
        </is>
      </c>
      <c r="BU65" s="298" t="inlineStr">
        <is>
          <t>Out of Scope</t>
        </is>
      </c>
      <c r="BW65" s="298" t="n">
        <v>0</v>
      </c>
    </row>
    <row r="66" ht="13.8" customHeight="1" s="253">
      <c r="A66" s="499" t="n">
        <v>45672</v>
      </c>
      <c r="B66" s="499" t="n">
        <v>45672</v>
      </c>
      <c r="C66" s="298" t="n">
        <v>2.29715200000019e+18</v>
      </c>
      <c r="D66" s="298" t="inlineStr">
        <is>
          <t>ANTHROPIC</t>
        </is>
      </c>
      <c r="E66" s="298" t="n">
        <v>0</v>
      </c>
      <c r="F66" s="298" t="n">
        <v>0</v>
      </c>
      <c r="G66" s="298" t="inlineStr">
        <is>
          <t>Due On Receipt</t>
        </is>
      </c>
      <c r="H66" s="298" t="inlineStr">
        <is>
          <t>41AF6FAD-0013</t>
        </is>
      </c>
      <c r="J66" s="298" t="inlineStr">
        <is>
          <t>INR</t>
        </is>
      </c>
      <c r="K66" s="298" t="n">
        <v>1</v>
      </c>
      <c r="L66" s="298" t="n">
        <v>53296.23</v>
      </c>
      <c r="M66" s="298" t="n">
        <v>53296.23</v>
      </c>
      <c r="N66" s="298" t="n">
        <v>0</v>
      </c>
      <c r="R66" s="298" t="n">
        <v>0</v>
      </c>
      <c r="S66" s="298" t="inlineStr">
        <is>
          <t>Adjustment</t>
        </is>
      </c>
      <c r="Y66" s="298" t="inlineStr">
        <is>
          <t>Paid</t>
        </is>
      </c>
      <c r="Z66" s="298" t="inlineStr">
        <is>
          <t>ridhi25madan</t>
        </is>
      </c>
      <c r="AC66" s="298" t="inlineStr">
        <is>
          <t>Subscription charges</t>
        </is>
      </c>
      <c r="AE66" s="298" t="inlineStr">
        <is>
          <t>Subscription charges</t>
        </is>
      </c>
      <c r="AF66" s="298" t="n">
        <v>1</v>
      </c>
      <c r="AH66" s="298" t="n">
        <v>0</v>
      </c>
      <c r="AI66" s="298" t="n">
        <v>53296.23</v>
      </c>
      <c r="AM66" s="298" t="inlineStr">
        <is>
          <t>UP</t>
        </is>
      </c>
      <c r="AN66" s="298" t="inlineStr">
        <is>
          <t>overseas</t>
        </is>
      </c>
      <c r="AP66" s="298" t="inlineStr">
        <is>
          <t>item_level</t>
        </is>
      </c>
      <c r="AS66" s="298" t="n">
        <v>0</v>
      </c>
      <c r="AV66" s="298" t="n">
        <v>0</v>
      </c>
      <c r="AZ66" s="298" t="n">
        <v>53296.23</v>
      </c>
      <c r="BA66" s="298" t="inlineStr">
        <is>
          <t>entity_level</t>
        </is>
      </c>
      <c r="BC66" s="298" t="n">
        <v>0</v>
      </c>
      <c r="BD66" s="298" t="n">
        <v>0</v>
      </c>
      <c r="BM66" s="298" t="n">
        <v>0</v>
      </c>
      <c r="BQ66" s="298" t="inlineStr">
        <is>
          <t>service</t>
        </is>
      </c>
      <c r="BV66" s="298" t="inlineStr">
        <is>
          <t>eligible</t>
        </is>
      </c>
      <c r="BW66" s="298" t="n">
        <v>0</v>
      </c>
    </row>
    <row r="67" ht="13.8" customHeight="1" s="253">
      <c r="A67" s="499" t="n">
        <v>45678</v>
      </c>
      <c r="B67" s="499" t="n">
        <v>45678</v>
      </c>
      <c r="C67" s="298" t="n">
        <v>2.29715200000019e+18</v>
      </c>
      <c r="D67" s="298" t="inlineStr">
        <is>
          <t>ANTHROPIC</t>
        </is>
      </c>
      <c r="E67" s="298" t="n">
        <v>0</v>
      </c>
      <c r="F67" s="298" t="n">
        <v>0</v>
      </c>
      <c r="G67" s="298" t="inlineStr">
        <is>
          <t>Due On Receipt</t>
        </is>
      </c>
      <c r="H67" s="298" t="inlineStr">
        <is>
          <t>41AF6FAD-0017</t>
        </is>
      </c>
      <c r="J67" s="298" t="inlineStr">
        <is>
          <t>INR</t>
        </is>
      </c>
      <c r="K67" s="298" t="n">
        <v>1</v>
      </c>
      <c r="L67" s="298" t="n">
        <v>53204.85</v>
      </c>
      <c r="M67" s="298" t="n">
        <v>53204.85</v>
      </c>
      <c r="N67" s="298" t="n">
        <v>0</v>
      </c>
      <c r="R67" s="298" t="n">
        <v>0</v>
      </c>
      <c r="S67" s="298" t="inlineStr">
        <is>
          <t>Adjustment</t>
        </is>
      </c>
      <c r="Y67" s="298" t="inlineStr">
        <is>
          <t>Paid</t>
        </is>
      </c>
      <c r="Z67" s="298" t="inlineStr">
        <is>
          <t>ridhi25madan</t>
        </is>
      </c>
      <c r="AC67" s="298" t="inlineStr">
        <is>
          <t>Subscription charges</t>
        </is>
      </c>
      <c r="AE67" s="298" t="inlineStr">
        <is>
          <t>Subscription charges</t>
        </is>
      </c>
      <c r="AF67" s="298" t="n">
        <v>1</v>
      </c>
      <c r="AH67" s="298" t="n">
        <v>0</v>
      </c>
      <c r="AI67" s="298" t="n">
        <v>53204.85</v>
      </c>
      <c r="AM67" s="298" t="inlineStr">
        <is>
          <t>UP</t>
        </is>
      </c>
      <c r="AN67" s="298" t="inlineStr">
        <is>
          <t>overseas</t>
        </is>
      </c>
      <c r="AP67" s="298" t="inlineStr">
        <is>
          <t>item_level</t>
        </is>
      </c>
      <c r="AS67" s="298" t="n">
        <v>0</v>
      </c>
      <c r="AV67" s="298" t="n">
        <v>0</v>
      </c>
      <c r="AZ67" s="298" t="n">
        <v>53204.85</v>
      </c>
      <c r="BA67" s="298" t="inlineStr">
        <is>
          <t>entity_level</t>
        </is>
      </c>
      <c r="BC67" s="298" t="n">
        <v>0</v>
      </c>
      <c r="BD67" s="298" t="n">
        <v>0</v>
      </c>
      <c r="BM67" s="298" t="n">
        <v>0</v>
      </c>
      <c r="BQ67" s="298" t="inlineStr">
        <is>
          <t>service</t>
        </is>
      </c>
      <c r="BV67" s="298" t="inlineStr">
        <is>
          <t>eligible</t>
        </is>
      </c>
      <c r="BW67" s="298" t="n">
        <v>0</v>
      </c>
    </row>
    <row r="68" ht="13.8" customHeight="1" s="253">
      <c r="A68" s="499" t="n">
        <v>45685</v>
      </c>
      <c r="B68" s="499" t="n">
        <v>45685</v>
      </c>
      <c r="C68" s="298" t="n">
        <v>2.29715200000019e+18</v>
      </c>
      <c r="D68" s="298" t="inlineStr">
        <is>
          <t>ANTHROPIC</t>
        </is>
      </c>
      <c r="E68" s="298" t="n">
        <v>0</v>
      </c>
      <c r="F68" s="298" t="n">
        <v>0</v>
      </c>
      <c r="G68" s="298" t="inlineStr">
        <is>
          <t>Due On Receipt</t>
        </is>
      </c>
      <c r="H68" s="298" t="inlineStr">
        <is>
          <t>41AF6FAD-0018</t>
        </is>
      </c>
      <c r="J68" s="298" t="inlineStr">
        <is>
          <t>INR</t>
        </is>
      </c>
      <c r="K68" s="298" t="n">
        <v>1</v>
      </c>
      <c r="L68" s="298" t="n">
        <v>26561.94</v>
      </c>
      <c r="M68" s="298" t="n">
        <v>26561.94</v>
      </c>
      <c r="N68" s="298" t="n">
        <v>0</v>
      </c>
      <c r="R68" s="298" t="n">
        <v>0</v>
      </c>
      <c r="S68" s="298" t="inlineStr">
        <is>
          <t>Adjustment</t>
        </is>
      </c>
      <c r="Y68" s="298" t="inlineStr">
        <is>
          <t>Paid</t>
        </is>
      </c>
      <c r="Z68" s="298" t="inlineStr">
        <is>
          <t>ridhi25madan</t>
        </is>
      </c>
      <c r="AC68" s="298" t="inlineStr">
        <is>
          <t>Subscription charges</t>
        </is>
      </c>
      <c r="AE68" s="298" t="inlineStr">
        <is>
          <t>Subscription charges</t>
        </is>
      </c>
      <c r="AF68" s="298" t="n">
        <v>1</v>
      </c>
      <c r="AH68" s="298" t="n">
        <v>0</v>
      </c>
      <c r="AI68" s="298" t="n">
        <v>26561.94</v>
      </c>
      <c r="AM68" s="298" t="inlineStr">
        <is>
          <t>UP</t>
        </is>
      </c>
      <c r="AN68" s="298" t="inlineStr">
        <is>
          <t>overseas</t>
        </is>
      </c>
      <c r="AP68" s="298" t="inlineStr">
        <is>
          <t>item_level</t>
        </is>
      </c>
      <c r="AS68" s="298" t="n">
        <v>0</v>
      </c>
      <c r="AV68" s="298" t="n">
        <v>0</v>
      </c>
      <c r="AZ68" s="298" t="n">
        <v>26561.94</v>
      </c>
      <c r="BA68" s="298" t="inlineStr">
        <is>
          <t>entity_level</t>
        </is>
      </c>
      <c r="BC68" s="298" t="n">
        <v>0</v>
      </c>
      <c r="BD68" s="298" t="n">
        <v>0</v>
      </c>
      <c r="BM68" s="298" t="n">
        <v>0</v>
      </c>
      <c r="BQ68" s="298" t="inlineStr">
        <is>
          <t>service</t>
        </is>
      </c>
      <c r="BV68" s="298" t="inlineStr">
        <is>
          <t>eligible</t>
        </is>
      </c>
      <c r="BW68" s="298" t="n">
        <v>0</v>
      </c>
    </row>
    <row r="69" ht="13.8" customHeight="1" s="253">
      <c r="A69" s="499" t="n">
        <v>45687</v>
      </c>
      <c r="B69" s="499" t="n">
        <v>45687</v>
      </c>
      <c r="C69" s="298" t="n">
        <v>2.29715200000019e+18</v>
      </c>
      <c r="D69" s="298" t="inlineStr">
        <is>
          <t>CURSOR, AI POWERED</t>
        </is>
      </c>
      <c r="E69" s="298" t="n">
        <v>0</v>
      </c>
      <c r="F69" s="298" t="n">
        <v>0</v>
      </c>
      <c r="G69" s="298" t="inlineStr">
        <is>
          <t>Due On Receipt</t>
        </is>
      </c>
      <c r="H69" s="298" t="n">
        <v>3</v>
      </c>
      <c r="J69" s="298" t="inlineStr">
        <is>
          <t>INR</t>
        </is>
      </c>
      <c r="K69" s="298" t="n">
        <v>1</v>
      </c>
      <c r="L69" s="298" t="n">
        <v>1804.89</v>
      </c>
      <c r="M69" s="298" t="n">
        <v>1804.89</v>
      </c>
      <c r="N69" s="298" t="n">
        <v>0</v>
      </c>
      <c r="R69" s="298" t="n">
        <v>0</v>
      </c>
      <c r="S69" s="298" t="inlineStr">
        <is>
          <t>Adjustment</t>
        </is>
      </c>
      <c r="Y69" s="298" t="inlineStr">
        <is>
          <t>Paid</t>
        </is>
      </c>
      <c r="Z69" s="298" t="inlineStr">
        <is>
          <t>ridhi25madan</t>
        </is>
      </c>
      <c r="AC69" s="298" t="inlineStr">
        <is>
          <t>Subscription charges</t>
        </is>
      </c>
      <c r="AE69" s="298" t="inlineStr">
        <is>
          <t>Subscription charges</t>
        </is>
      </c>
      <c r="AF69" s="298" t="n">
        <v>1</v>
      </c>
      <c r="AH69" s="298" t="n">
        <v>0</v>
      </c>
      <c r="AI69" s="298" t="n">
        <v>1804.89</v>
      </c>
      <c r="AM69" s="298" t="inlineStr">
        <is>
          <t>UP</t>
        </is>
      </c>
      <c r="AN69" s="298" t="inlineStr">
        <is>
          <t>overseas</t>
        </is>
      </c>
      <c r="AP69" s="298" t="inlineStr">
        <is>
          <t>item_level</t>
        </is>
      </c>
      <c r="AS69" s="298" t="n">
        <v>0</v>
      </c>
      <c r="AV69" s="298" t="n">
        <v>0</v>
      </c>
      <c r="AZ69" s="298" t="n">
        <v>1804.89</v>
      </c>
      <c r="BA69" s="298" t="inlineStr">
        <is>
          <t>entity_level</t>
        </is>
      </c>
      <c r="BC69" s="298" t="n">
        <v>0</v>
      </c>
      <c r="BD69" s="298" t="n">
        <v>0</v>
      </c>
      <c r="BM69" s="298" t="n">
        <v>0</v>
      </c>
      <c r="BQ69" s="298" t="inlineStr">
        <is>
          <t>service</t>
        </is>
      </c>
      <c r="BV69" s="298" t="inlineStr">
        <is>
          <t>eligible</t>
        </is>
      </c>
      <c r="BW69" s="298" t="n">
        <v>0</v>
      </c>
    </row>
    <row r="70" ht="13.8" customHeight="1" s="253">
      <c r="A70" s="499" t="n">
        <v>45691</v>
      </c>
      <c r="B70" s="499" t="n">
        <v>45691</v>
      </c>
      <c r="C70" s="298" t="n">
        <v>2.29715200000019e+18</v>
      </c>
      <c r="D70" s="298" t="inlineStr">
        <is>
          <t>ANTHROPIC</t>
        </is>
      </c>
      <c r="E70" s="298" t="n">
        <v>0</v>
      </c>
      <c r="F70" s="298" t="n">
        <v>0</v>
      </c>
      <c r="G70" s="298" t="inlineStr">
        <is>
          <t>Due On Receipt</t>
        </is>
      </c>
      <c r="H70" s="298" t="inlineStr">
        <is>
          <t>41AF6FAD-0020</t>
        </is>
      </c>
      <c r="J70" s="298" t="inlineStr">
        <is>
          <t>INR</t>
        </is>
      </c>
      <c r="K70" s="298" t="n">
        <v>1</v>
      </c>
      <c r="L70" s="298" t="n">
        <v>26820.06</v>
      </c>
      <c r="M70" s="298" t="n">
        <v>26820.06</v>
      </c>
      <c r="N70" s="298" t="n">
        <v>0</v>
      </c>
      <c r="R70" s="298" t="n">
        <v>0</v>
      </c>
      <c r="S70" s="298" t="inlineStr">
        <is>
          <t>Adjustment</t>
        </is>
      </c>
      <c r="Y70" s="298" t="inlineStr">
        <is>
          <t>Paid</t>
        </is>
      </c>
      <c r="Z70" s="298" t="inlineStr">
        <is>
          <t>ridhi25madan</t>
        </is>
      </c>
      <c r="AC70" s="298" t="inlineStr">
        <is>
          <t>Subscription charges</t>
        </is>
      </c>
      <c r="AE70" s="298" t="inlineStr">
        <is>
          <t>Subscription charges</t>
        </is>
      </c>
      <c r="AF70" s="298" t="n">
        <v>1</v>
      </c>
      <c r="AH70" s="298" t="n">
        <v>0</v>
      </c>
      <c r="AI70" s="298" t="n">
        <v>26820.06</v>
      </c>
      <c r="AM70" s="298" t="inlineStr">
        <is>
          <t>UP</t>
        </is>
      </c>
      <c r="AN70" s="298" t="inlineStr">
        <is>
          <t>overseas</t>
        </is>
      </c>
      <c r="AP70" s="298" t="inlineStr">
        <is>
          <t>item_level</t>
        </is>
      </c>
      <c r="AS70" s="298" t="n">
        <v>0</v>
      </c>
      <c r="AV70" s="298" t="n">
        <v>0</v>
      </c>
      <c r="AZ70" s="298" t="n">
        <v>26820.06</v>
      </c>
      <c r="BA70" s="298" t="inlineStr">
        <is>
          <t>entity_level</t>
        </is>
      </c>
      <c r="BC70" s="298" t="n">
        <v>0</v>
      </c>
      <c r="BD70" s="298" t="n">
        <v>0</v>
      </c>
      <c r="BM70" s="298" t="n">
        <v>0</v>
      </c>
      <c r="BQ70" s="298" t="inlineStr">
        <is>
          <t>service</t>
        </is>
      </c>
      <c r="BV70" s="298" t="inlineStr">
        <is>
          <t>eligible</t>
        </is>
      </c>
      <c r="BW70" s="298" t="n">
        <v>0</v>
      </c>
    </row>
    <row r="71" ht="13.8" customHeight="1" s="253">
      <c r="A71" s="499" t="n">
        <v>45704</v>
      </c>
      <c r="B71" s="499" t="n">
        <v>45704</v>
      </c>
      <c r="C71" s="298" t="n">
        <v>2.29715200000019e+18</v>
      </c>
      <c r="D71" s="298" t="inlineStr">
        <is>
          <t>Indian Kanoon (IKanoon)</t>
        </is>
      </c>
      <c r="E71" s="298" t="n">
        <v>0</v>
      </c>
      <c r="F71" s="298" t="n">
        <v>0</v>
      </c>
      <c r="G71" s="298" t="inlineStr">
        <is>
          <t>Due On Receipt</t>
        </is>
      </c>
      <c r="H71" s="298" t="n">
        <v>6</v>
      </c>
      <c r="J71" s="298" t="inlineStr">
        <is>
          <t>INR</t>
        </is>
      </c>
      <c r="K71" s="298" t="n">
        <v>1</v>
      </c>
      <c r="L71" s="298" t="n">
        <v>11800</v>
      </c>
      <c r="M71" s="298" t="n">
        <v>11800</v>
      </c>
      <c r="N71" s="298" t="n">
        <v>0</v>
      </c>
      <c r="R71" s="298" t="n">
        <v>0</v>
      </c>
      <c r="S71" s="298" t="inlineStr">
        <is>
          <t>Adjustment</t>
        </is>
      </c>
      <c r="Y71" s="298" t="inlineStr">
        <is>
          <t>Paid</t>
        </is>
      </c>
      <c r="Z71" s="298" t="inlineStr">
        <is>
          <t>ridhi25madan</t>
        </is>
      </c>
      <c r="AC71" s="298" t="inlineStr">
        <is>
          <t>Subscription charges</t>
        </is>
      </c>
      <c r="AE71" s="298" t="inlineStr">
        <is>
          <t>Subscription charges</t>
        </is>
      </c>
      <c r="AF71" s="298" t="n">
        <v>1</v>
      </c>
      <c r="AH71" s="298" t="n">
        <v>0</v>
      </c>
      <c r="AI71" s="298" t="n">
        <v>11800</v>
      </c>
      <c r="AL71" s="298" t="inlineStr">
        <is>
          <t>KA</t>
        </is>
      </c>
      <c r="AM71" s="298" t="inlineStr">
        <is>
          <t>UP</t>
        </is>
      </c>
      <c r="AN71" s="298" t="inlineStr">
        <is>
          <t>business_gst</t>
        </is>
      </c>
      <c r="AO71" s="298" t="inlineStr">
        <is>
          <t>29AADCI5875P2ZM</t>
        </is>
      </c>
      <c r="AP71" s="298" t="inlineStr">
        <is>
          <t>item_level</t>
        </is>
      </c>
      <c r="AS71" s="298" t="n">
        <v>0</v>
      </c>
      <c r="AV71" s="298" t="n">
        <v>0</v>
      </c>
      <c r="AZ71" s="298" t="n">
        <v>11800</v>
      </c>
      <c r="BA71" s="298" t="inlineStr">
        <is>
          <t>entity_level</t>
        </is>
      </c>
      <c r="BC71" s="298" t="n">
        <v>0</v>
      </c>
      <c r="BD71" s="298" t="n">
        <v>0</v>
      </c>
      <c r="BM71" s="298" t="n">
        <v>0</v>
      </c>
      <c r="BQ71" s="298" t="inlineStr">
        <is>
          <t>service</t>
        </is>
      </c>
      <c r="BU71" s="298" t="inlineStr">
        <is>
          <t>Out of Scope</t>
        </is>
      </c>
      <c r="BW71" s="298" t="n">
        <v>0</v>
      </c>
    </row>
    <row r="72" ht="13.8" customHeight="1" s="253">
      <c r="A72" s="499" t="n">
        <v>45717</v>
      </c>
      <c r="B72" s="499" t="n">
        <v>45717</v>
      </c>
      <c r="C72" s="298" t="n">
        <v>2.29715200000019e+18</v>
      </c>
      <c r="D72" s="298" t="inlineStr">
        <is>
          <t>CURSOR, AI POWERED</t>
        </is>
      </c>
      <c r="E72" s="298" t="n">
        <v>0</v>
      </c>
      <c r="F72" s="298" t="n">
        <v>0</v>
      </c>
      <c r="G72" s="298" t="inlineStr">
        <is>
          <t>Due On Receipt</t>
        </is>
      </c>
      <c r="H72" s="298" t="n">
        <v>4</v>
      </c>
      <c r="J72" s="298" t="inlineStr">
        <is>
          <t>INR</t>
        </is>
      </c>
      <c r="K72" s="298" t="n">
        <v>1</v>
      </c>
      <c r="L72" s="298" t="n">
        <v>1824.06</v>
      </c>
      <c r="M72" s="298" t="n">
        <v>1824.06</v>
      </c>
      <c r="N72" s="298" t="n">
        <v>0</v>
      </c>
      <c r="R72" s="298" t="n">
        <v>0</v>
      </c>
      <c r="S72" s="298" t="inlineStr">
        <is>
          <t>Adjustment</t>
        </is>
      </c>
      <c r="Y72" s="298" t="inlineStr">
        <is>
          <t>Paid</t>
        </is>
      </c>
      <c r="Z72" s="298" t="inlineStr">
        <is>
          <t>ridhi25madan</t>
        </is>
      </c>
      <c r="AC72" s="298" t="inlineStr">
        <is>
          <t>Subscription charges</t>
        </is>
      </c>
      <c r="AE72" s="298" t="inlineStr">
        <is>
          <t>Subscription charges</t>
        </is>
      </c>
      <c r="AF72" s="298" t="n">
        <v>1</v>
      </c>
      <c r="AH72" s="298" t="n">
        <v>0</v>
      </c>
      <c r="AI72" s="298" t="n">
        <v>1824.06</v>
      </c>
      <c r="AM72" s="298" t="inlineStr">
        <is>
          <t>UP</t>
        </is>
      </c>
      <c r="AN72" s="298" t="inlineStr">
        <is>
          <t>overseas</t>
        </is>
      </c>
      <c r="AP72" s="298" t="inlineStr">
        <is>
          <t>item_level</t>
        </is>
      </c>
      <c r="AS72" s="298" t="n">
        <v>0</v>
      </c>
      <c r="AV72" s="298" t="n">
        <v>0</v>
      </c>
      <c r="AZ72" s="298" t="n">
        <v>1824.06</v>
      </c>
      <c r="BA72" s="298" t="inlineStr">
        <is>
          <t>entity_level</t>
        </is>
      </c>
      <c r="BC72" s="298" t="n">
        <v>0</v>
      </c>
      <c r="BD72" s="298" t="n">
        <v>0</v>
      </c>
      <c r="BM72" s="298" t="n">
        <v>0</v>
      </c>
      <c r="BQ72" s="298" t="inlineStr">
        <is>
          <t>service</t>
        </is>
      </c>
      <c r="BV72" s="298" t="inlineStr">
        <is>
          <t>eligible</t>
        </is>
      </c>
      <c r="BW72" s="298" t="n">
        <v>0</v>
      </c>
    </row>
    <row r="73" ht="13.8" customHeight="1" s="253">
      <c r="A73" s="499" t="n">
        <v>45719</v>
      </c>
      <c r="B73" s="499" t="n">
        <v>45719</v>
      </c>
      <c r="C73" s="298" t="n">
        <v>2.29715200000019e+18</v>
      </c>
      <c r="D73" s="298" t="inlineStr">
        <is>
          <t>SalesForce</t>
        </is>
      </c>
      <c r="E73" s="298" t="n">
        <v>0</v>
      </c>
      <c r="F73" s="298" t="n">
        <v>0</v>
      </c>
      <c r="G73" s="298" t="inlineStr">
        <is>
          <t>Due On Receipt</t>
        </is>
      </c>
      <c r="H73" s="298" t="inlineStr">
        <is>
          <t>Quote Number: Q-09344861</t>
        </is>
      </c>
      <c r="J73" s="298" t="inlineStr">
        <is>
          <t>INR</t>
        </is>
      </c>
      <c r="K73" s="298" t="n">
        <v>1</v>
      </c>
      <c r="L73" s="298" t="n">
        <v>20326.68</v>
      </c>
      <c r="M73" s="298" t="n">
        <v>20326.68</v>
      </c>
      <c r="N73" s="298" t="n">
        <v>0</v>
      </c>
      <c r="R73" s="298" t="n">
        <v>0</v>
      </c>
      <c r="S73" s="298" t="inlineStr">
        <is>
          <t>Adjustment</t>
        </is>
      </c>
      <c r="Y73" s="298" t="inlineStr">
        <is>
          <t>Paid</t>
        </is>
      </c>
      <c r="Z73" s="298" t="inlineStr">
        <is>
          <t>ridhi25madan</t>
        </is>
      </c>
      <c r="AC73" s="298" t="inlineStr">
        <is>
          <t>Subscription charges</t>
        </is>
      </c>
      <c r="AE73" s="298" t="inlineStr">
        <is>
          <t>Subs charges</t>
        </is>
      </c>
      <c r="AF73" s="298" t="n">
        <v>1</v>
      </c>
      <c r="AH73" s="298" t="n">
        <v>0</v>
      </c>
      <c r="AI73" s="298" t="n">
        <v>20326.68</v>
      </c>
      <c r="AL73" s="298" t="inlineStr">
        <is>
          <t>KA</t>
        </is>
      </c>
      <c r="AM73" s="298" t="inlineStr">
        <is>
          <t>UP</t>
        </is>
      </c>
      <c r="AN73" s="298" t="inlineStr">
        <is>
          <t>business_gst</t>
        </is>
      </c>
      <c r="AO73" s="298" t="inlineStr">
        <is>
          <t>29AAJCS3582R1ZB</t>
        </is>
      </c>
      <c r="AP73" s="298" t="inlineStr">
        <is>
          <t>item_level</t>
        </is>
      </c>
      <c r="AS73" s="298" t="n">
        <v>0</v>
      </c>
      <c r="AV73" s="298" t="n">
        <v>0</v>
      </c>
      <c r="AZ73" s="298" t="n">
        <v>20326.68</v>
      </c>
      <c r="BA73" s="298" t="inlineStr">
        <is>
          <t>entity_level</t>
        </is>
      </c>
      <c r="BC73" s="298" t="n">
        <v>0</v>
      </c>
      <c r="BD73" s="298" t="n">
        <v>0</v>
      </c>
      <c r="BM73" s="298" t="n">
        <v>0</v>
      </c>
      <c r="BQ73" s="298" t="inlineStr">
        <is>
          <t>service</t>
        </is>
      </c>
      <c r="BU73" s="298" t="inlineStr">
        <is>
          <t>Out of Scope</t>
        </is>
      </c>
      <c r="BW73" s="298" t="n">
        <v>0</v>
      </c>
    </row>
    <row r="74" ht="13.8" customHeight="1" s="253">
      <c r="A74" s="499" t="n">
        <v>45746</v>
      </c>
      <c r="B74" s="499" t="n">
        <v>45746</v>
      </c>
      <c r="C74" s="298" t="n">
        <v>2.29715200000019e+18</v>
      </c>
      <c r="D74" s="298" t="inlineStr">
        <is>
          <t>CURSOR, AI POWERED</t>
        </is>
      </c>
      <c r="E74" s="298" t="n">
        <v>0</v>
      </c>
      <c r="F74" s="298" t="n">
        <v>0</v>
      </c>
      <c r="G74" s="298" t="inlineStr">
        <is>
          <t>Due On Receipt</t>
        </is>
      </c>
      <c r="H74" s="298" t="n">
        <v>5</v>
      </c>
      <c r="J74" s="298" t="inlineStr">
        <is>
          <t>INR</t>
        </is>
      </c>
      <c r="K74" s="298" t="n">
        <v>1</v>
      </c>
      <c r="L74" s="298" t="n">
        <v>1786.19</v>
      </c>
      <c r="M74" s="298" t="n">
        <v>1786.19</v>
      </c>
      <c r="N74" s="298" t="n">
        <v>0</v>
      </c>
      <c r="R74" s="298" t="n">
        <v>0</v>
      </c>
      <c r="S74" s="298" t="inlineStr">
        <is>
          <t>Adjustment</t>
        </is>
      </c>
      <c r="Y74" s="298" t="inlineStr">
        <is>
          <t>Paid</t>
        </is>
      </c>
      <c r="Z74" s="298" t="inlineStr">
        <is>
          <t>ridhi25madan</t>
        </is>
      </c>
      <c r="AC74" s="298" t="inlineStr">
        <is>
          <t>Subscription charges</t>
        </is>
      </c>
      <c r="AE74" s="298" t="inlineStr">
        <is>
          <t>Subscription charges</t>
        </is>
      </c>
      <c r="AF74" s="298" t="n">
        <v>1</v>
      </c>
      <c r="AH74" s="298" t="n">
        <v>0</v>
      </c>
      <c r="AI74" s="298" t="n">
        <v>1786.19</v>
      </c>
      <c r="AM74" s="298" t="inlineStr">
        <is>
          <t>UP</t>
        </is>
      </c>
      <c r="AN74" s="298" t="inlineStr">
        <is>
          <t>overseas</t>
        </is>
      </c>
      <c r="AP74" s="298" t="inlineStr">
        <is>
          <t>item_level</t>
        </is>
      </c>
      <c r="AS74" s="298" t="n">
        <v>0</v>
      </c>
      <c r="AV74" s="298" t="n">
        <v>0</v>
      </c>
      <c r="AZ74" s="298" t="n">
        <v>1786.19</v>
      </c>
      <c r="BA74" s="298" t="inlineStr">
        <is>
          <t>entity_level</t>
        </is>
      </c>
      <c r="BC74" s="298" t="n">
        <v>0</v>
      </c>
      <c r="BD74" s="298" t="n">
        <v>0</v>
      </c>
      <c r="BM74" s="298" t="n">
        <v>0</v>
      </c>
      <c r="BQ74" s="298" t="inlineStr">
        <is>
          <t>service</t>
        </is>
      </c>
      <c r="BV74" s="298" t="inlineStr">
        <is>
          <t>eligible</t>
        </is>
      </c>
      <c r="BW74" s="298" t="n">
        <v>0</v>
      </c>
    </row>
    <row r="75" ht="13.8" customHeight="1" s="253">
      <c r="A75" s="499" t="n">
        <v>45598</v>
      </c>
      <c r="B75" s="499" t="n">
        <v>45598</v>
      </c>
      <c r="C75" s="298" t="n">
        <v>2.29715200000019e+18</v>
      </c>
      <c r="D75" s="298" t="inlineStr">
        <is>
          <t>Indian Kanoon (IKanoon)</t>
        </is>
      </c>
      <c r="E75" s="298" t="n">
        <v>0</v>
      </c>
      <c r="F75" s="298" t="n">
        <v>0</v>
      </c>
      <c r="G75" s="298" t="inlineStr">
        <is>
          <t>Due On Receipt</t>
        </is>
      </c>
      <c r="H75" s="298" t="n">
        <v>7</v>
      </c>
      <c r="J75" s="298" t="inlineStr">
        <is>
          <t>INR</t>
        </is>
      </c>
      <c r="K75" s="298" t="n">
        <v>1</v>
      </c>
      <c r="L75" s="298" t="n">
        <v>3540</v>
      </c>
      <c r="M75" s="298" t="n">
        <v>3540</v>
      </c>
      <c r="N75" s="298" t="n">
        <v>0</v>
      </c>
      <c r="R75" s="298" t="n">
        <v>0</v>
      </c>
      <c r="S75" s="298" t="inlineStr">
        <is>
          <t>Adjustment</t>
        </is>
      </c>
      <c r="Y75" s="298" t="inlineStr">
        <is>
          <t>Paid</t>
        </is>
      </c>
      <c r="Z75" s="298" t="inlineStr">
        <is>
          <t>ridhi25madan</t>
        </is>
      </c>
      <c r="AC75" s="298" t="inlineStr">
        <is>
          <t>Subscription charges</t>
        </is>
      </c>
      <c r="AE75" s="298" t="inlineStr">
        <is>
          <t>Subscription charges</t>
        </is>
      </c>
      <c r="AF75" s="298" t="n">
        <v>1</v>
      </c>
      <c r="AH75" s="298" t="n">
        <v>0</v>
      </c>
      <c r="AI75" s="298" t="n">
        <v>3540</v>
      </c>
      <c r="AL75" s="298" t="inlineStr">
        <is>
          <t>KA</t>
        </is>
      </c>
      <c r="AM75" s="298" t="inlineStr">
        <is>
          <t>UP</t>
        </is>
      </c>
      <c r="AN75" s="298" t="inlineStr">
        <is>
          <t>business_gst</t>
        </is>
      </c>
      <c r="AO75" s="298" t="inlineStr">
        <is>
          <t>29AADCI5875P2ZM</t>
        </is>
      </c>
      <c r="AP75" s="298" t="inlineStr">
        <is>
          <t>item_level</t>
        </is>
      </c>
      <c r="AS75" s="298" t="n">
        <v>0</v>
      </c>
      <c r="AV75" s="298" t="n">
        <v>0</v>
      </c>
      <c r="AZ75" s="298" t="n">
        <v>3540</v>
      </c>
      <c r="BA75" s="298" t="inlineStr">
        <is>
          <t>entity_level</t>
        </is>
      </c>
      <c r="BC75" s="298" t="n">
        <v>0</v>
      </c>
      <c r="BD75" s="298" t="n">
        <v>0</v>
      </c>
      <c r="BM75" s="298" t="n">
        <v>0</v>
      </c>
      <c r="BQ75" s="298" t="inlineStr">
        <is>
          <t>service</t>
        </is>
      </c>
      <c r="BU75" s="298" t="inlineStr">
        <is>
          <t>Out of Scope</t>
        </is>
      </c>
      <c r="BW75" s="298" t="n">
        <v>0</v>
      </c>
    </row>
    <row r="76" ht="13.8" customHeight="1" s="253">
      <c r="A76" s="499" t="n">
        <v>45584</v>
      </c>
      <c r="B76" s="499" t="n">
        <v>45584</v>
      </c>
      <c r="C76" s="298" t="n">
        <v>2.29715200000019e+18</v>
      </c>
      <c r="D76" s="298" t="inlineStr">
        <is>
          <t>Indian Kanoon (IKanoon)</t>
        </is>
      </c>
      <c r="E76" s="298" t="n">
        <v>0</v>
      </c>
      <c r="F76" s="298" t="n">
        <v>0</v>
      </c>
      <c r="G76" s="298" t="inlineStr">
        <is>
          <t>Due On Receipt</t>
        </is>
      </c>
      <c r="H76" s="298" t="n">
        <v>8</v>
      </c>
      <c r="J76" s="298" t="inlineStr">
        <is>
          <t>INR</t>
        </is>
      </c>
      <c r="K76" s="298" t="n">
        <v>1</v>
      </c>
      <c r="L76" s="298" t="n">
        <v>3540</v>
      </c>
      <c r="M76" s="298" t="n">
        <v>3540</v>
      </c>
      <c r="N76" s="298" t="n">
        <v>0</v>
      </c>
      <c r="R76" s="298" t="n">
        <v>0</v>
      </c>
      <c r="S76" s="298" t="inlineStr">
        <is>
          <t>Adjustment</t>
        </is>
      </c>
      <c r="Y76" s="298" t="inlineStr">
        <is>
          <t>Paid</t>
        </is>
      </c>
      <c r="Z76" s="298" t="inlineStr">
        <is>
          <t>ridhi25madan</t>
        </is>
      </c>
      <c r="AC76" s="298" t="inlineStr">
        <is>
          <t>Subscription charges</t>
        </is>
      </c>
      <c r="AE76" s="298" t="inlineStr">
        <is>
          <t>Subscription charges</t>
        </is>
      </c>
      <c r="AF76" s="298" t="n">
        <v>1</v>
      </c>
      <c r="AH76" s="298" t="n">
        <v>0</v>
      </c>
      <c r="AI76" s="298" t="n">
        <v>3540</v>
      </c>
      <c r="AL76" s="298" t="inlineStr">
        <is>
          <t>KA</t>
        </is>
      </c>
      <c r="AM76" s="298" t="inlineStr">
        <is>
          <t>UP</t>
        </is>
      </c>
      <c r="AN76" s="298" t="inlineStr">
        <is>
          <t>business_gst</t>
        </is>
      </c>
      <c r="AO76" s="298" t="inlineStr">
        <is>
          <t>29AADCI5875P2ZM</t>
        </is>
      </c>
      <c r="AP76" s="298" t="inlineStr">
        <is>
          <t>item_level</t>
        </is>
      </c>
      <c r="AS76" s="298" t="n">
        <v>0</v>
      </c>
      <c r="AV76" s="298" t="n">
        <v>0</v>
      </c>
      <c r="AZ76" s="298" t="n">
        <v>3540</v>
      </c>
      <c r="BA76" s="298" t="inlineStr">
        <is>
          <t>entity_level</t>
        </is>
      </c>
      <c r="BC76" s="298" t="n">
        <v>0</v>
      </c>
      <c r="BD76" s="298" t="n">
        <v>0</v>
      </c>
      <c r="BM76" s="298" t="n">
        <v>0</v>
      </c>
      <c r="BQ76" s="298" t="inlineStr">
        <is>
          <t>service</t>
        </is>
      </c>
      <c r="BU76" s="298" t="inlineStr">
        <is>
          <t>Out of Scope</t>
        </is>
      </c>
      <c r="BW76" s="298" t="n">
        <v>0</v>
      </c>
    </row>
    <row r="77" ht="13.8" customHeight="1" s="253">
      <c r="A77" s="499" t="n">
        <v>45671</v>
      </c>
      <c r="B77" s="499" t="n">
        <v>45671</v>
      </c>
      <c r="C77" s="298" t="n">
        <v>2.29715200000019e+18</v>
      </c>
      <c r="D77" s="298" t="inlineStr">
        <is>
          <t>TECHNOWIRE DATA</t>
        </is>
      </c>
      <c r="E77" s="298" t="n">
        <v>0</v>
      </c>
      <c r="F77" s="298" t="n">
        <v>0</v>
      </c>
      <c r="G77" s="298" t="inlineStr">
        <is>
          <t>Due On Receipt</t>
        </is>
      </c>
      <c r="H77" s="298" t="n">
        <v>1</v>
      </c>
      <c r="J77" s="298" t="inlineStr">
        <is>
          <t>INR</t>
        </is>
      </c>
      <c r="K77" s="298" t="n">
        <v>1</v>
      </c>
      <c r="L77" s="298" t="n">
        <v>3422</v>
      </c>
      <c r="M77" s="298" t="n">
        <v>3422</v>
      </c>
      <c r="N77" s="298" t="n">
        <v>0</v>
      </c>
      <c r="R77" s="298" t="n">
        <v>0</v>
      </c>
      <c r="S77" s="298" t="inlineStr">
        <is>
          <t>Adjustment</t>
        </is>
      </c>
      <c r="Y77" s="298" t="inlineStr">
        <is>
          <t>Paid</t>
        </is>
      </c>
      <c r="Z77" s="298" t="inlineStr">
        <is>
          <t>ridhi25madan</t>
        </is>
      </c>
      <c r="AC77" s="298" t="inlineStr">
        <is>
          <t>Subscription charges</t>
        </is>
      </c>
      <c r="AE77" s="298" t="inlineStr">
        <is>
          <t>Subscription</t>
        </is>
      </c>
      <c r="AF77" s="298" t="n">
        <v>1</v>
      </c>
      <c r="AH77" s="298" t="n">
        <v>0</v>
      </c>
      <c r="AI77" s="298" t="n">
        <v>3422</v>
      </c>
      <c r="AL77" s="298" t="inlineStr">
        <is>
          <t>GJ</t>
        </is>
      </c>
      <c r="AM77" s="298" t="inlineStr">
        <is>
          <t>UP</t>
        </is>
      </c>
      <c r="AN77" s="298" t="inlineStr">
        <is>
          <t>business_none</t>
        </is>
      </c>
      <c r="AP77" s="298" t="inlineStr">
        <is>
          <t>item_level</t>
        </is>
      </c>
      <c r="AS77" s="298" t="n">
        <v>0</v>
      </c>
      <c r="AV77" s="298" t="n">
        <v>0</v>
      </c>
      <c r="AZ77" s="298" t="n">
        <v>3422</v>
      </c>
      <c r="BA77" s="298" t="inlineStr">
        <is>
          <t>entity_level</t>
        </is>
      </c>
      <c r="BC77" s="298" t="n">
        <v>0</v>
      </c>
      <c r="BD77" s="298" t="n">
        <v>0</v>
      </c>
      <c r="BM77" s="298" t="n">
        <v>0</v>
      </c>
      <c r="BQ77" s="298" t="inlineStr">
        <is>
          <t>service</t>
        </is>
      </c>
      <c r="BV77" s="298" t="inlineStr">
        <is>
          <t>eligible</t>
        </is>
      </c>
      <c r="BW77" s="298" t="n">
        <v>0</v>
      </c>
    </row>
    <row r="78" ht="13.8" customHeight="1" s="253">
      <c r="A78" s="499" t="n">
        <v>45677</v>
      </c>
      <c r="B78" s="499" t="n">
        <v>45677</v>
      </c>
      <c r="C78" s="298" t="n">
        <v>2.29715200000019e+18</v>
      </c>
      <c r="D78" s="298" t="inlineStr">
        <is>
          <t>TECHNOWIRE DATA</t>
        </is>
      </c>
      <c r="E78" s="298" t="n">
        <v>0</v>
      </c>
      <c r="F78" s="298" t="n">
        <v>0</v>
      </c>
      <c r="G78" s="298" t="inlineStr">
        <is>
          <t>Due On Receipt</t>
        </is>
      </c>
      <c r="H78" s="298" t="n">
        <v>2</v>
      </c>
      <c r="J78" s="298" t="inlineStr">
        <is>
          <t>INR</t>
        </is>
      </c>
      <c r="K78" s="298" t="n">
        <v>1</v>
      </c>
      <c r="L78" s="298" t="n">
        <v>4012</v>
      </c>
      <c r="M78" s="298" t="n">
        <v>4012</v>
      </c>
      <c r="N78" s="298" t="n">
        <v>0</v>
      </c>
      <c r="R78" s="298" t="n">
        <v>0</v>
      </c>
      <c r="S78" s="298" t="inlineStr">
        <is>
          <t>Adjustment</t>
        </is>
      </c>
      <c r="Y78" s="298" t="inlineStr">
        <is>
          <t>Paid</t>
        </is>
      </c>
      <c r="Z78" s="298" t="inlineStr">
        <is>
          <t>ridhi25madan</t>
        </is>
      </c>
      <c r="AC78" s="298" t="inlineStr">
        <is>
          <t>Subscription charges</t>
        </is>
      </c>
      <c r="AE78" s="298" t="inlineStr">
        <is>
          <t>Subscription</t>
        </is>
      </c>
      <c r="AF78" s="298" t="n">
        <v>1</v>
      </c>
      <c r="AH78" s="298" t="n">
        <v>0</v>
      </c>
      <c r="AI78" s="298" t="n">
        <v>4012</v>
      </c>
      <c r="AL78" s="298" t="inlineStr">
        <is>
          <t>GJ</t>
        </is>
      </c>
      <c r="AM78" s="298" t="inlineStr">
        <is>
          <t>UP</t>
        </is>
      </c>
      <c r="AN78" s="298" t="inlineStr">
        <is>
          <t>business_none</t>
        </is>
      </c>
      <c r="AP78" s="298" t="inlineStr">
        <is>
          <t>item_level</t>
        </is>
      </c>
      <c r="AS78" s="298" t="n">
        <v>0</v>
      </c>
      <c r="AV78" s="298" t="n">
        <v>0</v>
      </c>
      <c r="AZ78" s="298" t="n">
        <v>4012</v>
      </c>
      <c r="BA78" s="298" t="inlineStr">
        <is>
          <t>entity_level</t>
        </is>
      </c>
      <c r="BC78" s="298" t="n">
        <v>0</v>
      </c>
      <c r="BD78" s="298" t="n">
        <v>0</v>
      </c>
      <c r="BM78" s="298" t="n">
        <v>0</v>
      </c>
      <c r="BQ78" s="298" t="inlineStr">
        <is>
          <t>service</t>
        </is>
      </c>
      <c r="BV78" s="298" t="inlineStr">
        <is>
          <t>eligible</t>
        </is>
      </c>
      <c r="BW78" s="298" t="n">
        <v>0</v>
      </c>
    </row>
    <row r="79" ht="13.8" customHeight="1" s="253">
      <c r="A79" s="499" t="n">
        <v>45699</v>
      </c>
      <c r="B79" s="499" t="n">
        <v>45699</v>
      </c>
      <c r="C79" s="298" t="n">
        <v>2.29715200000019e+18</v>
      </c>
      <c r="D79" s="298" t="inlineStr">
        <is>
          <t>TECHNOWIRE DATA</t>
        </is>
      </c>
      <c r="E79" s="298" t="n">
        <v>0</v>
      </c>
      <c r="F79" s="298" t="n">
        <v>0</v>
      </c>
      <c r="G79" s="298" t="inlineStr">
        <is>
          <t>Due On Receipt</t>
        </is>
      </c>
      <c r="H79" s="298" t="n">
        <v>3</v>
      </c>
      <c r="J79" s="298" t="inlineStr">
        <is>
          <t>INR</t>
        </is>
      </c>
      <c r="K79" s="298" t="n">
        <v>1</v>
      </c>
      <c r="L79" s="298" t="n">
        <v>23585</v>
      </c>
      <c r="M79" s="298" t="n">
        <v>23585</v>
      </c>
      <c r="N79" s="298" t="n">
        <v>0</v>
      </c>
      <c r="R79" s="298" t="n">
        <v>0</v>
      </c>
      <c r="S79" s="298" t="inlineStr">
        <is>
          <t>Adjustment</t>
        </is>
      </c>
      <c r="Y79" s="298" t="inlineStr">
        <is>
          <t>Paid</t>
        </is>
      </c>
      <c r="Z79" s="298" t="inlineStr">
        <is>
          <t>ridhi25madan</t>
        </is>
      </c>
      <c r="AC79" s="298" t="inlineStr">
        <is>
          <t>Subscription charges</t>
        </is>
      </c>
      <c r="AE79" s="298" t="inlineStr">
        <is>
          <t>Subscription</t>
        </is>
      </c>
      <c r="AF79" s="298" t="n">
        <v>1</v>
      </c>
      <c r="AH79" s="298" t="n">
        <v>0</v>
      </c>
      <c r="AI79" s="298" t="n">
        <v>23585</v>
      </c>
      <c r="AL79" s="298" t="inlineStr">
        <is>
          <t>GJ</t>
        </is>
      </c>
      <c r="AM79" s="298" t="inlineStr">
        <is>
          <t>UP</t>
        </is>
      </c>
      <c r="AN79" s="298" t="inlineStr">
        <is>
          <t>business_none</t>
        </is>
      </c>
      <c r="AP79" s="298" t="inlineStr">
        <is>
          <t>item_level</t>
        </is>
      </c>
      <c r="AS79" s="298" t="n">
        <v>0</v>
      </c>
      <c r="AV79" s="298" t="n">
        <v>0</v>
      </c>
      <c r="AZ79" s="298" t="n">
        <v>23585</v>
      </c>
      <c r="BA79" s="298" t="inlineStr">
        <is>
          <t>entity_level</t>
        </is>
      </c>
      <c r="BC79" s="298" t="n">
        <v>0</v>
      </c>
      <c r="BD79" s="298" t="n">
        <v>0</v>
      </c>
      <c r="BM79" s="298" t="n">
        <v>0</v>
      </c>
      <c r="BQ79" s="298" t="inlineStr">
        <is>
          <t>service</t>
        </is>
      </c>
      <c r="BV79" s="298" t="inlineStr">
        <is>
          <t>eligible</t>
        </is>
      </c>
      <c r="BW79" s="298" t="n">
        <v>0</v>
      </c>
    </row>
    <row r="80" ht="13.8" customHeight="1" s="253">
      <c r="A80" s="499" t="n">
        <v>45741</v>
      </c>
      <c r="B80" s="499" t="n">
        <v>45741</v>
      </c>
      <c r="C80" s="298" t="n">
        <v>2.29715200000019e+18</v>
      </c>
      <c r="D80" s="298" t="inlineStr">
        <is>
          <t>TECHNOWIRE DATA</t>
        </is>
      </c>
      <c r="E80" s="298" t="n">
        <v>0</v>
      </c>
      <c r="F80" s="298" t="n">
        <v>0</v>
      </c>
      <c r="G80" s="298" t="inlineStr">
        <is>
          <t>Due On Receipt</t>
        </is>
      </c>
      <c r="H80" s="298" t="n">
        <v>4</v>
      </c>
      <c r="J80" s="298" t="inlineStr">
        <is>
          <t>INR</t>
        </is>
      </c>
      <c r="K80" s="298" t="n">
        <v>1</v>
      </c>
      <c r="L80" s="298" t="n">
        <v>15310</v>
      </c>
      <c r="M80" s="298" t="n">
        <v>15310</v>
      </c>
      <c r="N80" s="298" t="n">
        <v>0</v>
      </c>
      <c r="R80" s="298" t="n">
        <v>0</v>
      </c>
      <c r="S80" s="298" t="inlineStr">
        <is>
          <t>Adjustment</t>
        </is>
      </c>
      <c r="Y80" s="298" t="inlineStr">
        <is>
          <t>Paid</t>
        </is>
      </c>
      <c r="Z80" s="298" t="inlineStr">
        <is>
          <t>ridhi25madan</t>
        </is>
      </c>
      <c r="AC80" s="298" t="inlineStr">
        <is>
          <t>Subscription charges</t>
        </is>
      </c>
      <c r="AE80" s="298" t="inlineStr">
        <is>
          <t>Subscription</t>
        </is>
      </c>
      <c r="AF80" s="298" t="n">
        <v>1</v>
      </c>
      <c r="AH80" s="298" t="n">
        <v>0</v>
      </c>
      <c r="AI80" s="298" t="n">
        <v>15310</v>
      </c>
      <c r="AL80" s="298" t="inlineStr">
        <is>
          <t>GJ</t>
        </is>
      </c>
      <c r="AM80" s="298" t="inlineStr">
        <is>
          <t>UP</t>
        </is>
      </c>
      <c r="AN80" s="298" t="inlineStr">
        <is>
          <t>business_none</t>
        </is>
      </c>
      <c r="AP80" s="298" t="inlineStr">
        <is>
          <t>item_level</t>
        </is>
      </c>
      <c r="AS80" s="298" t="n">
        <v>0</v>
      </c>
      <c r="AV80" s="298" t="n">
        <v>0</v>
      </c>
      <c r="AZ80" s="298" t="n">
        <v>15310</v>
      </c>
      <c r="BA80" s="298" t="inlineStr">
        <is>
          <t>entity_level</t>
        </is>
      </c>
      <c r="BC80" s="298" t="n">
        <v>0</v>
      </c>
      <c r="BD80" s="298" t="n">
        <v>0</v>
      </c>
      <c r="BM80" s="298" t="n">
        <v>0</v>
      </c>
      <c r="BQ80" s="298" t="inlineStr">
        <is>
          <t>service</t>
        </is>
      </c>
      <c r="BV80" s="298" t="inlineStr">
        <is>
          <t>eligible</t>
        </is>
      </c>
      <c r="BW80" s="298" t="n">
        <v>0</v>
      </c>
    </row>
    <row r="81" ht="13.8" customHeight="1" s="253">
      <c r="A81" s="499" t="n">
        <v>45716</v>
      </c>
      <c r="B81" s="499" t="n">
        <v>45716</v>
      </c>
      <c r="C81" s="298" t="n">
        <v>2.29715200000023e+18</v>
      </c>
      <c r="D81" s="298" t="inlineStr">
        <is>
          <t>JAYANTH BJ</t>
        </is>
      </c>
      <c r="E81" s="298" t="n">
        <v>0</v>
      </c>
      <c r="F81" s="298" t="n">
        <v>0</v>
      </c>
      <c r="G81" s="298" t="inlineStr">
        <is>
          <t>Due On Receipt</t>
        </is>
      </c>
      <c r="H81" s="298" t="n">
        <v>6</v>
      </c>
      <c r="J81" s="298" t="inlineStr">
        <is>
          <t>INR</t>
        </is>
      </c>
      <c r="K81" s="298" t="n">
        <v>1</v>
      </c>
      <c r="L81" s="298" t="n">
        <v>126846</v>
      </c>
      <c r="M81" s="298" t="n">
        <v>126846</v>
      </c>
      <c r="N81" s="298" t="n">
        <v>126846</v>
      </c>
      <c r="R81" s="298" t="n">
        <v>0</v>
      </c>
      <c r="S81" s="298" t="inlineStr">
        <is>
          <t>Adjustment</t>
        </is>
      </c>
      <c r="Y81" s="298" t="inlineStr">
        <is>
          <t>Overdue</t>
        </is>
      </c>
      <c r="Z81" s="298" t="inlineStr">
        <is>
          <t>ridhi25madan</t>
        </is>
      </c>
      <c r="AC81" s="298" t="inlineStr">
        <is>
          <t>Content Writing Exp.</t>
        </is>
      </c>
      <c r="AE81" s="298" t="inlineStr">
        <is>
          <t>content Writing</t>
        </is>
      </c>
      <c r="AF81" s="298" t="n">
        <v>1</v>
      </c>
      <c r="AH81" s="298" t="n">
        <v>0</v>
      </c>
      <c r="AI81" s="298" t="n">
        <v>126846</v>
      </c>
      <c r="AL81" s="298" t="inlineStr">
        <is>
          <t>UP</t>
        </is>
      </c>
      <c r="AM81" s="298" t="inlineStr">
        <is>
          <t>UP</t>
        </is>
      </c>
      <c r="AN81" s="298" t="inlineStr">
        <is>
          <t>business_none</t>
        </is>
      </c>
      <c r="AP81" s="298" t="inlineStr">
        <is>
          <t>item_level</t>
        </is>
      </c>
      <c r="AS81" s="298" t="n">
        <v>0</v>
      </c>
      <c r="AV81" s="298" t="n">
        <v>0</v>
      </c>
      <c r="AZ81" s="298" t="n">
        <v>126846</v>
      </c>
      <c r="BA81" s="298" t="inlineStr">
        <is>
          <t>entity_level</t>
        </is>
      </c>
      <c r="BC81" s="298" t="n">
        <v>0</v>
      </c>
      <c r="BD81" s="298" t="n">
        <v>0</v>
      </c>
      <c r="BM81" s="298" t="n">
        <v>0</v>
      </c>
      <c r="BQ81" s="298" t="inlineStr">
        <is>
          <t>service</t>
        </is>
      </c>
      <c r="BV81" s="298" t="inlineStr">
        <is>
          <t>eligible</t>
        </is>
      </c>
      <c r="BW81" s="298" t="n">
        <v>0</v>
      </c>
    </row>
    <row r="82" ht="13.8" customHeight="1" s="253">
      <c r="A82" s="499" t="n">
        <v>45747</v>
      </c>
      <c r="B82" s="499" t="n">
        <v>45747</v>
      </c>
      <c r="C82" s="298" t="n">
        <v>2.29715200000023e+18</v>
      </c>
      <c r="D82" s="298" t="inlineStr">
        <is>
          <t>JAYANTH BJ</t>
        </is>
      </c>
      <c r="E82" s="298" t="n">
        <v>0</v>
      </c>
      <c r="F82" s="298" t="n">
        <v>0</v>
      </c>
      <c r="G82" s="298" t="inlineStr">
        <is>
          <t>Due On Receipt</t>
        </is>
      </c>
      <c r="H82" s="298" t="n">
        <v>7</v>
      </c>
      <c r="J82" s="298" t="inlineStr">
        <is>
          <t>INR</t>
        </is>
      </c>
      <c r="K82" s="298" t="n">
        <v>1</v>
      </c>
      <c r="L82" s="298" t="n">
        <v>89795</v>
      </c>
      <c r="M82" s="298" t="n">
        <v>89795</v>
      </c>
      <c r="N82" s="298" t="n">
        <v>89795</v>
      </c>
      <c r="R82" s="298" t="n">
        <v>0</v>
      </c>
      <c r="S82" s="298" t="inlineStr">
        <is>
          <t>Adjustment</t>
        </is>
      </c>
      <c r="Y82" s="298" t="inlineStr">
        <is>
          <t>Overdue</t>
        </is>
      </c>
      <c r="Z82" s="298" t="inlineStr">
        <is>
          <t>ridhi25madan</t>
        </is>
      </c>
      <c r="AC82" s="298" t="inlineStr">
        <is>
          <t>Content Writing Exp.</t>
        </is>
      </c>
      <c r="AE82" s="298" t="inlineStr">
        <is>
          <t>content Writing</t>
        </is>
      </c>
      <c r="AF82" s="298" t="n">
        <v>1</v>
      </c>
      <c r="AH82" s="298" t="n">
        <v>0</v>
      </c>
      <c r="AI82" s="298" t="n">
        <v>89795</v>
      </c>
      <c r="AL82" s="298" t="inlineStr">
        <is>
          <t>UP</t>
        </is>
      </c>
      <c r="AM82" s="298" t="inlineStr">
        <is>
          <t>UP</t>
        </is>
      </c>
      <c r="AN82" s="298" t="inlineStr">
        <is>
          <t>business_none</t>
        </is>
      </c>
      <c r="AP82" s="298" t="inlineStr">
        <is>
          <t>item_level</t>
        </is>
      </c>
      <c r="AS82" s="298" t="n">
        <v>0</v>
      </c>
      <c r="AV82" s="298" t="n">
        <v>0</v>
      </c>
      <c r="AZ82" s="298" t="n">
        <v>89795</v>
      </c>
      <c r="BA82" s="298" t="inlineStr">
        <is>
          <t>entity_level</t>
        </is>
      </c>
      <c r="BC82" s="298" t="n">
        <v>0</v>
      </c>
      <c r="BD82" s="298" t="n">
        <v>0</v>
      </c>
      <c r="BM82" s="298" t="n">
        <v>0</v>
      </c>
      <c r="BQ82" s="298" t="inlineStr">
        <is>
          <t>service</t>
        </is>
      </c>
      <c r="BV82" s="298" t="inlineStr">
        <is>
          <t>eligible</t>
        </is>
      </c>
      <c r="BW82" s="298" t="n">
        <v>0</v>
      </c>
    </row>
    <row r="83" ht="13.8" customHeight="1" s="253">
      <c r="A83" s="499" t="n">
        <v>45777</v>
      </c>
      <c r="B83" s="499" t="n">
        <v>45777</v>
      </c>
      <c r="C83" s="298" t="n">
        <v>2.29715200000023e+18</v>
      </c>
      <c r="D83" s="298" t="inlineStr">
        <is>
          <t>Amit Kumar Ghosh</t>
        </is>
      </c>
      <c r="E83" s="298" t="n">
        <v>0</v>
      </c>
      <c r="F83" s="298" t="n">
        <v>0</v>
      </c>
      <c r="G83" s="298" t="inlineStr">
        <is>
          <t>Due On Receipt</t>
        </is>
      </c>
      <c r="H83" s="298" t="inlineStr">
        <is>
          <t>FY 25-26/02</t>
        </is>
      </c>
      <c r="J83" s="298" t="inlineStr">
        <is>
          <t>INR</t>
        </is>
      </c>
      <c r="K83" s="298" t="n">
        <v>1</v>
      </c>
      <c r="L83" s="298" t="n">
        <v>100000</v>
      </c>
      <c r="M83" s="298" t="n">
        <v>99000</v>
      </c>
      <c r="N83" s="298" t="n">
        <v>0</v>
      </c>
      <c r="R83" s="298" t="n">
        <v>0</v>
      </c>
      <c r="S83" s="298" t="inlineStr">
        <is>
          <t>Adjustment</t>
        </is>
      </c>
      <c r="Y83" s="298" t="inlineStr">
        <is>
          <t>Paid</t>
        </is>
      </c>
      <c r="Z83" s="298" t="inlineStr">
        <is>
          <t>ridhi25madan</t>
        </is>
      </c>
      <c r="AC83" s="298" t="inlineStr">
        <is>
          <t>Content Writing Exp.</t>
        </is>
      </c>
      <c r="AE83" s="298" t="inlineStr">
        <is>
          <t>content Writing</t>
        </is>
      </c>
      <c r="AF83" s="298" t="n">
        <v>1</v>
      </c>
      <c r="AH83" s="298" t="n">
        <v>0</v>
      </c>
      <c r="AI83" s="298" t="n">
        <v>100000</v>
      </c>
      <c r="AL83" s="298" t="inlineStr">
        <is>
          <t>UP</t>
        </is>
      </c>
      <c r="AM83" s="298" t="inlineStr">
        <is>
          <t>UP</t>
        </is>
      </c>
      <c r="AN83" s="298" t="inlineStr">
        <is>
          <t>business_none</t>
        </is>
      </c>
      <c r="AP83" s="298" t="inlineStr">
        <is>
          <t>entity_level</t>
        </is>
      </c>
      <c r="AQ83" s="298" t="n">
        <v>2.29715200000003e+18</v>
      </c>
      <c r="AR83" s="298" t="inlineStr">
        <is>
          <t>Payment of contractors HUF/Indiv</t>
        </is>
      </c>
      <c r="AS83" s="298" t="n">
        <v>1</v>
      </c>
      <c r="AT83" s="298" t="inlineStr">
        <is>
          <t>194C</t>
        </is>
      </c>
      <c r="AU83" s="298" t="inlineStr">
        <is>
          <t>Section 194 C</t>
        </is>
      </c>
      <c r="AV83" s="298" t="n">
        <v>1000</v>
      </c>
      <c r="AZ83" s="298" t="n">
        <v>100000</v>
      </c>
      <c r="BA83" s="298" t="inlineStr">
        <is>
          <t>entity_level</t>
        </is>
      </c>
      <c r="BC83" s="298" t="n">
        <v>0</v>
      </c>
      <c r="BD83" s="298" t="n">
        <v>0</v>
      </c>
      <c r="BQ83" s="298" t="inlineStr">
        <is>
          <t>service</t>
        </is>
      </c>
      <c r="BV83" s="298" t="inlineStr">
        <is>
          <t>eligible</t>
        </is>
      </c>
      <c r="BW83" s="298" t="n">
        <v>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500" t="inlineStr">
        <is>
          <t>Particulars</t>
        </is>
      </c>
      <c r="B1" s="500" t="inlineStr">
        <is>
          <t>April</t>
        </is>
      </c>
      <c r="C1" s="500" t="inlineStr">
        <is>
          <t>May</t>
        </is>
      </c>
      <c r="D1" s="500" t="inlineStr">
        <is>
          <t>June</t>
        </is>
      </c>
      <c r="E1" s="500" t="inlineStr">
        <is>
          <t>July</t>
        </is>
      </c>
      <c r="F1" s="500" t="inlineStr">
        <is>
          <t>August</t>
        </is>
      </c>
      <c r="G1" s="500" t="inlineStr">
        <is>
          <t>September</t>
        </is>
      </c>
      <c r="H1" s="500" t="inlineStr">
        <is>
          <t>Oct</t>
        </is>
      </c>
    </row>
    <row r="2">
      <c r="A2" t="inlineStr">
        <is>
          <t>1 Month-Upfront</t>
        </is>
      </c>
      <c r="B2" t="n">
        <v>0</v>
      </c>
      <c r="C2" t="n">
        <v>0</v>
      </c>
      <c r="D2" t="n">
        <v>0</v>
      </c>
      <c r="E2" t="n">
        <v>0</v>
      </c>
      <c r="F2" t="n">
        <v>34372.258</v>
      </c>
      <c r="G2" t="n">
        <v>4567.742</v>
      </c>
      <c r="H2" t="n">
        <v>0</v>
      </c>
    </row>
    <row r="3">
      <c r="A3" t="inlineStr">
        <is>
          <t>1 month-Upfront</t>
        </is>
      </c>
      <c r="B3" t="n">
        <v>189948.713</v>
      </c>
      <c r="C3" t="n">
        <v>286154.674</v>
      </c>
      <c r="D3" t="n">
        <v>355097.0268817205</v>
      </c>
      <c r="E3" t="n">
        <v>426566.7903225806</v>
      </c>
      <c r="F3" t="n">
        <v>185977.554</v>
      </c>
      <c r="G3" t="n">
        <v>124988.692</v>
      </c>
      <c r="H3" t="n">
        <v>166576.715</v>
      </c>
    </row>
    <row r="4">
      <c r="A4" t="inlineStr">
        <is>
          <t>1 year &amp; 1 months-Monthly</t>
        </is>
      </c>
      <c r="B4" t="n">
        <v>11591.94</v>
      </c>
      <c r="C4" t="n">
        <v>11978.338</v>
      </c>
      <c r="D4" t="n">
        <v>11591.9395465995</v>
      </c>
      <c r="E4" t="n">
        <v>11978.3375314861</v>
      </c>
      <c r="F4" t="n">
        <v>11978.338</v>
      </c>
      <c r="G4" t="n">
        <v>11591.94</v>
      </c>
      <c r="H4" t="n">
        <v>11978.338</v>
      </c>
    </row>
    <row r="5">
      <c r="A5" t="inlineStr">
        <is>
          <t>10 -Days -Upfront</t>
        </is>
      </c>
      <c r="B5" t="n">
        <v>0</v>
      </c>
      <c r="C5" t="n">
        <v>0</v>
      </c>
      <c r="D5" t="n">
        <v>0</v>
      </c>
      <c r="E5" t="n">
        <v>9440</v>
      </c>
      <c r="F5" t="n">
        <v>0</v>
      </c>
      <c r="G5" t="n">
        <v>0</v>
      </c>
      <c r="H5" t="n">
        <v>0</v>
      </c>
    </row>
    <row r="6">
      <c r="A6" t="inlineStr">
        <is>
          <t>11 months subscription, Monthly</t>
        </is>
      </c>
      <c r="B6" t="n">
        <v>0</v>
      </c>
      <c r="C6" t="n">
        <v>0</v>
      </c>
      <c r="D6" t="n">
        <v>0</v>
      </c>
      <c r="E6" t="n">
        <v>7206.80597014925</v>
      </c>
      <c r="F6" t="n">
        <v>7206.806</v>
      </c>
      <c r="G6" t="n">
        <v>6974.328</v>
      </c>
      <c r="H6" t="n">
        <v>7206.806</v>
      </c>
    </row>
    <row r="7">
      <c r="A7" t="inlineStr">
        <is>
          <t>12 -Days -Upfront</t>
        </is>
      </c>
      <c r="B7" t="n">
        <v>0</v>
      </c>
      <c r="C7" t="n">
        <v>0</v>
      </c>
      <c r="D7" t="n">
        <v>0</v>
      </c>
      <c r="E7" t="n">
        <v>0</v>
      </c>
      <c r="F7" t="n">
        <v>4111</v>
      </c>
      <c r="G7" t="n">
        <v>0</v>
      </c>
      <c r="H7" t="n">
        <v>0</v>
      </c>
    </row>
    <row r="8">
      <c r="A8" t="inlineStr">
        <is>
          <t>13 month-Upfront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15 -Days -Upfront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4720</v>
      </c>
      <c r="H9" t="n">
        <v>0</v>
      </c>
    </row>
    <row r="10">
      <c r="A10" t="inlineStr">
        <is>
          <t>19 -Days -Upfront</t>
        </is>
      </c>
      <c r="B10" t="n">
        <v>0</v>
      </c>
      <c r="C10" t="n">
        <v>0</v>
      </c>
      <c r="D10" t="n">
        <v>0</v>
      </c>
      <c r="E10" t="n">
        <v>9070.92746666667</v>
      </c>
      <c r="F10" t="n">
        <v>44766.246</v>
      </c>
      <c r="G10" t="n">
        <v>0</v>
      </c>
      <c r="H10" t="n">
        <v>0</v>
      </c>
    </row>
    <row r="11">
      <c r="A11" t="inlineStr">
        <is>
          <t>2 Months- Upfront</t>
        </is>
      </c>
      <c r="B11" t="n">
        <v>0</v>
      </c>
      <c r="C11" t="n">
        <v>0</v>
      </c>
      <c r="D11" t="n">
        <v>0</v>
      </c>
      <c r="E11" t="n">
        <v>3806.45161290323</v>
      </c>
      <c r="F11" t="n">
        <v>11800</v>
      </c>
      <c r="G11" t="n">
        <v>7993.548</v>
      </c>
      <c r="H11" t="n">
        <v>0</v>
      </c>
    </row>
    <row r="12">
      <c r="A12" t="inlineStr">
        <is>
          <t>2 Year- Upfront</t>
        </is>
      </c>
      <c r="B12" t="n">
        <v>0</v>
      </c>
      <c r="C12" t="n">
        <v>0</v>
      </c>
      <c r="D12" t="n">
        <v>0</v>
      </c>
      <c r="E12" t="n">
        <v>1404.19824657534</v>
      </c>
      <c r="F12" t="n">
        <v>4836.683</v>
      </c>
      <c r="G12" t="n">
        <v>4680.661</v>
      </c>
      <c r="H12" t="n">
        <v>4836.683</v>
      </c>
    </row>
    <row r="13">
      <c r="A13" t="inlineStr">
        <is>
          <t>2 months subscription, Monthly</t>
        </is>
      </c>
      <c r="B13" t="n">
        <v>46239.027</v>
      </c>
      <c r="C13" t="n">
        <v>39406.134</v>
      </c>
      <c r="D13" t="n">
        <v>10445.9016393443</v>
      </c>
      <c r="E13" t="n">
        <v>10794.0983606557</v>
      </c>
      <c r="F13" t="n">
        <v>112904.257</v>
      </c>
      <c r="G13" t="n">
        <v>199242.807</v>
      </c>
      <c r="H13" t="n">
        <v>92979.976</v>
      </c>
    </row>
    <row r="14">
      <c r="A14" t="inlineStr">
        <is>
          <t>2 months- Upfront</t>
        </is>
      </c>
      <c r="B14" t="n">
        <v>76273.802</v>
      </c>
      <c r="C14" t="n">
        <v>134250.741</v>
      </c>
      <c r="D14" t="n">
        <v>108360.9413008991</v>
      </c>
      <c r="E14" t="n">
        <v>46381.6129032258</v>
      </c>
      <c r="F14" t="n">
        <v>0</v>
      </c>
      <c r="G14" t="n">
        <v>0</v>
      </c>
      <c r="H14" t="n">
        <v>0</v>
      </c>
    </row>
    <row r="15">
      <c r="A15" t="inlineStr">
        <is>
          <t>3 months subscription, Monthly</t>
        </is>
      </c>
      <c r="B15" t="n">
        <v>93362.637</v>
      </c>
      <c r="C15" t="n">
        <v>180890.11</v>
      </c>
      <c r="D15" t="n">
        <v>175054.945054945</v>
      </c>
      <c r="E15" t="n">
        <v>81692.3076923077</v>
      </c>
      <c r="F15" t="n">
        <v>0</v>
      </c>
      <c r="G15" t="n">
        <v>0</v>
      </c>
      <c r="H15" t="n">
        <v>0</v>
      </c>
    </row>
    <row r="16">
      <c r="A16" t="inlineStr">
        <is>
          <t>3 months subscription, upfront</t>
        </is>
      </c>
      <c r="B16" t="n">
        <v>138992.202</v>
      </c>
      <c r="C16" t="n">
        <v>185636.198</v>
      </c>
      <c r="D16" t="n">
        <v>142367.4302590817</v>
      </c>
      <c r="E16" t="n">
        <v>92019.22423952867</v>
      </c>
      <c r="F16" t="n">
        <v>48052.309</v>
      </c>
      <c r="G16" t="n">
        <v>41864.347</v>
      </c>
      <c r="H16" t="n">
        <v>24651.739</v>
      </c>
    </row>
    <row r="17">
      <c r="A17" t="inlineStr">
        <is>
          <t>38 -Days -Upfront</t>
        </is>
      </c>
      <c r="B17" t="n">
        <v>0</v>
      </c>
      <c r="C17" t="n">
        <v>0</v>
      </c>
      <c r="D17" t="n">
        <v>4657.89473684211</v>
      </c>
      <c r="E17" t="n">
        <v>2717.10526315789</v>
      </c>
      <c r="F17" t="n">
        <v>0</v>
      </c>
      <c r="G17" t="n">
        <v>0</v>
      </c>
      <c r="H17" t="n">
        <v>0</v>
      </c>
    </row>
    <row r="18">
      <c r="A18" t="inlineStr">
        <is>
          <t>4 months subscription, Monthly</t>
        </is>
      </c>
      <c r="B18" t="n">
        <v>8124.59</v>
      </c>
      <c r="C18" t="n">
        <v>11993.443</v>
      </c>
      <c r="D18" t="n">
        <v>11606.5573770492</v>
      </c>
      <c r="E18" t="n">
        <v>11993.4426229508</v>
      </c>
      <c r="F18" t="n">
        <v>3481.967</v>
      </c>
      <c r="G18" t="n">
        <v>0</v>
      </c>
      <c r="H18" t="n">
        <v>0</v>
      </c>
    </row>
    <row r="19">
      <c r="A19" t="inlineStr">
        <is>
          <t>5 month-Upfront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4049.02</v>
      </c>
      <c r="H19" t="n">
        <v>4183.987</v>
      </c>
    </row>
    <row r="20">
      <c r="A20" t="inlineStr">
        <is>
          <t>5 months subscription, Monthly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6 month-Upfront</t>
        </is>
      </c>
      <c r="B21" t="n">
        <v>221999.118</v>
      </c>
      <c r="C21" t="n">
        <v>257382.135</v>
      </c>
      <c r="D21" t="n">
        <v>270097.6212514782</v>
      </c>
      <c r="E21" t="n">
        <v>429896.9325139931</v>
      </c>
      <c r="F21" t="n">
        <v>496786.028</v>
      </c>
      <c r="G21" t="n">
        <v>553996.77</v>
      </c>
      <c r="H21" t="n">
        <v>406056.147</v>
      </c>
    </row>
    <row r="22">
      <c r="A22" t="inlineStr">
        <is>
          <t>6 months subscription, Monthly</t>
        </is>
      </c>
      <c r="B22" t="n">
        <v>5771.739</v>
      </c>
      <c r="C22" t="n">
        <v>5964.13</v>
      </c>
      <c r="D22" t="n">
        <v>5771.73913043478</v>
      </c>
      <c r="E22" t="n">
        <v>5964.13043478261</v>
      </c>
      <c r="F22" t="n">
        <v>5964.13</v>
      </c>
      <c r="G22" t="n">
        <v>1923.913</v>
      </c>
      <c r="H22" t="n">
        <v>100988.653</v>
      </c>
    </row>
    <row r="23">
      <c r="A23" t="inlineStr">
        <is>
          <t>6 months subscription, Quarterly upfront</t>
        </is>
      </c>
      <c r="B23" t="n">
        <v>11999.67</v>
      </c>
      <c r="C23" t="n">
        <v>12399.659</v>
      </c>
      <c r="D23" t="n">
        <v>11999.6703296703</v>
      </c>
      <c r="E23" t="n">
        <v>12399.6593406593</v>
      </c>
      <c r="F23" t="n">
        <v>799.978</v>
      </c>
      <c r="G23" t="n">
        <v>0</v>
      </c>
      <c r="H23" t="n">
        <v>12399.659</v>
      </c>
    </row>
    <row r="24">
      <c r="A24" t="inlineStr">
        <is>
          <t>8 months &amp; 23 days - Half Yearly Payment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137030.4</v>
      </c>
      <c r="H24" t="n">
        <v>176997.6</v>
      </c>
    </row>
    <row r="25">
      <c r="A25" t="inlineStr">
        <is>
          <t>9 months subscription, Monthly</t>
        </is>
      </c>
      <c r="B25" t="n">
        <v>0</v>
      </c>
      <c r="C25" t="n">
        <v>0</v>
      </c>
      <c r="D25" t="n">
        <v>0</v>
      </c>
      <c r="E25" t="n">
        <v>5813.86861313869</v>
      </c>
      <c r="F25" t="n">
        <v>18022.993</v>
      </c>
      <c r="G25" t="n">
        <v>17441.606</v>
      </c>
      <c r="H25" t="n">
        <v>18022.993</v>
      </c>
    </row>
    <row r="26">
      <c r="A26" t="inlineStr">
        <is>
          <t xml:space="preserve">Annual ,Quarterly 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13394.52</v>
      </c>
    </row>
    <row r="27">
      <c r="A27" t="inlineStr">
        <is>
          <t>Annual Upfront</t>
        </is>
      </c>
      <c r="B27" t="n">
        <v>543847.066</v>
      </c>
      <c r="C27" t="n">
        <v>694753.6059999999</v>
      </c>
      <c r="D27" t="n">
        <v>855086.8162501475</v>
      </c>
      <c r="E27" t="n">
        <v>1201182.915185311</v>
      </c>
      <c r="F27" t="n">
        <v>1603777.062</v>
      </c>
      <c r="G27" t="n">
        <v>1938721.994</v>
      </c>
      <c r="H27" t="n">
        <v>2123406.302</v>
      </c>
    </row>
    <row r="28">
      <c r="A28" t="inlineStr">
        <is>
          <t>Annual subscription, Quarterly upfront</t>
        </is>
      </c>
      <c r="B28" t="n">
        <v>44054.795</v>
      </c>
      <c r="C28" t="n">
        <v>45523.287</v>
      </c>
      <c r="D28" t="n">
        <v>62286.77470125325</v>
      </c>
      <c r="E28" t="n">
        <v>191555.4834465939</v>
      </c>
      <c r="F28" t="n">
        <v>393931.373</v>
      </c>
      <c r="G28" t="n">
        <v>483915.127</v>
      </c>
      <c r="H28" t="n">
        <v>523787.044</v>
      </c>
    </row>
    <row r="29">
      <c r="A29" t="inlineStr">
        <is>
          <t>Annual- Half Yearly Payment</t>
        </is>
      </c>
      <c r="B29" t="n">
        <v>44273.88400000001</v>
      </c>
      <c r="C29" t="n">
        <v>70945.371</v>
      </c>
      <c r="D29" t="n">
        <v>333222.9256680894</v>
      </c>
      <c r="E29" t="n">
        <v>364215.7811812259</v>
      </c>
      <c r="F29" t="n">
        <v>784486.378</v>
      </c>
      <c r="G29" t="n">
        <v>1171422.771</v>
      </c>
      <c r="H29" t="n">
        <v>1222787.134</v>
      </c>
    </row>
    <row r="30">
      <c r="A30" t="inlineStr">
        <is>
          <t>Annual-Monthly</t>
        </is>
      </c>
      <c r="B30" t="n">
        <v>56405.807</v>
      </c>
      <c r="C30" t="n">
        <v>246208.689</v>
      </c>
      <c r="D30" t="n">
        <v>100838.6840332361</v>
      </c>
      <c r="E30" t="n">
        <v>145182.4173366268</v>
      </c>
      <c r="F30" t="n">
        <v>190778.473</v>
      </c>
      <c r="G30" t="n">
        <v>227538.946</v>
      </c>
      <c r="H30" t="n">
        <v>327048.128</v>
      </c>
    </row>
    <row r="31">
      <c r="A31" t="inlineStr">
        <is>
          <t>Three Installments of 50k</t>
        </is>
      </c>
      <c r="B31" t="n">
        <v>13032.787</v>
      </c>
      <c r="C31" t="n">
        <v>13467.213</v>
      </c>
      <c r="D31" t="n">
        <v>13032.7868852459</v>
      </c>
      <c r="E31" t="n">
        <v>13467.2131147541</v>
      </c>
      <c r="F31" t="n">
        <v>13467.213</v>
      </c>
      <c r="G31" t="n">
        <v>13032.787</v>
      </c>
      <c r="H31" t="n">
        <v>13467.213</v>
      </c>
    </row>
    <row r="32">
      <c r="A32" t="inlineStr">
        <is>
          <t>Grand Total</t>
        </is>
      </c>
      <c r="B32" t="n">
        <v>1505917.777</v>
      </c>
      <c r="C32" t="n">
        <v>2196953.728</v>
      </c>
      <c r="D32" t="n">
        <v>2471519.655046037</v>
      </c>
      <c r="E32" t="n">
        <v>3084749.703399273</v>
      </c>
      <c r="F32" t="n">
        <v>3977501.046000001</v>
      </c>
      <c r="G32" t="n">
        <v>4955697.398999999</v>
      </c>
      <c r="H32" t="n">
        <v>5250769.637000001</v>
      </c>
    </row>
    <row r="33">
      <c r="A33" t="inlineStr">
        <is>
          <t>B2C</t>
        </is>
      </c>
      <c r="B33" t="n">
        <v>847621.2509999999</v>
      </c>
      <c r="C33" t="n">
        <v>806879.8420000001</v>
      </c>
      <c r="D33" t="n">
        <v>731699.8333333335</v>
      </c>
      <c r="E33" t="n">
        <v>665855.8333333335</v>
      </c>
      <c r="F33" t="n">
        <v>544167.1680000001</v>
      </c>
      <c r="G33" t="n">
        <v>540056.1680000001</v>
      </c>
      <c r="H33" t="n">
        <v>546251.9950000001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46"/>
  <sheetViews>
    <sheetView workbookViewId="0">
      <selection activeCell="A1" sqref="A1"/>
    </sheetView>
  </sheetViews>
  <sheetFormatPr baseColWidth="8" defaultRowHeight="15"/>
  <sheetData>
    <row r="1">
      <c r="A1" s="501" t="n">
        <v>45627</v>
      </c>
      <c r="B1" s="500" t="inlineStr">
        <is>
          <t>Unnamed: 1</t>
        </is>
      </c>
      <c r="C1" s="500" t="inlineStr">
        <is>
          <t>Unnamed: 2</t>
        </is>
      </c>
      <c r="D1" s="501" t="n">
        <v>45658</v>
      </c>
      <c r="E1" s="500" t="inlineStr">
        <is>
          <t>Unnamed: 4</t>
        </is>
      </c>
      <c r="F1" s="500" t="inlineStr">
        <is>
          <t>Unnamed: 5</t>
        </is>
      </c>
      <c r="G1" s="500" t="inlineStr">
        <is>
          <t>Feb</t>
        </is>
      </c>
      <c r="H1" s="500" t="inlineStr">
        <is>
          <t>Unnamed: 7</t>
        </is>
      </c>
      <c r="I1" s="500" t="inlineStr">
        <is>
          <t>Unnamed: 8</t>
        </is>
      </c>
      <c r="J1" s="500" t="inlineStr">
        <is>
          <t>Mar</t>
        </is>
      </c>
      <c r="K1" s="500" t="inlineStr">
        <is>
          <t>Unnamed: 10</t>
        </is>
      </c>
      <c r="L1" s="500" t="inlineStr">
        <is>
          <t>Unnamed: 11</t>
        </is>
      </c>
      <c r="M1" s="501" t="n">
        <v>45748</v>
      </c>
      <c r="N1" s="500" t="inlineStr">
        <is>
          <t>Unnamed: 13</t>
        </is>
      </c>
      <c r="O1" s="500" t="inlineStr">
        <is>
          <t>Unnamed: 14</t>
        </is>
      </c>
      <c r="P1" s="500" t="inlineStr">
        <is>
          <t>May</t>
        </is>
      </c>
      <c r="Q1" s="500" t="inlineStr">
        <is>
          <t>Unnamed: 16</t>
        </is>
      </c>
      <c r="R1" s="500" t="inlineStr">
        <is>
          <t>Unnamed: 17</t>
        </is>
      </c>
      <c r="S1" s="500" t="inlineStr">
        <is>
          <t>June</t>
        </is>
      </c>
      <c r="T1" s="500" t="inlineStr">
        <is>
          <t>Unnamed: 19</t>
        </is>
      </c>
      <c r="U1" s="500" t="inlineStr">
        <is>
          <t>July</t>
        </is>
      </c>
      <c r="V1" s="500" t="inlineStr">
        <is>
          <t>Unnamed: 21</t>
        </is>
      </c>
      <c r="W1" s="500" t="inlineStr">
        <is>
          <t>Unnamed: 22</t>
        </is>
      </c>
      <c r="X1" s="501" t="n">
        <v>45870</v>
      </c>
      <c r="Y1" s="500" t="inlineStr">
        <is>
          <t>Unnamed: 24</t>
        </is>
      </c>
      <c r="Z1" s="500" t="inlineStr">
        <is>
          <t>Unnamed: 25</t>
        </is>
      </c>
      <c r="AA1" s="500" t="inlineStr">
        <is>
          <t>Sept</t>
        </is>
      </c>
      <c r="AB1" s="500" t="inlineStr">
        <is>
          <t>Oct</t>
        </is>
      </c>
    </row>
    <row r="2">
      <c r="A2" t="inlineStr">
        <is>
          <t xml:space="preserve">
The Guild | Advocates &amp; Associate Counsel</t>
        </is>
      </c>
      <c r="B2" t="inlineStr"/>
      <c r="C2" t="inlineStr"/>
      <c r="D2" t="inlineStr">
        <is>
          <t>Shyam Kapadia</t>
        </is>
      </c>
      <c r="E2" t="inlineStr"/>
      <c r="F2" t="inlineStr"/>
      <c r="G2" t="inlineStr">
        <is>
          <t xml:space="preserve">
The Guild | Advocates &amp; Associate Counsel</t>
        </is>
      </c>
      <c r="H2" t="inlineStr"/>
      <c r="I2" t="inlineStr"/>
      <c r="J2" t="inlineStr">
        <is>
          <t xml:space="preserve">
The Guild | Advocates &amp; Associate Counsel</t>
        </is>
      </c>
      <c r="K2" t="inlineStr"/>
      <c r="L2" t="inlineStr"/>
      <c r="M2" t="inlineStr">
        <is>
          <t>Touchstone Partners</t>
        </is>
      </c>
      <c r="N2" t="inlineStr"/>
      <c r="O2" t="inlineStr"/>
      <c r="P2" t="inlineStr">
        <is>
          <t>Touchstone Partners</t>
        </is>
      </c>
      <c r="Q2" t="inlineStr"/>
      <c r="R2" t="inlineStr"/>
      <c r="S2" t="inlineStr">
        <is>
          <t>Touchstone Partners</t>
        </is>
      </c>
      <c r="T2" t="inlineStr"/>
      <c r="U2" t="inlineStr">
        <is>
          <t>Veritas Legal Advocates and Solicitors</t>
        </is>
      </c>
      <c r="V2" t="inlineStr"/>
      <c r="W2" t="inlineStr"/>
      <c r="X2" t="inlineStr">
        <is>
          <t xml:space="preserve">
The Guild | Advocates &amp; Associate Counsel</t>
        </is>
      </c>
      <c r="Y2" t="inlineStr"/>
      <c r="Z2" t="inlineStr"/>
      <c r="AA2" t="inlineStr">
        <is>
          <t>Veritas Legal Advocates and Solicitors</t>
        </is>
      </c>
      <c r="AB2" t="inlineStr">
        <is>
          <t>Veritas Legal Advocates and Solicitors</t>
        </is>
      </c>
    </row>
    <row r="3">
      <c r="A3" t="inlineStr">
        <is>
          <t>SRCO Legal / Salvador Raghav &amp; Co.</t>
        </is>
      </c>
      <c r="B3" t="inlineStr"/>
      <c r="C3" t="inlineStr"/>
      <c r="D3" t="inlineStr">
        <is>
          <t>Naushad Engineer</t>
        </is>
      </c>
      <c r="E3" t="inlineStr"/>
      <c r="F3" t="inlineStr"/>
      <c r="G3" t="inlineStr">
        <is>
          <t>Abel Tom Benny // Thomas and Thomas Advocates</t>
        </is>
      </c>
      <c r="H3" t="inlineStr"/>
      <c r="I3" t="inlineStr"/>
      <c r="J3" t="inlineStr">
        <is>
          <t>Abel Tom Benny // Thomas and Thomas Advocates</t>
        </is>
      </c>
      <c r="K3" t="inlineStr"/>
      <c r="L3" t="inlineStr"/>
      <c r="M3" t="inlineStr">
        <is>
          <t>Bimal Rajasekhar</t>
        </is>
      </c>
      <c r="N3" t="inlineStr"/>
      <c r="O3" t="inlineStr"/>
      <c r="P3" t="inlineStr">
        <is>
          <t>Bimal Rajasekhar</t>
        </is>
      </c>
      <c r="Q3" t="inlineStr"/>
      <c r="R3" t="inlineStr"/>
      <c r="S3" t="inlineStr">
        <is>
          <t>Veritas Legal Advocates and Solicitors</t>
        </is>
      </c>
      <c r="T3" t="inlineStr"/>
      <c r="U3" t="inlineStr">
        <is>
          <t>VACUITAS COUNSELLOR LLP</t>
        </is>
      </c>
      <c r="V3" t="inlineStr"/>
      <c r="W3" t="inlineStr"/>
      <c r="X3" t="inlineStr">
        <is>
          <t>Aanchal Basur</t>
        </is>
      </c>
      <c r="Y3" t="inlineStr"/>
      <c r="Z3" t="inlineStr"/>
      <c r="AA3" t="inlineStr">
        <is>
          <t>VACUITAS COUNSELLOR LLP</t>
        </is>
      </c>
      <c r="AB3" t="inlineStr">
        <is>
          <t>VACUITAS COUNSELLOR LLP</t>
        </is>
      </c>
    </row>
    <row r="4">
      <c r="A4" t="inlineStr">
        <is>
          <t>Office of ASG (N. Venkatraman)</t>
        </is>
      </c>
      <c r="B4" t="inlineStr"/>
      <c r="C4" t="inlineStr"/>
      <c r="D4" t="inlineStr">
        <is>
          <t>SRCO Legal / Salvador Raghav &amp; Co.</t>
        </is>
      </c>
      <c r="E4" t="inlineStr"/>
      <c r="F4" t="inlineStr"/>
      <c r="G4" t="inlineStr">
        <is>
          <t xml:space="preserve">Abhimanyu Garg / Methodica Legal </t>
        </is>
      </c>
      <c r="H4" t="inlineStr"/>
      <c r="I4" t="inlineStr"/>
      <c r="J4" t="inlineStr">
        <is>
          <t xml:space="preserve">Abhimanyu Garg / Methodica Legal </t>
        </is>
      </c>
      <c r="K4" t="inlineStr"/>
      <c r="L4" t="inlineStr"/>
      <c r="M4" t="inlineStr">
        <is>
          <t>Veritas Legal Advocates and Solicitors</t>
        </is>
      </c>
      <c r="N4" t="inlineStr"/>
      <c r="O4" t="inlineStr"/>
      <c r="P4" t="inlineStr">
        <is>
          <t>Veritas Legal Advocates and Solicitors</t>
        </is>
      </c>
      <c r="Q4" t="inlineStr"/>
      <c r="R4" t="inlineStr"/>
      <c r="S4" t="inlineStr">
        <is>
          <t>VACUITAS COUNSELLOR LLP</t>
        </is>
      </c>
      <c r="T4" t="inlineStr"/>
      <c r="U4" t="inlineStr">
        <is>
          <t>Dileep Poolakkot</t>
        </is>
      </c>
      <c r="V4" t="inlineStr"/>
      <c r="W4" t="inlineStr"/>
      <c r="X4" t="inlineStr">
        <is>
          <t>Abel Tom Benny // Thomas and Thomas Advocates</t>
        </is>
      </c>
      <c r="Y4" t="inlineStr"/>
      <c r="Z4" t="inlineStr"/>
      <c r="AA4" t="inlineStr">
        <is>
          <t>Dileep Poolakkot</t>
        </is>
      </c>
      <c r="AB4" t="inlineStr">
        <is>
          <t>Dileep Poolakkot</t>
        </is>
      </c>
    </row>
    <row r="5">
      <c r="A5" t="inlineStr">
        <is>
          <t>Aditya Sikka / Tvashta Law</t>
        </is>
      </c>
      <c r="B5" t="inlineStr"/>
      <c r="C5" t="inlineStr"/>
      <c r="D5" t="inlineStr">
        <is>
          <t>Saswat Mohanty</t>
        </is>
      </c>
      <c r="E5" t="inlineStr"/>
      <c r="F5" t="inlineStr"/>
      <c r="G5" t="inlineStr">
        <is>
          <t>Aditya Sikka / Tvashta Law</t>
        </is>
      </c>
      <c r="H5" t="inlineStr"/>
      <c r="I5" t="inlineStr"/>
      <c r="J5" t="inlineStr">
        <is>
          <t>Agama Law Associates</t>
        </is>
      </c>
      <c r="K5" t="inlineStr"/>
      <c r="L5" t="inlineStr"/>
      <c r="M5" t="inlineStr">
        <is>
          <t>LEGALOGIC CONSULTING LLP</t>
        </is>
      </c>
      <c r="N5" t="inlineStr"/>
      <c r="O5" t="inlineStr"/>
      <c r="P5" t="inlineStr">
        <is>
          <t>LEGALOGIC CONSULTING LLP</t>
        </is>
      </c>
      <c r="Q5" t="inlineStr"/>
      <c r="R5" t="inlineStr"/>
      <c r="S5" t="inlineStr">
        <is>
          <t>U. S. GANDHI &amp; CO.</t>
        </is>
      </c>
      <c r="T5" t="inlineStr"/>
      <c r="U5" t="inlineStr">
        <is>
          <t>Agama Law Associates</t>
        </is>
      </c>
      <c r="V5" t="inlineStr"/>
      <c r="W5" t="inlineStr"/>
      <c r="X5" t="inlineStr">
        <is>
          <t xml:space="preserve">Abhimanyu Garg / Methodica Legal </t>
        </is>
      </c>
      <c r="Y5" t="inlineStr"/>
      <c r="Z5" t="inlineStr"/>
      <c r="AA5" t="inlineStr">
        <is>
          <t>Agama Law Associates</t>
        </is>
      </c>
      <c r="AB5" t="inlineStr">
        <is>
          <t>Agama Law Associates</t>
        </is>
      </c>
    </row>
    <row r="6">
      <c r="A6" t="inlineStr">
        <is>
          <t>Chambers of Pujari</t>
        </is>
      </c>
      <c r="B6" t="inlineStr"/>
      <c r="C6" t="inlineStr"/>
      <c r="D6" t="inlineStr">
        <is>
          <t>Manish kelker</t>
        </is>
      </c>
      <c r="E6" t="inlineStr"/>
      <c r="F6" t="inlineStr"/>
      <c r="G6" t="inlineStr">
        <is>
          <t>Agama Law Associates</t>
        </is>
      </c>
      <c r="H6" t="inlineStr"/>
      <c r="I6" t="inlineStr"/>
      <c r="J6" t="inlineStr">
        <is>
          <t>Akriti Chaubey</t>
        </is>
      </c>
      <c r="K6" t="inlineStr"/>
      <c r="L6" t="inlineStr"/>
      <c r="M6" t="inlineStr">
        <is>
          <t>VACUITAS COUNSELLOR LLP</t>
        </is>
      </c>
      <c r="N6" t="inlineStr"/>
      <c r="O6" t="inlineStr"/>
      <c r="P6" t="inlineStr">
        <is>
          <t>VACUITAS COUNSELLOR LLP</t>
        </is>
      </c>
      <c r="Q6" t="inlineStr"/>
      <c r="R6" t="inlineStr"/>
      <c r="S6" t="inlineStr">
        <is>
          <t>Dileep Poolakkot</t>
        </is>
      </c>
      <c r="T6" t="inlineStr"/>
      <c r="U6" t="inlineStr">
        <is>
          <t>Venkatesh Dhond</t>
        </is>
      </c>
      <c r="V6" t="inlineStr"/>
      <c r="W6" t="inlineStr"/>
      <c r="X6" t="inlineStr">
        <is>
          <t>Acuity Law LLP</t>
        </is>
      </c>
      <c r="Y6" t="inlineStr"/>
      <c r="Z6" t="inlineStr"/>
      <c r="AA6" t="inlineStr">
        <is>
          <t>PSN Legal Advocates and Legal Consultants</t>
        </is>
      </c>
      <c r="AB6" t="inlineStr">
        <is>
          <t>PSN Legal Advocates and Legal Consultants</t>
        </is>
      </c>
    </row>
    <row r="7">
      <c r="A7" t="inlineStr">
        <is>
          <t>Kanungo &amp; Co.</t>
        </is>
      </c>
      <c r="B7" t="inlineStr"/>
      <c r="C7" t="inlineStr"/>
      <c r="D7" t="inlineStr">
        <is>
          <t>Ish Jain / Regius Partners LLP</t>
        </is>
      </c>
      <c r="E7" t="inlineStr"/>
      <c r="F7" t="inlineStr"/>
      <c r="G7" t="inlineStr">
        <is>
          <t>ANG</t>
        </is>
      </c>
      <c r="H7" t="inlineStr"/>
      <c r="I7" t="inlineStr"/>
      <c r="J7" t="inlineStr">
        <is>
          <t>Akshat Vachher</t>
        </is>
      </c>
      <c r="K7" t="inlineStr"/>
      <c r="L7" t="inlineStr"/>
      <c r="M7" t="inlineStr">
        <is>
          <t>Tvashta Law</t>
        </is>
      </c>
      <c r="N7" t="inlineStr"/>
      <c r="O7" t="inlineStr"/>
      <c r="P7" t="inlineStr">
        <is>
          <t>U. S. GANDHI &amp; CO.</t>
        </is>
      </c>
      <c r="Q7" t="inlineStr"/>
      <c r="R7" t="inlineStr"/>
      <c r="S7" t="inlineStr">
        <is>
          <t>Utkarsh Joshi</t>
        </is>
      </c>
      <c r="T7" t="inlineStr"/>
      <c r="U7" t="inlineStr">
        <is>
          <t>PSN Legal Advocates and Legal Consultants</t>
        </is>
      </c>
      <c r="V7" t="inlineStr"/>
      <c r="W7" t="inlineStr"/>
      <c r="X7" t="inlineStr">
        <is>
          <t>Agama Law Associates</t>
        </is>
      </c>
      <c r="Y7" t="inlineStr"/>
      <c r="Z7" t="inlineStr"/>
      <c r="AA7" t="inlineStr">
        <is>
          <t>Darius J. Khambata</t>
        </is>
      </c>
      <c r="AB7" t="inlineStr">
        <is>
          <t>Darius J. Khambata</t>
        </is>
      </c>
    </row>
    <row r="8">
      <c r="A8" t="inlineStr">
        <is>
          <t>ANG</t>
        </is>
      </c>
      <c r="B8" t="inlineStr"/>
      <c r="C8" t="inlineStr"/>
      <c r="D8" t="inlineStr">
        <is>
          <t>Tejas Bhide</t>
        </is>
      </c>
      <c r="E8" t="inlineStr"/>
      <c r="F8" t="inlineStr"/>
      <c r="G8" t="inlineStr">
        <is>
          <t>Argus Partners</t>
        </is>
      </c>
      <c r="H8" t="inlineStr"/>
      <c r="I8" t="inlineStr"/>
      <c r="J8" t="inlineStr">
        <is>
          <t>Amrita Panda / ADP Chambers- 62</t>
        </is>
      </c>
      <c r="K8" t="inlineStr"/>
      <c r="L8" t="inlineStr"/>
      <c r="M8" t="inlineStr">
        <is>
          <t>U. S. GANDHI &amp; CO.</t>
        </is>
      </c>
      <c r="N8" t="inlineStr"/>
      <c r="O8" t="inlineStr"/>
      <c r="P8" t="inlineStr">
        <is>
          <t>Advocate Rohit Jaiswal</t>
        </is>
      </c>
      <c r="Q8" t="inlineStr"/>
      <c r="R8" t="inlineStr"/>
      <c r="S8" t="inlineStr">
        <is>
          <t>Karan Butalia</t>
        </is>
      </c>
      <c r="T8" t="inlineStr"/>
      <c r="U8" t="inlineStr">
        <is>
          <t>Swapna Sheshadri</t>
        </is>
      </c>
      <c r="V8" t="inlineStr"/>
      <c r="W8" t="inlineStr"/>
      <c r="X8" t="inlineStr">
        <is>
          <t>Agraa Legal</t>
        </is>
      </c>
      <c r="Y8" t="inlineStr"/>
      <c r="Z8" t="inlineStr"/>
      <c r="AA8" t="inlineStr">
        <is>
          <t>Rashmikant and Partners</t>
        </is>
      </c>
      <c r="AB8" t="inlineStr">
        <is>
          <t>Rashmikant and Partners</t>
        </is>
      </c>
    </row>
    <row r="9">
      <c r="A9" t="inlineStr">
        <is>
          <t>Ratan Kumar Singh</t>
        </is>
      </c>
      <c r="B9" t="inlineStr"/>
      <c r="C9" t="inlineStr"/>
      <c r="D9" t="inlineStr">
        <is>
          <t xml:space="preserve">Abhimanyu Garg / Methodica Legal </t>
        </is>
      </c>
      <c r="E9" t="inlineStr"/>
      <c r="F9" t="inlineStr"/>
      <c r="G9" t="inlineStr">
        <is>
          <t>Asahi Legal LLP</t>
        </is>
      </c>
      <c r="H9" t="inlineStr"/>
      <c r="I9" t="inlineStr"/>
      <c r="J9" t="inlineStr">
        <is>
          <t>Argus Partners</t>
        </is>
      </c>
      <c r="K9" t="inlineStr"/>
      <c r="L9" t="inlineStr"/>
      <c r="M9" t="inlineStr">
        <is>
          <t>Advocate Rohit Jaiswal</t>
        </is>
      </c>
      <c r="N9" t="inlineStr"/>
      <c r="O9" t="inlineStr"/>
      <c r="P9" t="inlineStr">
        <is>
          <t>Dileep Poolakkot</t>
        </is>
      </c>
      <c r="Q9" t="inlineStr"/>
      <c r="R9" t="inlineStr"/>
      <c r="S9" t="inlineStr">
        <is>
          <t>Agama Law Associates</t>
        </is>
      </c>
      <c r="T9" t="inlineStr"/>
      <c r="U9" t="inlineStr">
        <is>
          <t>Vutts &amp; Associates LLP</t>
        </is>
      </c>
      <c r="V9" t="inlineStr"/>
      <c r="W9" t="inlineStr"/>
      <c r="X9" t="inlineStr">
        <is>
          <t>AHUJA VALECHA &amp; ASSOCIATES LLP</t>
        </is>
      </c>
      <c r="Y9" t="inlineStr"/>
      <c r="Z9" t="inlineStr"/>
      <c r="AA9" t="inlineStr">
        <is>
          <t>Shreeyash Lalit</t>
        </is>
      </c>
      <c r="AB9" t="inlineStr">
        <is>
          <t>Shreeyash Lalit</t>
        </is>
      </c>
    </row>
    <row r="10">
      <c r="A10" t="inlineStr">
        <is>
          <t>Manish kelker</t>
        </is>
      </c>
      <c r="B10" t="inlineStr"/>
      <c r="C10" t="inlineStr"/>
      <c r="D10" t="inlineStr">
        <is>
          <t>Amrita Panda / ADP Chambers- 5</t>
        </is>
      </c>
      <c r="E10" t="inlineStr"/>
      <c r="F10" t="inlineStr"/>
      <c r="G10" t="inlineStr">
        <is>
          <t>Chetan Dedhia</t>
        </is>
      </c>
      <c r="H10" t="inlineStr"/>
      <c r="I10" t="inlineStr"/>
      <c r="J10" t="inlineStr">
        <is>
          <t>Asahi Legal LLP</t>
        </is>
      </c>
      <c r="K10" t="inlineStr"/>
      <c r="L10" t="inlineStr"/>
      <c r="M10" t="inlineStr">
        <is>
          <t>Dileep Poolakkot</t>
        </is>
      </c>
      <c r="N10" t="inlineStr"/>
      <c r="O10" t="inlineStr"/>
      <c r="P10" t="inlineStr">
        <is>
          <t>Utkarsh Joshi</t>
        </is>
      </c>
      <c r="Q10" t="inlineStr"/>
      <c r="R10" t="inlineStr"/>
      <c r="S10" t="inlineStr">
        <is>
          <t>Venkatesh Dhond</t>
        </is>
      </c>
      <c r="T10" t="inlineStr"/>
      <c r="U10" t="inlineStr">
        <is>
          <t>Darius J. Khambata</t>
        </is>
      </c>
      <c r="V10" t="inlineStr"/>
      <c r="W10" t="inlineStr"/>
      <c r="X10" t="inlineStr">
        <is>
          <t>Akkash Bhadana</t>
        </is>
      </c>
      <c r="Y10" t="inlineStr"/>
      <c r="Z10" t="inlineStr"/>
      <c r="AA10" t="inlineStr">
        <is>
          <t>R. Vishnu Kumar, Advocate</t>
        </is>
      </c>
      <c r="AB10" t="inlineStr">
        <is>
          <t>R. Vishnu Kumar, Advocate</t>
        </is>
      </c>
    </row>
    <row r="11">
      <c r="A11" t="inlineStr">
        <is>
          <t>Newton School - Incanus Technologies Private Limited</t>
        </is>
      </c>
      <c r="B11" t="inlineStr"/>
      <c r="C11" t="inlineStr"/>
      <c r="D11" t="inlineStr">
        <is>
          <t>Office of ASG (N. Venkatraman)</t>
        </is>
      </c>
      <c r="E11" t="inlineStr"/>
      <c r="F11" t="inlineStr"/>
      <c r="G11" t="inlineStr">
        <is>
          <t>Darius J. Khambata</t>
        </is>
      </c>
      <c r="H11" t="inlineStr"/>
      <c r="I11" t="inlineStr"/>
      <c r="J11" t="inlineStr">
        <is>
          <t>Balbir Singh</t>
        </is>
      </c>
      <c r="K11" t="inlineStr"/>
      <c r="L11" t="inlineStr"/>
      <c r="M11" t="inlineStr">
        <is>
          <t>Utkarsh Joshi</t>
        </is>
      </c>
      <c r="N11" t="inlineStr"/>
      <c r="O11" t="inlineStr"/>
      <c r="P11" t="inlineStr">
        <is>
          <t>Karan Butalia</t>
        </is>
      </c>
      <c r="Q11" t="inlineStr"/>
      <c r="R11" t="inlineStr"/>
      <c r="S11" t="inlineStr">
        <is>
          <t>PSN Legal Advocates and Legal Consultants</t>
        </is>
      </c>
      <c r="T11" t="inlineStr"/>
      <c r="U11" t="inlineStr">
        <is>
          <t>Miglani Varma &amp; Co.</t>
        </is>
      </c>
      <c r="V11" t="inlineStr"/>
      <c r="W11" t="inlineStr"/>
      <c r="X11" t="inlineStr">
        <is>
          <t>Amit Bhagat</t>
        </is>
      </c>
      <c r="Y11" t="inlineStr"/>
      <c r="Z11" t="inlineStr"/>
      <c r="AA11" t="inlineStr">
        <is>
          <t>NC Legal</t>
        </is>
      </c>
      <c r="AB11" t="inlineStr">
        <is>
          <t>NC Legal</t>
        </is>
      </c>
    </row>
    <row r="12">
      <c r="A12" t="inlineStr">
        <is>
          <t>Solaris Legal</t>
        </is>
      </c>
      <c r="B12" t="inlineStr"/>
      <c r="C12" t="inlineStr"/>
      <c r="D12" t="inlineStr">
        <is>
          <t>Shiraz Rustomjee</t>
        </is>
      </c>
      <c r="E12" t="inlineStr"/>
      <c r="F12" t="inlineStr"/>
      <c r="G12" t="inlineStr">
        <is>
          <t>Dipankar Majumdar</t>
        </is>
      </c>
      <c r="H12" t="inlineStr"/>
      <c r="I12" t="inlineStr"/>
      <c r="J12" t="inlineStr">
        <is>
          <t>Burgeon Law LLP</t>
        </is>
      </c>
      <c r="K12" t="inlineStr"/>
      <c r="L12" t="inlineStr"/>
      <c r="M12" t="inlineStr">
        <is>
          <t>Karan Butalia</t>
        </is>
      </c>
      <c r="N12" t="inlineStr"/>
      <c r="O12" t="inlineStr"/>
      <c r="P12" t="inlineStr">
        <is>
          <t>Agama Law Associates</t>
        </is>
      </c>
      <c r="Q12" t="inlineStr"/>
      <c r="R12" t="inlineStr"/>
      <c r="S12" t="inlineStr">
        <is>
          <t>Swapna Sheshadri</t>
        </is>
      </c>
      <c r="T12" t="inlineStr"/>
      <c r="U12" t="inlineStr">
        <is>
          <t>Rashmikant and Partners</t>
        </is>
      </c>
      <c r="V12" t="inlineStr"/>
      <c r="W12" t="inlineStr"/>
      <c r="X12" t="inlineStr">
        <is>
          <t>Amrit Grewal</t>
        </is>
      </c>
      <c r="Y12" t="inlineStr"/>
      <c r="Z12" t="inlineStr"/>
      <c r="AA12" t="inlineStr">
        <is>
          <t>RPV LEGAL</t>
        </is>
      </c>
      <c r="AB12" t="inlineStr">
        <is>
          <t>RPV LEGAL</t>
        </is>
      </c>
    </row>
    <row r="13">
      <c r="A13" t="inlineStr">
        <is>
          <t>Talha Abdul Rahman</t>
        </is>
      </c>
      <c r="B13" t="inlineStr"/>
      <c r="C13" t="inlineStr"/>
      <c r="D13" t="inlineStr">
        <is>
          <t>Diwan Law Associates</t>
        </is>
      </c>
      <c r="E13" t="inlineStr"/>
      <c r="F13" t="inlineStr"/>
      <c r="G13" t="inlineStr">
        <is>
          <t>Diwan Law Associates</t>
        </is>
      </c>
      <c r="H13" t="inlineStr"/>
      <c r="I13" t="inlineStr"/>
      <c r="J13" t="inlineStr">
        <is>
          <t>Chambers of Aman Vachher</t>
        </is>
      </c>
      <c r="K13" t="inlineStr"/>
      <c r="L13" t="inlineStr"/>
      <c r="M13" t="inlineStr">
        <is>
          <t>Agama Law Associates</t>
        </is>
      </c>
      <c r="N13" t="inlineStr"/>
      <c r="O13" t="inlineStr"/>
      <c r="P13" t="inlineStr">
        <is>
          <t>RAJANI ASSOCIATES</t>
        </is>
      </c>
      <c r="Q13" t="inlineStr"/>
      <c r="R13" t="inlineStr"/>
      <c r="S13" t="inlineStr">
        <is>
          <t>Vutts &amp; Associates LLP</t>
        </is>
      </c>
      <c r="T13" t="inlineStr"/>
      <c r="U13" t="inlineStr">
        <is>
          <t>TLH, Advocates &amp; Solicitors</t>
        </is>
      </c>
      <c r="V13" t="inlineStr"/>
      <c r="W13" t="inlineStr"/>
      <c r="X13" t="inlineStr">
        <is>
          <t>Amrita Panda / ADP Chambers- 62</t>
        </is>
      </c>
      <c r="Y13" t="inlineStr"/>
      <c r="Z13" t="inlineStr"/>
      <c r="AA13" t="inlineStr">
        <is>
          <t>Justice (Retd.) Kurian Joseph</t>
        </is>
      </c>
      <c r="AB13" t="inlineStr">
        <is>
          <t>Justice (Retd.) Kurian Joseph</t>
        </is>
      </c>
    </row>
    <row r="14">
      <c r="A14" t="inlineStr">
        <is>
          <t>Amrita Panda / ADP Chambers- 5</t>
        </is>
      </c>
      <c r="B14" t="inlineStr"/>
      <c r="C14" t="inlineStr"/>
      <c r="D14" t="inlineStr">
        <is>
          <t>Agama Law Associates</t>
        </is>
      </c>
      <c r="E14" t="inlineStr"/>
      <c r="F14" t="inlineStr"/>
      <c r="G14" t="inlineStr">
        <is>
          <t>Eternity Legal</t>
        </is>
      </c>
      <c r="H14" t="inlineStr"/>
      <c r="I14" t="inlineStr"/>
      <c r="J14" t="inlineStr">
        <is>
          <t>Chambers of Justice Mohit S Shah (Retd.), Former Chief Justice of Bombay and Calcutta High Court</t>
        </is>
      </c>
      <c r="K14" t="inlineStr"/>
      <c r="L14" t="inlineStr"/>
      <c r="M14" t="inlineStr">
        <is>
          <t>RAJANI ASSOCIATES</t>
        </is>
      </c>
      <c r="N14" t="inlineStr"/>
      <c r="O14" t="inlineStr"/>
      <c r="P14" t="inlineStr">
        <is>
          <t>Venkatesh Dhond</t>
        </is>
      </c>
      <c r="Q14" t="inlineStr"/>
      <c r="R14" t="inlineStr"/>
      <c r="S14" t="inlineStr">
        <is>
          <t>Darius J. Khambata</t>
        </is>
      </c>
      <c r="T14" t="inlineStr"/>
      <c r="U14" t="inlineStr">
        <is>
          <t>Shreeyash Lalit</t>
        </is>
      </c>
      <c r="V14" t="inlineStr"/>
      <c r="W14" t="inlineStr"/>
      <c r="X14" t="inlineStr">
        <is>
          <t>Amrut Joshi</t>
        </is>
      </c>
      <c r="Y14" t="inlineStr"/>
      <c r="Z14" t="inlineStr"/>
      <c r="AA14" t="inlineStr">
        <is>
          <t xml:space="preserve">SINHA &amp; COMPANY
</t>
        </is>
      </c>
      <c r="AB14" t="inlineStr">
        <is>
          <t xml:space="preserve">SINHA &amp; COMPANY
</t>
        </is>
      </c>
    </row>
    <row r="15">
      <c r="A15" t="inlineStr">
        <is>
          <t>Diwan Law Associates</t>
        </is>
      </c>
      <c r="B15" t="inlineStr"/>
      <c r="C15" t="inlineStr"/>
      <c r="D15" t="inlineStr">
        <is>
          <t>Venkatesh Dhond</t>
        </is>
      </c>
      <c r="E15" t="inlineStr"/>
      <c r="F15" t="inlineStr"/>
      <c r="G15" t="inlineStr">
        <is>
          <t xml:space="preserve">Farhan Dubash </t>
        </is>
      </c>
      <c r="H15" t="inlineStr"/>
      <c r="I15" t="inlineStr"/>
      <c r="J15" t="inlineStr">
        <is>
          <t>Darius J. Khambata</t>
        </is>
      </c>
      <c r="K15" t="inlineStr"/>
      <c r="L15" t="inlineStr"/>
      <c r="M15" t="inlineStr">
        <is>
          <t>Venkatesh Dhond</t>
        </is>
      </c>
      <c r="N15" t="inlineStr"/>
      <c r="O15" t="inlineStr"/>
      <c r="P15" t="inlineStr">
        <is>
          <t>Harshit Malik</t>
        </is>
      </c>
      <c r="Q15" t="inlineStr"/>
      <c r="R15" t="inlineStr"/>
      <c r="S15" t="inlineStr">
        <is>
          <t>Miglani Varma &amp; Co.</t>
        </is>
      </c>
      <c r="T15" t="inlineStr"/>
      <c r="U15" t="inlineStr">
        <is>
          <t>R. Vishnu Kumar, Advocate</t>
        </is>
      </c>
      <c r="V15" t="inlineStr"/>
      <c r="W15" t="inlineStr"/>
      <c r="X15" t="inlineStr">
        <is>
          <t>Ankit Talsania</t>
        </is>
      </c>
      <c r="Y15" t="inlineStr"/>
      <c r="Z15" t="inlineStr"/>
      <c r="AA15" t="inlineStr">
        <is>
          <t>Darshit Jain</t>
        </is>
      </c>
      <c r="AB15" t="inlineStr">
        <is>
          <t>Darshit Jain</t>
        </is>
      </c>
    </row>
    <row r="16">
      <c r="A16" t="inlineStr">
        <is>
          <t xml:space="preserve">Abhimanyu Garg / Methodica Legal </t>
        </is>
      </c>
      <c r="B16" t="inlineStr"/>
      <c r="C16" t="inlineStr"/>
      <c r="D16" t="inlineStr">
        <is>
          <t>Parakram Legal</t>
        </is>
      </c>
      <c r="E16" t="inlineStr"/>
      <c r="F16" t="inlineStr"/>
      <c r="G16" t="inlineStr">
        <is>
          <t>Gourab Banerji</t>
        </is>
      </c>
      <c r="H16" t="inlineStr"/>
      <c r="I16" t="inlineStr"/>
      <c r="J16" t="inlineStr">
        <is>
          <t>Dipankar Majumdar</t>
        </is>
      </c>
      <c r="K16" t="inlineStr"/>
      <c r="L16" t="inlineStr"/>
      <c r="M16" t="inlineStr">
        <is>
          <t>Harshit Malik</t>
        </is>
      </c>
      <c r="N16" t="inlineStr"/>
      <c r="O16" t="inlineStr"/>
      <c r="P16" t="inlineStr">
        <is>
          <t>PSN Legal Advocates and Legal Consultants</t>
        </is>
      </c>
      <c r="Q16" t="inlineStr"/>
      <c r="R16" t="inlineStr"/>
      <c r="S16" t="inlineStr">
        <is>
          <t>Rashmikant and Partners</t>
        </is>
      </c>
      <c r="T16" t="inlineStr"/>
      <c r="U16" t="inlineStr">
        <is>
          <t>NC Legal</t>
        </is>
      </c>
      <c r="V16" t="inlineStr"/>
      <c r="W16" t="inlineStr"/>
      <c r="X16" t="inlineStr">
        <is>
          <t>ANM Global Inc</t>
        </is>
      </c>
      <c r="Y16" t="inlineStr"/>
      <c r="Z16" t="inlineStr"/>
      <c r="AA16" t="inlineStr">
        <is>
          <t>Sagar Ghogre</t>
        </is>
      </c>
      <c r="AB16" t="inlineStr">
        <is>
          <t>Sagar Ghogre</t>
        </is>
      </c>
    </row>
    <row r="17">
      <c r="A17" t="inlineStr">
        <is>
          <t>Ish Jain / Regius Partners LLP</t>
        </is>
      </c>
      <c r="B17" t="inlineStr"/>
      <c r="C17" t="inlineStr"/>
      <c r="D17" t="inlineStr">
        <is>
          <t>Kanungo &amp; Co.</t>
        </is>
      </c>
      <c r="E17" t="inlineStr"/>
      <c r="F17" t="inlineStr"/>
      <c r="G17" t="inlineStr">
        <is>
          <t>Ish Jain / Regius Partners LLP</t>
        </is>
      </c>
      <c r="H17" t="inlineStr"/>
      <c r="I17" t="inlineStr"/>
      <c r="J17" t="inlineStr">
        <is>
          <t>Diwan Law Associates</t>
        </is>
      </c>
      <c r="K17" t="inlineStr"/>
      <c r="L17" t="inlineStr"/>
      <c r="M17" t="inlineStr">
        <is>
          <t>PSN Legal Advocates and Legal Consultants</t>
        </is>
      </c>
      <c r="N17" t="inlineStr"/>
      <c r="O17" t="inlineStr"/>
      <c r="P17" t="inlineStr">
        <is>
          <t>Swapna Sheshadri</t>
        </is>
      </c>
      <c r="Q17" t="inlineStr"/>
      <c r="R17" t="inlineStr"/>
      <c r="S17" t="inlineStr">
        <is>
          <t>TLH, Advocates &amp; Solicitors</t>
        </is>
      </c>
      <c r="T17" t="inlineStr"/>
      <c r="U17" t="inlineStr">
        <is>
          <t>RPV LEGAL</t>
        </is>
      </c>
      <c r="V17" t="inlineStr"/>
      <c r="W17" t="inlineStr"/>
      <c r="X17" t="inlineStr">
        <is>
          <t>Anush Raajan</t>
        </is>
      </c>
      <c r="Y17" t="inlineStr"/>
      <c r="Z17" t="inlineStr"/>
      <c r="AA17" t="inlineStr">
        <is>
          <t>Chetan shah</t>
        </is>
      </c>
      <c r="AB17" t="inlineStr">
        <is>
          <t>Chetan shah</t>
        </is>
      </c>
    </row>
    <row r="18">
      <c r="A18" t="inlineStr"/>
      <c r="B18" t="inlineStr"/>
      <c r="C18" t="inlineStr"/>
      <c r="D18" t="inlineStr">
        <is>
          <t xml:space="preserve">Farhan Dubash </t>
        </is>
      </c>
      <c r="E18" t="inlineStr"/>
      <c r="F18" t="inlineStr"/>
      <c r="G18" t="inlineStr">
        <is>
          <t>Keystone Partners</t>
        </is>
      </c>
      <c r="H18" t="inlineStr"/>
      <c r="I18" t="inlineStr"/>
      <c r="J18" t="inlineStr">
        <is>
          <t>Eternity Legal</t>
        </is>
      </c>
      <c r="K18" t="inlineStr"/>
      <c r="L18" t="inlineStr"/>
      <c r="M18" t="inlineStr">
        <is>
          <t>Swapna Sheshadri</t>
        </is>
      </c>
      <c r="N18" t="inlineStr"/>
      <c r="O18" t="inlineStr"/>
      <c r="P18" t="inlineStr">
        <is>
          <t>Vutts &amp; Associates LLP</t>
        </is>
      </c>
      <c r="Q18" t="inlineStr"/>
      <c r="R18" t="inlineStr"/>
      <c r="S18" t="inlineStr">
        <is>
          <t>Shreeyash Lalit</t>
        </is>
      </c>
      <c r="T18" t="inlineStr"/>
      <c r="U18" t="inlineStr">
        <is>
          <t>AP &amp; Partners, Advocates</t>
        </is>
      </c>
      <c r="V18" t="inlineStr"/>
      <c r="W18" t="inlineStr"/>
      <c r="X18" t="inlineStr">
        <is>
          <t>Apoorv Kurup</t>
        </is>
      </c>
      <c r="Y18" t="inlineStr"/>
      <c r="Z18" t="inlineStr"/>
      <c r="AA18" t="inlineStr">
        <is>
          <t>Sneha Phene</t>
        </is>
      </c>
      <c r="AB18" t="inlineStr">
        <is>
          <t>Sneha Phene</t>
        </is>
      </c>
    </row>
    <row r="19">
      <c r="A19" t="inlineStr"/>
      <c r="B19" t="inlineStr"/>
      <c r="C19" t="inlineStr"/>
      <c r="D19" t="inlineStr">
        <is>
          <t>Prantar</t>
        </is>
      </c>
      <c r="E19" t="inlineStr"/>
      <c r="F19" t="inlineStr"/>
      <c r="G19" t="inlineStr">
        <is>
          <t>Manish kelker</t>
        </is>
      </c>
      <c r="H19" t="inlineStr"/>
      <c r="I19" t="inlineStr"/>
      <c r="J19" t="inlineStr">
        <is>
          <t xml:space="preserve">Farhan Dubash </t>
        </is>
      </c>
      <c r="K19" t="inlineStr"/>
      <c r="L19" t="inlineStr"/>
      <c r="M19" t="inlineStr">
        <is>
          <t>Vutts &amp; Associates LLP</t>
        </is>
      </c>
      <c r="N19" t="inlineStr"/>
      <c r="O19" t="inlineStr"/>
      <c r="P19" t="inlineStr">
        <is>
          <t>Darius J. Khambata</t>
        </is>
      </c>
      <c r="Q19" t="inlineStr"/>
      <c r="R19" t="inlineStr"/>
      <c r="S19" t="inlineStr">
        <is>
          <t>Dewani Associates</t>
        </is>
      </c>
      <c r="T19" t="inlineStr"/>
      <c r="U19" t="inlineStr">
        <is>
          <t>Bathiya Legal</t>
        </is>
      </c>
      <c r="V19" t="inlineStr"/>
      <c r="W19" t="inlineStr"/>
      <c r="X19" t="inlineStr">
        <is>
          <t>Argus Partners</t>
        </is>
      </c>
      <c r="Y19" t="inlineStr"/>
      <c r="Z19" t="inlineStr"/>
      <c r="AA19" t="inlineStr">
        <is>
          <t>Gunjan Mangla</t>
        </is>
      </c>
      <c r="AB19" t="inlineStr">
        <is>
          <t>Gunjan Mangla</t>
        </is>
      </c>
    </row>
    <row r="20">
      <c r="A20" t="inlineStr"/>
      <c r="B20" t="inlineStr"/>
      <c r="C20" t="inlineStr"/>
      <c r="D20" t="inlineStr">
        <is>
          <t>Gourab Banerji</t>
        </is>
      </c>
      <c r="E20" t="inlineStr"/>
      <c r="F20" t="inlineStr"/>
      <c r="G20" t="inlineStr">
        <is>
          <t>Monalisa Kosaria</t>
        </is>
      </c>
      <c r="H20" t="inlineStr"/>
      <c r="I20" t="inlineStr"/>
      <c r="J20" t="inlineStr">
        <is>
          <t>Federal &amp; Company</t>
        </is>
      </c>
      <c r="K20" t="inlineStr"/>
      <c r="L20" t="inlineStr"/>
      <c r="M20" t="inlineStr">
        <is>
          <t>Darius J. Khambata</t>
        </is>
      </c>
      <c r="N20" t="inlineStr"/>
      <c r="O20" t="inlineStr"/>
      <c r="P20" t="inlineStr">
        <is>
          <t>Miglani Varma &amp; Co.</t>
        </is>
      </c>
      <c r="Q20" t="inlineStr"/>
      <c r="R20" t="inlineStr"/>
      <c r="S20" t="inlineStr">
        <is>
          <t>R. Vishnu Kumar, Advocate</t>
        </is>
      </c>
      <c r="T20" t="inlineStr"/>
      <c r="U20" t="inlineStr">
        <is>
          <t>Justice (Retd.) Kurian Joseph</t>
        </is>
      </c>
      <c r="V20" t="inlineStr"/>
      <c r="W20" t="inlineStr"/>
      <c r="X20" t="inlineStr">
        <is>
          <t>Arpit Gupta</t>
        </is>
      </c>
      <c r="Y20" t="inlineStr"/>
      <c r="Z20" t="inlineStr"/>
      <c r="AA20" t="inlineStr">
        <is>
          <t>Zulfiqar Jariwala</t>
        </is>
      </c>
      <c r="AB20" t="inlineStr">
        <is>
          <t>Zulfiqar Jariwala</t>
        </is>
      </c>
    </row>
    <row r="21">
      <c r="A21" t="inlineStr"/>
      <c r="B21" t="inlineStr"/>
      <c r="C21" t="inlineStr"/>
      <c r="D21" t="inlineStr">
        <is>
          <t>Keystone Partners</t>
        </is>
      </c>
      <c r="E21" t="inlineStr"/>
      <c r="F21" t="inlineStr"/>
      <c r="G21" t="inlineStr">
        <is>
          <t>Mr. Jehangir Jejeebhoy</t>
        </is>
      </c>
      <c r="H21" t="inlineStr"/>
      <c r="I21" t="inlineStr"/>
      <c r="J21" t="inlineStr">
        <is>
          <t>GM Legal</t>
        </is>
      </c>
      <c r="K21" t="inlineStr"/>
      <c r="L21" t="inlineStr"/>
      <c r="M21" t="inlineStr">
        <is>
          <t>Miglani Varma &amp; Co.</t>
        </is>
      </c>
      <c r="N21" t="inlineStr"/>
      <c r="O21" t="inlineStr"/>
      <c r="P21" t="inlineStr">
        <is>
          <t>Venkatesh Mohanraj</t>
        </is>
      </c>
      <c r="Q21" t="inlineStr"/>
      <c r="R21" t="inlineStr"/>
      <c r="S21" t="inlineStr">
        <is>
          <t>NC Legal</t>
        </is>
      </c>
      <c r="T21" t="inlineStr"/>
      <c r="U21" t="inlineStr">
        <is>
          <t xml:space="preserve">SINHA &amp; COMPANY
</t>
        </is>
      </c>
      <c r="V21" t="inlineStr"/>
      <c r="W21" t="inlineStr"/>
      <c r="X21" t="inlineStr">
        <is>
          <t>Asahi Legal LLP</t>
        </is>
      </c>
      <c r="Y21" t="inlineStr"/>
      <c r="Z21" t="inlineStr"/>
      <c r="AA21" t="inlineStr">
        <is>
          <t>Manjari Shah</t>
        </is>
      </c>
      <c r="AB21" t="inlineStr">
        <is>
          <t>Manjari Shah</t>
        </is>
      </c>
    </row>
    <row r="22">
      <c r="A22" t="inlineStr"/>
      <c r="B22" t="inlineStr"/>
      <c r="C22" t="inlineStr"/>
      <c r="D22" t="inlineStr">
        <is>
          <t>Mustafa S Doctor</t>
        </is>
      </c>
      <c r="E22" t="inlineStr"/>
      <c r="F22" t="inlineStr"/>
      <c r="G22" t="inlineStr">
        <is>
          <t>Mustafa S Doctor</t>
        </is>
      </c>
      <c r="H22" t="inlineStr"/>
      <c r="I22" t="inlineStr"/>
      <c r="J22" t="inlineStr">
        <is>
          <t>Gourab Banreji</t>
        </is>
      </c>
      <c r="K22" t="inlineStr"/>
      <c r="L22" t="inlineStr"/>
      <c r="M22" t="inlineStr">
        <is>
          <t>Venkatesh Mohanraj</t>
        </is>
      </c>
      <c r="N22" t="inlineStr"/>
      <c r="O22" t="inlineStr"/>
      <c r="P22" t="inlineStr">
        <is>
          <t>Jade Lex Partners</t>
        </is>
      </c>
      <c r="Q22" t="inlineStr"/>
      <c r="R22" t="inlineStr"/>
      <c r="S22" t="inlineStr">
        <is>
          <t>RPV LEGAL</t>
        </is>
      </c>
      <c r="T22" t="inlineStr"/>
      <c r="U22" t="inlineStr">
        <is>
          <t>Darshit Jain</t>
        </is>
      </c>
      <c r="V22" t="inlineStr"/>
      <c r="W22" t="inlineStr"/>
      <c r="X22" t="inlineStr">
        <is>
          <t>ASV Legal LLP</t>
        </is>
      </c>
      <c r="Y22" t="inlineStr"/>
      <c r="Z22" t="inlineStr"/>
      <c r="AA22" t="inlineStr">
        <is>
          <t>Sagar Sheth</t>
        </is>
      </c>
      <c r="AB22" t="inlineStr">
        <is>
          <t>Sagar Sheth</t>
        </is>
      </c>
    </row>
    <row r="23">
      <c r="A23" t="inlineStr"/>
      <c r="B23" t="inlineStr"/>
      <c r="C23" t="inlineStr"/>
      <c r="D23" t="inlineStr">
        <is>
          <t>Aditya Sikka / Tvashta Law</t>
        </is>
      </c>
      <c r="E23" t="inlineStr"/>
      <c r="F23" t="inlineStr"/>
      <c r="G23" t="inlineStr">
        <is>
          <t>MV Law Partners</t>
        </is>
      </c>
      <c r="H23" t="inlineStr"/>
      <c r="I23" t="inlineStr"/>
      <c r="J23" t="inlineStr">
        <is>
          <t>Harshit Malik</t>
        </is>
      </c>
      <c r="K23" t="inlineStr"/>
      <c r="L23" t="inlineStr"/>
      <c r="M23" t="inlineStr">
        <is>
          <t>Jade Lex Partners</t>
        </is>
      </c>
      <c r="N23" t="inlineStr"/>
      <c r="O23" t="inlineStr"/>
      <c r="P23" t="inlineStr">
        <is>
          <t>Alankrit Bajpai</t>
        </is>
      </c>
      <c r="Q23" t="inlineStr"/>
      <c r="R23" t="inlineStr"/>
      <c r="S23" t="inlineStr">
        <is>
          <t>AP &amp; Partners, Advocates</t>
        </is>
      </c>
      <c r="T23" t="inlineStr"/>
      <c r="U23" t="inlineStr">
        <is>
          <t>Sagar Ghogre</t>
        </is>
      </c>
      <c r="V23" t="inlineStr"/>
      <c r="W23" t="inlineStr"/>
      <c r="X23" t="inlineStr">
        <is>
          <t>Aurtus Consulting LLP</t>
        </is>
      </c>
      <c r="Y23" t="inlineStr"/>
      <c r="Z23" t="inlineStr"/>
      <c r="AA23" t="inlineStr">
        <is>
          <t>Mahek Bookwala</t>
        </is>
      </c>
      <c r="AB23" t="inlineStr">
        <is>
          <t>Mahek Bookwala</t>
        </is>
      </c>
    </row>
    <row r="24">
      <c r="A24" t="inlineStr"/>
      <c r="B24" t="inlineStr"/>
      <c r="C24" t="inlineStr"/>
      <c r="D24" t="inlineStr">
        <is>
          <t>Victoram Legal / Mr. Sajal Awasthi</t>
        </is>
      </c>
      <c r="E24" t="inlineStr"/>
      <c r="F24" t="inlineStr"/>
      <c r="G24" t="inlineStr">
        <is>
          <t>MZM Legal LLP</t>
        </is>
      </c>
      <c r="H24" t="inlineStr"/>
      <c r="I24" t="inlineStr"/>
      <c r="J24" t="inlineStr">
        <is>
          <t>Innovatus Law</t>
        </is>
      </c>
      <c r="K24" t="inlineStr"/>
      <c r="L24" t="inlineStr"/>
      <c r="M24" t="inlineStr">
        <is>
          <t>Alankrit Bajpai</t>
        </is>
      </c>
      <c r="N24" t="inlineStr"/>
      <c r="O24" t="inlineStr"/>
      <c r="P24" t="inlineStr">
        <is>
          <t>Badar Durrez</t>
        </is>
      </c>
      <c r="Q24" t="inlineStr"/>
      <c r="R24" t="inlineStr"/>
      <c r="S24" t="inlineStr">
        <is>
          <t>Bathiya Legal</t>
        </is>
      </c>
      <c r="T24" t="inlineStr"/>
      <c r="U24" t="inlineStr">
        <is>
          <t>Chetan shah</t>
        </is>
      </c>
      <c r="V24" t="inlineStr"/>
      <c r="W24" t="inlineStr"/>
      <c r="X24" t="inlineStr">
        <is>
          <t>Bharat Chugh</t>
        </is>
      </c>
      <c r="Y24" t="inlineStr"/>
      <c r="Z24" t="inlineStr"/>
      <c r="AA24" t="inlineStr">
        <is>
          <t>Pratik Patnaik</t>
        </is>
      </c>
      <c r="AB24" t="inlineStr">
        <is>
          <t>Pradeep Sancheti</t>
        </is>
      </c>
    </row>
    <row r="25">
      <c r="A25" t="inlineStr"/>
      <c r="B25" t="inlineStr"/>
      <c r="C25" t="inlineStr"/>
      <c r="D25" t="inlineStr">
        <is>
          <t>Ratan Kumar Singh</t>
        </is>
      </c>
      <c r="E25" t="inlineStr"/>
      <c r="F25" t="inlineStr"/>
      <c r="G25" t="inlineStr">
        <is>
          <t>Naushad Engineer</t>
        </is>
      </c>
      <c r="H25" t="inlineStr"/>
      <c r="I25" t="inlineStr"/>
      <c r="J25" t="inlineStr">
        <is>
          <t>Ish Jain / Regius Partners LLP</t>
        </is>
      </c>
      <c r="K25" t="inlineStr"/>
      <c r="L25" t="inlineStr"/>
      <c r="M25" t="inlineStr">
        <is>
          <t>Badar Durrez</t>
        </is>
      </c>
      <c r="N25" t="inlineStr"/>
      <c r="O25" t="inlineStr"/>
      <c r="P25" t="inlineStr">
        <is>
          <t>Rashmikant and Partners</t>
        </is>
      </c>
      <c r="Q25" t="inlineStr"/>
      <c r="R25" t="inlineStr"/>
      <c r="S25" t="inlineStr">
        <is>
          <t>Justice (Retd.) Kurian Joseph</t>
        </is>
      </c>
      <c r="T25" t="inlineStr"/>
      <c r="U25" t="inlineStr">
        <is>
          <t>Sneha Phene</t>
        </is>
      </c>
      <c r="V25" t="inlineStr"/>
      <c r="W25" t="inlineStr"/>
      <c r="X25" t="inlineStr">
        <is>
          <t>Birendra Saraf</t>
        </is>
      </c>
      <c r="Y25" t="inlineStr"/>
      <c r="Z25" t="inlineStr"/>
      <c r="AA25" t="inlineStr">
        <is>
          <t>Saswat Mohanty</t>
        </is>
      </c>
      <c r="AB25" t="inlineStr">
        <is>
          <t>Pratik Patnaik</t>
        </is>
      </c>
    </row>
    <row r="26">
      <c r="A26" t="inlineStr"/>
      <c r="B26" t="inlineStr"/>
      <c r="C26" t="inlineStr"/>
      <c r="D26" t="inlineStr">
        <is>
          <t>ANG</t>
        </is>
      </c>
      <c r="E26" t="inlineStr"/>
      <c r="F26" t="inlineStr"/>
      <c r="G26" t="inlineStr">
        <is>
          <t>Office of ASG (N. Venkatraman)</t>
        </is>
      </c>
      <c r="H26" t="inlineStr"/>
      <c r="I26" t="inlineStr"/>
      <c r="J26" t="inlineStr">
        <is>
          <t>Justice (Retd.) AK Sikri</t>
        </is>
      </c>
      <c r="K26" t="inlineStr"/>
      <c r="L26" t="inlineStr"/>
      <c r="M26" t="inlineStr">
        <is>
          <t>Rashmikant and Partners</t>
        </is>
      </c>
      <c r="N26" t="inlineStr"/>
      <c r="O26" t="inlineStr"/>
      <c r="P26" t="inlineStr">
        <is>
          <t>TLH, Advocates &amp; Solicitors</t>
        </is>
      </c>
      <c r="Q26" t="inlineStr"/>
      <c r="R26" t="inlineStr"/>
      <c r="S26" t="inlineStr">
        <is>
          <t xml:space="preserve">SINHA &amp; COMPANY
</t>
        </is>
      </c>
      <c r="T26" t="inlineStr"/>
      <c r="U26" t="inlineStr">
        <is>
          <t>Gunjan Mangla</t>
        </is>
      </c>
      <c r="V26" t="inlineStr"/>
      <c r="W26" t="inlineStr"/>
      <c r="X26" t="inlineStr">
        <is>
          <t>Bishwajit Dubey</t>
        </is>
      </c>
      <c r="Y26" t="inlineStr"/>
      <c r="Z26" t="inlineStr"/>
      <c r="AA26" t="inlineStr">
        <is>
          <t>Chambers of Aman Vachher</t>
        </is>
      </c>
      <c r="AB26" t="inlineStr">
        <is>
          <t>Saswat Mohanty</t>
        </is>
      </c>
    </row>
    <row r="27">
      <c r="A27" t="inlineStr"/>
      <c r="B27" t="inlineStr"/>
      <c r="C27" t="inlineStr"/>
      <c r="D27" t="inlineStr">
        <is>
          <t xml:space="preserve">
The Guild | Advocates &amp; Associate Counsel</t>
        </is>
      </c>
      <c r="E27" t="inlineStr"/>
      <c r="F27" t="inlineStr"/>
      <c r="G27" t="inlineStr">
        <is>
          <t>Prompt Legal (Shared by Jayanth)</t>
        </is>
      </c>
      <c r="H27" t="inlineStr"/>
      <c r="I27" t="inlineStr"/>
      <c r="J27" t="inlineStr">
        <is>
          <t>Justice (Retd.) Kurian Joseph</t>
        </is>
      </c>
      <c r="K27" t="inlineStr"/>
      <c r="L27" t="inlineStr"/>
      <c r="M27" t="inlineStr">
        <is>
          <t>TLH, Advocates &amp; Solicitors</t>
        </is>
      </c>
      <c r="N27" t="inlineStr"/>
      <c r="O27" t="inlineStr"/>
      <c r="P27" t="inlineStr">
        <is>
          <t>Shreeyash Lalit</t>
        </is>
      </c>
      <c r="Q27" t="inlineStr"/>
      <c r="R27" t="inlineStr"/>
      <c r="S27" t="inlineStr">
        <is>
          <t>Darshit Jain</t>
        </is>
      </c>
      <c r="T27" t="inlineStr"/>
      <c r="U27" t="inlineStr">
        <is>
          <t>Zulfiqar Jariwala</t>
        </is>
      </c>
      <c r="V27" t="inlineStr"/>
      <c r="W27" t="inlineStr"/>
      <c r="X27" t="inlineStr">
        <is>
          <t>Brijesh Oberoi</t>
        </is>
      </c>
      <c r="Y27" t="inlineStr"/>
      <c r="Z27" t="inlineStr"/>
      <c r="AA27" t="inlineStr">
        <is>
          <t>SK Singhi and Partners</t>
        </is>
      </c>
      <c r="AB27" t="inlineStr">
        <is>
          <t>Chambers of Aman Vachher</t>
        </is>
      </c>
    </row>
    <row r="28">
      <c r="A28" t="inlineStr"/>
      <c r="B28" t="inlineStr"/>
      <c r="C28" t="inlineStr"/>
      <c r="D28" t="inlineStr">
        <is>
          <t>Dipankar Majumdar</t>
        </is>
      </c>
      <c r="E28" t="inlineStr"/>
      <c r="F28" t="inlineStr"/>
      <c r="G28" t="inlineStr">
        <is>
          <t>Ratan Kumar Singh</t>
        </is>
      </c>
      <c r="H28" t="inlineStr"/>
      <c r="I28" t="inlineStr"/>
      <c r="J28" t="inlineStr">
        <is>
          <t>Keystone Partners</t>
        </is>
      </c>
      <c r="K28" t="inlineStr"/>
      <c r="L28" t="inlineStr"/>
      <c r="M28" t="inlineStr">
        <is>
          <t>Shreeyash Lalit</t>
        </is>
      </c>
      <c r="N28" t="inlineStr"/>
      <c r="O28" t="inlineStr"/>
      <c r="P28" t="inlineStr">
        <is>
          <t>Dewani Associates</t>
        </is>
      </c>
      <c r="Q28" t="inlineStr"/>
      <c r="R28" t="inlineStr"/>
      <c r="S28" t="inlineStr">
        <is>
          <t>Sagar Ghogre</t>
        </is>
      </c>
      <c r="T28" t="inlineStr"/>
      <c r="U28" t="inlineStr">
        <is>
          <t>Manjari Shah</t>
        </is>
      </c>
      <c r="V28" t="inlineStr"/>
      <c r="W28" t="inlineStr"/>
      <c r="X28" t="inlineStr">
        <is>
          <t>Chambers of Aman Vachher</t>
        </is>
      </c>
      <c r="Y28" t="inlineStr"/>
      <c r="Z28" t="inlineStr"/>
      <c r="AA28" t="inlineStr">
        <is>
          <t>SKR &amp; associates</t>
        </is>
      </c>
      <c r="AB28" t="inlineStr">
        <is>
          <t>SK Singhi and Partners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Sanjay Udeshi &amp; Co.</t>
        </is>
      </c>
      <c r="H29" t="inlineStr"/>
      <c r="I29" t="inlineStr"/>
      <c r="J29" t="inlineStr">
        <is>
          <t>Manish kelker</t>
        </is>
      </c>
      <c r="K29" t="inlineStr"/>
      <c r="L29" t="inlineStr"/>
      <c r="M29" t="inlineStr">
        <is>
          <t>Dewani Associates</t>
        </is>
      </c>
      <c r="N29" t="inlineStr"/>
      <c r="O29" t="inlineStr"/>
      <c r="P29" t="inlineStr">
        <is>
          <t>R. Vishnu Kumar, Advocate</t>
        </is>
      </c>
      <c r="Q29" t="inlineStr"/>
      <c r="R29" t="inlineStr"/>
      <c r="S29" t="inlineStr">
        <is>
          <t>Chetan shah</t>
        </is>
      </c>
      <c r="T29" t="inlineStr"/>
      <c r="U29" t="inlineStr">
        <is>
          <t>Sagar Sheth</t>
        </is>
      </c>
      <c r="V29" t="inlineStr"/>
      <c r="W29" t="inlineStr"/>
      <c r="X29" t="inlineStr">
        <is>
          <t>Chambers of Justice Mohit S Shah (Retd.), Former Chief Justice of Bombay and Calcutta High Court</t>
        </is>
      </c>
      <c r="Y29" t="inlineStr"/>
      <c r="Z29" t="inlineStr"/>
      <c r="AA29" t="inlineStr">
        <is>
          <t>Srivastava &amp; Company</t>
        </is>
      </c>
      <c r="AB29" t="inlineStr">
        <is>
          <t>SKR &amp; associates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Saswat Mohanty</t>
        </is>
      </c>
      <c r="H30" t="inlineStr"/>
      <c r="I30" t="inlineStr"/>
      <c r="J30" t="inlineStr">
        <is>
          <t>Megha Chandra</t>
        </is>
      </c>
      <c r="K30" t="inlineStr"/>
      <c r="L30" t="inlineStr"/>
      <c r="M30" t="inlineStr">
        <is>
          <t>R. Vishnu Kumar, Advocate</t>
        </is>
      </c>
      <c r="N30" t="inlineStr"/>
      <c r="O30" t="inlineStr"/>
      <c r="P30" t="inlineStr">
        <is>
          <t>Yash Momaya</t>
        </is>
      </c>
      <c r="Q30" t="inlineStr"/>
      <c r="R30" t="inlineStr"/>
      <c r="S30" t="inlineStr">
        <is>
          <t>Sneha Phene</t>
        </is>
      </c>
      <c r="T30" t="inlineStr"/>
      <c r="U30" t="inlineStr">
        <is>
          <t>Mahek Bookwala</t>
        </is>
      </c>
      <c r="V30" t="inlineStr"/>
      <c r="W30" t="inlineStr"/>
      <c r="X30" t="inlineStr">
        <is>
          <t>Chambers of Moazzam Khan</t>
        </is>
      </c>
      <c r="Y30" t="inlineStr"/>
      <c r="Z30" t="inlineStr"/>
      <c r="AA30" t="inlineStr">
        <is>
          <t>Piyush Raheja</t>
        </is>
      </c>
      <c r="AB30" t="inlineStr">
        <is>
          <t>Srivastava &amp; Company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Shiraz Rustomjee</t>
        </is>
      </c>
      <c r="H31" t="inlineStr"/>
      <c r="I31" t="inlineStr"/>
      <c r="J31" t="inlineStr">
        <is>
          <t>Monalisa Kosaria</t>
        </is>
      </c>
      <c r="K31" t="inlineStr"/>
      <c r="L31" t="inlineStr"/>
      <c r="M31" t="inlineStr">
        <is>
          <t>Yash Momaya</t>
        </is>
      </c>
      <c r="N31" t="inlineStr"/>
      <c r="O31" t="inlineStr"/>
      <c r="P31" t="inlineStr">
        <is>
          <t>Chetan Dedhia</t>
        </is>
      </c>
      <c r="Q31" t="inlineStr"/>
      <c r="R31" t="inlineStr"/>
      <c r="S31" t="inlineStr">
        <is>
          <t>Gunjan Mangla</t>
        </is>
      </c>
      <c r="T31" t="inlineStr"/>
      <c r="U31" t="inlineStr">
        <is>
          <t>Pradeep Sancheti</t>
        </is>
      </c>
      <c r="V31" t="inlineStr"/>
      <c r="W31" t="inlineStr"/>
      <c r="X31" t="inlineStr">
        <is>
          <t>Chambers of Ninad Laud</t>
        </is>
      </c>
      <c r="Y31" t="inlineStr"/>
      <c r="Z31" t="inlineStr"/>
      <c r="AA31" t="inlineStr">
        <is>
          <t>⁠Feroze Patel</t>
        </is>
      </c>
      <c r="AB31" t="inlineStr">
        <is>
          <t>Piyush Raheja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Shyam Kapadia</t>
        </is>
      </c>
      <c r="H32" t="inlineStr"/>
      <c r="I32" t="inlineStr"/>
      <c r="J32" t="inlineStr">
        <is>
          <t>Mr Sudhanshu Kumar</t>
        </is>
      </c>
      <c r="K32" t="inlineStr"/>
      <c r="L32" t="inlineStr"/>
      <c r="M32" t="inlineStr">
        <is>
          <t>Chetan Dedhia</t>
        </is>
      </c>
      <c r="N32" t="inlineStr"/>
      <c r="O32" t="inlineStr"/>
      <c r="P32" t="inlineStr">
        <is>
          <t>NC Legal</t>
        </is>
      </c>
      <c r="Q32" t="inlineStr"/>
      <c r="R32" t="inlineStr"/>
      <c r="S32" t="inlineStr">
        <is>
          <t>Zulfiqar Jariwala</t>
        </is>
      </c>
      <c r="T32" t="inlineStr"/>
      <c r="U32" t="inlineStr">
        <is>
          <t>AHUJA VALECHA &amp; ASSOCIATES LLP</t>
        </is>
      </c>
      <c r="V32" t="inlineStr"/>
      <c r="W32" t="inlineStr"/>
      <c r="X32" t="inlineStr">
        <is>
          <t>Chetan Dedhia</t>
        </is>
      </c>
      <c r="Y32" t="inlineStr"/>
      <c r="Z32" t="inlineStr"/>
      <c r="AA32" t="inlineStr">
        <is>
          <t>Kazan Shroff</t>
        </is>
      </c>
      <c r="AB32" t="inlineStr">
        <is>
          <t>⁠Feroze Patel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SRCO Legal / Salvador Raghav &amp; Co.</t>
        </is>
      </c>
      <c r="H33" t="inlineStr"/>
      <c r="I33" t="inlineStr"/>
      <c r="J33" t="inlineStr">
        <is>
          <t>Mr. Jehangir Jejeebhoy</t>
        </is>
      </c>
      <c r="K33" t="inlineStr"/>
      <c r="L33" t="inlineStr"/>
      <c r="M33" t="inlineStr">
        <is>
          <t>Aakash Sharma</t>
        </is>
      </c>
      <c r="N33" t="inlineStr"/>
      <c r="O33" t="inlineStr"/>
      <c r="P33" t="inlineStr">
        <is>
          <t>Aakash Sharma</t>
        </is>
      </c>
      <c r="Q33" t="inlineStr"/>
      <c r="R33" t="inlineStr"/>
      <c r="S33" t="inlineStr">
        <is>
          <t>Manjari Shah</t>
        </is>
      </c>
      <c r="T33" t="inlineStr"/>
      <c r="U33" t="inlineStr">
        <is>
          <t>ICL CORPORATE ADVISORY PRIVATE LIMITED</t>
        </is>
      </c>
      <c r="V33" t="inlineStr"/>
      <c r="W33" t="inlineStr"/>
      <c r="X33" t="inlineStr">
        <is>
          <t>Chetan shah</t>
        </is>
      </c>
      <c r="Y33" t="inlineStr"/>
      <c r="Z33" t="inlineStr"/>
      <c r="AA33" t="inlineStr">
        <is>
          <t>Kajol Punjabi</t>
        </is>
      </c>
      <c r="AB33" t="inlineStr">
        <is>
          <t>Kazan Shroff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Venkatesh Dhond</t>
        </is>
      </c>
      <c r="H34" t="inlineStr"/>
      <c r="I34" t="inlineStr"/>
      <c r="J34" t="inlineStr">
        <is>
          <t>Mustafa S Doctor</t>
        </is>
      </c>
      <c r="K34" t="inlineStr"/>
      <c r="L34" t="inlineStr"/>
      <c r="M34" t="inlineStr">
        <is>
          <t>Saga Legal</t>
        </is>
      </c>
      <c r="N34" t="inlineStr"/>
      <c r="O34" t="inlineStr"/>
      <c r="P34" t="inlineStr">
        <is>
          <t>Saga Legal</t>
        </is>
      </c>
      <c r="Q34" t="inlineStr"/>
      <c r="R34" t="inlineStr"/>
      <c r="S34" t="inlineStr">
        <is>
          <t>Sagar Sheth</t>
        </is>
      </c>
      <c r="T34" t="inlineStr"/>
      <c r="U34" t="inlineStr">
        <is>
          <t>Pratik Patnaik</t>
        </is>
      </c>
      <c r="V34" t="inlineStr"/>
      <c r="W34" t="inlineStr"/>
      <c r="X34" t="inlineStr">
        <is>
          <t>Chirag shah, Advocate</t>
        </is>
      </c>
      <c r="Y34" t="inlineStr"/>
      <c r="Z34" t="inlineStr"/>
      <c r="AA34" t="inlineStr">
        <is>
          <t>Neeta Jain</t>
        </is>
      </c>
      <c r="AB34" t="inlineStr">
        <is>
          <t>Kajol Punjabi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Vesta Legal</t>
        </is>
      </c>
      <c r="H35" t="inlineStr"/>
      <c r="I35" t="inlineStr"/>
      <c r="J35" t="inlineStr">
        <is>
          <t>MV Law Partners</t>
        </is>
      </c>
      <c r="K35" t="inlineStr"/>
      <c r="L35" t="inlineStr"/>
      <c r="M35" t="inlineStr">
        <is>
          <t>RPV LEGAL</t>
        </is>
      </c>
      <c r="N35" t="inlineStr"/>
      <c r="O35" t="inlineStr"/>
      <c r="P35" t="inlineStr">
        <is>
          <t>RPV LEGAL</t>
        </is>
      </c>
      <c r="Q35" t="inlineStr"/>
      <c r="R35" t="inlineStr"/>
      <c r="S35" t="inlineStr">
        <is>
          <t>Mahek Bookwala</t>
        </is>
      </c>
      <c r="T35" t="inlineStr"/>
      <c r="U35" t="inlineStr">
        <is>
          <t>Saswat Mohanty</t>
        </is>
      </c>
      <c r="V35" t="inlineStr"/>
      <c r="W35" t="inlineStr"/>
      <c r="X35" t="inlineStr">
        <is>
          <t>Clavius Legal</t>
        </is>
      </c>
      <c r="Y35" t="inlineStr"/>
      <c r="Z35" t="inlineStr"/>
      <c r="AA35" t="inlineStr">
        <is>
          <t>Amrut Joshi</t>
        </is>
      </c>
      <c r="AB35" t="inlineStr">
        <is>
          <t>Neeta Jain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Victoram Legal / Mr. Sajal Awasthi</t>
        </is>
      </c>
      <c r="H36" t="inlineStr"/>
      <c r="I36" t="inlineStr"/>
      <c r="J36" t="inlineStr">
        <is>
          <t>MZM Legal LLP</t>
        </is>
      </c>
      <c r="K36" t="inlineStr"/>
      <c r="L36" t="inlineStr"/>
      <c r="M36" t="inlineStr">
        <is>
          <t>AP &amp; Partners, Advocates</t>
        </is>
      </c>
      <c r="N36" t="inlineStr"/>
      <c r="O36" t="inlineStr"/>
      <c r="P36" t="inlineStr">
        <is>
          <t>AP &amp; Partners, Advocates</t>
        </is>
      </c>
      <c r="Q36" t="inlineStr"/>
      <c r="R36" t="inlineStr"/>
      <c r="S36" t="inlineStr">
        <is>
          <t>Pradeep Sancheti</t>
        </is>
      </c>
      <c r="T36" t="inlineStr"/>
      <c r="U36" t="inlineStr">
        <is>
          <t>Chambers of Aman Vachher</t>
        </is>
      </c>
      <c r="V36" t="inlineStr"/>
      <c r="W36" t="inlineStr"/>
      <c r="X36" t="inlineStr">
        <is>
          <t>Darius J. Khambata</t>
        </is>
      </c>
      <c r="Y36" t="inlineStr"/>
      <c r="Z36" t="inlineStr"/>
      <c r="AA36" t="inlineStr">
        <is>
          <t>Gaurav Joshi</t>
        </is>
      </c>
      <c r="AB36" t="inlineStr">
        <is>
          <t>Amrut Joshi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Naushad Engineer</t>
        </is>
      </c>
      <c r="K37" t="inlineStr"/>
      <c r="L37" t="inlineStr"/>
      <c r="M37" t="inlineStr">
        <is>
          <t>Pranay Chitale</t>
        </is>
      </c>
      <c r="N37" t="inlineStr"/>
      <c r="O37" t="inlineStr"/>
      <c r="P37" t="inlineStr">
        <is>
          <t>Pranay Chitale</t>
        </is>
      </c>
      <c r="Q37" t="inlineStr"/>
      <c r="R37" t="inlineStr"/>
      <c r="S37" t="inlineStr">
        <is>
          <t>AHUJA VALECHA &amp; ASSOCIATES LLP</t>
        </is>
      </c>
      <c r="T37" t="inlineStr"/>
      <c r="U37" t="inlineStr">
        <is>
          <t>SK Singhi and Partners</t>
        </is>
      </c>
      <c r="V37" t="inlineStr"/>
      <c r="W37" t="inlineStr"/>
      <c r="X37" t="inlineStr">
        <is>
          <t>Darshit Jain</t>
        </is>
      </c>
      <c r="Y37" t="inlineStr"/>
      <c r="Z37" t="inlineStr"/>
      <c r="AA37" t="inlineStr">
        <is>
          <t>Kamaljeet Singh</t>
        </is>
      </c>
      <c r="AB37" t="inlineStr">
        <is>
          <t>Gaurav Joshi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NIKHIL DEELIP P</t>
        </is>
      </c>
      <c r="K38" t="inlineStr"/>
      <c r="L38" t="inlineStr"/>
      <c r="M38" t="inlineStr">
        <is>
          <t>Spark Legal</t>
        </is>
      </c>
      <c r="N38" t="inlineStr"/>
      <c r="O38" t="inlineStr"/>
      <c r="P38" t="inlineStr">
        <is>
          <t>Spark Legal</t>
        </is>
      </c>
      <c r="Q38" t="inlineStr"/>
      <c r="R38" t="inlineStr"/>
      <c r="S38" t="inlineStr">
        <is>
          <t>ICL CORPORATE ADVISORY PRIVATE LIMITED</t>
        </is>
      </c>
      <c r="T38" t="inlineStr"/>
      <c r="U38" t="inlineStr">
        <is>
          <t>SKR &amp; associates</t>
        </is>
      </c>
      <c r="V38" t="inlineStr"/>
      <c r="W38" t="inlineStr"/>
      <c r="X38" t="inlineStr">
        <is>
          <t>Daswani &amp; Daswani</t>
        </is>
      </c>
      <c r="Y38" t="inlineStr"/>
      <c r="Z38" t="inlineStr"/>
      <c r="AA38" t="inlineStr">
        <is>
          <t>Manish kelker</t>
        </is>
      </c>
      <c r="AB38" t="inlineStr">
        <is>
          <t>Kamaljeet Singh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Nora Legal Consultants LLP</t>
        </is>
      </c>
      <c r="K39" t="inlineStr"/>
      <c r="L39" t="inlineStr"/>
      <c r="M39" t="inlineStr">
        <is>
          <t>Bathiya Legal</t>
        </is>
      </c>
      <c r="N39" t="inlineStr"/>
      <c r="O39" t="inlineStr"/>
      <c r="P39" t="inlineStr">
        <is>
          <t>Bathiya Legal</t>
        </is>
      </c>
      <c r="Q39" t="inlineStr"/>
      <c r="R39" t="inlineStr"/>
      <c r="S39" t="inlineStr">
        <is>
          <t>Pratik Patnaik</t>
        </is>
      </c>
      <c r="T39" t="inlineStr"/>
      <c r="U39" t="inlineStr">
        <is>
          <t>Srivastava &amp; Company</t>
        </is>
      </c>
      <c r="V39" t="inlineStr"/>
      <c r="W39" t="inlineStr"/>
      <c r="X39" t="inlineStr">
        <is>
          <t>Deep Cover Law- Chirag Narasimiah</t>
        </is>
      </c>
      <c r="Y39" t="inlineStr"/>
      <c r="Z39" t="inlineStr"/>
      <c r="AA39" t="inlineStr">
        <is>
          <t>Diwan Law Associates</t>
        </is>
      </c>
      <c r="AB39" t="inlineStr">
        <is>
          <t>Manish kelker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Office of ASG (N. Venkatraman)</t>
        </is>
      </c>
      <c r="K40" t="inlineStr"/>
      <c r="L40" t="inlineStr"/>
      <c r="M40" t="inlineStr">
        <is>
          <t>Justice (Retd.) Kurian Joseph</t>
        </is>
      </c>
      <c r="N40" t="inlineStr"/>
      <c r="O40" t="inlineStr"/>
      <c r="P40" t="inlineStr">
        <is>
          <t>Justice (Retd.) Kurian Joseph</t>
        </is>
      </c>
      <c r="Q40" t="inlineStr"/>
      <c r="R40" t="inlineStr"/>
      <c r="S40" t="inlineStr">
        <is>
          <t>Saswat Mohanty</t>
        </is>
      </c>
      <c r="T40" t="inlineStr"/>
      <c r="U40" t="inlineStr">
        <is>
          <t>Piyush Raheja</t>
        </is>
      </c>
      <c r="V40" t="inlineStr"/>
      <c r="W40" t="inlineStr"/>
      <c r="X40" t="inlineStr">
        <is>
          <t>Devina Sehgal</t>
        </is>
      </c>
      <c r="Y40" t="inlineStr"/>
      <c r="Z40" t="inlineStr"/>
      <c r="AA40" t="inlineStr">
        <is>
          <t>SRCO Legal / Salvador Raghav &amp; Co.</t>
        </is>
      </c>
      <c r="AB40" t="inlineStr">
        <is>
          <t>Diwan Law Associates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Prantar</t>
        </is>
      </c>
      <c r="K41" t="inlineStr"/>
      <c r="L41" t="inlineStr"/>
      <c r="M41" t="inlineStr">
        <is>
          <t xml:space="preserve">SINHA &amp; COMPANY
</t>
        </is>
      </c>
      <c r="N41" t="inlineStr"/>
      <c r="O41" t="inlineStr"/>
      <c r="P41" t="inlineStr">
        <is>
          <t xml:space="preserve">SINHA &amp; COMPANY
</t>
        </is>
      </c>
      <c r="Q41" t="inlineStr"/>
      <c r="R41" t="inlineStr"/>
      <c r="S41" t="inlineStr">
        <is>
          <t>Chambers of Aman Vachher</t>
        </is>
      </c>
      <c r="T41" t="inlineStr"/>
      <c r="U41" t="inlineStr">
        <is>
          <t>⁠Feroze Patel</t>
        </is>
      </c>
      <c r="V41" t="inlineStr"/>
      <c r="W41" t="inlineStr"/>
      <c r="X41" t="inlineStr">
        <is>
          <t>Dewani Associates</t>
        </is>
      </c>
      <c r="Y41" t="inlineStr"/>
      <c r="Z41" t="inlineStr"/>
      <c r="AA41" t="inlineStr">
        <is>
          <t>Kunal Kunango</t>
        </is>
      </c>
      <c r="AB41" t="inlineStr">
        <is>
          <t>SRCO Legal / Salvador Raghav &amp; Co.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Prompt Legal (Shared by Jayanth)</t>
        </is>
      </c>
      <c r="K42" t="inlineStr"/>
      <c r="L42" t="inlineStr"/>
      <c r="M42" t="inlineStr">
        <is>
          <t>Darshit Jain</t>
        </is>
      </c>
      <c r="N42" t="inlineStr"/>
      <c r="O42" t="inlineStr"/>
      <c r="P42" t="inlineStr">
        <is>
          <t>Darshit Jain</t>
        </is>
      </c>
      <c r="Q42" t="inlineStr"/>
      <c r="R42" t="inlineStr"/>
      <c r="S42" t="inlineStr">
        <is>
          <t>SK Singhi and Partners</t>
        </is>
      </c>
      <c r="T42" t="inlineStr"/>
      <c r="U42" t="inlineStr">
        <is>
          <t>Kazan Shroff</t>
        </is>
      </c>
      <c r="V42" t="inlineStr"/>
      <c r="W42" t="inlineStr"/>
      <c r="X42" t="inlineStr">
        <is>
          <t>Dharma Law Partners</t>
        </is>
      </c>
      <c r="Y42" t="inlineStr"/>
      <c r="Z42" t="inlineStr"/>
      <c r="AA42" t="inlineStr">
        <is>
          <t>Divyanshu Rai</t>
        </is>
      </c>
      <c r="AB42" t="inlineStr">
        <is>
          <t>Kunal Kunango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Ratan Kumar Singh</t>
        </is>
      </c>
      <c r="K43" t="inlineStr"/>
      <c r="L43" t="inlineStr"/>
      <c r="M43" t="inlineStr">
        <is>
          <t>Sagar Ghogre</t>
        </is>
      </c>
      <c r="N43" t="inlineStr"/>
      <c r="O43" t="inlineStr"/>
      <c r="P43" t="inlineStr">
        <is>
          <t>Sagar Ghogre</t>
        </is>
      </c>
      <c r="Q43" t="inlineStr"/>
      <c r="R43" t="inlineStr"/>
      <c r="S43" t="inlineStr">
        <is>
          <t>SKR &amp; associates</t>
        </is>
      </c>
      <c r="T43" t="inlineStr"/>
      <c r="U43" t="inlineStr">
        <is>
          <t>Kajol Punjabi</t>
        </is>
      </c>
      <c r="V43" t="inlineStr"/>
      <c r="W43" t="inlineStr"/>
      <c r="X43" t="inlineStr">
        <is>
          <t>Dhruve Liladhar &amp; Co</t>
        </is>
      </c>
      <c r="Y43" t="inlineStr"/>
      <c r="Z43" t="inlineStr"/>
      <c r="AA43" t="inlineStr">
        <is>
          <t>Hamza mir</t>
        </is>
      </c>
      <c r="AB43" t="inlineStr">
        <is>
          <t>Divyanshu Rai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Rohit Sharma (lex Merita)</t>
        </is>
      </c>
      <c r="K44" t="inlineStr"/>
      <c r="L44" t="inlineStr"/>
      <c r="M44" t="inlineStr">
        <is>
          <t>Chetan shah</t>
        </is>
      </c>
      <c r="N44" t="inlineStr"/>
      <c r="O44" t="inlineStr"/>
      <c r="P44" t="inlineStr">
        <is>
          <t>Chetan shah</t>
        </is>
      </c>
      <c r="Q44" t="inlineStr"/>
      <c r="R44" t="inlineStr"/>
      <c r="S44" t="inlineStr">
        <is>
          <t>Srivastava &amp; Company</t>
        </is>
      </c>
      <c r="T44" t="inlineStr"/>
      <c r="U44" t="inlineStr">
        <is>
          <t>Neeta Jain</t>
        </is>
      </c>
      <c r="V44" t="inlineStr"/>
      <c r="W44" t="inlineStr"/>
      <c r="X44" t="inlineStr">
        <is>
          <t>Dileep Poolakkot</t>
        </is>
      </c>
      <c r="Y44" t="inlineStr"/>
      <c r="Z44" t="inlineStr"/>
      <c r="AA44" t="inlineStr">
        <is>
          <t>Chambers of Ninad Laud</t>
        </is>
      </c>
      <c r="AB44" t="inlineStr">
        <is>
          <t>Chambers of Ninad Laud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Sanjay Udeshi &amp; Co.</t>
        </is>
      </c>
      <c r="K45" t="inlineStr"/>
      <c r="L45" t="inlineStr"/>
      <c r="M45" t="inlineStr">
        <is>
          <t>Sneha Phene</t>
        </is>
      </c>
      <c r="N45" t="inlineStr"/>
      <c r="O45" t="inlineStr"/>
      <c r="P45" t="inlineStr">
        <is>
          <t>Sneha Phene</t>
        </is>
      </c>
      <c r="Q45" t="inlineStr"/>
      <c r="R45" t="inlineStr"/>
      <c r="S45" t="inlineStr">
        <is>
          <t>Piyush Raheja</t>
        </is>
      </c>
      <c r="T45" t="inlineStr"/>
      <c r="U45" t="inlineStr">
        <is>
          <t>Amrut Joshi</t>
        </is>
      </c>
      <c r="V45" t="inlineStr"/>
      <c r="W45" t="inlineStr"/>
      <c r="X45" t="inlineStr">
        <is>
          <t>Dipankar Majumdar</t>
        </is>
      </c>
      <c r="Y45" t="inlineStr"/>
      <c r="Z45" t="inlineStr"/>
      <c r="AA45" t="inlineStr">
        <is>
          <t>Kachwaha &amp; Partners</t>
        </is>
      </c>
      <c r="AB45" t="inlineStr">
        <is>
          <t>Kachwaha &amp; Partners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Santosh Kumar</t>
        </is>
      </c>
      <c r="K46" t="inlineStr"/>
      <c r="L46" t="inlineStr"/>
      <c r="M46" t="inlineStr">
        <is>
          <t>Gunjan Mangla</t>
        </is>
      </c>
      <c r="N46" t="inlineStr"/>
      <c r="O46" t="inlineStr"/>
      <c r="P46" t="inlineStr">
        <is>
          <t>Gunjan Mangla</t>
        </is>
      </c>
      <c r="Q46" t="inlineStr"/>
      <c r="R46" t="inlineStr"/>
      <c r="S46" t="inlineStr">
        <is>
          <t>⁠Feroze Patel</t>
        </is>
      </c>
      <c r="T46" t="inlineStr"/>
      <c r="U46" t="inlineStr">
        <is>
          <t>Gaurav Joshi</t>
        </is>
      </c>
      <c r="V46" t="inlineStr"/>
      <c r="W46" t="inlineStr"/>
      <c r="X46" t="inlineStr">
        <is>
          <t>Divyanshu Rai</t>
        </is>
      </c>
      <c r="Y46" t="inlineStr"/>
      <c r="Z46" t="inlineStr"/>
      <c r="AA46" t="inlineStr">
        <is>
          <t>Chambers of Moazzam Khan</t>
        </is>
      </c>
      <c r="AB46" t="inlineStr">
        <is>
          <t>Chambers of Moazzam Khan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Saswat Mohanty</t>
        </is>
      </c>
      <c r="K47" t="inlineStr"/>
      <c r="L47" t="inlineStr"/>
      <c r="M47" t="inlineStr">
        <is>
          <t>Zulfiqar Jariwala</t>
        </is>
      </c>
      <c r="N47" t="inlineStr"/>
      <c r="O47" t="inlineStr"/>
      <c r="P47" t="inlineStr">
        <is>
          <t>Zulfiqar Jariwala</t>
        </is>
      </c>
      <c r="Q47" t="inlineStr"/>
      <c r="R47" t="inlineStr"/>
      <c r="S47" t="inlineStr">
        <is>
          <t>Kazan Shroff</t>
        </is>
      </c>
      <c r="T47" t="inlineStr"/>
      <c r="U47" t="inlineStr">
        <is>
          <t>Kamaljeet Singh</t>
        </is>
      </c>
      <c r="V47" t="inlineStr"/>
      <c r="W47" t="inlineStr"/>
      <c r="X47" t="inlineStr">
        <is>
          <t>Diwan Law Associates</t>
        </is>
      </c>
      <c r="Y47" t="inlineStr"/>
      <c r="Z47" t="inlineStr"/>
      <c r="AA47" t="inlineStr">
        <is>
          <t>Nikhil Pai</t>
        </is>
      </c>
      <c r="AB47" t="inlineStr">
        <is>
          <t>Nikhil Pai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Shiraz Rustomjee</t>
        </is>
      </c>
      <c r="K48" t="inlineStr"/>
      <c r="L48" t="inlineStr"/>
      <c r="M48" t="inlineStr">
        <is>
          <t>Manjari Shah</t>
        </is>
      </c>
      <c r="N48" t="inlineStr"/>
      <c r="O48" t="inlineStr"/>
      <c r="P48" t="inlineStr">
        <is>
          <t>Manjari Shah</t>
        </is>
      </c>
      <c r="Q48" t="inlineStr"/>
      <c r="R48" t="inlineStr"/>
      <c r="S48" t="inlineStr">
        <is>
          <t>Kajol Punjabi</t>
        </is>
      </c>
      <c r="T48" t="inlineStr"/>
      <c r="U48" t="inlineStr">
        <is>
          <t>Manish kelker</t>
        </is>
      </c>
      <c r="V48" t="inlineStr"/>
      <c r="W48" t="inlineStr"/>
      <c r="X48" t="inlineStr">
        <is>
          <t>Ecclesia Advocates and Solicitors</t>
        </is>
      </c>
      <c r="Y48" t="inlineStr"/>
      <c r="Z48" t="inlineStr"/>
      <c r="AA48" t="inlineStr">
        <is>
          <t>Vesta Legal</t>
        </is>
      </c>
      <c r="AB48" t="inlineStr">
        <is>
          <t>Vesta Legal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Shyam Kapadia</t>
        </is>
      </c>
      <c r="K49" t="inlineStr"/>
      <c r="L49" t="inlineStr"/>
      <c r="M49" t="inlineStr">
        <is>
          <t>Sagar Sheth</t>
        </is>
      </c>
      <c r="N49" t="inlineStr"/>
      <c r="O49" t="inlineStr"/>
      <c r="P49" t="inlineStr">
        <is>
          <t>Sagar Sheth</t>
        </is>
      </c>
      <c r="Q49" t="inlineStr"/>
      <c r="R49" t="inlineStr"/>
      <c r="S49" t="inlineStr">
        <is>
          <t>Neeta Jain</t>
        </is>
      </c>
      <c r="T49" t="inlineStr"/>
      <c r="U49" t="inlineStr">
        <is>
          <t>Diwan Law Associates</t>
        </is>
      </c>
      <c r="V49" t="inlineStr"/>
      <c r="W49" t="inlineStr"/>
      <c r="X49" t="inlineStr">
        <is>
          <t>Elixir Legal Services</t>
        </is>
      </c>
      <c r="Y49" t="inlineStr"/>
      <c r="Z49" t="inlineStr"/>
      <c r="AA49" t="inlineStr">
        <is>
          <t>Vyom Shah</t>
        </is>
      </c>
      <c r="AB49" t="inlineStr">
        <is>
          <t>Vyom Shah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SK Singhi and Partners</t>
        </is>
      </c>
      <c r="K50" t="inlineStr"/>
      <c r="L50" t="inlineStr"/>
      <c r="M50" t="inlineStr">
        <is>
          <t>Mahek Bookwala</t>
        </is>
      </c>
      <c r="N50" t="inlineStr"/>
      <c r="O50" t="inlineStr"/>
      <c r="P50" t="inlineStr">
        <is>
          <t>Mahek Bookwala</t>
        </is>
      </c>
      <c r="Q50" t="inlineStr"/>
      <c r="R50" t="inlineStr"/>
      <c r="S50" t="inlineStr">
        <is>
          <t>Amrut Joshi</t>
        </is>
      </c>
      <c r="T50" t="inlineStr"/>
      <c r="U50" t="inlineStr">
        <is>
          <t>SRCO Legal / Salvador Raghav &amp; Co.</t>
        </is>
      </c>
      <c r="V50" t="inlineStr"/>
      <c r="W50" t="inlineStr"/>
      <c r="X50" t="inlineStr">
        <is>
          <t>Eternity Legal</t>
        </is>
      </c>
      <c r="Y50" t="inlineStr"/>
      <c r="Z50" t="inlineStr"/>
      <c r="AA50" t="inlineStr">
        <is>
          <t>Zubin Behramkamdin</t>
        </is>
      </c>
      <c r="AB50" t="inlineStr">
        <is>
          <t>Zubin Behramkamdin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Solaris Legal</t>
        </is>
      </c>
      <c r="K51" t="inlineStr"/>
      <c r="L51" t="inlineStr"/>
      <c r="M51" t="inlineStr">
        <is>
          <t>Pradeep Sancheti</t>
        </is>
      </c>
      <c r="N51" t="inlineStr"/>
      <c r="O51" t="inlineStr"/>
      <c r="P51" t="inlineStr">
        <is>
          <t>Pradeep Sancheti</t>
        </is>
      </c>
      <c r="Q51" t="inlineStr"/>
      <c r="R51" t="inlineStr"/>
      <c r="S51" t="inlineStr">
        <is>
          <t>Gaurav Joshi</t>
        </is>
      </c>
      <c r="T51" t="inlineStr"/>
      <c r="U51" t="inlineStr">
        <is>
          <t>Kunal Kunango</t>
        </is>
      </c>
      <c r="V51" t="inlineStr"/>
      <c r="W51" t="inlineStr"/>
      <c r="X51" t="inlineStr">
        <is>
          <t xml:space="preserve">Farhan Dubash </t>
        </is>
      </c>
      <c r="Y51" t="inlineStr"/>
      <c r="Z51" t="inlineStr"/>
      <c r="AA51" t="inlineStr">
        <is>
          <t>Jennifer Michael</t>
        </is>
      </c>
      <c r="AB51" t="inlineStr">
        <is>
          <t>Jennifer Michael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SRCO Legal / Salvador Raghav &amp; Co.</t>
        </is>
      </c>
      <c r="K52" t="inlineStr"/>
      <c r="L52" t="inlineStr"/>
      <c r="M52" t="inlineStr">
        <is>
          <t>AHUJA VALECHA &amp; ASSOCIATES LLP</t>
        </is>
      </c>
      <c r="N52" t="inlineStr"/>
      <c r="O52" t="inlineStr"/>
      <c r="P52" t="inlineStr">
        <is>
          <t>AHUJA VALECHA &amp; ASSOCIATES LLP</t>
        </is>
      </c>
      <c r="Q52" t="inlineStr"/>
      <c r="R52" t="inlineStr"/>
      <c r="S52" t="inlineStr">
        <is>
          <t>Kamaljeet Singh</t>
        </is>
      </c>
      <c r="T52" t="inlineStr"/>
      <c r="U52" t="inlineStr">
        <is>
          <t>Divyanshu Rai</t>
        </is>
      </c>
      <c r="V52" t="inlineStr"/>
      <c r="W52" t="inlineStr"/>
      <c r="X52" t="inlineStr">
        <is>
          <t>⁠Feroze Patel</t>
        </is>
      </c>
      <c r="Y52" t="inlineStr"/>
      <c r="Z52" t="inlineStr"/>
      <c r="AA52" t="inlineStr">
        <is>
          <t>SomÂ Sinha &amp; Associates</t>
        </is>
      </c>
      <c r="AB52" t="inlineStr">
        <is>
          <t>SomÂ Sinha &amp; Associates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Tvashta Law</t>
        </is>
      </c>
      <c r="K53" t="inlineStr"/>
      <c r="L53" t="inlineStr"/>
      <c r="M53" t="inlineStr">
        <is>
          <t>ICL CORPORATE ADVISORY PRIVATE LIMITED</t>
        </is>
      </c>
      <c r="N53" t="inlineStr"/>
      <c r="O53" t="inlineStr"/>
      <c r="P53" t="inlineStr">
        <is>
          <t>ICL CORPORATE ADVISORY PRIVATE LIMITED</t>
        </is>
      </c>
      <c r="Q53" t="inlineStr"/>
      <c r="R53" t="inlineStr"/>
      <c r="S53" t="inlineStr">
        <is>
          <t>Dua Associates</t>
        </is>
      </c>
      <c r="T53" t="inlineStr"/>
      <c r="U53" t="inlineStr">
        <is>
          <t>Hamza mir</t>
        </is>
      </c>
      <c r="V53" t="inlineStr"/>
      <c r="W53" t="inlineStr"/>
      <c r="X53" t="inlineStr">
        <is>
          <t>Foresight Law Offices</t>
        </is>
      </c>
      <c r="Y53" t="inlineStr"/>
      <c r="Z53" t="inlineStr"/>
      <c r="AA53" t="inlineStr">
        <is>
          <t>MZM Legal LLP</t>
        </is>
      </c>
      <c r="AB53" t="inlineStr">
        <is>
          <t>MZM Legal LLP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Venkatesh Dhond</t>
        </is>
      </c>
      <c r="K54" t="inlineStr"/>
      <c r="L54" t="inlineStr"/>
      <c r="M54" t="inlineStr">
        <is>
          <t>Argus Partners</t>
        </is>
      </c>
      <c r="N54" t="inlineStr"/>
      <c r="O54" t="inlineStr"/>
      <c r="P54" t="inlineStr">
        <is>
          <t>Argus Partners</t>
        </is>
      </c>
      <c r="Q54" t="inlineStr"/>
      <c r="R54" t="inlineStr"/>
      <c r="S54" t="inlineStr">
        <is>
          <t>Manish kelker</t>
        </is>
      </c>
      <c r="T54" t="inlineStr"/>
      <c r="U54" t="inlineStr">
        <is>
          <t>Chambers of Ninad Laud</t>
        </is>
      </c>
      <c r="V54" t="inlineStr"/>
      <c r="W54" t="inlineStr"/>
      <c r="X54" t="inlineStr">
        <is>
          <t>Ganesh &amp; Co.</t>
        </is>
      </c>
      <c r="Y54" t="inlineStr"/>
      <c r="Z54" t="inlineStr"/>
      <c r="AA54" t="inlineStr">
        <is>
          <t>Chetan Dedhia</t>
        </is>
      </c>
      <c r="AB54" t="inlineStr">
        <is>
          <t>Chetan Dedhia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Vesta Legal</t>
        </is>
      </c>
      <c r="K55" t="inlineStr"/>
      <c r="L55" t="inlineStr"/>
      <c r="M55" t="inlineStr">
        <is>
          <t>Pratik Patnaik</t>
        </is>
      </c>
      <c r="N55" t="inlineStr"/>
      <c r="O55" t="inlineStr"/>
      <c r="P55" t="inlineStr">
        <is>
          <t>Pratik Patnaik</t>
        </is>
      </c>
      <c r="Q55" t="inlineStr"/>
      <c r="R55" t="inlineStr"/>
      <c r="S55" t="inlineStr">
        <is>
          <t>Diwan Law Associates</t>
        </is>
      </c>
      <c r="T55" t="inlineStr"/>
      <c r="U55" t="inlineStr">
        <is>
          <t>Gaurav Mehta</t>
        </is>
      </c>
      <c r="V55" t="inlineStr"/>
      <c r="W55" t="inlineStr"/>
      <c r="X55" t="inlineStr">
        <is>
          <t>Gaurav Gupta</t>
        </is>
      </c>
      <c r="Y55" t="inlineStr"/>
      <c r="Z55" t="inlineStr"/>
      <c r="AA55" t="inlineStr">
        <is>
          <t>Zoheb Hossain</t>
        </is>
      </c>
      <c r="AB55" t="inlineStr">
        <is>
          <t>Zoheb Hossain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Victoram Legal / Mr. Sajal Awasthi</t>
        </is>
      </c>
      <c r="K56" t="inlineStr"/>
      <c r="L56" t="inlineStr"/>
      <c r="M56" t="inlineStr">
        <is>
          <t>Saswat Mohanty</t>
        </is>
      </c>
      <c r="N56" t="inlineStr"/>
      <c r="O56" t="inlineStr"/>
      <c r="P56" t="inlineStr">
        <is>
          <t>Saswat Mohanty</t>
        </is>
      </c>
      <c r="Q56" t="inlineStr"/>
      <c r="R56" t="inlineStr"/>
      <c r="S56" t="inlineStr">
        <is>
          <t>SRCO Legal / Salvador Raghav &amp; Co.</t>
        </is>
      </c>
      <c r="T56" t="inlineStr"/>
      <c r="U56" t="inlineStr">
        <is>
          <t>Kachwaha &amp; Partners</t>
        </is>
      </c>
      <c r="V56" t="inlineStr"/>
      <c r="W56" t="inlineStr"/>
      <c r="X56" t="inlineStr">
        <is>
          <t>Gaurav Joshi</t>
        </is>
      </c>
      <c r="Y56" t="inlineStr"/>
      <c r="Z56" t="inlineStr"/>
      <c r="AA56" t="inlineStr">
        <is>
          <t>Meghav Gupta</t>
        </is>
      </c>
      <c r="AB56" t="inlineStr">
        <is>
          <t>Meghav Gupta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Wadia Ghandy &amp; Co.</t>
        </is>
      </c>
      <c r="K57" t="inlineStr"/>
      <c r="L57" t="inlineStr"/>
      <c r="M57" t="inlineStr">
        <is>
          <t>Chambers of Aman Vachher</t>
        </is>
      </c>
      <c r="N57" t="inlineStr"/>
      <c r="O57" t="inlineStr"/>
      <c r="P57" t="inlineStr">
        <is>
          <t>Chambers of Aman Vachher</t>
        </is>
      </c>
      <c r="Q57" t="inlineStr"/>
      <c r="R57" t="inlineStr"/>
      <c r="S57" t="inlineStr">
        <is>
          <t>Sarthak Advocates &amp; Solicitors</t>
        </is>
      </c>
      <c r="T57" t="inlineStr"/>
      <c r="U57" t="inlineStr">
        <is>
          <t>Asahi Legal LLP</t>
        </is>
      </c>
      <c r="V57" t="inlineStr"/>
      <c r="W57" t="inlineStr"/>
      <c r="X57" t="inlineStr">
        <is>
          <t>Gaurav Mehta</t>
        </is>
      </c>
      <c r="Y57" t="inlineStr"/>
      <c r="Z57" t="inlineStr"/>
      <c r="AA57" t="inlineStr">
        <is>
          <t>Shashwat Bajpai</t>
        </is>
      </c>
      <c r="AB57" t="inlineStr">
        <is>
          <t>Shashwat Bajpai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Yash Momaya</t>
        </is>
      </c>
      <c r="K58" t="inlineStr"/>
      <c r="L58" t="inlineStr"/>
      <c r="M58" t="inlineStr">
        <is>
          <t>SK Singhi and Partners</t>
        </is>
      </c>
      <c r="N58" t="inlineStr"/>
      <c r="O58" t="inlineStr"/>
      <c r="P58" t="inlineStr">
        <is>
          <t>SK Singhi and Partners</t>
        </is>
      </c>
      <c r="Q58" t="inlineStr"/>
      <c r="R58" t="inlineStr"/>
      <c r="S58" t="inlineStr">
        <is>
          <t>Gupta Law Associates</t>
        </is>
      </c>
      <c r="T58" t="inlineStr"/>
      <c r="U58" t="inlineStr">
        <is>
          <t>Chambers of Moazzam Khan</t>
        </is>
      </c>
      <c r="V58" t="inlineStr"/>
      <c r="W58" t="inlineStr"/>
      <c r="X58" t="inlineStr">
        <is>
          <t>Gaurav Ray, Advocate on Record</t>
        </is>
      </c>
      <c r="Y58" t="inlineStr"/>
      <c r="Z58" t="inlineStr"/>
      <c r="AA58" t="inlineStr">
        <is>
          <t>Nitish Raj</t>
        </is>
      </c>
      <c r="AB58" t="inlineStr">
        <is>
          <t>Nitish Raj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Centre for Law and Policy Research Trust</t>
        </is>
      </c>
      <c r="N59" t="inlineStr"/>
      <c r="O59" t="inlineStr"/>
      <c r="P59" t="inlineStr">
        <is>
          <t>Centre for Law and Policy Research Trust</t>
        </is>
      </c>
      <c r="Q59" t="inlineStr"/>
      <c r="R59" t="inlineStr"/>
      <c r="S59" t="inlineStr">
        <is>
          <t>Kunal Kunango</t>
        </is>
      </c>
      <c r="T59" t="inlineStr"/>
      <c r="U59" t="inlineStr">
        <is>
          <t>Phoenix Legal</t>
        </is>
      </c>
      <c r="V59" t="inlineStr"/>
      <c r="W59" t="inlineStr"/>
      <c r="X59" t="inlineStr">
        <is>
          <t>Gauri Puri</t>
        </is>
      </c>
      <c r="Y59" t="inlineStr"/>
      <c r="Z59" t="inlineStr"/>
      <c r="AA59" t="inlineStr">
        <is>
          <t>Daswani &amp; Daswani</t>
        </is>
      </c>
      <c r="AB59" t="inlineStr">
        <is>
          <t>Daswani &amp; Daswani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SKR &amp; associates</t>
        </is>
      </c>
      <c r="N60" t="inlineStr"/>
      <c r="O60" t="inlineStr"/>
      <c r="P60" t="inlineStr">
        <is>
          <t>SKR &amp; associates</t>
        </is>
      </c>
      <c r="Q60" t="inlineStr"/>
      <c r="R60" t="inlineStr"/>
      <c r="S60" t="inlineStr">
        <is>
          <t>Divyanshu Rai</t>
        </is>
      </c>
      <c r="T60" t="inlineStr"/>
      <c r="U60" t="inlineStr">
        <is>
          <t>Nikhil Pai</t>
        </is>
      </c>
      <c r="V60" t="inlineStr"/>
      <c r="W60" t="inlineStr"/>
      <c r="X60" t="inlineStr">
        <is>
          <t>GC Legal</t>
        </is>
      </c>
      <c r="Y60" t="inlineStr"/>
      <c r="Z60" t="inlineStr"/>
      <c r="AA60" t="inlineStr">
        <is>
          <t>Samya Law Chambers</t>
        </is>
      </c>
      <c r="AB60" t="inlineStr">
        <is>
          <t>Samya Law Chambers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Srivastava &amp; Company</t>
        </is>
      </c>
      <c r="N61" t="inlineStr"/>
      <c r="O61" t="inlineStr"/>
      <c r="P61" t="inlineStr">
        <is>
          <t>Srivastava &amp; Company</t>
        </is>
      </c>
      <c r="Q61" t="inlineStr"/>
      <c r="R61" t="inlineStr"/>
      <c r="S61" t="inlineStr">
        <is>
          <t>Hamza mir</t>
        </is>
      </c>
      <c r="T61" t="inlineStr"/>
      <c r="U61" t="inlineStr">
        <is>
          <t>Vesta Legal</t>
        </is>
      </c>
      <c r="V61" t="inlineStr"/>
      <c r="W61" t="inlineStr"/>
      <c r="X61" t="inlineStr">
        <is>
          <t>Giriraj Subramanium</t>
        </is>
      </c>
      <c r="Y61" t="inlineStr"/>
      <c r="Z61" t="inlineStr"/>
      <c r="AA61" t="inlineStr">
        <is>
          <t>Shri Venkatesh , SKV law offices</t>
        </is>
      </c>
      <c r="AB61" t="inlineStr">
        <is>
          <t>Shri Venkatesh , SKV law offices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Piyush Raheja</t>
        </is>
      </c>
      <c r="N62" t="inlineStr"/>
      <c r="O62" t="inlineStr"/>
      <c r="P62" t="inlineStr">
        <is>
          <t>Piyush Raheja</t>
        </is>
      </c>
      <c r="Q62" t="inlineStr"/>
      <c r="R62" t="inlineStr"/>
      <c r="S62" t="inlineStr">
        <is>
          <t>Chambers of Ninad Laud</t>
        </is>
      </c>
      <c r="T62" t="inlineStr"/>
      <c r="U62" t="inlineStr">
        <is>
          <t>Vyom Shah</t>
        </is>
      </c>
      <c r="V62" t="inlineStr"/>
      <c r="W62" t="inlineStr"/>
      <c r="X62" t="inlineStr">
        <is>
          <t>GM Legal</t>
        </is>
      </c>
      <c r="Y62" t="inlineStr"/>
      <c r="Z62" t="inlineStr"/>
      <c r="AA62" t="inlineStr">
        <is>
          <t>IndusLaw</t>
        </is>
      </c>
      <c r="AB62" t="inlineStr">
        <is>
          <t>IndusLaw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⁠Feroze Patel</t>
        </is>
      </c>
      <c r="N63" t="inlineStr"/>
      <c r="O63" t="inlineStr"/>
      <c r="P63" t="inlineStr">
        <is>
          <t>⁠Feroze Patel</t>
        </is>
      </c>
      <c r="Q63" t="inlineStr"/>
      <c r="R63" t="inlineStr"/>
      <c r="S63" t="inlineStr">
        <is>
          <t>Gera Developments Pvt. Ltd.</t>
        </is>
      </c>
      <c r="T63" t="inlineStr"/>
      <c r="U63" t="inlineStr">
        <is>
          <t>Zubin Behramkamdin</t>
        </is>
      </c>
      <c r="V63" t="inlineStr"/>
      <c r="W63" t="inlineStr"/>
      <c r="X63" t="inlineStr">
        <is>
          <t>Gourab Banreji</t>
        </is>
      </c>
      <c r="Y63" t="inlineStr"/>
      <c r="Z63" t="inlineStr"/>
      <c r="AA63" t="inlineStr">
        <is>
          <t>Keystone Partners</t>
        </is>
      </c>
      <c r="AB63" t="inlineStr">
        <is>
          <t>Keystone Partners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Kazan Shroff</t>
        </is>
      </c>
      <c r="N64" t="inlineStr"/>
      <c r="O64" t="inlineStr"/>
      <c r="P64" t="inlineStr">
        <is>
          <t>Kazan Shroff</t>
        </is>
      </c>
      <c r="Q64" t="inlineStr"/>
      <c r="R64" t="inlineStr"/>
      <c r="S64" t="inlineStr">
        <is>
          <t>Gaurav Mehta</t>
        </is>
      </c>
      <c r="T64" t="inlineStr"/>
      <c r="U64" t="inlineStr">
        <is>
          <t>Jennifer Michael</t>
        </is>
      </c>
      <c r="V64" t="inlineStr"/>
      <c r="W64" t="inlineStr"/>
      <c r="X64" t="inlineStr">
        <is>
          <t>Gunjan Mangla</t>
        </is>
      </c>
      <c r="Y64" t="inlineStr"/>
      <c r="Z64" t="inlineStr"/>
      <c r="AA64" t="inlineStr">
        <is>
          <t>Prompt Legal (Shared by Jayanth)</t>
        </is>
      </c>
      <c r="AB64" t="inlineStr">
        <is>
          <t>Prompt Legal (Shared by Jayanth)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Kajol Punjabi</t>
        </is>
      </c>
      <c r="N65" t="inlineStr"/>
      <c r="O65" t="inlineStr"/>
      <c r="P65" t="inlineStr">
        <is>
          <t>Kajol Punjabi</t>
        </is>
      </c>
      <c r="Q65" t="inlineStr"/>
      <c r="R65" t="inlineStr"/>
      <c r="S65" t="inlineStr">
        <is>
          <t>MD&amp;T Partners</t>
        </is>
      </c>
      <c r="T65" t="inlineStr"/>
      <c r="U65" t="inlineStr">
        <is>
          <t>SomÂ Sinha &amp; Associates</t>
        </is>
      </c>
      <c r="V65" t="inlineStr"/>
      <c r="W65" t="inlineStr"/>
      <c r="X65" t="inlineStr">
        <is>
          <t>Gupta Law Associates</t>
        </is>
      </c>
      <c r="Y65" t="inlineStr"/>
      <c r="Z65" t="inlineStr"/>
      <c r="AA65" t="inlineStr">
        <is>
          <t>Justice (Retd.) AK Sikri</t>
        </is>
      </c>
      <c r="AB65" t="inlineStr">
        <is>
          <t>Justice (Retd.) AK Sikri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Neeta Jain</t>
        </is>
      </c>
      <c r="N66" t="inlineStr"/>
      <c r="O66" t="inlineStr"/>
      <c r="P66" t="inlineStr">
        <is>
          <t>Neeta Jain</t>
        </is>
      </c>
      <c r="Q66" t="inlineStr"/>
      <c r="R66" t="inlineStr"/>
      <c r="S66" t="inlineStr">
        <is>
          <t>Kachwaha &amp; Partners</t>
        </is>
      </c>
      <c r="T66" t="inlineStr"/>
      <c r="U66" t="inlineStr">
        <is>
          <t>MZM Legal LLP</t>
        </is>
      </c>
      <c r="V66" t="inlineStr"/>
      <c r="W66" t="inlineStr"/>
      <c r="X66" t="inlineStr">
        <is>
          <t>Hamsaanandini Nanduri</t>
        </is>
      </c>
      <c r="Y66" t="inlineStr"/>
      <c r="Z66" t="inlineStr"/>
      <c r="AA66" t="inlineStr">
        <is>
          <t>Amrita Panda / ADP Chambers- 62</t>
        </is>
      </c>
      <c r="AB66" t="inlineStr">
        <is>
          <t>Amrita Panda / ADP Chambers- 62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Amrut Joshi</t>
        </is>
      </c>
      <c r="N67" t="inlineStr"/>
      <c r="O67" t="inlineStr"/>
      <c r="P67" t="inlineStr">
        <is>
          <t>Amrut Joshi</t>
        </is>
      </c>
      <c r="Q67" t="inlineStr"/>
      <c r="R67" t="inlineStr"/>
      <c r="S67" t="inlineStr">
        <is>
          <t>Vishal Kanade</t>
        </is>
      </c>
      <c r="T67" t="inlineStr"/>
      <c r="U67" t="inlineStr">
        <is>
          <t>Stride Legal</t>
        </is>
      </c>
      <c r="V67" t="inlineStr"/>
      <c r="W67" t="inlineStr"/>
      <c r="X67" t="inlineStr">
        <is>
          <t>Hamza mir</t>
        </is>
      </c>
      <c r="Y67" t="inlineStr"/>
      <c r="Z67" t="inlineStr"/>
      <c r="AA67" t="inlineStr">
        <is>
          <t>Chambers of Justice Mohit S Shah (Retd.), Former Chief Justice of Bombay and Calcutta High Court</t>
        </is>
      </c>
      <c r="AB67" t="inlineStr">
        <is>
          <t>Akshat Vachher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Gaurav Joshi</t>
        </is>
      </c>
      <c r="N68" t="inlineStr"/>
      <c r="O68" t="inlineStr"/>
      <c r="P68" t="inlineStr">
        <is>
          <t>Gaurav Joshi</t>
        </is>
      </c>
      <c r="Q68" t="inlineStr"/>
      <c r="R68" t="inlineStr"/>
      <c r="S68" t="inlineStr">
        <is>
          <t>Vritti Law Partners</t>
        </is>
      </c>
      <c r="T68" t="inlineStr"/>
      <c r="U68" t="inlineStr">
        <is>
          <t>Chetan Dedhia</t>
        </is>
      </c>
      <c r="V68" t="inlineStr"/>
      <c r="W68" t="inlineStr"/>
      <c r="X68" t="inlineStr">
        <is>
          <t>Harshit Malik</t>
        </is>
      </c>
      <c r="Y68" t="inlineStr"/>
      <c r="Z68" t="inlineStr"/>
      <c r="AA68" t="inlineStr">
        <is>
          <t>Wadia Ghandy &amp; Co.</t>
        </is>
      </c>
      <c r="AB68" t="inlineStr">
        <is>
          <t>Chambers of Justice Mohit S Shah (Retd.), Former Chief Justice of Bombay and Calcutta High Court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Kamaljeet Singh</t>
        </is>
      </c>
      <c r="N69" t="inlineStr"/>
      <c r="O69" t="inlineStr"/>
      <c r="P69" t="inlineStr">
        <is>
          <t>Kamaljeet Singh</t>
        </is>
      </c>
      <c r="Q69" t="inlineStr"/>
      <c r="R69" t="inlineStr"/>
      <c r="S69" t="inlineStr">
        <is>
          <t>C&amp;S Partners</t>
        </is>
      </c>
      <c r="T69" t="inlineStr"/>
      <c r="U69" t="inlineStr">
        <is>
          <t>Zoheb Hossain</t>
        </is>
      </c>
      <c r="V69" t="inlineStr"/>
      <c r="W69" t="inlineStr"/>
      <c r="X69" t="inlineStr">
        <is>
          <t>ICL CORPORATE ADVISORY PRIVATE LIMITED</t>
        </is>
      </c>
      <c r="Y69" t="inlineStr"/>
      <c r="Z69" t="inlineStr"/>
      <c r="AA69" t="inlineStr">
        <is>
          <t>Eternity Legal</t>
        </is>
      </c>
      <c r="AB69" t="inlineStr">
        <is>
          <t>Wadia Ghandy &amp; Co.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Pioneer Legal</t>
        </is>
      </c>
      <c r="N70" t="inlineStr"/>
      <c r="O70" t="inlineStr"/>
      <c r="P70" t="inlineStr">
        <is>
          <t>Saraf and Partners</t>
        </is>
      </c>
      <c r="Q70" t="inlineStr"/>
      <c r="R70" t="inlineStr"/>
      <c r="S70" t="inlineStr">
        <is>
          <t>Asahi Legal LLP</t>
        </is>
      </c>
      <c r="T70" t="inlineStr"/>
      <c r="U70" t="inlineStr">
        <is>
          <t>Meghav Gupta</t>
        </is>
      </c>
      <c r="V70" t="inlineStr"/>
      <c r="W70" t="inlineStr"/>
      <c r="X70" t="inlineStr">
        <is>
          <t>IndusLaw</t>
        </is>
      </c>
      <c r="Y70" t="inlineStr"/>
      <c r="Z70" t="inlineStr"/>
      <c r="AA70" t="inlineStr">
        <is>
          <t>Nora Legal Consultants LLP</t>
        </is>
      </c>
      <c r="AB70" t="inlineStr">
        <is>
          <t>Eternity Legal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Manish kelker</t>
        </is>
      </c>
      <c r="N71" t="inlineStr"/>
      <c r="O71" t="inlineStr"/>
      <c r="P71" t="inlineStr">
        <is>
          <t>Pioneer Legal</t>
        </is>
      </c>
      <c r="Q71" t="inlineStr"/>
      <c r="R71" t="inlineStr"/>
      <c r="S71" t="inlineStr">
        <is>
          <t>Chambers of Moazzam Khan</t>
        </is>
      </c>
      <c r="T71" t="inlineStr"/>
      <c r="U71" t="inlineStr">
        <is>
          <t>Shashwat Bajpai</t>
        </is>
      </c>
      <c r="V71" t="inlineStr"/>
      <c r="W71" t="inlineStr"/>
      <c r="X71" t="inlineStr">
        <is>
          <t>Innovatus Law</t>
        </is>
      </c>
      <c r="Y71" t="inlineStr"/>
      <c r="Z71" t="inlineStr"/>
      <c r="AA71" t="inlineStr">
        <is>
          <t>Innovatus Law</t>
        </is>
      </c>
      <c r="AB71" t="inlineStr">
        <is>
          <t>Nora Legal Consultants LLP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Diwan Law Associates</t>
        </is>
      </c>
      <c r="N72" t="inlineStr"/>
      <c r="O72" t="inlineStr"/>
      <c r="P72" t="inlineStr">
        <is>
          <t>Dua Associates</t>
        </is>
      </c>
      <c r="Q72" t="inlineStr"/>
      <c r="R72" t="inlineStr"/>
      <c r="S72" t="inlineStr">
        <is>
          <t>Vis Legis Law Practice</t>
        </is>
      </c>
      <c r="T72" t="inlineStr"/>
      <c r="U72" t="inlineStr">
        <is>
          <t>Manini Brar</t>
        </is>
      </c>
      <c r="V72" t="inlineStr"/>
      <c r="W72" t="inlineStr"/>
      <c r="X72" t="inlineStr">
        <is>
          <t>IRIS LEGAL</t>
        </is>
      </c>
      <c r="Y72" t="inlineStr"/>
      <c r="Z72" t="inlineStr"/>
      <c r="AA72" t="inlineStr">
        <is>
          <t>Gourab Banreji</t>
        </is>
      </c>
      <c r="AB72" t="inlineStr">
        <is>
          <t>Innovatus Law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SRCO Legal / Salvador Raghav &amp; Co.</t>
        </is>
      </c>
      <c r="N73" t="inlineStr"/>
      <c r="O73" t="inlineStr"/>
      <c r="P73" t="inlineStr">
        <is>
          <t>Manish kelker</t>
        </is>
      </c>
      <c r="Q73" t="inlineStr"/>
      <c r="R73" t="inlineStr"/>
      <c r="S73" t="inlineStr">
        <is>
          <t>Phoenix Legal</t>
        </is>
      </c>
      <c r="T73" t="inlineStr"/>
      <c r="U73" t="inlineStr">
        <is>
          <t>Nitish Raj</t>
        </is>
      </c>
      <c r="V73" t="inlineStr"/>
      <c r="W73" t="inlineStr"/>
      <c r="X73" t="inlineStr">
        <is>
          <t>Ish Jain / Regius Partners LLP</t>
        </is>
      </c>
      <c r="Y73" t="inlineStr"/>
      <c r="Z73" t="inlineStr"/>
      <c r="AA73" t="inlineStr">
        <is>
          <t>Ratan Kumar Singh</t>
        </is>
      </c>
      <c r="AB73" t="inlineStr">
        <is>
          <t>Gourab Banreji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Zoheb Hossain</t>
        </is>
      </c>
      <c r="N74" t="inlineStr"/>
      <c r="O74" t="inlineStr"/>
      <c r="P74" t="inlineStr">
        <is>
          <t>Diwan Law Associates</t>
        </is>
      </c>
      <c r="Q74" t="inlineStr"/>
      <c r="R74" t="inlineStr"/>
      <c r="S74" t="inlineStr">
        <is>
          <t>Nikhil Pai</t>
        </is>
      </c>
      <c r="T74" t="inlineStr"/>
      <c r="U74" t="inlineStr">
        <is>
          <t>Daswani &amp; Daswani</t>
        </is>
      </c>
      <c r="V74" t="inlineStr"/>
      <c r="W74" t="inlineStr"/>
      <c r="X74" t="inlineStr">
        <is>
          <t>J INFRATECH LIMITED</t>
        </is>
      </c>
      <c r="Y74" t="inlineStr"/>
      <c r="Z74" t="inlineStr"/>
      <c r="AA74" t="inlineStr">
        <is>
          <t>Mr Rohit Gupta</t>
        </is>
      </c>
      <c r="AB74" t="inlineStr">
        <is>
          <t>Ratan Kumar Singh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Vesta Legal</t>
        </is>
      </c>
      <c r="N75" t="inlineStr"/>
      <c r="O75" t="inlineStr"/>
      <c r="P75" t="inlineStr">
        <is>
          <t>SRCO Legal / Salvador Raghav &amp; Co.</t>
        </is>
      </c>
      <c r="Q75" t="inlineStr"/>
      <c r="R75" t="inlineStr"/>
      <c r="S75" t="inlineStr">
        <is>
          <t>J INFRATECH LIMITED</t>
        </is>
      </c>
      <c r="T75" t="inlineStr"/>
      <c r="U75" t="inlineStr">
        <is>
          <t>Samya Law Chambers</t>
        </is>
      </c>
      <c r="V75" t="inlineStr"/>
      <c r="W75" t="inlineStr"/>
      <c r="X75" t="inlineStr">
        <is>
          <t>J.R. LADDHA FINANCIAL SERVICES PRIVATE LIMITED</t>
        </is>
      </c>
      <c r="Y75" t="inlineStr"/>
      <c r="Z75" t="inlineStr"/>
      <c r="AA75" t="inlineStr">
        <is>
          <t>Sanjay Udeshi &amp; Co.</t>
        </is>
      </c>
      <c r="AB75" t="inlineStr">
        <is>
          <t>Mr Rohit Gupta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Keystone Partners</t>
        </is>
      </c>
      <c r="N76" t="inlineStr"/>
      <c r="O76" t="inlineStr"/>
      <c r="P76" t="inlineStr">
        <is>
          <t>Sarthak Advocates &amp; Solicitors</t>
        </is>
      </c>
      <c r="Q76" t="inlineStr"/>
      <c r="R76" t="inlineStr"/>
      <c r="S76" t="inlineStr">
        <is>
          <t>Vesta Legal</t>
        </is>
      </c>
      <c r="T76" t="inlineStr"/>
      <c r="U76" t="inlineStr">
        <is>
          <t>Shri Venkatesh , SKV law offices</t>
        </is>
      </c>
      <c r="V76" t="inlineStr"/>
      <c r="W76" t="inlineStr"/>
      <c r="X76" t="inlineStr">
        <is>
          <t>Jade Lex Partners</t>
        </is>
      </c>
      <c r="Y76" t="inlineStr"/>
      <c r="Z76" t="inlineStr"/>
      <c r="AA76" t="inlineStr">
        <is>
          <t>Abel Tom Benny // Thomas and Thomas Advocates</t>
        </is>
      </c>
      <c r="AB76" t="inlineStr">
        <is>
          <t>Sanjay Udeshi &amp; Co.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MZM Legal LLP</t>
        </is>
      </c>
      <c r="N77" t="inlineStr"/>
      <c r="O77" t="inlineStr"/>
      <c r="P77" t="inlineStr">
        <is>
          <t>Gupta Law Associates</t>
        </is>
      </c>
      <c r="Q77" t="inlineStr"/>
      <c r="R77" t="inlineStr"/>
      <c r="S77" t="inlineStr">
        <is>
          <t>Vyom Shah</t>
        </is>
      </c>
      <c r="T77" t="inlineStr"/>
      <c r="U77" t="inlineStr">
        <is>
          <t>Parakram Legal</t>
        </is>
      </c>
      <c r="V77" t="inlineStr"/>
      <c r="W77" t="inlineStr"/>
      <c r="X77" t="inlineStr">
        <is>
          <t>Jain and Talukdar</t>
        </is>
      </c>
      <c r="Y77" t="inlineStr"/>
      <c r="Z77" t="inlineStr"/>
      <c r="AA77" t="inlineStr">
        <is>
          <t xml:space="preserve">Farhan Dubash </t>
        </is>
      </c>
      <c r="AB77" t="inlineStr">
        <is>
          <t>Abel Tom Benny // Thomas and Thomas Advocates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Prompt Legal (Shared by Jayanth)</t>
        </is>
      </c>
      <c r="N78" t="inlineStr"/>
      <c r="O78" t="inlineStr"/>
      <c r="P78" t="inlineStr">
        <is>
          <t>Kunal Kunango</t>
        </is>
      </c>
      <c r="Q78" t="inlineStr"/>
      <c r="R78" t="inlineStr"/>
      <c r="S78" t="inlineStr">
        <is>
          <t>Zubin Behramkamdin</t>
        </is>
      </c>
      <c r="T78" t="inlineStr"/>
      <c r="U78" t="inlineStr">
        <is>
          <t>IndusLaw</t>
        </is>
      </c>
      <c r="V78" t="inlineStr"/>
      <c r="W78" t="inlineStr"/>
      <c r="X78" t="inlineStr">
        <is>
          <t>Jaiveer Shergil</t>
        </is>
      </c>
      <c r="Y78" t="inlineStr"/>
      <c r="Z78" t="inlineStr"/>
      <c r="AA78" t="inlineStr">
        <is>
          <t>Mustafa S Doctor</t>
        </is>
      </c>
      <c r="AB78" t="inlineStr">
        <is>
          <t xml:space="preserve">Farhan Dubash 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Justice (Retd.) AK Sikri</t>
        </is>
      </c>
      <c r="N79" t="inlineStr"/>
      <c r="O79" t="inlineStr"/>
      <c r="P79" t="inlineStr">
        <is>
          <t>Divyanshu Rai</t>
        </is>
      </c>
      <c r="Q79" t="inlineStr"/>
      <c r="R79" t="inlineStr"/>
      <c r="S79" t="inlineStr">
        <is>
          <t>Jennifer Michael</t>
        </is>
      </c>
      <c r="T79" t="inlineStr"/>
      <c r="U79" t="inlineStr">
        <is>
          <t>Deep Cover Law- Chirag Narasimiah</t>
        </is>
      </c>
      <c r="V79" t="inlineStr"/>
      <c r="W79" t="inlineStr"/>
      <c r="X79" t="inlineStr">
        <is>
          <t>Jayakar and Partners</t>
        </is>
      </c>
      <c r="Y79" t="inlineStr"/>
      <c r="Z79" t="inlineStr"/>
      <c r="AA79" t="inlineStr">
        <is>
          <t>Naushad Engineer</t>
        </is>
      </c>
      <c r="AB79" t="inlineStr">
        <is>
          <t>Mustafa S Doctor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Amrita Panda / ADP Chambers- 62</t>
        </is>
      </c>
      <c r="N80" t="inlineStr"/>
      <c r="O80" t="inlineStr"/>
      <c r="P80" t="inlineStr">
        <is>
          <t>Hamza mir</t>
        </is>
      </c>
      <c r="Q80" t="inlineStr"/>
      <c r="R80" t="inlineStr"/>
      <c r="S80" t="inlineStr">
        <is>
          <t>SomÂ Sinha &amp; Associates</t>
        </is>
      </c>
      <c r="T80" t="inlineStr"/>
      <c r="U80" t="inlineStr">
        <is>
          <t>Centre for Law and Policy Research Trust</t>
        </is>
      </c>
      <c r="V80" t="inlineStr"/>
      <c r="W80" t="inlineStr"/>
      <c r="X80" t="inlineStr">
        <is>
          <t>Jennifer Michael</t>
        </is>
      </c>
      <c r="Y80" t="inlineStr"/>
      <c r="Z80" t="inlineStr"/>
      <c r="AA80" t="inlineStr">
        <is>
          <t>Shyam Kapadia</t>
        </is>
      </c>
      <c r="AB80" t="inlineStr">
        <is>
          <t>Naushad Engineer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Chambers of Justice Mohit S Shah (Retd.), Former Chief Justice of Bombay and Calcutta High Court</t>
        </is>
      </c>
      <c r="N81" t="inlineStr"/>
      <c r="O81" t="inlineStr"/>
      <c r="P81" t="inlineStr">
        <is>
          <t>Chambers of Ninad Laud</t>
        </is>
      </c>
      <c r="Q81" t="inlineStr"/>
      <c r="R81" t="inlineStr"/>
      <c r="S81" t="inlineStr">
        <is>
          <t>MZM Legal LLP</t>
        </is>
      </c>
      <c r="T81" t="inlineStr"/>
      <c r="U81" t="inlineStr">
        <is>
          <t>Keystone Partners</t>
        </is>
      </c>
      <c r="V81" t="inlineStr"/>
      <c r="W81" t="inlineStr"/>
      <c r="X81" t="inlineStr">
        <is>
          <t>Joy Baxi &amp; Associates</t>
        </is>
      </c>
      <c r="Y81" t="inlineStr"/>
      <c r="Z81" t="inlineStr"/>
      <c r="AA81" t="inlineStr">
        <is>
          <t>Ish Jain / Regius Partners LLP</t>
        </is>
      </c>
      <c r="AB81" t="inlineStr">
        <is>
          <t>Shyam Kapadia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Wadia Ghandy &amp; Co.</t>
        </is>
      </c>
      <c r="N82" t="inlineStr"/>
      <c r="O82" t="inlineStr"/>
      <c r="P82" t="inlineStr">
        <is>
          <t>Gera Developments Pvt. Ltd.</t>
        </is>
      </c>
      <c r="Q82" t="inlineStr"/>
      <c r="R82" t="inlineStr"/>
      <c r="S82" t="inlineStr">
        <is>
          <t>Stride Legal</t>
        </is>
      </c>
      <c r="T82" t="inlineStr"/>
      <c r="U82" t="inlineStr">
        <is>
          <t>Prompt Legal (Shared by Jayanth)</t>
        </is>
      </c>
      <c r="V82" t="inlineStr"/>
      <c r="W82" t="inlineStr"/>
      <c r="X82" t="inlineStr">
        <is>
          <t>JSM Law Partners</t>
        </is>
      </c>
      <c r="Y82" t="inlineStr"/>
      <c r="Z82" t="inlineStr"/>
      <c r="AA82" t="inlineStr">
        <is>
          <t xml:space="preserve">
The Guild | Advocates &amp; Associate Counsel</t>
        </is>
      </c>
      <c r="AB82" t="inlineStr">
        <is>
          <t>Ish Jain / Regius Partners LLP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Burgeon Law LLP</t>
        </is>
      </c>
      <c r="N83" t="inlineStr"/>
      <c r="O83" t="inlineStr"/>
      <c r="P83" t="inlineStr">
        <is>
          <t>Gaurav Mehta</t>
        </is>
      </c>
      <c r="Q83" t="inlineStr"/>
      <c r="R83" t="inlineStr"/>
      <c r="S83" t="inlineStr">
        <is>
          <t>Rithin Rai</t>
        </is>
      </c>
      <c r="T83" t="inlineStr"/>
      <c r="U83" t="inlineStr">
        <is>
          <t>Justice (Retd.) AK Sikri</t>
        </is>
      </c>
      <c r="V83" t="inlineStr"/>
      <c r="W83" t="inlineStr"/>
      <c r="X83" t="inlineStr">
        <is>
          <t>Justice (Retd.) AK Sikri</t>
        </is>
      </c>
      <c r="Y83" t="inlineStr"/>
      <c r="Z83" t="inlineStr"/>
      <c r="AA83" t="inlineStr">
        <is>
          <t xml:space="preserve">Abhimanyu Garg / Methodica Legal </t>
        </is>
      </c>
      <c r="AB83" t="inlineStr">
        <is>
          <t xml:space="preserve">
The Guild | Advocates &amp; Associate Counsel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Eternity Legal</t>
        </is>
      </c>
      <c r="N84" t="inlineStr"/>
      <c r="O84" t="inlineStr"/>
      <c r="P84" t="inlineStr">
        <is>
          <t>MD&amp;T Partners</t>
        </is>
      </c>
      <c r="Q84" t="inlineStr"/>
      <c r="R84" t="inlineStr"/>
      <c r="S84" t="inlineStr">
        <is>
          <t>Chetan Dedhia</t>
        </is>
      </c>
      <c r="T84" t="inlineStr"/>
      <c r="U84" t="inlineStr">
        <is>
          <t>Amrita Panda / ADP Chambers- 62</t>
        </is>
      </c>
      <c r="V84" t="inlineStr"/>
      <c r="W84" t="inlineStr"/>
      <c r="X84" t="inlineStr">
        <is>
          <t>Justice (Retd.) Kurian Joseph</t>
        </is>
      </c>
      <c r="Y84" t="inlineStr"/>
      <c r="Z84" t="inlineStr"/>
      <c r="AA84" t="inlineStr">
        <is>
          <t>Megha Chandra</t>
        </is>
      </c>
      <c r="AB84" t="inlineStr">
        <is>
          <t xml:space="preserve">Abhimanyu Garg / Methodica Legal 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Nora Legal Consultants LLP</t>
        </is>
      </c>
      <c r="N85" t="inlineStr"/>
      <c r="O85" t="inlineStr"/>
      <c r="P85" t="inlineStr">
        <is>
          <t>Kachwaha &amp; Partners</t>
        </is>
      </c>
      <c r="Q85" t="inlineStr"/>
      <c r="R85" t="inlineStr"/>
      <c r="S85" t="inlineStr">
        <is>
          <t>Zoheb Hossain</t>
        </is>
      </c>
      <c r="T85" t="inlineStr"/>
      <c r="U85" t="inlineStr">
        <is>
          <t>Chambers of Justice Mohit S Shah (Retd.), Former Chief Justice of Bombay and Calcutta High Court</t>
        </is>
      </c>
      <c r="V85" t="inlineStr"/>
      <c r="W85" t="inlineStr"/>
      <c r="X85" t="inlineStr">
        <is>
          <t>JYOT-A Public Trust</t>
        </is>
      </c>
      <c r="Y85" t="inlineStr"/>
      <c r="Z85" t="inlineStr"/>
      <c r="AA85" t="inlineStr">
        <is>
          <t>Shiraz Rustomjee</t>
        </is>
      </c>
      <c r="AB85" t="inlineStr">
        <is>
          <t>Megha Chandra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Innovatus Law</t>
        </is>
      </c>
      <c r="N86" t="inlineStr"/>
      <c r="O86" t="inlineStr"/>
      <c r="P86" t="inlineStr">
        <is>
          <t>Zoheb Hossain</t>
        </is>
      </c>
      <c r="Q86" t="inlineStr"/>
      <c r="R86" t="inlineStr"/>
      <c r="S86" t="inlineStr">
        <is>
          <t>Meghav Gupta</t>
        </is>
      </c>
      <c r="T86" t="inlineStr"/>
      <c r="U86" t="inlineStr">
        <is>
          <t>Wadia Ghandy &amp; Co.</t>
        </is>
      </c>
      <c r="V86" t="inlineStr"/>
      <c r="W86" t="inlineStr"/>
      <c r="X86" t="inlineStr">
        <is>
          <t>Kachwaha &amp; Partners</t>
        </is>
      </c>
      <c r="Y86" t="inlineStr"/>
      <c r="Z86" t="inlineStr"/>
      <c r="AA86" t="inlineStr">
        <is>
          <t>Dipankar Majumdar</t>
        </is>
      </c>
      <c r="AB86" t="inlineStr">
        <is>
          <t>Shiraz Rustomjee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Gourab Banreji</t>
        </is>
      </c>
      <c r="N87" t="inlineStr"/>
      <c r="O87" t="inlineStr"/>
      <c r="P87" t="inlineStr">
        <is>
          <t>Vishal Kanade</t>
        </is>
      </c>
      <c r="Q87" t="inlineStr"/>
      <c r="R87" t="inlineStr"/>
      <c r="S87" t="inlineStr">
        <is>
          <t>Shashwat Bajpai</t>
        </is>
      </c>
      <c r="T87" t="inlineStr"/>
      <c r="U87" t="inlineStr">
        <is>
          <t>Eternity Legal</t>
        </is>
      </c>
      <c r="V87" t="inlineStr"/>
      <c r="W87" t="inlineStr"/>
      <c r="X87" t="inlineStr">
        <is>
          <t>Kajol Punjabi</t>
        </is>
      </c>
      <c r="Y87" t="inlineStr"/>
      <c r="Z87" t="inlineStr"/>
      <c r="AA87" t="inlineStr">
        <is>
          <t>Office of ASG (N. Venkatraman)</t>
        </is>
      </c>
      <c r="AB87" t="inlineStr">
        <is>
          <t>Dipankar Majumdar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Solaris Legal</t>
        </is>
      </c>
      <c r="N88" t="inlineStr"/>
      <c r="O88" t="inlineStr"/>
      <c r="P88" t="inlineStr">
        <is>
          <t>Vritti Law Partners</t>
        </is>
      </c>
      <c r="Q88" t="inlineStr"/>
      <c r="R88" t="inlineStr"/>
      <c r="S88" t="inlineStr">
        <is>
          <t>Nitish Raj</t>
        </is>
      </c>
      <c r="T88" t="inlineStr"/>
      <c r="U88" t="inlineStr">
        <is>
          <t>Nora Legal Consultants LLP</t>
        </is>
      </c>
      <c r="V88" t="inlineStr"/>
      <c r="W88" t="inlineStr"/>
      <c r="X88" t="inlineStr">
        <is>
          <t>Kamaljeet Singh</t>
        </is>
      </c>
      <c r="Y88" t="inlineStr"/>
      <c r="Z88" t="inlineStr"/>
      <c r="AA88" t="inlineStr">
        <is>
          <t>Birendra Saraf</t>
        </is>
      </c>
      <c r="AB88" t="inlineStr">
        <is>
          <t>Office of ASG (N. Venkatraman)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MV Law Partners</t>
        </is>
      </c>
      <c r="N89" t="inlineStr"/>
      <c r="O89" t="inlineStr"/>
      <c r="P89" t="inlineStr">
        <is>
          <t>C&amp;S Partners</t>
        </is>
      </c>
      <c r="Q89" t="inlineStr"/>
      <c r="R89" t="inlineStr"/>
      <c r="S89" t="inlineStr">
        <is>
          <t>Aquilaw</t>
        </is>
      </c>
      <c r="T89" t="inlineStr"/>
      <c r="U89" t="inlineStr">
        <is>
          <t>Innovatus Law</t>
        </is>
      </c>
      <c r="V89" t="inlineStr"/>
      <c r="W89" t="inlineStr"/>
      <c r="X89" t="inlineStr">
        <is>
          <t>Karanjawala &amp; Company Advocates</t>
        </is>
      </c>
      <c r="Y89" t="inlineStr"/>
      <c r="Z89" t="inlineStr"/>
      <c r="AA89" t="inlineStr">
        <is>
          <t>JYOT-A Public Trust</t>
        </is>
      </c>
      <c r="AB89" t="inlineStr">
        <is>
          <t>Solaris Legal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Ratan Kumar Singh</t>
        </is>
      </c>
      <c r="N90" t="inlineStr"/>
      <c r="O90" t="inlineStr"/>
      <c r="P90" t="inlineStr">
        <is>
          <t>Asahi Legal LLP</t>
        </is>
      </c>
      <c r="Q90" t="inlineStr"/>
      <c r="R90" t="inlineStr"/>
      <c r="S90" t="inlineStr">
        <is>
          <t>Svarniti Law Offices</t>
        </is>
      </c>
      <c r="T90" t="inlineStr"/>
      <c r="U90" t="inlineStr">
        <is>
          <t>Gourab Banreji</t>
        </is>
      </c>
      <c r="V90" t="inlineStr"/>
      <c r="W90" t="inlineStr"/>
      <c r="X90" t="inlineStr">
        <is>
          <t>Karthik Sundar</t>
        </is>
      </c>
      <c r="Y90" t="inlineStr"/>
      <c r="Z90" t="inlineStr"/>
      <c r="AA90" t="inlineStr">
        <is>
          <t>KUAJ LEGAL</t>
        </is>
      </c>
      <c r="AB90" t="inlineStr">
        <is>
          <t>Newton School - Incanus Technologies Private Limited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Balbir Singh</t>
        </is>
      </c>
      <c r="N91" t="inlineStr"/>
      <c r="O91" t="inlineStr"/>
      <c r="P91" t="inlineStr">
        <is>
          <t>Chambers of Moazzam Khan</t>
        </is>
      </c>
      <c r="Q91" t="inlineStr"/>
      <c r="R91" t="inlineStr"/>
      <c r="S91" t="inlineStr">
        <is>
          <t>Daswani &amp; Daswani</t>
        </is>
      </c>
      <c r="T91" t="inlineStr"/>
      <c r="U91" t="inlineStr">
        <is>
          <t>MV Law Partners</t>
        </is>
      </c>
      <c r="V91" t="inlineStr"/>
      <c r="W91" t="inlineStr"/>
      <c r="X91" t="inlineStr">
        <is>
          <t>KATARIYA CONSULTANCY INDIA LLP</t>
        </is>
      </c>
      <c r="Y91" t="inlineStr"/>
      <c r="Z91" t="inlineStr"/>
      <c r="AA91" t="inlineStr">
        <is>
          <t>Agraa Legal</t>
        </is>
      </c>
      <c r="AB91" t="inlineStr">
        <is>
          <t>Chambers of Pujari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Mr Rohit Gupta</t>
        </is>
      </c>
      <c r="N92" t="inlineStr"/>
      <c r="O92" t="inlineStr"/>
      <c r="P92" t="inlineStr">
        <is>
          <t>Vis Legis Law Practice</t>
        </is>
      </c>
      <c r="Q92" t="inlineStr"/>
      <c r="R92" t="inlineStr"/>
      <c r="S92" t="inlineStr">
        <is>
          <t>Khaitan Legal Asscoiates</t>
        </is>
      </c>
      <c r="T92" t="inlineStr"/>
      <c r="U92" t="inlineStr">
        <is>
          <t>Ratan Kumar Singh</t>
        </is>
      </c>
      <c r="V92" t="inlineStr"/>
      <c r="W92" t="inlineStr"/>
      <c r="X92" t="inlineStr">
        <is>
          <t>Kazan Shroff</t>
        </is>
      </c>
      <c r="Y92" t="inlineStr"/>
      <c r="Z92" t="inlineStr"/>
      <c r="AA92" t="inlineStr">
        <is>
          <t>Shobit Phutela</t>
        </is>
      </c>
      <c r="AB92" t="inlineStr">
        <is>
          <t>Birendra Saraf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Federal &amp; Company</t>
        </is>
      </c>
      <c r="N93" t="inlineStr"/>
      <c r="O93" t="inlineStr"/>
      <c r="P93" t="inlineStr">
        <is>
          <t>Phoenix Legal</t>
        </is>
      </c>
      <c r="Q93" t="inlineStr"/>
      <c r="R93" t="inlineStr"/>
      <c r="S93" t="inlineStr">
        <is>
          <t>Samya Law Chambers</t>
        </is>
      </c>
      <c r="T93" t="inlineStr"/>
      <c r="U93" t="inlineStr">
        <is>
          <t>Mr Rohit Gupta</t>
        </is>
      </c>
      <c r="V93" t="inlineStr"/>
      <c r="W93" t="inlineStr"/>
      <c r="X93" t="inlineStr">
        <is>
          <t>Kevic Setalvad</t>
        </is>
      </c>
      <c r="Y93" t="inlineStr"/>
      <c r="Z93" t="inlineStr"/>
      <c r="AA93" t="inlineStr">
        <is>
          <t>Narottam Sharma</t>
        </is>
      </c>
      <c r="AB93" t="inlineStr">
        <is>
          <t>JYOT-A Public Trust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Sanjay Udeshi &amp; Co.</t>
        </is>
      </c>
      <c r="N94" t="inlineStr"/>
      <c r="O94" t="inlineStr"/>
      <c r="P94" t="inlineStr">
        <is>
          <t>Nikhil Pai</t>
        </is>
      </c>
      <c r="Q94" t="inlineStr"/>
      <c r="R94" t="inlineStr"/>
      <c r="S94" t="inlineStr">
        <is>
          <t>Shri Venkatesh , SKV law offices</t>
        </is>
      </c>
      <c r="T94" t="inlineStr"/>
      <c r="U94" t="inlineStr">
        <is>
          <t>Sanjay Udeshi &amp; Co.</t>
        </is>
      </c>
      <c r="V94" t="inlineStr"/>
      <c r="W94" t="inlineStr"/>
      <c r="X94" t="inlineStr">
        <is>
          <t>Keystone Partners</t>
        </is>
      </c>
      <c r="Y94" t="inlineStr"/>
      <c r="Z94" t="inlineStr"/>
      <c r="AA94" t="inlineStr">
        <is>
          <t>Rahul Saboo, Advocate</t>
        </is>
      </c>
      <c r="AB94" t="inlineStr">
        <is>
          <t>KUAJ LEGAL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Abel Tom Benny // Thomas and Thomas Advocates</t>
        </is>
      </c>
      <c r="N95" t="inlineStr"/>
      <c r="O95" t="inlineStr"/>
      <c r="P95" t="inlineStr">
        <is>
          <t>J INFRATECH LIMITED</t>
        </is>
      </c>
      <c r="Q95" t="inlineStr"/>
      <c r="R95" t="inlineStr"/>
      <c r="S95" t="inlineStr">
        <is>
          <t>Parakram Legal</t>
        </is>
      </c>
      <c r="T95" t="inlineStr"/>
      <c r="U95" t="inlineStr">
        <is>
          <t>Abel Tom Benny // Thomas and Thomas Advocates</t>
        </is>
      </c>
      <c r="V95" t="inlineStr"/>
      <c r="W95" t="inlineStr"/>
      <c r="X95" t="inlineStr">
        <is>
          <t>Khaitan Legal Associates</t>
        </is>
      </c>
      <c r="Y95" t="inlineStr"/>
      <c r="Z95" t="inlineStr"/>
      <c r="AA95" t="inlineStr">
        <is>
          <t>Meghna Talwar</t>
        </is>
      </c>
      <c r="AB95" t="inlineStr">
        <is>
          <t>Agraa Legal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 xml:space="preserve">Farhan Dubash </t>
        </is>
      </c>
      <c r="N96" t="inlineStr"/>
      <c r="O96" t="inlineStr"/>
      <c r="P96" t="inlineStr">
        <is>
          <t>Vesta Legal</t>
        </is>
      </c>
      <c r="Q96" t="inlineStr"/>
      <c r="R96" t="inlineStr"/>
      <c r="S96" t="inlineStr">
        <is>
          <t>IndusLaw</t>
        </is>
      </c>
      <c r="T96" t="inlineStr"/>
      <c r="U96" t="inlineStr">
        <is>
          <t xml:space="preserve">Farhan Dubash </t>
        </is>
      </c>
      <c r="V96" t="inlineStr"/>
      <c r="W96" t="inlineStr"/>
      <c r="X96" t="inlineStr">
        <is>
          <t>Krati Gupta</t>
        </is>
      </c>
      <c r="Y96" t="inlineStr"/>
      <c r="Z96" t="inlineStr"/>
      <c r="AA96" t="inlineStr">
        <is>
          <t>Miglani Varma &amp; Co.</t>
        </is>
      </c>
      <c r="AB96" t="inlineStr">
        <is>
          <t>Shobit Phutela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Mustafa S Doctor</t>
        </is>
      </c>
      <c r="N97" t="inlineStr"/>
      <c r="O97" t="inlineStr"/>
      <c r="P97" t="inlineStr">
        <is>
          <t>Vyom Shah</t>
        </is>
      </c>
      <c r="Q97" t="inlineStr"/>
      <c r="R97" t="inlineStr"/>
      <c r="S97" t="inlineStr">
        <is>
          <t>Deep Cover Law- Chirag Narasimiah</t>
        </is>
      </c>
      <c r="T97" t="inlineStr"/>
      <c r="U97" t="inlineStr">
        <is>
          <t>Mustafa S Doctor</t>
        </is>
      </c>
      <c r="V97" t="inlineStr"/>
      <c r="W97" t="inlineStr"/>
      <c r="X97" t="inlineStr">
        <is>
          <t>KRISH HOMES</t>
        </is>
      </c>
      <c r="Y97" t="inlineStr"/>
      <c r="Z97" t="inlineStr"/>
      <c r="AA97" t="inlineStr">
        <is>
          <t>Joy Baxi &amp; Associates</t>
        </is>
      </c>
      <c r="AB97" t="inlineStr">
        <is>
          <t>Narottam Sharma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Naushad Engineer</t>
        </is>
      </c>
      <c r="N98" t="inlineStr"/>
      <c r="O98" t="inlineStr"/>
      <c r="P98" t="inlineStr">
        <is>
          <t>Zubin Behramkamdin</t>
        </is>
      </c>
      <c r="Q98" t="inlineStr"/>
      <c r="R98" t="inlineStr"/>
      <c r="S98" t="inlineStr">
        <is>
          <t>Centre for Law and Policy Research Trust</t>
        </is>
      </c>
      <c r="T98" t="inlineStr"/>
      <c r="U98" t="inlineStr">
        <is>
          <t>Naushad Engineer</t>
        </is>
      </c>
      <c r="V98" t="inlineStr"/>
      <c r="W98" t="inlineStr"/>
      <c r="X98" t="inlineStr">
        <is>
          <t>Krishna Dev Jagarlamudi</t>
        </is>
      </c>
      <c r="Y98" t="inlineStr"/>
      <c r="Z98" t="inlineStr"/>
      <c r="AA98" t="inlineStr">
        <is>
          <t>Dewani Associates</t>
        </is>
      </c>
      <c r="AB98" t="inlineStr">
        <is>
          <t>Rahul Saboo, Advocate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Shyam Kapadia</t>
        </is>
      </c>
      <c r="N99" t="inlineStr"/>
      <c r="O99" t="inlineStr"/>
      <c r="P99" t="inlineStr">
        <is>
          <t>Jennifer Michael</t>
        </is>
      </c>
      <c r="Q99" t="inlineStr"/>
      <c r="R99" t="inlineStr"/>
      <c r="S99" t="inlineStr">
        <is>
          <t>NKR Law Offices</t>
        </is>
      </c>
      <c r="T99" t="inlineStr"/>
      <c r="U99" t="inlineStr">
        <is>
          <t>Shyam Kapadia</t>
        </is>
      </c>
      <c r="V99" t="inlineStr"/>
      <c r="W99" t="inlineStr"/>
      <c r="X99" t="inlineStr">
        <is>
          <t>Krishnan Venugopal</t>
        </is>
      </c>
      <c r="Y99" t="inlineStr"/>
      <c r="Z99" t="inlineStr"/>
      <c r="AA99" t="inlineStr">
        <is>
          <t>Ganesh &amp; Co.</t>
        </is>
      </c>
      <c r="AB99" t="inlineStr">
        <is>
          <t>Meghna Talwar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Ish Jain / Regius Partners LLP</t>
        </is>
      </c>
      <c r="N100" t="inlineStr"/>
      <c r="O100" t="inlineStr"/>
      <c r="P100" t="inlineStr">
        <is>
          <t>SomÂ Sinha &amp; Associates</t>
        </is>
      </c>
      <c r="Q100" t="inlineStr"/>
      <c r="R100" t="inlineStr"/>
      <c r="S100" t="inlineStr">
        <is>
          <t>Keystone Partners</t>
        </is>
      </c>
      <c r="T100" t="inlineStr"/>
      <c r="U100" t="inlineStr">
        <is>
          <t>Ish Jain / Regius Partners LLP</t>
        </is>
      </c>
      <c r="V100" t="inlineStr"/>
      <c r="W100" t="inlineStr"/>
      <c r="X100" t="inlineStr">
        <is>
          <t>KUAJ LEGAL</t>
        </is>
      </c>
      <c r="Y100" t="inlineStr"/>
      <c r="Z100" t="inlineStr"/>
      <c r="AA100" t="inlineStr">
        <is>
          <t>Vis Legis Law Practice</t>
        </is>
      </c>
      <c r="AB100" t="inlineStr">
        <is>
          <t>Miglani Varma &amp; Co.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 xml:space="preserve">
The Guild | Advocates &amp; Associate Counsel</t>
        </is>
      </c>
      <c r="N101" t="inlineStr"/>
      <c r="O101" t="inlineStr"/>
      <c r="P101" t="inlineStr">
        <is>
          <t>MZM Legal LLP</t>
        </is>
      </c>
      <c r="Q101" t="inlineStr"/>
      <c r="R101" t="inlineStr"/>
      <c r="S101" t="inlineStr">
        <is>
          <t>Prompt Legal (Shared by Jayanth)</t>
        </is>
      </c>
      <c r="T101" t="inlineStr"/>
      <c r="U101" t="inlineStr">
        <is>
          <t xml:space="preserve">
The Guild | Advocates &amp; Associate Counsel</t>
        </is>
      </c>
      <c r="V101" t="inlineStr"/>
      <c r="W101" t="inlineStr"/>
      <c r="X101" t="inlineStr">
        <is>
          <t>Kunal Kunango</t>
        </is>
      </c>
      <c r="Y101" t="inlineStr"/>
      <c r="Z101" t="inlineStr"/>
      <c r="AA101" t="inlineStr">
        <is>
          <t>U. S. GANDHI &amp; CO.</t>
        </is>
      </c>
      <c r="AB101" t="inlineStr">
        <is>
          <t>Joy Baxi &amp; Associates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 xml:space="preserve">Abhimanyu Garg / Methodica Legal </t>
        </is>
      </c>
      <c r="N102" t="inlineStr"/>
      <c r="O102" t="inlineStr"/>
      <c r="P102" t="inlineStr">
        <is>
          <t>Stride Legal</t>
        </is>
      </c>
      <c r="Q102" t="inlineStr"/>
      <c r="R102" t="inlineStr"/>
      <c r="S102" t="inlineStr">
        <is>
          <t>Justice (Retd.) AK Sikri</t>
        </is>
      </c>
      <c r="T102" t="inlineStr"/>
      <c r="U102" t="inlineStr">
        <is>
          <t xml:space="preserve">Abhimanyu Garg / Methodica Legal </t>
        </is>
      </c>
      <c r="V102" t="inlineStr"/>
      <c r="W102" t="inlineStr"/>
      <c r="X102" t="inlineStr">
        <is>
          <t>Kushagra Shah</t>
        </is>
      </c>
      <c r="Y102" t="inlineStr"/>
      <c r="Z102" t="inlineStr"/>
      <c r="AA102" t="inlineStr">
        <is>
          <t>Gauri Puri</t>
        </is>
      </c>
      <c r="AB102" t="inlineStr">
        <is>
          <t>Dewani Associates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Megha Chandra</t>
        </is>
      </c>
      <c r="N103" t="inlineStr"/>
      <c r="O103" t="inlineStr"/>
      <c r="P103" t="inlineStr">
        <is>
          <t>Rithin Rai</t>
        </is>
      </c>
      <c r="Q103" t="inlineStr"/>
      <c r="R103" t="inlineStr"/>
      <c r="S103" t="inlineStr">
        <is>
          <t>Amrita Panda / ADP Chambers- 62</t>
        </is>
      </c>
      <c r="T103" t="inlineStr"/>
      <c r="U103" t="inlineStr">
        <is>
          <t>Megha Chandra</t>
        </is>
      </c>
      <c r="V103" t="inlineStr"/>
      <c r="W103" t="inlineStr"/>
      <c r="X103" t="inlineStr">
        <is>
          <t>LEGALOGIC CONSULTING LLP</t>
        </is>
      </c>
      <c r="Y103" t="inlineStr"/>
      <c r="Z103" t="inlineStr"/>
      <c r="AA103" t="inlineStr">
        <is>
          <t>Amit Bhagat</t>
        </is>
      </c>
      <c r="AB103" t="inlineStr">
        <is>
          <t>Ganesh &amp; Co.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Asahi Legal LLP</t>
        </is>
      </c>
      <c r="N104" t="inlineStr"/>
      <c r="O104" t="inlineStr"/>
      <c r="P104" t="inlineStr">
        <is>
          <t>Meghav Gupta</t>
        </is>
      </c>
      <c r="Q104" t="inlineStr"/>
      <c r="R104" t="inlineStr"/>
      <c r="S104" t="inlineStr">
        <is>
          <t>Chambers of Justice Mohit S Shah (Retd.), Former Chief Justice of Bombay and Calcutta High Court</t>
        </is>
      </c>
      <c r="T104" t="inlineStr"/>
      <c r="U104" t="inlineStr">
        <is>
          <t>Shiraz Rustomjee</t>
        </is>
      </c>
      <c r="V104" t="inlineStr"/>
      <c r="W104" t="inlineStr"/>
      <c r="X104" t="inlineStr">
        <is>
          <t>Mahek Bookwala</t>
        </is>
      </c>
      <c r="Y104" t="inlineStr"/>
      <c r="Z104" t="inlineStr"/>
      <c r="AA104" t="inlineStr">
        <is>
          <t>Vishal Kanade</t>
        </is>
      </c>
      <c r="AB104" t="inlineStr">
        <is>
          <t>Vis Legis Law Practice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Mr. Jehangir Jejeebhoy</t>
        </is>
      </c>
      <c r="N105" t="inlineStr"/>
      <c r="O105" t="inlineStr"/>
      <c r="P105" t="inlineStr">
        <is>
          <t>Shashwat Bajpai</t>
        </is>
      </c>
      <c r="Q105" t="inlineStr"/>
      <c r="R105" t="inlineStr"/>
      <c r="S105" t="inlineStr">
        <is>
          <t>Wadia Ghandy &amp; Co.</t>
        </is>
      </c>
      <c r="T105" t="inlineStr"/>
      <c r="U105" t="inlineStr">
        <is>
          <t>Dipankar Majumdar</t>
        </is>
      </c>
      <c r="V105" t="inlineStr"/>
      <c r="W105" t="inlineStr"/>
      <c r="X105" t="inlineStr">
        <is>
          <t>Malak Bhatt</t>
        </is>
      </c>
      <c r="Y105" t="inlineStr"/>
      <c r="Z105" t="inlineStr"/>
      <c r="AA105" t="inlineStr">
        <is>
          <t>Sundeep Karnik</t>
        </is>
      </c>
      <c r="AB105" t="inlineStr">
        <is>
          <t>U. S. GANDHI &amp; CO.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Shiraz Rustomjee</t>
        </is>
      </c>
      <c r="N106" t="inlineStr"/>
      <c r="O106" t="inlineStr"/>
      <c r="P106" t="inlineStr">
        <is>
          <t>Nitish Raj</t>
        </is>
      </c>
      <c r="Q106" t="inlineStr"/>
      <c r="R106" t="inlineStr"/>
      <c r="S106" t="inlineStr">
        <is>
          <t>Burgeon Law LLP</t>
        </is>
      </c>
      <c r="T106" t="inlineStr"/>
      <c r="U106" t="inlineStr">
        <is>
          <t>Office of ASG (N. Venkatraman)</t>
        </is>
      </c>
      <c r="V106" t="inlineStr"/>
      <c r="W106" t="inlineStr"/>
      <c r="X106" t="inlineStr">
        <is>
          <t>Manish kelker</t>
        </is>
      </c>
      <c r="Y106" t="inlineStr"/>
      <c r="Z106" t="inlineStr"/>
      <c r="AA106" t="inlineStr">
        <is>
          <t>Rohan Talwar</t>
        </is>
      </c>
      <c r="AB106" t="inlineStr">
        <is>
          <t>Gauri Puri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Dipankar Majumdar</t>
        </is>
      </c>
      <c r="N107" t="inlineStr"/>
      <c r="O107" t="inlineStr"/>
      <c r="P107" t="inlineStr">
        <is>
          <t>Aquilaw</t>
        </is>
      </c>
      <c r="Q107" t="inlineStr"/>
      <c r="R107" t="inlineStr"/>
      <c r="S107" t="inlineStr">
        <is>
          <t>Eternity Legal</t>
        </is>
      </c>
      <c r="T107" t="inlineStr"/>
      <c r="U107" t="inlineStr">
        <is>
          <t>Poovayya &amp; CO</t>
        </is>
      </c>
      <c r="V107" t="inlineStr"/>
      <c r="W107" t="inlineStr"/>
      <c r="X107" t="inlineStr">
        <is>
          <t>Manjari Shah</t>
        </is>
      </c>
      <c r="Y107" t="inlineStr"/>
      <c r="Z107" t="inlineStr"/>
      <c r="AA107" t="inlineStr">
        <is>
          <t>Aurtus Consulting LLP</t>
        </is>
      </c>
      <c r="AB107" t="inlineStr">
        <is>
          <t>Amit Bhagat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Office of ASG (N. Venkatraman)</t>
        </is>
      </c>
      <c r="N108" t="inlineStr"/>
      <c r="O108" t="inlineStr"/>
      <c r="P108" t="inlineStr">
        <is>
          <t>Svarniti Law Offices</t>
        </is>
      </c>
      <c r="Q108" t="inlineStr"/>
      <c r="R108" t="inlineStr"/>
      <c r="S108" t="inlineStr">
        <is>
          <t>Nora Legal Consultants LLP</t>
        </is>
      </c>
      <c r="T108" t="inlineStr"/>
      <c r="U108" t="inlineStr">
        <is>
          <t>Sajan Poovayya</t>
        </is>
      </c>
      <c r="V108" t="inlineStr"/>
      <c r="W108" t="inlineStr"/>
      <c r="X108" t="inlineStr">
        <is>
          <t>Megha Chandra</t>
        </is>
      </c>
      <c r="Y108" t="inlineStr"/>
      <c r="Z108" t="inlineStr"/>
      <c r="AA108" t="inlineStr">
        <is>
          <t>Tvashta Law</t>
        </is>
      </c>
      <c r="AB108" t="inlineStr">
        <is>
          <t>Vishal Kanade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Akriti Chaubey</t>
        </is>
      </c>
      <c r="N109" t="inlineStr"/>
      <c r="O109" t="inlineStr"/>
      <c r="P109" t="inlineStr">
        <is>
          <t>Khaitan Legal Asscoiates</t>
        </is>
      </c>
      <c r="Q109" t="inlineStr"/>
      <c r="R109" t="inlineStr"/>
      <c r="S109" t="inlineStr">
        <is>
          <t>Innovatus Law</t>
        </is>
      </c>
      <c r="T109" t="inlineStr"/>
      <c r="U109" t="inlineStr">
        <is>
          <t>Gupta Law Associates</t>
        </is>
      </c>
      <c r="V109" t="inlineStr"/>
      <c r="W109" t="inlineStr"/>
      <c r="X109" t="inlineStr">
        <is>
          <t>Meghav Gupta</t>
        </is>
      </c>
      <c r="Y109" t="inlineStr"/>
      <c r="Z109" t="inlineStr"/>
      <c r="AA109" t="inlineStr">
        <is>
          <t>Apoorv Kurup</t>
        </is>
      </c>
      <c r="AB109" t="inlineStr">
        <is>
          <t>Sundeep Karnik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GM Legal</t>
        </is>
      </c>
      <c r="N110" t="inlineStr"/>
      <c r="O110" t="inlineStr"/>
      <c r="P110" t="inlineStr">
        <is>
          <t>Samya Law Chambers</t>
        </is>
      </c>
      <c r="Q110" t="inlineStr"/>
      <c r="R110" t="inlineStr"/>
      <c r="S110" t="inlineStr">
        <is>
          <t>Gourab Banreji</t>
        </is>
      </c>
      <c r="T110" t="inlineStr"/>
      <c r="U110" t="inlineStr">
        <is>
          <t>Vardharma Chambers</t>
        </is>
      </c>
      <c r="V110" t="inlineStr"/>
      <c r="W110" t="inlineStr"/>
      <c r="X110" t="inlineStr">
        <is>
          <t>Meghna Talwar</t>
        </is>
      </c>
      <c r="Y110" t="inlineStr"/>
      <c r="Z110" t="inlineStr"/>
      <c r="AA110" t="inlineStr">
        <is>
          <t>Elixir Legal Services</t>
        </is>
      </c>
      <c r="AB110" t="inlineStr">
        <is>
          <t>Rohan Talwar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Prantar</t>
        </is>
      </c>
      <c r="N111" t="inlineStr"/>
      <c r="O111" t="inlineStr"/>
      <c r="P111" t="inlineStr">
        <is>
          <t>Parakram Legal</t>
        </is>
      </c>
      <c r="Q111" t="inlineStr"/>
      <c r="R111" t="inlineStr"/>
      <c r="S111" t="inlineStr">
        <is>
          <t>MV Law Partners</t>
        </is>
      </c>
      <c r="T111" t="inlineStr"/>
      <c r="U111" t="inlineStr">
        <is>
          <t>Birendra Saraf</t>
        </is>
      </c>
      <c r="V111" t="inlineStr"/>
      <c r="W111" t="inlineStr"/>
      <c r="X111" t="inlineStr">
        <is>
          <t>MG Ramachandran</t>
        </is>
      </c>
      <c r="Y111" t="inlineStr"/>
      <c r="Z111" t="inlineStr"/>
      <c r="AA111" t="inlineStr">
        <is>
          <t>Harshit Malik</t>
        </is>
      </c>
      <c r="AB111" t="inlineStr">
        <is>
          <t>Tvashta Law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Rohit Sharma (lex Merita)</t>
        </is>
      </c>
      <c r="N112" t="inlineStr"/>
      <c r="O112" t="inlineStr"/>
      <c r="P112" t="inlineStr">
        <is>
          <t>IndusLaw</t>
        </is>
      </c>
      <c r="Q112" t="inlineStr"/>
      <c r="R112" t="inlineStr"/>
      <c r="S112" t="inlineStr">
        <is>
          <t>Ratan Kumar Singh</t>
        </is>
      </c>
      <c r="T112" t="inlineStr"/>
      <c r="U112" t="inlineStr">
        <is>
          <t>IRIS LEGAL</t>
        </is>
      </c>
      <c r="V112" t="inlineStr"/>
      <c r="W112" t="inlineStr"/>
      <c r="X112" t="inlineStr">
        <is>
          <t>Miglani Varma &amp; Co.</t>
        </is>
      </c>
      <c r="Y112" t="inlineStr"/>
      <c r="Z112" t="inlineStr"/>
      <c r="AA112" t="inlineStr">
        <is>
          <t>Solaris Legal</t>
        </is>
      </c>
      <c r="AB112" t="inlineStr">
        <is>
          <t>Apoorv Kurup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Mr Sudhanshu Kumar</t>
        </is>
      </c>
      <c r="N113" t="inlineStr"/>
      <c r="O113" t="inlineStr"/>
      <c r="P113" t="inlineStr">
        <is>
          <t>Keystone Partners</t>
        </is>
      </c>
      <c r="Q113" t="inlineStr"/>
      <c r="R113" t="inlineStr"/>
      <c r="S113" t="inlineStr">
        <is>
          <t>Mr Rohit Gupta</t>
        </is>
      </c>
      <c r="T113" t="inlineStr"/>
      <c r="U113" t="inlineStr">
        <is>
          <t>JYOT-A Public Trust</t>
        </is>
      </c>
      <c r="V113" t="inlineStr"/>
      <c r="W113" t="inlineStr"/>
      <c r="X113" t="inlineStr">
        <is>
          <t>Monalisa Kosaria</t>
        </is>
      </c>
      <c r="Y113" t="inlineStr"/>
      <c r="Z113" t="inlineStr"/>
      <c r="AA113" t="inlineStr">
        <is>
          <t>Surel Shah</t>
        </is>
      </c>
      <c r="AB113" t="inlineStr">
        <is>
          <t>Elixir Legal Services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Santosh Kumar</t>
        </is>
      </c>
      <c r="N114" t="inlineStr"/>
      <c r="O114" t="inlineStr"/>
      <c r="P114" t="inlineStr">
        <is>
          <t>Prompt Legal (Shared by Jayanth)</t>
        </is>
      </c>
      <c r="Q114" t="inlineStr"/>
      <c r="R114" t="inlineStr"/>
      <c r="S114" t="inlineStr">
        <is>
          <t>Sanjay Udeshi &amp; Co.</t>
        </is>
      </c>
      <c r="T114" t="inlineStr"/>
      <c r="U114" t="inlineStr">
        <is>
          <t>Yakshay Chheda</t>
        </is>
      </c>
      <c r="V114" t="inlineStr"/>
      <c r="W114" t="inlineStr"/>
      <c r="X114" t="inlineStr">
        <is>
          <t>Mr Rohit Gupta</t>
        </is>
      </c>
      <c r="Y114" t="inlineStr"/>
      <c r="Z114" t="inlineStr"/>
      <c r="AA114" t="inlineStr">
        <is>
          <t>MG Ramachandran</t>
        </is>
      </c>
      <c r="AB114" t="inlineStr">
        <is>
          <t>Harshit Malik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NIKHIL DEELIP P</t>
        </is>
      </c>
      <c r="N115" t="inlineStr"/>
      <c r="O115" t="inlineStr"/>
      <c r="P115" t="inlineStr">
        <is>
          <t>Justice (Retd.) AK Sikri</t>
        </is>
      </c>
      <c r="Q115" t="inlineStr"/>
      <c r="R115" t="inlineStr"/>
      <c r="S115" t="inlineStr">
        <is>
          <t>Abel Tom Benny // Thomas and Thomas Advocates</t>
        </is>
      </c>
      <c r="T115" t="inlineStr"/>
      <c r="U115" t="inlineStr">
        <is>
          <t>Tipping Mr Pink Private Limited</t>
        </is>
      </c>
      <c r="V115" t="inlineStr"/>
      <c r="W115" t="inlineStr"/>
      <c r="X115" t="inlineStr">
        <is>
          <t>Mukul Sharma and Company</t>
        </is>
      </c>
      <c r="Y115" t="inlineStr"/>
      <c r="Z115" t="inlineStr"/>
      <c r="AA115" t="inlineStr">
        <is>
          <t>Jade Lex Partners</t>
        </is>
      </c>
      <c r="AB115" t="inlineStr">
        <is>
          <t>Shrey Lodha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Hiresh Chaudhary</t>
        </is>
      </c>
      <c r="N116" t="inlineStr"/>
      <c r="O116" t="inlineStr"/>
      <c r="P116" t="inlineStr">
        <is>
          <t>Amrita Panda / ADP Chambers- 62</t>
        </is>
      </c>
      <c r="Q116" t="inlineStr"/>
      <c r="R116" t="inlineStr"/>
      <c r="S116" t="inlineStr">
        <is>
          <t xml:space="preserve">Farhan Dubash </t>
        </is>
      </c>
      <c r="T116" t="inlineStr"/>
      <c r="U116" t="inlineStr">
        <is>
          <t>KUAJ LEGAL</t>
        </is>
      </c>
      <c r="V116" t="inlineStr"/>
      <c r="W116" t="inlineStr"/>
      <c r="X116" t="inlineStr">
        <is>
          <t>Mustafa S Doctor</t>
        </is>
      </c>
      <c r="Y116" t="inlineStr"/>
      <c r="Z116" t="inlineStr"/>
      <c r="AA116" t="inlineStr">
        <is>
          <t>Aanchal Basur</t>
        </is>
      </c>
      <c r="AB116" t="inlineStr">
        <is>
          <t>Surel Shah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Victoram Legal / Mr. Sajal Awasthi</t>
        </is>
      </c>
      <c r="N117" t="inlineStr"/>
      <c r="O117" t="inlineStr"/>
      <c r="P117" t="inlineStr">
        <is>
          <t>Chambers of Justice Mohit S Shah (Retd.), Former Chief Justice of Bombay and Calcutta High Court</t>
        </is>
      </c>
      <c r="Q117" t="inlineStr"/>
      <c r="R117" t="inlineStr"/>
      <c r="S117" t="inlineStr">
        <is>
          <t>Mustafa S Doctor</t>
        </is>
      </c>
      <c r="T117" t="inlineStr"/>
      <c r="U117" t="inlineStr">
        <is>
          <t>AJNM LAW INDIA LLP</t>
        </is>
      </c>
      <c r="V117" t="inlineStr"/>
      <c r="W117" t="inlineStr"/>
      <c r="X117" t="inlineStr">
        <is>
          <t>MV Law Partners</t>
        </is>
      </c>
      <c r="Y117" t="inlineStr"/>
      <c r="Z117" t="inlineStr"/>
      <c r="AA117" t="inlineStr">
        <is>
          <t>NKR Law Offices</t>
        </is>
      </c>
      <c r="AB117" t="inlineStr">
        <is>
          <t>MG Ramachandran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Monalisa Kosaria</t>
        </is>
      </c>
      <c r="N118" t="inlineStr"/>
      <c r="O118" t="inlineStr"/>
      <c r="P118" t="inlineStr">
        <is>
          <t>Wadia Ghandy &amp; Co.</t>
        </is>
      </c>
      <c r="Q118" t="inlineStr"/>
      <c r="R118" t="inlineStr"/>
      <c r="S118" t="inlineStr">
        <is>
          <t>Naushad Engineer</t>
        </is>
      </c>
      <c r="T118" t="inlineStr"/>
      <c r="U118" t="inlineStr">
        <is>
          <t>Agraa Legal</t>
        </is>
      </c>
      <c r="V118" t="inlineStr"/>
      <c r="W118" t="inlineStr"/>
      <c r="X118" t="inlineStr">
        <is>
          <t>MZM Legal LLP</t>
        </is>
      </c>
      <c r="Y118" t="inlineStr"/>
      <c r="Z118" t="inlineStr"/>
      <c r="AA118" t="inlineStr">
        <is>
          <t>Swapnil Wagh</t>
        </is>
      </c>
      <c r="AB118" t="inlineStr">
        <is>
          <t>Jade Lex Partners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Burgeon Law LLP</t>
        </is>
      </c>
      <c r="Q119" t="inlineStr"/>
      <c r="R119" t="inlineStr"/>
      <c r="S119" t="inlineStr">
        <is>
          <t>Shyam Kapadia</t>
        </is>
      </c>
      <c r="T119" t="inlineStr"/>
      <c r="U119" t="inlineStr">
        <is>
          <t>KINJAL CIVILCON LLP</t>
        </is>
      </c>
      <c r="V119" t="inlineStr"/>
      <c r="W119" t="inlineStr"/>
      <c r="X119" t="inlineStr">
        <is>
          <t>Narottam Sharma</t>
        </is>
      </c>
      <c r="Y119" t="inlineStr"/>
      <c r="Z119" t="inlineStr"/>
      <c r="AA119" t="inlineStr">
        <is>
          <t>Arpit Gupta</t>
        </is>
      </c>
      <c r="AB119" t="inlineStr">
        <is>
          <t>Aanchal Basur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Eternity Legal</t>
        </is>
      </c>
      <c r="Q120" t="inlineStr"/>
      <c r="R120" t="inlineStr"/>
      <c r="S120" t="inlineStr">
        <is>
          <t>Tvashta Law</t>
        </is>
      </c>
      <c r="T120" t="inlineStr"/>
      <c r="U120" t="inlineStr">
        <is>
          <t>Shobit Phutela</t>
        </is>
      </c>
      <c r="V120" t="inlineStr"/>
      <c r="W120" t="inlineStr"/>
      <c r="X120" t="inlineStr">
        <is>
          <t>Naushad Engineer</t>
        </is>
      </c>
      <c r="Y120" t="inlineStr"/>
      <c r="Z120" t="inlineStr"/>
      <c r="AA120" t="inlineStr">
        <is>
          <t>Poovayya &amp; CO</t>
        </is>
      </c>
      <c r="AB120" t="inlineStr">
        <is>
          <t>NKR Law Offices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Nora Legal Consultants LLP</t>
        </is>
      </c>
      <c r="Q121" t="inlineStr"/>
      <c r="R121" t="inlineStr"/>
      <c r="S121" t="inlineStr">
        <is>
          <t>Ish Jain / Regius Partners LLP</t>
        </is>
      </c>
      <c r="T121" t="inlineStr"/>
      <c r="U121" t="inlineStr">
        <is>
          <t>Narottam Sharma</t>
        </is>
      </c>
      <c r="V121" t="inlineStr"/>
      <c r="W121" t="inlineStr"/>
      <c r="X121" t="inlineStr">
        <is>
          <t>Nayana Tara BG</t>
        </is>
      </c>
      <c r="Y121" t="inlineStr"/>
      <c r="Z121" t="inlineStr"/>
      <c r="AA121" t="inlineStr">
        <is>
          <t>J INFRATECH LIMITED</t>
        </is>
      </c>
      <c r="AB121" t="inlineStr">
        <is>
          <t>Swapnil Wagh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Innovatus Law</t>
        </is>
      </c>
      <c r="Q122" t="inlineStr"/>
      <c r="R122" t="inlineStr"/>
      <c r="S122" t="inlineStr">
        <is>
          <t xml:space="preserve">
The Guild | Advocates &amp; Associate Counsel</t>
        </is>
      </c>
      <c r="T122" t="inlineStr"/>
      <c r="U122" t="inlineStr">
        <is>
          <t>Rahul Saboo, Advocate</t>
        </is>
      </c>
      <c r="V122" t="inlineStr"/>
      <c r="W122" t="inlineStr"/>
      <c r="X122" t="inlineStr">
        <is>
          <t>NC Legal</t>
        </is>
      </c>
      <c r="Y122" t="inlineStr"/>
      <c r="Z122" t="inlineStr"/>
      <c r="AA122" t="inlineStr">
        <is>
          <t>Rohan Shah</t>
        </is>
      </c>
      <c r="AB122" t="inlineStr">
        <is>
          <t>Arpit Gupta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Gourab Banreji</t>
        </is>
      </c>
      <c r="Q123" t="inlineStr"/>
      <c r="R123" t="inlineStr"/>
      <c r="S123" t="inlineStr">
        <is>
          <t xml:space="preserve">Abhimanyu Garg / Methodica Legal </t>
        </is>
      </c>
      <c r="T123" t="inlineStr"/>
      <c r="U123" t="inlineStr">
        <is>
          <t>DSK Legal</t>
        </is>
      </c>
      <c r="V123" t="inlineStr"/>
      <c r="W123" t="inlineStr"/>
      <c r="X123" t="inlineStr">
        <is>
          <t>Neeta Jain</t>
        </is>
      </c>
      <c r="Y123" t="inlineStr"/>
      <c r="Z123" t="inlineStr"/>
      <c r="AA123" t="inlineStr">
        <is>
          <t>GM Legal</t>
        </is>
      </c>
      <c r="AB123" t="inlineStr">
        <is>
          <t>Poovayya &amp; CO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Solaris Legal</t>
        </is>
      </c>
      <c r="Q124" t="inlineStr"/>
      <c r="R124" t="inlineStr"/>
      <c r="S124" t="inlineStr">
        <is>
          <t>Megha Chandra</t>
        </is>
      </c>
      <c r="T124" t="inlineStr"/>
      <c r="U124" t="inlineStr">
        <is>
          <t>RAJANI ASSOCIATES</t>
        </is>
      </c>
      <c r="V124" t="inlineStr"/>
      <c r="W124" t="inlineStr"/>
      <c r="X124" t="inlineStr">
        <is>
          <t>Nikhil Pai</t>
        </is>
      </c>
      <c r="Y124" t="inlineStr"/>
      <c r="Z124" t="inlineStr"/>
      <c r="AA124" t="inlineStr">
        <is>
          <t>S Priya</t>
        </is>
      </c>
      <c r="AB124" t="inlineStr">
        <is>
          <t>J INFRATECH LIMITED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MV Law Partners</t>
        </is>
      </c>
      <c r="Q125" t="inlineStr"/>
      <c r="R125" t="inlineStr"/>
      <c r="S125" t="inlineStr">
        <is>
          <t>Shiraz Rustomjee</t>
        </is>
      </c>
      <c r="T125" t="inlineStr"/>
      <c r="U125" t="inlineStr">
        <is>
          <t>Meghna Talwar</t>
        </is>
      </c>
      <c r="V125" t="inlineStr"/>
      <c r="W125" t="inlineStr"/>
      <c r="X125" t="inlineStr">
        <is>
          <t>Nitish Raj</t>
        </is>
      </c>
      <c r="Y125" t="inlineStr"/>
      <c r="Z125" t="inlineStr"/>
      <c r="AA125" t="inlineStr">
        <is>
          <t>Ujjwal Sharma</t>
        </is>
      </c>
      <c r="AB125" t="inlineStr">
        <is>
          <t>Rohan Shah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Ratan Kumar Singh</t>
        </is>
      </c>
      <c r="Q126" t="inlineStr"/>
      <c r="R126" t="inlineStr"/>
      <c r="S126" t="inlineStr">
        <is>
          <t>Dipankar Majumdar</t>
        </is>
      </c>
      <c r="T126" t="inlineStr"/>
      <c r="U126" t="inlineStr">
        <is>
          <t>S Priya</t>
        </is>
      </c>
      <c r="V126" t="inlineStr"/>
      <c r="W126" t="inlineStr"/>
      <c r="X126" t="inlineStr">
        <is>
          <t>NKR Law Offices</t>
        </is>
      </c>
      <c r="Y126" t="inlineStr"/>
      <c r="Z126" t="inlineStr"/>
      <c r="AA126" t="inlineStr">
        <is>
          <t>Trust Law</t>
        </is>
      </c>
      <c r="AB126" t="inlineStr">
        <is>
          <t>GM Legal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Mr Rohit Gupta</t>
        </is>
      </c>
      <c r="Q127" t="inlineStr"/>
      <c r="R127" t="inlineStr"/>
      <c r="S127" t="inlineStr">
        <is>
          <t>Office of ASG (N. Venkatraman)</t>
        </is>
      </c>
      <c r="T127" t="inlineStr"/>
      <c r="U127" t="inlineStr">
        <is>
          <t>Joy Baxi &amp; Associates</t>
        </is>
      </c>
      <c r="V127" t="inlineStr"/>
      <c r="W127" t="inlineStr"/>
      <c r="X127" t="inlineStr">
        <is>
          <t>Nora Legal Consultants LLP</t>
        </is>
      </c>
      <c r="Y127" t="inlineStr"/>
      <c r="Z127" t="inlineStr"/>
      <c r="AA127" t="inlineStr">
        <is>
          <t>Priyanshi Kholia</t>
        </is>
      </c>
      <c r="AB127" t="inlineStr">
        <is>
          <t>S Priya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Sanjay Udeshi &amp; Co.</t>
        </is>
      </c>
      <c r="Q128" t="inlineStr"/>
      <c r="R128" t="inlineStr"/>
      <c r="S128" t="inlineStr">
        <is>
          <t>LEGALOGIC CONSULTING LLP</t>
        </is>
      </c>
      <c r="T128" t="inlineStr"/>
      <c r="U128" t="inlineStr">
        <is>
          <t>Dewani Associates</t>
        </is>
      </c>
      <c r="V128" t="inlineStr"/>
      <c r="W128" t="inlineStr"/>
      <c r="X128" t="inlineStr">
        <is>
          <t>Office of ASG (N. Venkatraman)</t>
        </is>
      </c>
      <c r="Y128" t="inlineStr"/>
      <c r="Z128" t="inlineStr"/>
      <c r="AA128" t="inlineStr">
        <is>
          <t>Bishwajit Dubey</t>
        </is>
      </c>
      <c r="AB128" t="inlineStr">
        <is>
          <t>Ujjwal Sharma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Abel Tom Benny // Thomas and Thomas Advocates</t>
        </is>
      </c>
      <c r="Q129" t="inlineStr"/>
      <c r="R129" t="inlineStr"/>
      <c r="S129" t="inlineStr">
        <is>
          <t>Poovayya &amp; CO</t>
        </is>
      </c>
      <c r="T129" t="inlineStr"/>
      <c r="U129" t="inlineStr">
        <is>
          <t>Ganesh &amp; Co.</t>
        </is>
      </c>
      <c r="V129" t="inlineStr"/>
      <c r="W129" t="inlineStr"/>
      <c r="X129" t="inlineStr">
        <is>
          <t>Parakram Legal</t>
        </is>
      </c>
      <c r="Y129" t="inlineStr"/>
      <c r="Z129" t="inlineStr"/>
      <c r="AA129" t="inlineStr">
        <is>
          <t>Krati Gupta</t>
        </is>
      </c>
      <c r="AB129" t="inlineStr">
        <is>
          <t>Trust Law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 xml:space="preserve">Farhan Dubash </t>
        </is>
      </c>
      <c r="Q130" t="inlineStr"/>
      <c r="R130" t="inlineStr"/>
      <c r="S130" t="inlineStr">
        <is>
          <t>Sajan Poovayya</t>
        </is>
      </c>
      <c r="T130" t="inlineStr"/>
      <c r="U130" t="inlineStr">
        <is>
          <t>AMS Legal</t>
        </is>
      </c>
      <c r="V130" t="inlineStr"/>
      <c r="W130" t="inlineStr"/>
      <c r="X130" t="inlineStr">
        <is>
          <t>Parinam Law Associates</t>
        </is>
      </c>
      <c r="Y130" t="inlineStr"/>
      <c r="Z130" t="inlineStr"/>
      <c r="AA130" t="inlineStr">
        <is>
          <t>Hamsaanandini Nanduri</t>
        </is>
      </c>
      <c r="AB130" t="inlineStr">
        <is>
          <t>Priyanshi Kholia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Mustafa S Doctor</t>
        </is>
      </c>
      <c r="Q131" t="inlineStr"/>
      <c r="R131" t="inlineStr"/>
      <c r="S131" t="inlineStr">
        <is>
          <t>Vardharma Chambers</t>
        </is>
      </c>
      <c r="T131" t="inlineStr"/>
      <c r="U131" t="inlineStr">
        <is>
          <t>Vis Legis Law Practice</t>
        </is>
      </c>
      <c r="V131" t="inlineStr"/>
      <c r="W131" t="inlineStr"/>
      <c r="X131" t="inlineStr">
        <is>
          <t>Parul Sharma</t>
        </is>
      </c>
      <c r="Y131" t="inlineStr"/>
      <c r="Z131" t="inlineStr"/>
      <c r="AA131" t="inlineStr">
        <is>
          <t>Monalisa Kosaria</t>
        </is>
      </c>
      <c r="AB131" t="inlineStr">
        <is>
          <t>Bishwajit Dubey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Naushad Engineer</t>
        </is>
      </c>
      <c r="Q132" t="inlineStr"/>
      <c r="R132" t="inlineStr"/>
      <c r="S132" t="inlineStr">
        <is>
          <t>Birendra Saraf</t>
        </is>
      </c>
      <c r="T132" t="inlineStr"/>
      <c r="U132" t="inlineStr">
        <is>
          <t>U. S. GANDHI &amp; CO.</t>
        </is>
      </c>
      <c r="V132" t="inlineStr"/>
      <c r="W132" t="inlineStr"/>
      <c r="X132" t="inlineStr">
        <is>
          <t>Philips India Limited</t>
        </is>
      </c>
      <c r="Y132" t="inlineStr"/>
      <c r="Z132" t="inlineStr"/>
      <c r="AA132" t="inlineStr">
        <is>
          <t>Gupta Law Associates</t>
        </is>
      </c>
      <c r="AB132" t="inlineStr">
        <is>
          <t>Krati Gupta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Shyam Kapadia</t>
        </is>
      </c>
      <c r="Q133" t="inlineStr"/>
      <c r="R133" t="inlineStr"/>
      <c r="S133" t="inlineStr">
        <is>
          <t>IRIS LEGAL</t>
        </is>
      </c>
      <c r="T133" t="inlineStr"/>
      <c r="U133" t="inlineStr">
        <is>
          <t>Gauri Puri</t>
        </is>
      </c>
      <c r="V133" t="inlineStr"/>
      <c r="W133" t="inlineStr"/>
      <c r="X133" t="inlineStr">
        <is>
          <t>Phoenix Legal</t>
        </is>
      </c>
      <c r="Y133" t="inlineStr"/>
      <c r="Z133" t="inlineStr"/>
      <c r="AA133" t="inlineStr">
        <is>
          <t>Yakshay Chheda</t>
        </is>
      </c>
      <c r="AB133" t="inlineStr">
        <is>
          <t>Hamsaanandini Nanduri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Tvashta Law</t>
        </is>
      </c>
      <c r="Q134" t="inlineStr"/>
      <c r="R134" t="inlineStr"/>
      <c r="S134" t="inlineStr">
        <is>
          <t>JYOT-A Public Trust</t>
        </is>
      </c>
      <c r="T134" t="inlineStr"/>
      <c r="U134" t="inlineStr">
        <is>
          <t>Amit Bhagat</t>
        </is>
      </c>
      <c r="V134" t="inlineStr"/>
      <c r="W134" t="inlineStr"/>
      <c r="X134" t="inlineStr">
        <is>
          <t>Piyush Raheja</t>
        </is>
      </c>
      <c r="Y134" t="inlineStr"/>
      <c r="Z134" t="inlineStr"/>
      <c r="AA134" t="inlineStr">
        <is>
          <t>Krishnan Venugopal</t>
        </is>
      </c>
      <c r="AB134" t="inlineStr">
        <is>
          <t>Monalisa Kosaria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Ish Jain / Regius Partners LLP</t>
        </is>
      </c>
      <c r="Q135" t="inlineStr"/>
      <c r="R135" t="inlineStr"/>
      <c r="S135" t="inlineStr">
        <is>
          <t>Yakshay Chheda</t>
        </is>
      </c>
      <c r="T135" t="inlineStr"/>
      <c r="U135" t="inlineStr">
        <is>
          <t>Vishal Kanade</t>
        </is>
      </c>
      <c r="V135" t="inlineStr"/>
      <c r="W135" t="inlineStr"/>
      <c r="X135" t="inlineStr">
        <is>
          <t>Poovayya &amp; CO</t>
        </is>
      </c>
      <c r="Y135" t="inlineStr"/>
      <c r="Z135" t="inlineStr"/>
      <c r="AA135" t="inlineStr">
        <is>
          <t>Vardharma Chambers</t>
        </is>
      </c>
      <c r="AB135" t="inlineStr">
        <is>
          <t>Gupta Law Associates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 xml:space="preserve">
The Guild | Advocates &amp; Associate Counsel</t>
        </is>
      </c>
      <c r="Q136" t="inlineStr"/>
      <c r="R136" t="inlineStr"/>
      <c r="S136" t="inlineStr">
        <is>
          <t>Tipping Mr Pink Private Limited</t>
        </is>
      </c>
      <c r="T136" t="inlineStr"/>
      <c r="U136" t="inlineStr">
        <is>
          <t>Sundeep Karnik</t>
        </is>
      </c>
      <c r="V136" t="inlineStr"/>
      <c r="W136" t="inlineStr"/>
      <c r="X136" t="inlineStr">
        <is>
          <t>Pradeep Sancheti</t>
        </is>
      </c>
      <c r="Y136" t="inlineStr"/>
      <c r="Z136" t="inlineStr"/>
      <c r="AA136" t="inlineStr">
        <is>
          <t>GC Legal</t>
        </is>
      </c>
      <c r="AB136" t="inlineStr">
        <is>
          <t>Yakshay Chheda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 xml:space="preserve">Abhimanyu Garg / Methodica Legal </t>
        </is>
      </c>
      <c r="Q137" t="inlineStr"/>
      <c r="R137" t="inlineStr"/>
      <c r="S137" t="inlineStr">
        <is>
          <t>KUAJ LEGAL</t>
        </is>
      </c>
      <c r="T137" t="inlineStr"/>
      <c r="U137" t="inlineStr">
        <is>
          <t>Rohan Talwar</t>
        </is>
      </c>
      <c r="V137" t="inlineStr"/>
      <c r="W137" t="inlineStr"/>
      <c r="X137" t="inlineStr">
        <is>
          <t>Pranav Badheka</t>
        </is>
      </c>
      <c r="Y137" t="inlineStr"/>
      <c r="Z137" t="inlineStr"/>
      <c r="AA137" t="inlineStr">
        <is>
          <t>Anush Raajan</t>
        </is>
      </c>
      <c r="AB137" t="inlineStr">
        <is>
          <t>Krishnan Venugopal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Megha Chandra</t>
        </is>
      </c>
      <c r="Q138" t="inlineStr"/>
      <c r="R138" t="inlineStr"/>
      <c r="S138" t="inlineStr">
        <is>
          <t>AJNM LAW INDIA LLP</t>
        </is>
      </c>
      <c r="T138" t="inlineStr"/>
      <c r="U138" t="inlineStr">
        <is>
          <t>ZEUS Law Associates</t>
        </is>
      </c>
      <c r="V138" t="inlineStr"/>
      <c r="W138" t="inlineStr"/>
      <c r="X138" t="inlineStr">
        <is>
          <t>Pratik Patnaik</t>
        </is>
      </c>
      <c r="Y138" t="inlineStr"/>
      <c r="Z138" t="inlineStr"/>
      <c r="AA138" t="inlineStr">
        <is>
          <t>Philips India Limited</t>
        </is>
      </c>
      <c r="AB138" t="inlineStr">
        <is>
          <t>Vardharma Chambers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Mr. Jehangir Jejeebhoy</t>
        </is>
      </c>
      <c r="Q139" t="inlineStr"/>
      <c r="R139" t="inlineStr"/>
      <c r="S139" t="inlineStr">
        <is>
          <t>Agraa Legal</t>
        </is>
      </c>
      <c r="T139" t="inlineStr"/>
      <c r="U139" t="inlineStr">
        <is>
          <t>Aurtus Consulting LLP</t>
        </is>
      </c>
      <c r="V139" t="inlineStr"/>
      <c r="W139" t="inlineStr"/>
      <c r="X139" t="inlineStr">
        <is>
          <t>Priyanshi Kholia</t>
        </is>
      </c>
      <c r="Y139" t="inlineStr"/>
      <c r="Z139" t="inlineStr"/>
      <c r="AA139" t="inlineStr">
        <is>
          <t>Nayana Tara BG</t>
        </is>
      </c>
      <c r="AB139" t="inlineStr">
        <is>
          <t>GC Legal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Shiraz Rustomjee</t>
        </is>
      </c>
      <c r="Q140" t="inlineStr"/>
      <c r="R140" t="inlineStr"/>
      <c r="S140" t="inlineStr">
        <is>
          <t>KINJAL CIVILCON LLP</t>
        </is>
      </c>
      <c r="T140" t="inlineStr"/>
      <c r="U140" t="inlineStr">
        <is>
          <t>Tvashta Law</t>
        </is>
      </c>
      <c r="V140" t="inlineStr"/>
      <c r="W140" t="inlineStr"/>
      <c r="X140" t="inlineStr">
        <is>
          <t>Prompt Legal (Shared by Jayanth)</t>
        </is>
      </c>
      <c r="Y140" t="inlineStr"/>
      <c r="Z140" t="inlineStr"/>
      <c r="AA140" t="inlineStr">
        <is>
          <t>PSP Legal</t>
        </is>
      </c>
      <c r="AB140" t="inlineStr">
        <is>
          <t>Anush Raajan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Dipankar Majumdar</t>
        </is>
      </c>
      <c r="Q141" t="inlineStr"/>
      <c r="R141" t="inlineStr"/>
      <c r="S141" t="inlineStr">
        <is>
          <t>Shobit Phutela</t>
        </is>
      </c>
      <c r="T141" t="inlineStr"/>
      <c r="U141" t="inlineStr">
        <is>
          <t>Tejeshwar Singh</t>
        </is>
      </c>
      <c r="V141" t="inlineStr"/>
      <c r="W141" t="inlineStr"/>
      <c r="X141" t="inlineStr">
        <is>
          <t>PSN Legal Advocates and Legal Consultants</t>
        </is>
      </c>
      <c r="Y141" t="inlineStr"/>
      <c r="Z141" t="inlineStr"/>
      <c r="AA141" t="inlineStr">
        <is>
          <t>ICL CORPORATE ADVISORY PRIVATE LIMITED</t>
        </is>
      </c>
      <c r="AB141" t="inlineStr">
        <is>
          <t>Philips India Limited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Office of ASG (N. Venkatraman)</t>
        </is>
      </c>
      <c r="Q142" t="inlineStr"/>
      <c r="R142" t="inlineStr"/>
      <c r="S142" t="inlineStr">
        <is>
          <t>Narottam Sharma</t>
        </is>
      </c>
      <c r="T142" t="inlineStr"/>
      <c r="U142" t="inlineStr">
        <is>
          <t>Apoorv Kurup</t>
        </is>
      </c>
      <c r="V142" t="inlineStr"/>
      <c r="W142" t="inlineStr"/>
      <c r="X142" t="inlineStr">
        <is>
          <t>PSP Legal</t>
        </is>
      </c>
      <c r="Y142" t="inlineStr"/>
      <c r="Z142" t="inlineStr"/>
      <c r="AA142" t="inlineStr">
        <is>
          <t>Vivek Anand Anthony Britto</t>
        </is>
      </c>
      <c r="AB142" t="inlineStr">
        <is>
          <t>Nayana Tara BG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Monalisa Kosaria</t>
        </is>
      </c>
      <c r="Q143" t="inlineStr"/>
      <c r="R143" t="inlineStr"/>
      <c r="S143" t="inlineStr">
        <is>
          <t>Rahul Saboo, Advocate</t>
        </is>
      </c>
      <c r="T143" t="inlineStr"/>
      <c r="U143" t="inlineStr">
        <is>
          <t>Elixir Legal Services</t>
        </is>
      </c>
      <c r="V143" t="inlineStr"/>
      <c r="W143" t="inlineStr"/>
      <c r="X143" t="inlineStr">
        <is>
          <t>R. Ginodia &amp; Co. LLP</t>
        </is>
      </c>
      <c r="Y143" t="inlineStr"/>
      <c r="Z143" t="inlineStr"/>
      <c r="AA143" t="inlineStr">
        <is>
          <t>RHP Partners</t>
        </is>
      </c>
      <c r="AB143" t="inlineStr">
        <is>
          <t>PSP Legal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Shrey Lodha</t>
        </is>
      </c>
      <c r="Q144" t="inlineStr"/>
      <c r="R144" t="inlineStr"/>
      <c r="S144" t="inlineStr">
        <is>
          <t>DSK Legal</t>
        </is>
      </c>
      <c r="T144" t="inlineStr"/>
      <c r="U144" t="inlineStr">
        <is>
          <t>Harshit Malik</t>
        </is>
      </c>
      <c r="V144" t="inlineStr"/>
      <c r="W144" t="inlineStr"/>
      <c r="X144" t="inlineStr">
        <is>
          <t>R. Vishnu Kumar, Advocate</t>
        </is>
      </c>
      <c r="Y144" t="inlineStr"/>
      <c r="Z144" t="inlineStr"/>
      <c r="AA144" t="inlineStr">
        <is>
          <t>Sarthak Advocates &amp; Solicitors</t>
        </is>
      </c>
      <c r="AB144" t="inlineStr">
        <is>
          <t>ICL CORPORATE ADVISORY PRIVATE LIMITED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RAJANI ASSOCIATES</t>
        </is>
      </c>
      <c r="T145" t="inlineStr"/>
      <c r="U145" t="inlineStr">
        <is>
          <t>Shrey Lodha</t>
        </is>
      </c>
      <c r="V145" t="inlineStr"/>
      <c r="W145" t="inlineStr"/>
      <c r="X145" t="inlineStr">
        <is>
          <t>Rahul Saboo, Advocate</t>
        </is>
      </c>
      <c r="Y145" t="inlineStr"/>
      <c r="Z145" t="inlineStr"/>
      <c r="AA145" t="inlineStr">
        <is>
          <t>LEGALOGIC CONSULTING LLP</t>
        </is>
      </c>
      <c r="AB145" t="inlineStr">
        <is>
          <t>Vivek Anand Anthony Britto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Meghna Talwar</t>
        </is>
      </c>
      <c r="T146" t="inlineStr"/>
      <c r="U146" t="inlineStr">
        <is>
          <t>Solaris Legal</t>
        </is>
      </c>
      <c r="V146" t="inlineStr"/>
      <c r="W146" t="inlineStr"/>
      <c r="X146" t="inlineStr">
        <is>
          <t>RAJANI ASSOCIATES</t>
        </is>
      </c>
      <c r="Y146" t="inlineStr"/>
      <c r="Z146" t="inlineStr"/>
      <c r="AA146" t="inlineStr">
        <is>
          <t>ASV Legal LLP</t>
        </is>
      </c>
      <c r="AB146" t="inlineStr">
        <is>
          <t>RHP Partners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S Priya</t>
        </is>
      </c>
      <c r="T147" t="inlineStr"/>
      <c r="U147" t="inlineStr">
        <is>
          <t>Surel Shah</t>
        </is>
      </c>
      <c r="V147" t="inlineStr"/>
      <c r="W147" t="inlineStr"/>
      <c r="X147" t="inlineStr">
        <is>
          <t>Rajeev K. Virmani</t>
        </is>
      </c>
      <c r="Y147" t="inlineStr"/>
      <c r="Z147" t="inlineStr"/>
      <c r="AA147" t="inlineStr">
        <is>
          <t>Tarun G Reddy</t>
        </is>
      </c>
      <c r="AB147" t="inlineStr">
        <is>
          <t>Sarthak Advocates &amp; Solicitors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Joy Baxi &amp; Associates</t>
        </is>
      </c>
      <c r="T148" t="inlineStr"/>
      <c r="U148" t="inlineStr">
        <is>
          <t>MG Ramachandran</t>
        </is>
      </c>
      <c r="V148" t="inlineStr"/>
      <c r="W148" t="inlineStr"/>
      <c r="X148" t="inlineStr">
        <is>
          <t>Rashmikant and Partners</t>
        </is>
      </c>
      <c r="Y148" t="inlineStr"/>
      <c r="Z148" t="inlineStr"/>
      <c r="AA148" t="inlineStr">
        <is>
          <t>Karanjawala &amp; Company Advocates</t>
        </is>
      </c>
      <c r="AB148" t="inlineStr">
        <is>
          <t>LEGALOGIC CONSULTING LLP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Ganesh &amp; Co.</t>
        </is>
      </c>
      <c r="T149" t="inlineStr"/>
      <c r="U149" t="inlineStr">
        <is>
          <t>Jade Lex Partners</t>
        </is>
      </c>
      <c r="V149" t="inlineStr"/>
      <c r="W149" t="inlineStr"/>
      <c r="X149" t="inlineStr">
        <is>
          <t>Ratan Kumar Singh</t>
        </is>
      </c>
      <c r="Y149" t="inlineStr"/>
      <c r="Z149" t="inlineStr"/>
      <c r="AA149" t="inlineStr">
        <is>
          <t>Swapna Sheshadri</t>
        </is>
      </c>
      <c r="AB149" t="inlineStr">
        <is>
          <t>ASV Legal LLP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AMS Legal</t>
        </is>
      </c>
      <c r="T150" t="inlineStr"/>
      <c r="U150" t="inlineStr">
        <is>
          <t>Aanchal Basur</t>
        </is>
      </c>
      <c r="V150" t="inlineStr"/>
      <c r="W150" t="inlineStr"/>
      <c r="X150" t="inlineStr">
        <is>
          <t>Reliance Corporate Advisors (R)</t>
        </is>
      </c>
      <c r="Y150" t="inlineStr"/>
      <c r="Z150" t="inlineStr"/>
      <c r="AA150" t="inlineStr">
        <is>
          <t>Krishna Dev Jagarlamudi</t>
        </is>
      </c>
      <c r="AB150" t="inlineStr">
        <is>
          <t>Tarun G Reddy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Gauri Puri</t>
        </is>
      </c>
      <c r="T151" t="inlineStr"/>
      <c r="U151" t="inlineStr">
        <is>
          <t>RUNWAL ENTERPRISES LIMITED</t>
        </is>
      </c>
      <c r="V151" t="inlineStr"/>
      <c r="W151" t="inlineStr"/>
      <c r="X151" t="inlineStr">
        <is>
          <t>RHP Partners</t>
        </is>
      </c>
      <c r="Y151" t="inlineStr"/>
      <c r="Z151" t="inlineStr"/>
      <c r="AA151" t="inlineStr">
        <is>
          <t>Gaurav Ray, Advocate on Record</t>
        </is>
      </c>
      <c r="AB151" t="inlineStr">
        <is>
          <t>Swapna Sheshadri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Amit Bhagat</t>
        </is>
      </c>
      <c r="T152" t="inlineStr"/>
      <c r="U152" t="inlineStr">
        <is>
          <t>ANM Global Inc</t>
        </is>
      </c>
      <c r="V152" t="inlineStr"/>
      <c r="W152" t="inlineStr"/>
      <c r="X152" t="inlineStr">
        <is>
          <t>Rithin Rai</t>
        </is>
      </c>
      <c r="Y152" t="inlineStr"/>
      <c r="Z152" t="inlineStr"/>
      <c r="AA152" t="inlineStr">
        <is>
          <t>Dhruve Liladhar &amp; Co</t>
        </is>
      </c>
      <c r="AB152" t="inlineStr">
        <is>
          <t>Krishna Dev Jagarlamudi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Sundeep Karnik</t>
        </is>
      </c>
      <c r="T153" t="inlineStr"/>
      <c r="U153" t="inlineStr">
        <is>
          <t>NKR Law Offices</t>
        </is>
      </c>
      <c r="V153" t="inlineStr"/>
      <c r="W153" t="inlineStr"/>
      <c r="X153" t="inlineStr">
        <is>
          <t>Rohan Shah</t>
        </is>
      </c>
      <c r="Y153" t="inlineStr"/>
      <c r="Z153" t="inlineStr"/>
      <c r="AA153" t="inlineStr">
        <is>
          <t>R. Ginodia &amp; Co. LLP</t>
        </is>
      </c>
      <c r="AB153" t="inlineStr">
        <is>
          <t>Gaurav Ray, Advocate on Record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Rohan Talwar</t>
        </is>
      </c>
      <c r="T154" t="inlineStr"/>
      <c r="U154" t="inlineStr">
        <is>
          <t>C&amp;S Partners</t>
        </is>
      </c>
      <c r="V154" t="inlineStr"/>
      <c r="W154" t="inlineStr"/>
      <c r="X154" t="inlineStr">
        <is>
          <t>Rohan Talwar</t>
        </is>
      </c>
      <c r="Y154" t="inlineStr"/>
      <c r="Z154" t="inlineStr"/>
      <c r="AA154" t="inlineStr">
        <is>
          <t>Saurabh Prakash</t>
        </is>
      </c>
      <c r="AB154" t="inlineStr">
        <is>
          <t>Dhruve Liladhar &amp; Co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Aurtus Consulting LLP</t>
        </is>
      </c>
      <c r="T155" t="inlineStr"/>
      <c r="U155" t="inlineStr">
        <is>
          <t>Vikas Mehta</t>
        </is>
      </c>
      <c r="V155" t="inlineStr"/>
      <c r="W155" t="inlineStr"/>
      <c r="X155" t="inlineStr">
        <is>
          <t>Roshan Santhalia</t>
        </is>
      </c>
      <c r="Y155" t="inlineStr"/>
      <c r="Z155" t="inlineStr"/>
      <c r="AA155" t="inlineStr">
        <is>
          <t>Ecclesia Advocates and Solicitors</t>
        </is>
      </c>
      <c r="AB155" t="inlineStr">
        <is>
          <t>R. Ginodia &amp; Co. LLP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Tejeshwar Singh</t>
        </is>
      </c>
      <c r="T156" t="inlineStr"/>
      <c r="U156" t="inlineStr">
        <is>
          <t>Swapnil Wagh</t>
        </is>
      </c>
      <c r="V156" t="inlineStr"/>
      <c r="W156" t="inlineStr"/>
      <c r="X156" t="inlineStr">
        <is>
          <t>RPV LEGAL</t>
        </is>
      </c>
      <c r="Y156" t="inlineStr"/>
      <c r="Z156" t="inlineStr"/>
      <c r="AA156" t="inlineStr">
        <is>
          <t>Touchstone Partners</t>
        </is>
      </c>
      <c r="AB156" t="inlineStr">
        <is>
          <t>Saurabh Prakash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Elixir Legal Services</t>
        </is>
      </c>
      <c r="T157" t="inlineStr"/>
      <c r="U157" t="inlineStr">
        <is>
          <t>Arpit Gupta</t>
        </is>
      </c>
      <c r="V157" t="inlineStr"/>
      <c r="W157" t="inlineStr"/>
      <c r="X157" t="inlineStr">
        <is>
          <t>RUNWAL ENTERPRISES LIMITED</t>
        </is>
      </c>
      <c r="Y157" t="inlineStr"/>
      <c r="Z157" t="inlineStr"/>
      <c r="AA157" t="inlineStr">
        <is>
          <t>Jaiveer Shergil</t>
        </is>
      </c>
      <c r="AB157" t="inlineStr">
        <is>
          <t>Ecclesia Advocates and Solicitors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Harshit Malik</t>
        </is>
      </c>
      <c r="T158" t="inlineStr"/>
      <c r="U158" t="inlineStr">
        <is>
          <t>Jayakar and Partners</t>
        </is>
      </c>
      <c r="V158" t="inlineStr"/>
      <c r="W158" t="inlineStr"/>
      <c r="X158" t="inlineStr">
        <is>
          <t>S C Sharada &amp; Associates| Company Secretaries</t>
        </is>
      </c>
      <c r="Y158" t="inlineStr"/>
      <c r="Z158" t="inlineStr"/>
      <c r="AA158" t="inlineStr">
        <is>
          <t>TREELIFE VENTURES SERVICES PRIVATE LIMITED</t>
        </is>
      </c>
      <c r="AB158" t="inlineStr">
        <is>
          <t>Touchstone Partners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Shrey Lodha</t>
        </is>
      </c>
      <c r="T159" t="inlineStr"/>
      <c r="U159" t="inlineStr">
        <is>
          <t>J INFRATECH LIMITED</t>
        </is>
      </c>
      <c r="V159" t="inlineStr"/>
      <c r="W159" t="inlineStr"/>
      <c r="X159" t="inlineStr">
        <is>
          <t>S Priya</t>
        </is>
      </c>
      <c r="Y159" t="inlineStr"/>
      <c r="Z159" t="inlineStr"/>
      <c r="AA159" t="inlineStr">
        <is>
          <t>Mukul Sharma and Company</t>
        </is>
      </c>
      <c r="AB159" t="inlineStr">
        <is>
          <t>Jaiveer Shergil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Rohan Shah</t>
        </is>
      </c>
      <c r="V160" t="inlineStr"/>
      <c r="W160" t="inlineStr"/>
      <c r="X160" t="inlineStr">
        <is>
          <t>SAGA LEGAL</t>
        </is>
      </c>
      <c r="Y160" t="inlineStr"/>
      <c r="Z160" t="inlineStr"/>
      <c r="AA160" t="inlineStr">
        <is>
          <t>AHUJA VALECHA &amp; ASSOCIATES LLP</t>
        </is>
      </c>
      <c r="AB160" t="inlineStr">
        <is>
          <t>Mukul Sharma and Company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GM Legal</t>
        </is>
      </c>
      <c r="V161" t="inlineStr"/>
      <c r="W161" t="inlineStr"/>
      <c r="X161" t="inlineStr">
        <is>
          <t>Sagar Ghogre</t>
        </is>
      </c>
      <c r="Y161" t="inlineStr"/>
      <c r="Z161" t="inlineStr"/>
      <c r="AA161" t="inlineStr">
        <is>
          <t>Brijesh Oberoi</t>
        </is>
      </c>
      <c r="AB161" t="inlineStr">
        <is>
          <t>AHUJA VALECHA &amp; ASSOCIATES LLP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Rajeev K. Virmani</t>
        </is>
      </c>
      <c r="V162" t="inlineStr"/>
      <c r="W162" t="inlineStr"/>
      <c r="X162" t="inlineStr">
        <is>
          <t>Sagar Sheth</t>
        </is>
      </c>
      <c r="Y162" t="inlineStr"/>
      <c r="Z162" t="inlineStr"/>
      <c r="AA162" t="inlineStr">
        <is>
          <t>Tipping Mr Pink Private Limited</t>
        </is>
      </c>
      <c r="AB162" t="inlineStr">
        <is>
          <t>Brijesh Oberoi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Vaish Associates</t>
        </is>
      </c>
      <c r="V163" t="inlineStr"/>
      <c r="W163" t="inlineStr"/>
      <c r="X163" t="inlineStr">
        <is>
          <t>Samya Law Chambers</t>
        </is>
      </c>
      <c r="Y163" t="inlineStr"/>
      <c r="Z163" t="inlineStr"/>
      <c r="AA163" t="inlineStr">
        <is>
          <t>Pranav Badheka</t>
        </is>
      </c>
      <c r="AB163" t="inlineStr">
        <is>
          <t>Tipping Mr Pink Private Limited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Acuity Law LLP</t>
        </is>
      </c>
      <c r="V164" t="inlineStr"/>
      <c r="W164" t="inlineStr"/>
      <c r="X164" t="inlineStr">
        <is>
          <t>Sanjay Udeshi &amp; Co.</t>
        </is>
      </c>
      <c r="Y164" t="inlineStr"/>
      <c r="Z164" t="inlineStr"/>
      <c r="AA164" t="inlineStr">
        <is>
          <t>TRILOK POWER AND CABLES PRIVATE LIMITED</t>
        </is>
      </c>
      <c r="AB164" t="inlineStr">
        <is>
          <t>Pranav Badheka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Trust Law</t>
        </is>
      </c>
      <c r="V165" t="inlineStr"/>
      <c r="W165" t="inlineStr"/>
      <c r="X165" t="inlineStr">
        <is>
          <t>Saraf and Partners</t>
        </is>
      </c>
      <c r="Y165" t="inlineStr"/>
      <c r="Z165" t="inlineStr"/>
      <c r="AA165" t="inlineStr">
        <is>
          <t>Saraf and Partners</t>
        </is>
      </c>
      <c r="AB165" t="inlineStr">
        <is>
          <t>TRILOK POWER AND CABLES PRIVATE LIMITED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Priyanshi Kholia</t>
        </is>
      </c>
      <c r="V166" t="inlineStr"/>
      <c r="W166" t="inlineStr"/>
      <c r="X166" t="inlineStr">
        <is>
          <t>Sarthak Advocates &amp; Solicitors</t>
        </is>
      </c>
      <c r="Y166" t="inlineStr"/>
      <c r="Z166" t="inlineStr"/>
      <c r="AA166" t="inlineStr">
        <is>
          <t>Chirag shah, Advocate</t>
        </is>
      </c>
      <c r="AB166" t="inlineStr">
        <is>
          <t>Saraf and Partners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Khaitan Legal Associates</t>
        </is>
      </c>
      <c r="V167" t="inlineStr"/>
      <c r="W167" t="inlineStr"/>
      <c r="X167" t="inlineStr">
        <is>
          <t>Saswat Mohanty</t>
        </is>
      </c>
      <c r="Y167" t="inlineStr"/>
      <c r="Z167" t="inlineStr"/>
      <c r="AA167" t="inlineStr">
        <is>
          <t>Vidhii Partners</t>
        </is>
      </c>
      <c r="AB167" t="inlineStr">
        <is>
          <t>Chirag shah, Advocate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Rithin Rai</t>
        </is>
      </c>
      <c r="V168" t="inlineStr"/>
      <c r="W168" t="inlineStr"/>
      <c r="X168" t="inlineStr">
        <is>
          <t>Saurabh Prakash</t>
        </is>
      </c>
      <c r="Y168" t="inlineStr"/>
      <c r="Z168" t="inlineStr"/>
      <c r="AA168" t="inlineStr">
        <is>
          <t>Dharma Law Partners</t>
        </is>
      </c>
      <c r="AB168" t="inlineStr">
        <is>
          <t>Dharma Law Partners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Bishwajit Dubey</t>
        </is>
      </c>
      <c r="V169" t="inlineStr"/>
      <c r="W169" t="inlineStr"/>
      <c r="X169" t="inlineStr">
        <is>
          <t>Shashwat Bajpai</t>
        </is>
      </c>
      <c r="Y169" t="inlineStr"/>
      <c r="Z169" t="inlineStr"/>
      <c r="AA169" t="inlineStr">
        <is>
          <t>Kevic Setalvad</t>
        </is>
      </c>
      <c r="AB169" t="inlineStr">
        <is>
          <t>Kevic Setalvad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Krati Gupta</t>
        </is>
      </c>
      <c r="V170" t="inlineStr"/>
      <c r="W170" t="inlineStr"/>
      <c r="X170" t="inlineStr">
        <is>
          <t>Shiraz Rustomjee</t>
        </is>
      </c>
      <c r="Y170" t="inlineStr"/>
      <c r="Z170" t="inlineStr"/>
      <c r="AA170" t="inlineStr">
        <is>
          <t>Giriraj Subramanium</t>
        </is>
      </c>
      <c r="AB170" t="inlineStr">
        <is>
          <t>Giriraj Subramanium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S C Sharada &amp; Associates| Company Secretaries</t>
        </is>
      </c>
      <c r="V171" t="inlineStr"/>
      <c r="W171" t="inlineStr"/>
      <c r="X171" t="inlineStr">
        <is>
          <t>Shobit Phutela</t>
        </is>
      </c>
      <c r="Y171" t="inlineStr"/>
      <c r="Z171" t="inlineStr"/>
      <c r="AA171" t="inlineStr">
        <is>
          <t>Phoenix Legal</t>
        </is>
      </c>
      <c r="AB171" t="inlineStr">
        <is>
          <t>Phoenix Legal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Hamsaanandini Nanduri</t>
        </is>
      </c>
      <c r="V172" t="inlineStr"/>
      <c r="W172" t="inlineStr"/>
      <c r="X172" t="inlineStr">
        <is>
          <t>Shreeyash Lalit</t>
        </is>
      </c>
      <c r="Y172" t="inlineStr"/>
      <c r="Z172" t="inlineStr"/>
      <c r="AA172" t="inlineStr">
        <is>
          <t>Malak Bhatt</t>
        </is>
      </c>
      <c r="AB172" t="inlineStr">
        <is>
          <t>Malak Bhatt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Monalisa Kosaria</t>
        </is>
      </c>
      <c r="V173" t="inlineStr"/>
      <c r="W173" t="inlineStr"/>
      <c r="X173" t="inlineStr">
        <is>
          <t>Shreya Desai</t>
        </is>
      </c>
      <c r="Y173" t="inlineStr"/>
      <c r="Z173" t="inlineStr"/>
      <c r="AA173" t="inlineStr">
        <is>
          <t>Vikas Mehta</t>
        </is>
      </c>
      <c r="AB173" t="inlineStr">
        <is>
          <t>Vikas Mehta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Krishnan Venugopal</t>
        </is>
      </c>
      <c r="V174" t="inlineStr"/>
      <c r="W174" t="inlineStr"/>
      <c r="X174" t="inlineStr">
        <is>
          <t>Shri Venkatesh , SKV law offices</t>
        </is>
      </c>
      <c r="Y174" t="inlineStr"/>
      <c r="Z174" t="inlineStr"/>
      <c r="AA174" t="inlineStr">
        <is>
          <t>IRIS LEGAL</t>
        </is>
      </c>
      <c r="AB174" t="inlineStr">
        <is>
          <t>IRIS LEGAL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GC Legal</t>
        </is>
      </c>
      <c r="V175" t="inlineStr"/>
      <c r="W175" t="inlineStr"/>
      <c r="X175" t="inlineStr">
        <is>
          <t>Shyam Kapadia</t>
        </is>
      </c>
      <c r="Y175" t="inlineStr"/>
      <c r="Z175" t="inlineStr"/>
      <c r="AA175" t="inlineStr">
        <is>
          <t>Parul Sharma</t>
        </is>
      </c>
      <c r="AB175" t="inlineStr">
        <is>
          <t>Parul Sharma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Anush Raajan</t>
        </is>
      </c>
      <c r="V176" t="inlineStr"/>
      <c r="W176" t="inlineStr"/>
      <c r="X176" t="inlineStr">
        <is>
          <t xml:space="preserve">SINHA &amp; COMPANY
</t>
        </is>
      </c>
      <c r="Y176" t="inlineStr"/>
      <c r="Z176" t="inlineStr"/>
      <c r="AA176" t="inlineStr">
        <is>
          <t>Tushar Jarwal</t>
        </is>
      </c>
      <c r="AB176" t="inlineStr">
        <is>
          <t>Tushar Jarwal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Philips India Limited</t>
        </is>
      </c>
      <c r="V177" t="inlineStr"/>
      <c r="W177" t="inlineStr"/>
      <c r="X177" t="inlineStr">
        <is>
          <t>SK Singhi and Partners</t>
        </is>
      </c>
      <c r="Y177" t="inlineStr"/>
      <c r="Z177" t="inlineStr"/>
      <c r="AA177" t="inlineStr">
        <is>
          <t>Virmani &amp; Virmani</t>
        </is>
      </c>
      <c r="AB177" t="inlineStr">
        <is>
          <t>Virmani &amp; Virmani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Nayana Tara BG</t>
        </is>
      </c>
      <c r="V178" t="inlineStr"/>
      <c r="W178" t="inlineStr"/>
      <c r="X178" t="inlineStr">
        <is>
          <t>SKR &amp; associates</t>
        </is>
      </c>
      <c r="Y178" t="inlineStr"/>
      <c r="Z178" t="inlineStr"/>
      <c r="AA178" t="inlineStr">
        <is>
          <t>KATARIYA CONSULTANCY INDIA LLP</t>
        </is>
      </c>
      <c r="AB178" t="inlineStr">
        <is>
          <t>KATARIYA CONSULTANCY INDIA LLP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PSP Legal</t>
        </is>
      </c>
      <c r="V179" t="inlineStr"/>
      <c r="W179" t="inlineStr"/>
      <c r="X179" t="inlineStr">
        <is>
          <t>Sneha Phene</t>
        </is>
      </c>
      <c r="Y179" t="inlineStr"/>
      <c r="Z179" t="inlineStr"/>
      <c r="AA179" t="inlineStr">
        <is>
          <t>Foresight Law Offices</t>
        </is>
      </c>
      <c r="AB179" t="inlineStr">
        <is>
          <t>Kushagra Shah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Vivek Anand Anthony Britto</t>
        </is>
      </c>
      <c r="V180" t="inlineStr"/>
      <c r="W180" t="inlineStr"/>
      <c r="X180" t="inlineStr">
        <is>
          <t>Solaris Legal</t>
        </is>
      </c>
      <c r="Y180" t="inlineStr"/>
      <c r="Z180" t="inlineStr"/>
      <c r="AA180" t="inlineStr">
        <is>
          <t>Kushagra Shah</t>
        </is>
      </c>
      <c r="AB180" t="inlineStr">
        <is>
          <t>Argus Partners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Parinam Law Associates</t>
        </is>
      </c>
      <c r="V181" t="inlineStr"/>
      <c r="W181" t="inlineStr"/>
      <c r="X181" t="inlineStr">
        <is>
          <t>SomÂ Sinha &amp; Associates</t>
        </is>
      </c>
      <c r="Y181" t="inlineStr"/>
      <c r="Z181" t="inlineStr"/>
      <c r="AA181" t="inlineStr">
        <is>
          <t>Argus Partners</t>
        </is>
      </c>
      <c r="AB181" t="inlineStr">
        <is>
          <t>SAGA LEGAL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Roshan Santhalia</t>
        </is>
      </c>
      <c r="V182" t="inlineStr"/>
      <c r="W182" t="inlineStr"/>
      <c r="X182" t="inlineStr">
        <is>
          <t>SRCO Legal / Salvador Raghav &amp; Co.</t>
        </is>
      </c>
      <c r="Y182" t="inlineStr"/>
      <c r="Z182" t="inlineStr"/>
      <c r="AA182" t="inlineStr">
        <is>
          <t>SAGA LEGAL</t>
        </is>
      </c>
      <c r="AB182" t="inlineStr">
        <is>
          <t>Jain and Talukdar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RHP Partners</t>
        </is>
      </c>
      <c r="V183" t="inlineStr"/>
      <c r="W183" t="inlineStr"/>
      <c r="X183" t="inlineStr">
        <is>
          <t>Srivastava &amp; Company</t>
        </is>
      </c>
      <c r="Y183" t="inlineStr"/>
      <c r="Z183" t="inlineStr"/>
      <c r="AA183" t="inlineStr">
        <is>
          <t>Jain and Talukdar</t>
        </is>
      </c>
      <c r="AB183" t="inlineStr">
        <is>
          <t>TLH, Advocates &amp; Solicitors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Sarthak Advocates &amp; Solicitors</t>
        </is>
      </c>
      <c r="V184" t="inlineStr"/>
      <c r="W184" t="inlineStr"/>
      <c r="X184" t="inlineStr">
        <is>
          <t>Stride Legal</t>
        </is>
      </c>
      <c r="Y184" t="inlineStr"/>
      <c r="Z184" t="inlineStr"/>
      <c r="AA184" t="inlineStr">
        <is>
          <t>TLH, Advocates &amp; Solicitors</t>
        </is>
      </c>
      <c r="AB184" t="inlineStr">
        <is>
          <t>Bharat Chugh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LEGALOGIC CONSULTING LLP</t>
        </is>
      </c>
      <c r="V185" t="inlineStr"/>
      <c r="W185" t="inlineStr"/>
      <c r="X185" t="inlineStr">
        <is>
          <t>Sundeep Karnik</t>
        </is>
      </c>
      <c r="Y185" t="inlineStr"/>
      <c r="Z185" t="inlineStr"/>
      <c r="AA185" t="inlineStr">
        <is>
          <t>Bharat Chugh</t>
        </is>
      </c>
      <c r="AB185" t="inlineStr">
        <is>
          <t>Tuli &amp; Co.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Ankit Talsania</t>
        </is>
      </c>
      <c r="V186" t="inlineStr"/>
      <c r="W186" t="inlineStr"/>
      <c r="X186" t="inlineStr">
        <is>
          <t>Surel Shah</t>
        </is>
      </c>
      <c r="Y186" t="inlineStr"/>
      <c r="Z186" t="inlineStr"/>
      <c r="AA186" t="inlineStr">
        <is>
          <t>Tuli &amp; Co.</t>
        </is>
      </c>
      <c r="AB186" t="inlineStr">
        <is>
          <t>Karthik Sundar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ASV Legal LLP</t>
        </is>
      </c>
      <c r="V187" t="inlineStr"/>
      <c r="W187" t="inlineStr"/>
      <c r="X187" t="inlineStr">
        <is>
          <t>Svarniti Law Offices</t>
        </is>
      </c>
      <c r="Y187" t="inlineStr"/>
      <c r="Z187" t="inlineStr"/>
      <c r="AA187" t="inlineStr">
        <is>
          <t>Karthik Sundar</t>
        </is>
      </c>
      <c r="AB187" t="inlineStr">
        <is>
          <t>Akkash Bhadana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Tarun G Reddy</t>
        </is>
      </c>
      <c r="V188" t="inlineStr"/>
      <c r="W188" t="inlineStr"/>
      <c r="X188" t="inlineStr">
        <is>
          <t>Swapna Sheshadri</t>
        </is>
      </c>
      <c r="Y188" t="inlineStr"/>
      <c r="Z188" t="inlineStr"/>
      <c r="AA188" t="inlineStr">
        <is>
          <t>Akkash Bhadana</t>
        </is>
      </c>
      <c r="AB188" t="inlineStr">
        <is>
          <t>Gaurav Gupta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Karanjawala &amp; Company Advocates</t>
        </is>
      </c>
      <c r="V189" t="inlineStr"/>
      <c r="W189" t="inlineStr"/>
      <c r="X189" t="inlineStr">
        <is>
          <t>Swapnil Wagh</t>
        </is>
      </c>
      <c r="Y189" t="inlineStr"/>
      <c r="Z189" t="inlineStr"/>
      <c r="AA189" t="inlineStr">
        <is>
          <t>Gaurav Gupta</t>
        </is>
      </c>
      <c r="AB189" t="inlineStr">
        <is>
          <t>Asahi Legal LLP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Clavius Legal</t>
        </is>
      </c>
      <c r="V190" t="inlineStr"/>
      <c r="W190" t="inlineStr"/>
      <c r="X190" t="inlineStr">
        <is>
          <t>Talha Abdul Rahman</t>
        </is>
      </c>
      <c r="Y190" t="inlineStr"/>
      <c r="Z190" t="inlineStr"/>
      <c r="AA190" t="inlineStr">
        <is>
          <t>Asahi Legal LLP</t>
        </is>
      </c>
      <c r="AB190" t="inlineStr">
        <is>
          <t>Reliance Corporate Advisors (R)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Krishna Dev Jagarlamudi</t>
        </is>
      </c>
      <c r="V191" t="inlineStr"/>
      <c r="W191" t="inlineStr"/>
      <c r="X191" t="inlineStr">
        <is>
          <t>Tarun G Reddy</t>
        </is>
      </c>
      <c r="Y191" t="inlineStr"/>
      <c r="Z191" t="inlineStr"/>
      <c r="AA191" t="inlineStr">
        <is>
          <t>Reliance Corporate Advisors (R)</t>
        </is>
      </c>
      <c r="AB191" t="inlineStr">
        <is>
          <t>Amrit Grewal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Gaurav Ray, Advocate on Record</t>
        </is>
      </c>
      <c r="V192" t="inlineStr"/>
      <c r="W192" t="inlineStr"/>
      <c r="X192" t="inlineStr">
        <is>
          <t>Tipping Mr Pink Private Limited</t>
        </is>
      </c>
      <c r="Y192" t="inlineStr"/>
      <c r="Z192" t="inlineStr"/>
      <c r="AA192" t="inlineStr">
        <is>
          <t>Amrit Grewal</t>
        </is>
      </c>
      <c r="AB192" t="inlineStr">
        <is>
          <t>Khaitan Legal Associates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R. Ginodia &amp; Co. LLP</t>
        </is>
      </c>
      <c r="V193" t="inlineStr"/>
      <c r="W193" t="inlineStr"/>
      <c r="X193" t="inlineStr">
        <is>
          <t>TLH, Advocates &amp; Solicitors</t>
        </is>
      </c>
      <c r="Y193" t="inlineStr"/>
      <c r="Z193" t="inlineStr"/>
      <c r="AA193" t="inlineStr">
        <is>
          <t>Khaitan Legal Associates</t>
        </is>
      </c>
      <c r="AB193" t="inlineStr">
        <is>
          <t>Talha Abdul Rahman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Saurabh Prakash</t>
        </is>
      </c>
      <c r="V194" t="inlineStr"/>
      <c r="W194" t="inlineStr"/>
      <c r="X194" t="inlineStr">
        <is>
          <t>Touchstone Partners</t>
        </is>
      </c>
      <c r="Y194" t="inlineStr"/>
      <c r="Z194" t="inlineStr"/>
      <c r="AA194" t="inlineStr">
        <is>
          <t>J.R. LADDHA FINANCIAL SERVICES PRIVATE LIMITED</t>
        </is>
      </c>
      <c r="AB194" t="inlineStr">
        <is>
          <t>RAJANI ASSOCIATES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Ecclesia Advocates and Solicitors</t>
        </is>
      </c>
      <c r="V195" t="inlineStr"/>
      <c r="W195" t="inlineStr"/>
      <c r="X195" t="inlineStr">
        <is>
          <t>TREELIFE VENTURES SERVICES PRIVATE LIMITED</t>
        </is>
      </c>
      <c r="Y195" t="inlineStr"/>
      <c r="Z195" t="inlineStr"/>
      <c r="AA195" t="inlineStr">
        <is>
          <t>Talha Abdul Rahman</t>
        </is>
      </c>
      <c r="AB195" t="inlineStr">
        <is>
          <t>ZEUS Law Associates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Jaiveer Shergil</t>
        </is>
      </c>
      <c r="V196" t="inlineStr"/>
      <c r="W196" t="inlineStr"/>
      <c r="X196" t="inlineStr">
        <is>
          <t>TRILOK POWER AND CABLES PRIVATE LIMITED</t>
        </is>
      </c>
      <c r="Y196" t="inlineStr"/>
      <c r="Z196" t="inlineStr"/>
      <c r="AA196" t="inlineStr">
        <is>
          <t>Shreya Desai</t>
        </is>
      </c>
      <c r="AB196" t="inlineStr">
        <is>
          <t>KRISH HOMES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Trust Law</t>
        </is>
      </c>
      <c r="Y197" t="inlineStr"/>
      <c r="Z197" t="inlineStr"/>
      <c r="AA197" t="inlineStr">
        <is>
          <t>RAJANI ASSOCIATES</t>
        </is>
      </c>
      <c r="AB197" t="inlineStr">
        <is>
          <t>Saqeb Mahbub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Tuli &amp; Co.</t>
        </is>
      </c>
      <c r="Y198" t="inlineStr"/>
      <c r="Z198" t="inlineStr"/>
      <c r="AA198" t="inlineStr">
        <is>
          <t>ZEUS Law Associates</t>
        </is>
      </c>
      <c r="AB198" t="inlineStr">
        <is>
          <t>JSM Law Partners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Tushar Jarwal</t>
        </is>
      </c>
      <c r="Y199" t="inlineStr"/>
      <c r="Z199" t="inlineStr"/>
      <c r="AA199" t="inlineStr">
        <is>
          <t>KRISH HOMES</t>
        </is>
      </c>
      <c r="AB199" t="inlineStr">
        <is>
          <t>RUNWAL ENTERPRISES LIMITED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Tvashta Law</t>
        </is>
      </c>
      <c r="Y200" t="inlineStr"/>
      <c r="Z200" t="inlineStr"/>
      <c r="AA200" t="inlineStr">
        <is>
          <t>Saqeb Mahbub</t>
        </is>
      </c>
      <c r="AB200" t="inlineStr">
        <is>
          <t>Svarniti Law Offices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U. S. GANDHI &amp; CO.</t>
        </is>
      </c>
      <c r="Y201" t="inlineStr"/>
      <c r="Z201" t="inlineStr"/>
      <c r="AA201" t="inlineStr">
        <is>
          <t>JSM Law Partners</t>
        </is>
      </c>
      <c r="AB201" t="inlineStr">
        <is>
          <t>Justice Ravindra Bhat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Ujjwal Sharma</t>
        </is>
      </c>
      <c r="Y202" t="inlineStr"/>
      <c r="Z202" t="inlineStr"/>
      <c r="AA202" t="inlineStr">
        <is>
          <t>RUNWAL ENTERPRISES LIMITED</t>
        </is>
      </c>
      <c r="AB202" t="inlineStr">
        <is>
          <t>Gera Developments Pvt. Ltd.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VACUITAS COUNSELLOR LLP</t>
        </is>
      </c>
      <c r="Y203" t="inlineStr"/>
      <c r="Z203" t="inlineStr"/>
      <c r="AA203" t="inlineStr">
        <is>
          <t>Svarniti Law Offices</t>
        </is>
      </c>
      <c r="AB203" t="inlineStr">
        <is>
          <t>S C Sharada &amp; Associates| Company Secretaries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Vaish Associates</t>
        </is>
      </c>
      <c r="Y204" t="inlineStr"/>
      <c r="Z204" t="inlineStr"/>
      <c r="AA204" t="inlineStr">
        <is>
          <t>Justice Ravindra Bhat</t>
        </is>
      </c>
      <c r="AB204" t="inlineStr">
        <is>
          <t>Udai V. S. Rathore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Vardharma Chambers</t>
        </is>
      </c>
      <c r="Y205" t="inlineStr"/>
      <c r="Z205" t="inlineStr"/>
      <c r="AA205" t="inlineStr">
        <is>
          <t>Gera Developments Pvt. Ltd.</t>
        </is>
      </c>
      <c r="AB205" t="inlineStr">
        <is>
          <t>Yash Momaya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Venkatesh Dhond</t>
        </is>
      </c>
      <c r="Y206" t="inlineStr"/>
      <c r="Z206" t="inlineStr"/>
      <c r="AA206" t="inlineStr">
        <is>
          <t>MEESHO LIMITED</t>
        </is>
      </c>
      <c r="AB206" t="inlineStr">
        <is>
          <t>Clavius Legal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Veritas Legal Advocates and Solicitors</t>
        </is>
      </c>
      <c r="Y207" t="inlineStr"/>
      <c r="Z207" t="inlineStr"/>
      <c r="AA207" t="inlineStr">
        <is>
          <t>S C Sharada &amp; Associates| Company Secretaries</t>
        </is>
      </c>
      <c r="AB207" t="inlineStr">
        <is>
          <t>MV Law Partners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Vesta Legal</t>
        </is>
      </c>
      <c r="Y208" t="inlineStr"/>
      <c r="Z208" t="inlineStr"/>
      <c r="AA208" t="inlineStr">
        <is>
          <t>Consera Legal LLP</t>
        </is>
      </c>
      <c r="AB208" t="inlineStr">
        <is>
          <t>MDP Legal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Vidhii Partners</t>
        </is>
      </c>
      <c r="Y209" t="inlineStr"/>
      <c r="Z209" t="inlineStr"/>
      <c r="AA209" t="inlineStr">
        <is>
          <t>Udai V. S. Rathore</t>
        </is>
      </c>
      <c r="AB209" t="inlineStr">
        <is>
          <t>RRG &amp; Associates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Vikas Mehta</t>
        </is>
      </c>
      <c r="Y210" t="inlineStr"/>
      <c r="Z210" t="inlineStr"/>
      <c r="AA210" t="inlineStr">
        <is>
          <t>Yash Momaya</t>
        </is>
      </c>
      <c r="AB210" t="inlineStr">
        <is>
          <t>Dhru &amp; Co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Virmani &amp; Virmani</t>
        </is>
      </c>
      <c r="Y211" t="inlineStr"/>
      <c r="Z211" t="inlineStr"/>
      <c r="AA211" t="inlineStr">
        <is>
          <t>Clavius Legal</t>
        </is>
      </c>
      <c r="AB211" t="inlineStr">
        <is>
          <t>Hiren Kamod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Vis Legis Law Practice</t>
        </is>
      </c>
      <c r="Y212" t="inlineStr"/>
      <c r="Z212" t="inlineStr"/>
      <c r="AA212" t="inlineStr">
        <is>
          <t>MV Law Partners</t>
        </is>
      </c>
      <c r="AB212" t="inlineStr">
        <is>
          <t>Pravah Law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Vishal Kanade</t>
        </is>
      </c>
      <c r="Y213" t="inlineStr"/>
      <c r="Z213" t="inlineStr"/>
      <c r="AA213" t="inlineStr">
        <is>
          <t>MDP Legal</t>
        </is>
      </c>
      <c r="AB213" t="inlineStr">
        <is>
          <t>AP &amp; Partners, Advocates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Vivek Anand Anthony Britto</t>
        </is>
      </c>
      <c r="Y214" t="inlineStr"/>
      <c r="Z214" t="inlineStr"/>
      <c r="AA214" t="inlineStr">
        <is>
          <t>RRG &amp; Associates</t>
        </is>
      </c>
      <c r="AB214" t="inlineStr">
        <is>
          <t>Ajinkya Kurdukar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Vyom Shah</t>
        </is>
      </c>
      <c r="Y215" t="inlineStr"/>
      <c r="Z215" t="inlineStr"/>
      <c r="AA215" t="inlineStr">
        <is>
          <t>Dhru &amp; Co</t>
        </is>
      </c>
      <c r="AB215" t="inlineStr">
        <is>
          <t>TREELIFE VENTURES SERVICES PRIVATE LIMITED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Wadia Ghandy &amp; Co.</t>
        </is>
      </c>
      <c r="Y216" t="inlineStr"/>
      <c r="Z216" t="inlineStr"/>
      <c r="AA216" t="inlineStr">
        <is>
          <t>Hiren Kamod</t>
        </is>
      </c>
      <c r="AB216" t="inlineStr">
        <is>
          <t>Vijay Manjreka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Yakshay Chheda</t>
        </is>
      </c>
      <c r="Y217" t="inlineStr"/>
      <c r="Z217" t="inlineStr"/>
      <c r="AA217" t="inlineStr">
        <is>
          <t>Pravah Law</t>
        </is>
      </c>
      <c r="AB217" t="inlineStr">
        <is>
          <t>Roshan Santhalia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Zoheb Hossain</t>
        </is>
      </c>
      <c r="Y218" t="inlineStr"/>
      <c r="Z218" t="inlineStr"/>
      <c r="AA218" t="inlineStr">
        <is>
          <t>AP &amp; Partners, Advocates</t>
        </is>
      </c>
      <c r="AB218" t="inlineStr">
        <is>
          <t>Ankur Mahindro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Zubin Behramkamdin</t>
        </is>
      </c>
      <c r="Y219" t="inlineStr"/>
      <c r="Z219" t="inlineStr"/>
      <c r="AA219" t="inlineStr">
        <is>
          <t>Ajinkya Kurdukar</t>
        </is>
      </c>
      <c r="AB219" t="inlineStr">
        <is>
          <t>Pragati Law Chambers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Zulfiqar Jariwala</t>
        </is>
      </c>
      <c r="Y220" t="inlineStr"/>
      <c r="Z220" t="inlineStr"/>
      <c r="AA220" t="inlineStr">
        <is>
          <t>Vijay Manjreka</t>
        </is>
      </c>
      <c r="AB220" t="inlineStr">
        <is>
          <t>Vidhii Partners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Roshan Santhalia</t>
        </is>
      </c>
      <c r="AB221" t="inlineStr">
        <is>
          <t>Devina Sehgal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Ankur Mahindro</t>
        </is>
      </c>
      <c r="AB222" t="inlineStr">
        <is>
          <t>KK &amp; Co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Pragati Law Chambers</t>
        </is>
      </c>
      <c r="AB223" t="inlineStr">
        <is>
          <t>Aditya Narayan Mahajan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Devina Sehgal</t>
        </is>
      </c>
      <c r="AB224" t="inlineStr">
        <is>
          <t>Prateek Rath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KK &amp; Co</t>
        </is>
      </c>
      <c r="AB225" t="inlineStr">
        <is>
          <t>OASIS REALTY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Aditya Narayan Mahajan</t>
        </is>
      </c>
      <c r="AB226" t="inlineStr">
        <is>
          <t>Jehangir Jeejeebhoy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Prateek Rath</t>
        </is>
      </c>
      <c r="AB227" t="inlineStr">
        <is>
          <t>Samar Bansal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OASIS REALTY</t>
        </is>
      </c>
      <c r="AB228" t="inlineStr">
        <is>
          <t>Foresight Law Offices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Jehangir Jeejeebhoy</t>
        </is>
      </c>
      <c r="AB229" t="inlineStr">
        <is>
          <t>Law office of Amrita Sarkar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Samar Bansal</t>
        </is>
      </c>
      <c r="AB230" t="inlineStr">
        <is>
          <t>Hamza mir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Law office of Amrita Sarkar</t>
        </is>
      </c>
      <c r="AB231" t="inlineStr">
        <is>
          <t>Ankita Sharma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Ankita Sharma</t>
        </is>
      </c>
      <c r="AB232" t="inlineStr">
        <is>
          <t>Mihir Desai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Mihir Desai</t>
        </is>
      </c>
      <c r="AB233" t="inlineStr">
        <is>
          <t>Kunal Vaishnav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Kunal Vaishnav</t>
        </is>
      </c>
      <c r="AB234" t="inlineStr">
        <is>
          <t>AKS Advocates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Rajdeep Panda</t>
        </is>
      </c>
      <c r="AB235" t="inlineStr">
        <is>
          <t>Rajdeep Panda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Hammurabi &amp; Solomon Partner</t>
        </is>
      </c>
      <c r="AB236" t="inlineStr">
        <is>
          <t>Hammurabi &amp; Solomon Partner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Prerit Goyal</t>
        </is>
      </c>
      <c r="AB237" t="inlineStr">
        <is>
          <t>Aurtus Consulting LLP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Shamik Sanjanwala</t>
        </is>
      </c>
      <c r="AB238" t="inlineStr">
        <is>
          <t>Prerit Goyal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Adarsh Ramakrishnan</t>
        </is>
      </c>
      <c r="AB239" t="inlineStr">
        <is>
          <t>S Arjun Suresh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Aditya S Puar</t>
        </is>
      </c>
      <c r="AB240" t="inlineStr">
        <is>
          <t>Shamik Sanjanwala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Debopriyo Moulik</t>
        </is>
      </c>
      <c r="AB241" t="inlineStr">
        <is>
          <t>Adarsh Ramakrishnan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REMFRY &amp; SAGAR CONSULTANT PVT LTD</t>
        </is>
      </c>
      <c r="AB242" t="inlineStr">
        <is>
          <t>Aditya S Puar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Anirban Bhattacharya</t>
        </is>
      </c>
      <c r="AB243" t="inlineStr">
        <is>
          <t>Debopriyo Moulik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 xml:space="preserve">Jayant Mehta 
</t>
        </is>
      </c>
      <c r="AB244" t="inlineStr">
        <is>
          <t>REMFRY &amp; SAGAR CONSULTANT PVT LTD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Rohit Sharma</t>
        </is>
      </c>
      <c r="AB245" t="inlineStr">
        <is>
          <t>Anirban Bhattacharya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Acuity Law LLP</t>
        </is>
      </c>
      <c r="AB246" t="inlineStr">
        <is>
          <t xml:space="preserve">Jayant Mehta 
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500" t="inlineStr">
        <is>
          <t>Payment Cycle</t>
        </is>
      </c>
      <c r="B1" s="500" t="inlineStr">
        <is>
          <t>April Sales (Days Wise)</t>
        </is>
      </c>
      <c r="C1" s="500" t="inlineStr">
        <is>
          <t>Aug Sales in days</t>
        </is>
      </c>
      <c r="D1" s="500" t="inlineStr">
        <is>
          <t>July in days</t>
        </is>
      </c>
      <c r="E1" s="500" t="inlineStr">
        <is>
          <t>June in days</t>
        </is>
      </c>
      <c r="F1" s="500" t="inlineStr">
        <is>
          <t>May Sales (Days Wise)</t>
        </is>
      </c>
      <c r="G1" s="500" t="inlineStr">
        <is>
          <t>Oct Sales in days</t>
        </is>
      </c>
      <c r="H1" s="500" t="inlineStr">
        <is>
          <t>Sept Sales in days</t>
        </is>
      </c>
    </row>
    <row r="2">
      <c r="A2" t="inlineStr">
        <is>
          <t>1 Month-Upfront</t>
        </is>
      </c>
      <c r="B2" t="n">
        <v>0</v>
      </c>
      <c r="C2" t="n">
        <v>34372.258</v>
      </c>
      <c r="D2" t="n">
        <v>0</v>
      </c>
      <c r="E2" t="n">
        <v>0</v>
      </c>
      <c r="F2" t="n">
        <v>0</v>
      </c>
      <c r="G2" t="n">
        <v>0</v>
      </c>
      <c r="H2" t="n">
        <v>4567.742</v>
      </c>
    </row>
    <row r="3">
      <c r="A3" t="inlineStr">
        <is>
          <t>1 month-Upfront</t>
        </is>
      </c>
      <c r="B3" t="n">
        <v>189948.713</v>
      </c>
      <c r="C3" t="n">
        <v>185977.554</v>
      </c>
      <c r="D3" t="n">
        <v>426566.7903225806</v>
      </c>
      <c r="E3" t="n">
        <v>355097.0268817205</v>
      </c>
      <c r="F3" t="n">
        <v>286154.674</v>
      </c>
      <c r="G3" t="n">
        <v>166576.715</v>
      </c>
      <c r="H3" t="n">
        <v>124988.692</v>
      </c>
    </row>
    <row r="4">
      <c r="A4" t="inlineStr">
        <is>
          <t>1 year &amp; 1 months-Monthly</t>
        </is>
      </c>
      <c r="B4" t="n">
        <v>11591.94</v>
      </c>
      <c r="C4" t="n">
        <v>11978.338</v>
      </c>
      <c r="D4" t="n">
        <v>11978.3375314861</v>
      </c>
      <c r="E4" t="n">
        <v>11591.9395465995</v>
      </c>
      <c r="F4" t="n">
        <v>11978.338</v>
      </c>
      <c r="G4" t="n">
        <v>11978.338</v>
      </c>
      <c r="H4" t="n">
        <v>11591.94</v>
      </c>
    </row>
    <row r="5">
      <c r="A5" t="inlineStr">
        <is>
          <t>10 -Days -Upfront</t>
        </is>
      </c>
      <c r="B5" t="n">
        <v>0</v>
      </c>
      <c r="C5" t="n">
        <v>0</v>
      </c>
      <c r="D5" t="n">
        <v>9440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11 months subscription, Monthly</t>
        </is>
      </c>
      <c r="B6" t="n">
        <v>0</v>
      </c>
      <c r="C6" t="n">
        <v>7206.806</v>
      </c>
      <c r="D6" t="n">
        <v>7206.80597014925</v>
      </c>
      <c r="E6" t="n">
        <v>0</v>
      </c>
      <c r="F6" t="n">
        <v>0</v>
      </c>
      <c r="G6" t="n">
        <v>7206.806</v>
      </c>
      <c r="H6" t="n">
        <v>6974.328</v>
      </c>
    </row>
    <row r="7">
      <c r="A7" t="inlineStr">
        <is>
          <t>12 -Days -Upfront</t>
        </is>
      </c>
      <c r="B7" t="n">
        <v>0</v>
      </c>
      <c r="C7" t="n">
        <v>4111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13 month-Upfront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15 -Days -Upfront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4720</v>
      </c>
    </row>
    <row r="10">
      <c r="A10" t="inlineStr">
        <is>
          <t>19 -Days -Upfront</t>
        </is>
      </c>
      <c r="B10" t="n">
        <v>0</v>
      </c>
      <c r="C10" t="n">
        <v>44766.246</v>
      </c>
      <c r="D10" t="n">
        <v>9070.92746666667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 Months- Upfront</t>
        </is>
      </c>
      <c r="B11" t="n">
        <v>0</v>
      </c>
      <c r="C11" t="n">
        <v>11800</v>
      </c>
      <c r="D11" t="n">
        <v>3806.45161290323</v>
      </c>
      <c r="E11" t="n">
        <v>0</v>
      </c>
      <c r="F11" t="n">
        <v>0</v>
      </c>
      <c r="G11" t="n">
        <v>0</v>
      </c>
      <c r="H11" t="n">
        <v>7993.548</v>
      </c>
    </row>
    <row r="12">
      <c r="A12" t="inlineStr">
        <is>
          <t>2 Year- Upfront</t>
        </is>
      </c>
      <c r="B12" t="n">
        <v>0</v>
      </c>
      <c r="C12" t="n">
        <v>4836.683</v>
      </c>
      <c r="D12" t="n">
        <v>1404.19824657534</v>
      </c>
      <c r="E12" t="n">
        <v>0</v>
      </c>
      <c r="F12" t="n">
        <v>0</v>
      </c>
      <c r="G12" t="n">
        <v>4836.683</v>
      </c>
      <c r="H12" t="n">
        <v>4680.661</v>
      </c>
    </row>
    <row r="13">
      <c r="A13" t="inlineStr">
        <is>
          <t>2 months subscription, Monthly</t>
        </is>
      </c>
      <c r="B13" t="n">
        <v>46239.027</v>
      </c>
      <c r="C13" t="n">
        <v>112904.257</v>
      </c>
      <c r="D13" t="n">
        <v>10794.0983606557</v>
      </c>
      <c r="E13" t="n">
        <v>10445.9016393443</v>
      </c>
      <c r="F13" t="n">
        <v>39406.134</v>
      </c>
      <c r="G13" t="n">
        <v>92979.976</v>
      </c>
      <c r="H13" t="n">
        <v>199242.807</v>
      </c>
    </row>
    <row r="14">
      <c r="A14" t="inlineStr">
        <is>
          <t>2 months- Upfront</t>
        </is>
      </c>
      <c r="B14" t="n">
        <v>76273.802</v>
      </c>
      <c r="C14" t="n">
        <v>0</v>
      </c>
      <c r="D14" t="n">
        <v>46381.6129032258</v>
      </c>
      <c r="E14" t="n">
        <v>108360.9413008991</v>
      </c>
      <c r="F14" t="n">
        <v>134250.741</v>
      </c>
      <c r="G14" t="n">
        <v>0</v>
      </c>
      <c r="H14" t="n">
        <v>0</v>
      </c>
    </row>
    <row r="15">
      <c r="A15" t="inlineStr">
        <is>
          <t>3 months subscription, Monthly</t>
        </is>
      </c>
      <c r="B15" t="n">
        <v>93362.637</v>
      </c>
      <c r="C15" t="n">
        <v>0</v>
      </c>
      <c r="D15" t="n">
        <v>81692.3076923077</v>
      </c>
      <c r="E15" t="n">
        <v>175054.945054945</v>
      </c>
      <c r="F15" t="n">
        <v>180890.11</v>
      </c>
      <c r="G15" t="n">
        <v>0</v>
      </c>
      <c r="H15" t="n">
        <v>0</v>
      </c>
    </row>
    <row r="16">
      <c r="A16" t="inlineStr">
        <is>
          <t>3 months subscription, upfront</t>
        </is>
      </c>
      <c r="B16" t="n">
        <v>138992.202</v>
      </c>
      <c r="C16" t="n">
        <v>48052.309</v>
      </c>
      <c r="D16" t="n">
        <v>92019.22423952867</v>
      </c>
      <c r="E16" t="n">
        <v>142367.4302590817</v>
      </c>
      <c r="F16" t="n">
        <v>185636.198</v>
      </c>
      <c r="G16" t="n">
        <v>24651.739</v>
      </c>
      <c r="H16" t="n">
        <v>41864.347</v>
      </c>
    </row>
    <row r="17">
      <c r="A17" t="inlineStr">
        <is>
          <t>38 -Days -Upfront</t>
        </is>
      </c>
      <c r="B17" t="n">
        <v>0</v>
      </c>
      <c r="C17" t="n">
        <v>0</v>
      </c>
      <c r="D17" t="n">
        <v>2717.10526315789</v>
      </c>
      <c r="E17" t="n">
        <v>4657.89473684211</v>
      </c>
      <c r="F17" t="n">
        <v>0</v>
      </c>
      <c r="G17" t="n">
        <v>0</v>
      </c>
      <c r="H17" t="n">
        <v>0</v>
      </c>
    </row>
    <row r="18">
      <c r="A18" t="inlineStr">
        <is>
          <t>4 months subscription, Monthly</t>
        </is>
      </c>
      <c r="B18" t="n">
        <v>8124.59</v>
      </c>
      <c r="C18" t="n">
        <v>3481.967</v>
      </c>
      <c r="D18" t="n">
        <v>11993.4426229508</v>
      </c>
      <c r="E18" t="n">
        <v>11606.5573770492</v>
      </c>
      <c r="F18" t="n">
        <v>11993.443</v>
      </c>
      <c r="G18" t="n">
        <v>0</v>
      </c>
      <c r="H18" t="n">
        <v>0</v>
      </c>
    </row>
    <row r="19">
      <c r="A19" t="inlineStr">
        <is>
          <t>5 month-Upfront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4183.987</v>
      </c>
      <c r="H19" t="n">
        <v>4049.02</v>
      </c>
    </row>
    <row r="20">
      <c r="A20" t="inlineStr">
        <is>
          <t>5 months subscription, Monthly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6 month-Upfront</t>
        </is>
      </c>
      <c r="B21" t="n">
        <v>221999.118</v>
      </c>
      <c r="C21" t="n">
        <v>496786.028</v>
      </c>
      <c r="D21" t="n">
        <v>429896.9325139931</v>
      </c>
      <c r="E21" t="n">
        <v>270097.6212514782</v>
      </c>
      <c r="F21" t="n">
        <v>257382.135</v>
      </c>
      <c r="G21" t="n">
        <v>406056.147</v>
      </c>
      <c r="H21" t="n">
        <v>553996.77</v>
      </c>
    </row>
    <row r="22">
      <c r="A22" t="inlineStr">
        <is>
          <t>6 months subscription, Monthly</t>
        </is>
      </c>
      <c r="B22" t="n">
        <v>5771.739</v>
      </c>
      <c r="C22" t="n">
        <v>5964.13</v>
      </c>
      <c r="D22" t="n">
        <v>5964.13043478261</v>
      </c>
      <c r="E22" t="n">
        <v>5771.73913043478</v>
      </c>
      <c r="F22" t="n">
        <v>5964.13</v>
      </c>
      <c r="G22" t="n">
        <v>100988.653</v>
      </c>
      <c r="H22" t="n">
        <v>1923.913</v>
      </c>
    </row>
    <row r="23">
      <c r="A23" t="inlineStr">
        <is>
          <t>6 months subscription, Quarterly upfront</t>
        </is>
      </c>
      <c r="B23" t="n">
        <v>11999.67</v>
      </c>
      <c r="C23" t="n">
        <v>799.978</v>
      </c>
      <c r="D23" t="n">
        <v>12399.6593406593</v>
      </c>
      <c r="E23" t="n">
        <v>11999.6703296703</v>
      </c>
      <c r="F23" t="n">
        <v>12399.659</v>
      </c>
      <c r="G23" t="n">
        <v>12399.659</v>
      </c>
      <c r="H23" t="n">
        <v>0</v>
      </c>
    </row>
    <row r="24">
      <c r="A24" t="inlineStr">
        <is>
          <t>8 months &amp; 23 days - Half Yearly Payment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176997.6</v>
      </c>
      <c r="H24" t="n">
        <v>137030.4</v>
      </c>
    </row>
    <row r="25">
      <c r="A25" t="inlineStr">
        <is>
          <t>9 months subscription, Monthly</t>
        </is>
      </c>
      <c r="B25" t="n">
        <v>0</v>
      </c>
      <c r="C25" t="n">
        <v>18022.993</v>
      </c>
      <c r="D25" t="n">
        <v>5813.86861313869</v>
      </c>
      <c r="E25" t="n">
        <v>0</v>
      </c>
      <c r="F25" t="n">
        <v>0</v>
      </c>
      <c r="G25" t="n">
        <v>18022.993</v>
      </c>
      <c r="H25" t="n">
        <v>17441.606</v>
      </c>
    </row>
    <row r="26">
      <c r="A26" t="inlineStr">
        <is>
          <t xml:space="preserve">Annual ,Quarterly 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13394.52</v>
      </c>
      <c r="H26" t="n">
        <v>0</v>
      </c>
    </row>
    <row r="27">
      <c r="A27" t="inlineStr">
        <is>
          <t>Annual Upfront</t>
        </is>
      </c>
      <c r="B27" t="n">
        <v>543847.066</v>
      </c>
      <c r="C27" t="n">
        <v>1603777.062</v>
      </c>
      <c r="D27" t="n">
        <v>1201182.915185311</v>
      </c>
      <c r="E27" t="n">
        <v>855086.8162501475</v>
      </c>
      <c r="F27" t="n">
        <v>694753.6059999999</v>
      </c>
      <c r="G27" t="n">
        <v>2123406.302</v>
      </c>
      <c r="H27" t="n">
        <v>1938721.994</v>
      </c>
    </row>
    <row r="28">
      <c r="A28" t="inlineStr">
        <is>
          <t>Annual subscription, Quarterly upfront</t>
        </is>
      </c>
      <c r="B28" t="n">
        <v>44054.795</v>
      </c>
      <c r="C28" t="n">
        <v>393931.373</v>
      </c>
      <c r="D28" t="n">
        <v>191555.4834465939</v>
      </c>
      <c r="E28" t="n">
        <v>62286.77470125325</v>
      </c>
      <c r="F28" t="n">
        <v>45523.287</v>
      </c>
      <c r="G28" t="n">
        <v>523787.044</v>
      </c>
      <c r="H28" t="n">
        <v>483915.127</v>
      </c>
    </row>
    <row r="29">
      <c r="A29" t="inlineStr">
        <is>
          <t>Annual- Half Yearly Payment</t>
        </is>
      </c>
      <c r="B29" t="n">
        <v>44273.88400000001</v>
      </c>
      <c r="C29" t="n">
        <v>784486.378</v>
      </c>
      <c r="D29" t="n">
        <v>364215.7811812259</v>
      </c>
      <c r="E29" t="n">
        <v>333222.9256680894</v>
      </c>
      <c r="F29" t="n">
        <v>70945.371</v>
      </c>
      <c r="G29" t="n">
        <v>1222787.134</v>
      </c>
      <c r="H29" t="n">
        <v>1171422.771</v>
      </c>
    </row>
    <row r="30">
      <c r="A30" t="inlineStr">
        <is>
          <t>Annual-Monthly</t>
        </is>
      </c>
      <c r="B30" t="n">
        <v>56405.807</v>
      </c>
      <c r="C30" t="n">
        <v>190778.473</v>
      </c>
      <c r="D30" t="n">
        <v>145182.4173366268</v>
      </c>
      <c r="E30" t="n">
        <v>100838.6840332361</v>
      </c>
      <c r="F30" t="n">
        <v>246208.689</v>
      </c>
      <c r="G30" t="n">
        <v>327048.128</v>
      </c>
      <c r="H30" t="n">
        <v>227538.946</v>
      </c>
    </row>
    <row r="31">
      <c r="A31" t="inlineStr">
        <is>
          <t>Three Installments of 50k</t>
        </is>
      </c>
      <c r="B31" t="n">
        <v>13032.787</v>
      </c>
      <c r="C31" t="n">
        <v>13467.213</v>
      </c>
      <c r="D31" t="n">
        <v>13467.2131147541</v>
      </c>
      <c r="E31" t="n">
        <v>13032.7868852459</v>
      </c>
      <c r="F31" t="n">
        <v>13467.213</v>
      </c>
      <c r="G31" t="n">
        <v>13467.213</v>
      </c>
      <c r="H31" t="n">
        <v>13032.787</v>
      </c>
    </row>
    <row r="32">
      <c r="A32" t="inlineStr">
        <is>
          <t>Grand Total</t>
        </is>
      </c>
      <c r="B32" t="n">
        <v>1505917.777</v>
      </c>
      <c r="C32" t="n">
        <v>3977501.046000001</v>
      </c>
      <c r="D32" t="n">
        <v>3084749.703399273</v>
      </c>
      <c r="E32" t="n">
        <v>2471519.655046037</v>
      </c>
      <c r="F32" t="n">
        <v>2196953.728</v>
      </c>
      <c r="G32" t="n">
        <v>5250769.637000001</v>
      </c>
      <c r="H32" t="n">
        <v>4955697.398999999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500" t="inlineStr">
        <is>
          <t>Payment Cycle</t>
        </is>
      </c>
      <c r="B1" s="500" t="inlineStr">
        <is>
          <t>Aug Sales in months</t>
        </is>
      </c>
      <c r="C1" s="500" t="inlineStr">
        <is>
          <t>Invoiced amount for April</t>
        </is>
      </c>
      <c r="D1" s="500" t="inlineStr">
        <is>
          <t>Invoiced amount for MAY</t>
        </is>
      </c>
      <c r="E1" s="500" t="inlineStr">
        <is>
          <t>July in months</t>
        </is>
      </c>
      <c r="F1" s="500" t="inlineStr">
        <is>
          <t>June in months</t>
        </is>
      </c>
      <c r="G1" s="500" t="inlineStr">
        <is>
          <t>Oct Sales in months</t>
        </is>
      </c>
      <c r="H1" s="500" t="inlineStr">
        <is>
          <t>Sept Sales in months</t>
        </is>
      </c>
    </row>
    <row r="2">
      <c r="A2" t="inlineStr">
        <is>
          <t>1 Month-Upfront</t>
        </is>
      </c>
      <c r="B2" t="n">
        <v>38940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 month-Upfront</t>
        </is>
      </c>
      <c r="B3" t="n">
        <v>28880</v>
      </c>
      <c r="C3" t="n">
        <v>171940</v>
      </c>
      <c r="D3" t="n">
        <v>272830.007</v>
      </c>
      <c r="E3" t="n">
        <v>501750</v>
      </c>
      <c r="F3" t="n">
        <v>366920</v>
      </c>
      <c r="G3" t="n">
        <v>281741.32</v>
      </c>
      <c r="H3" t="n">
        <v>187792.47</v>
      </c>
    </row>
    <row r="4">
      <c r="A4" t="inlineStr">
        <is>
          <t>1 year &amp; 1 months-Monthly</t>
        </is>
      </c>
      <c r="B4" t="n">
        <v>11800</v>
      </c>
      <c r="C4" t="n">
        <v>11800</v>
      </c>
      <c r="D4" t="n">
        <v>11800</v>
      </c>
      <c r="E4" t="n">
        <v>11800</v>
      </c>
      <c r="F4" t="n">
        <v>11800</v>
      </c>
      <c r="G4" t="n">
        <v>10957.143</v>
      </c>
      <c r="H4" t="n">
        <v>11800</v>
      </c>
    </row>
    <row r="5">
      <c r="A5" t="inlineStr">
        <is>
          <t>10 -Days -Upfront</t>
        </is>
      </c>
      <c r="B5" t="n">
        <v>0</v>
      </c>
      <c r="C5" t="n">
        <v>0</v>
      </c>
      <c r="D5" t="n">
        <v>0</v>
      </c>
      <c r="E5" t="n">
        <v>9440</v>
      </c>
      <c r="F5" t="n">
        <v>0</v>
      </c>
      <c r="G5" t="n">
        <v>0</v>
      </c>
      <c r="H5" t="n">
        <v>0</v>
      </c>
    </row>
    <row r="6">
      <c r="A6" t="inlineStr">
        <is>
          <t>11 months subscription, Monthly</t>
        </is>
      </c>
      <c r="B6" t="n">
        <v>7080</v>
      </c>
      <c r="C6" t="n">
        <v>0</v>
      </c>
      <c r="D6" t="n">
        <v>0</v>
      </c>
      <c r="E6" t="n">
        <v>7080</v>
      </c>
      <c r="F6" t="n">
        <v>0</v>
      </c>
      <c r="G6" t="n">
        <v>7080</v>
      </c>
      <c r="H6" t="n">
        <v>7080</v>
      </c>
    </row>
    <row r="7">
      <c r="A7" t="inlineStr">
        <is>
          <t>12 -Days -Upfront</t>
        </is>
      </c>
      <c r="B7" t="n">
        <v>4111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13 month-Upfront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15 -Days -Upfront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4720</v>
      </c>
    </row>
    <row r="10">
      <c r="A10" t="inlineStr">
        <is>
          <t>19 -Days -Upfront</t>
        </is>
      </c>
      <c r="B10" t="n">
        <v>13018</v>
      </c>
      <c r="C10" t="n">
        <v>0</v>
      </c>
      <c r="D10" t="n">
        <v>0</v>
      </c>
      <c r="E10" t="n">
        <v>40819.1736</v>
      </c>
      <c r="F10" t="n">
        <v>0</v>
      </c>
      <c r="G10" t="n">
        <v>0</v>
      </c>
      <c r="H10" t="n">
        <v>0</v>
      </c>
    </row>
    <row r="11">
      <c r="A11" t="inlineStr">
        <is>
          <t>2 Months- Upfront</t>
        </is>
      </c>
      <c r="B11" t="n">
        <v>11800</v>
      </c>
      <c r="C11" t="n">
        <v>0</v>
      </c>
      <c r="D11" t="n">
        <v>0</v>
      </c>
      <c r="E11" t="n">
        <v>11800</v>
      </c>
      <c r="F11" t="n">
        <v>0</v>
      </c>
      <c r="G11" t="n">
        <v>0</v>
      </c>
      <c r="H11" t="n">
        <v>0</v>
      </c>
    </row>
    <row r="12">
      <c r="A12" t="inlineStr">
        <is>
          <t>2 Year- Upfront</t>
        </is>
      </c>
      <c r="B12" t="n">
        <v>4745.67</v>
      </c>
      <c r="C12" t="n">
        <v>0</v>
      </c>
      <c r="D12" t="n">
        <v>0</v>
      </c>
      <c r="E12" t="n">
        <v>4745.67</v>
      </c>
      <c r="F12" t="n">
        <v>0</v>
      </c>
      <c r="G12" t="n">
        <v>4745.67</v>
      </c>
      <c r="H12" t="n">
        <v>4745.67</v>
      </c>
    </row>
    <row r="13">
      <c r="A13" t="inlineStr">
        <is>
          <t>2 months subscription, Monthly</t>
        </is>
      </c>
      <c r="B13" t="n">
        <v>50640.88</v>
      </c>
      <c r="C13" t="n">
        <v>47200</v>
      </c>
      <c r="D13" t="n">
        <v>35400</v>
      </c>
      <c r="E13" t="n">
        <v>10620</v>
      </c>
      <c r="F13" t="n">
        <v>10620</v>
      </c>
      <c r="G13" t="n">
        <v>217563.52</v>
      </c>
      <c r="H13" t="n">
        <v>50640.88</v>
      </c>
    </row>
    <row r="14">
      <c r="A14" t="inlineStr">
        <is>
          <t>2 months- Upfront</t>
        </is>
      </c>
      <c r="B14" t="n">
        <v>0</v>
      </c>
      <c r="C14" t="n">
        <v>105020</v>
      </c>
      <c r="D14" t="n">
        <v>148090</v>
      </c>
      <c r="E14" t="n">
        <v>0</v>
      </c>
      <c r="F14" t="n">
        <v>84370</v>
      </c>
      <c r="G14" t="n">
        <v>2666</v>
      </c>
      <c r="H14" t="n">
        <v>0</v>
      </c>
    </row>
    <row r="15">
      <c r="A15" t="inlineStr">
        <is>
          <t>3 months subscription, Monthly</t>
        </is>
      </c>
      <c r="B15" t="n">
        <v>0</v>
      </c>
      <c r="C15" t="n">
        <v>177000</v>
      </c>
      <c r="D15" t="n">
        <v>177000</v>
      </c>
      <c r="E15" t="n">
        <v>0</v>
      </c>
      <c r="F15" t="n">
        <v>177000</v>
      </c>
      <c r="G15" t="n">
        <v>0</v>
      </c>
      <c r="H15" t="n">
        <v>0</v>
      </c>
    </row>
    <row r="16">
      <c r="A16" t="inlineStr">
        <is>
          <t>3 months subscription, upfront</t>
        </is>
      </c>
      <c r="B16" t="n">
        <v>45626.667</v>
      </c>
      <c r="C16" t="n">
        <v>184559</v>
      </c>
      <c r="D16" t="n">
        <v>150476.667</v>
      </c>
      <c r="E16" t="n">
        <v>47226.6666666667</v>
      </c>
      <c r="F16" t="n">
        <v>127466.6666666667</v>
      </c>
      <c r="G16" t="n">
        <v>24386.667</v>
      </c>
      <c r="H16" t="n">
        <v>24386.667</v>
      </c>
    </row>
    <row r="17">
      <c r="A17" t="inlineStr">
        <is>
          <t>38 -Days -Upfront</t>
        </is>
      </c>
      <c r="B17" t="n">
        <v>0</v>
      </c>
      <c r="C17" t="n">
        <v>0</v>
      </c>
      <c r="D17" t="n">
        <v>0</v>
      </c>
      <c r="E17" t="n">
        <v>0</v>
      </c>
      <c r="F17" t="n">
        <v>5822.36842105263</v>
      </c>
      <c r="G17" t="n">
        <v>0</v>
      </c>
      <c r="H17" t="n">
        <v>0</v>
      </c>
    </row>
    <row r="18">
      <c r="A18" t="inlineStr">
        <is>
          <t>4 months subscription, Monthly</t>
        </is>
      </c>
      <c r="B18" t="n">
        <v>0</v>
      </c>
      <c r="C18" t="n">
        <v>11800</v>
      </c>
      <c r="D18" t="n">
        <v>11800</v>
      </c>
      <c r="E18" t="n">
        <v>11800</v>
      </c>
      <c r="F18" t="n">
        <v>11800</v>
      </c>
      <c r="G18" t="n">
        <v>0</v>
      </c>
      <c r="H18" t="n">
        <v>0</v>
      </c>
    </row>
    <row r="19">
      <c r="A19" t="inlineStr">
        <is>
          <t>5 month-Upfront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4130</v>
      </c>
      <c r="H19" t="n">
        <v>4130</v>
      </c>
    </row>
    <row r="20">
      <c r="A20" t="inlineStr">
        <is>
          <t>5 months subscription, Monthly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6 month-Upfront</t>
        </is>
      </c>
      <c r="B21" t="n">
        <v>551788.664</v>
      </c>
      <c r="C21" t="n">
        <v>243183</v>
      </c>
      <c r="D21" t="n">
        <v>266547</v>
      </c>
      <c r="E21" t="n">
        <v>455368.3043478261</v>
      </c>
      <c r="F21" t="n">
        <v>398510.3333333333</v>
      </c>
      <c r="G21" t="n">
        <v>542406.0919999999</v>
      </c>
      <c r="H21" t="n">
        <v>581205.331</v>
      </c>
    </row>
    <row r="22">
      <c r="A22" t="inlineStr">
        <is>
          <t>6 months subscription, Monthly</t>
        </is>
      </c>
      <c r="B22" t="n">
        <v>5900</v>
      </c>
      <c r="C22" t="n">
        <v>5900</v>
      </c>
      <c r="D22" t="n">
        <v>5900</v>
      </c>
      <c r="E22" t="n">
        <v>5900</v>
      </c>
      <c r="F22" t="n">
        <v>5900</v>
      </c>
      <c r="G22" t="n">
        <v>180195.44</v>
      </c>
      <c r="H22" t="n">
        <v>0</v>
      </c>
    </row>
    <row r="23">
      <c r="A23" t="inlineStr">
        <is>
          <t>6 months subscription, Quarterly upfront</t>
        </is>
      </c>
      <c r="B23" t="n">
        <v>0</v>
      </c>
      <c r="C23" t="n">
        <v>36399</v>
      </c>
      <c r="D23" t="n">
        <v>36399</v>
      </c>
      <c r="E23" t="n">
        <v>36399</v>
      </c>
      <c r="F23" t="n">
        <v>36399</v>
      </c>
      <c r="G23" t="n">
        <v>12133</v>
      </c>
      <c r="H23" t="n">
        <v>0</v>
      </c>
    </row>
    <row r="24">
      <c r="A24" t="inlineStr">
        <is>
          <t>8 months &amp; 23 days - Half Yearly Payment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168116</v>
      </c>
      <c r="H24" t="n">
        <v>183844.957</v>
      </c>
    </row>
    <row r="25">
      <c r="A25" t="inlineStr">
        <is>
          <t>9 months subscription, Monthly</t>
        </is>
      </c>
      <c r="B25" t="n">
        <v>19912.5</v>
      </c>
      <c r="C25" t="n">
        <v>0</v>
      </c>
      <c r="D25" t="n">
        <v>0</v>
      </c>
      <c r="E25" t="n">
        <v>19912.5</v>
      </c>
      <c r="F25" t="n">
        <v>0</v>
      </c>
      <c r="G25" t="n">
        <v>17700</v>
      </c>
      <c r="H25" t="n">
        <v>17700</v>
      </c>
    </row>
    <row r="26">
      <c r="A26" t="inlineStr">
        <is>
          <t xml:space="preserve">Annual ,Quarterly 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31333.335</v>
      </c>
      <c r="H26" t="n">
        <v>0</v>
      </c>
    </row>
    <row r="27">
      <c r="A27" t="inlineStr">
        <is>
          <t>Annual Upfront</t>
        </is>
      </c>
      <c r="B27" t="n">
        <v>1707983.855</v>
      </c>
      <c r="C27" t="n">
        <v>629577.584</v>
      </c>
      <c r="D27" t="n">
        <v>747643</v>
      </c>
      <c r="E27" t="n">
        <v>1440564.82</v>
      </c>
      <c r="F27" t="n">
        <v>935605.3333333333</v>
      </c>
      <c r="G27" t="n">
        <v>2131898.863</v>
      </c>
      <c r="H27" t="n">
        <v>2042038.406</v>
      </c>
    </row>
    <row r="28">
      <c r="A28" t="inlineStr">
        <is>
          <t>Annual subscription, Quarterly upfront</t>
        </is>
      </c>
      <c r="B28" t="n">
        <v>407543.334</v>
      </c>
      <c r="C28" t="n">
        <v>44666.667</v>
      </c>
      <c r="D28" t="n">
        <v>44666.667</v>
      </c>
      <c r="E28" t="n">
        <v>201016.6666666667</v>
      </c>
      <c r="F28" t="n">
        <v>101306.6666666667</v>
      </c>
      <c r="G28" t="n">
        <v>513275.181</v>
      </c>
      <c r="H28" t="n">
        <v>514473.334</v>
      </c>
    </row>
    <row r="29">
      <c r="A29" t="inlineStr">
        <is>
          <t>Annual- Half Yearly Payment</t>
        </is>
      </c>
      <c r="B29" t="n">
        <v>1148310</v>
      </c>
      <c r="C29" t="n">
        <v>51165.667</v>
      </c>
      <c r="D29" t="n">
        <v>337905.667</v>
      </c>
      <c r="E29" t="n">
        <v>363767.3333333334</v>
      </c>
      <c r="F29" t="n">
        <v>337905.6666666667</v>
      </c>
      <c r="G29" t="n">
        <v>1197609.871</v>
      </c>
      <c r="H29" t="n">
        <v>1199148.333</v>
      </c>
    </row>
    <row r="30">
      <c r="A30" t="inlineStr">
        <is>
          <t>Annual-Monthly</t>
        </is>
      </c>
      <c r="B30" t="n">
        <v>186251.667</v>
      </c>
      <c r="C30" t="n">
        <v>81459</v>
      </c>
      <c r="D30" t="n">
        <v>92275.667</v>
      </c>
      <c r="E30" t="n">
        <v>186251.6666666667</v>
      </c>
      <c r="F30" t="n">
        <v>108175.6666666667</v>
      </c>
      <c r="G30" t="n">
        <v>377217.385</v>
      </c>
      <c r="H30" t="n">
        <v>262531.667</v>
      </c>
    </row>
    <row r="31">
      <c r="A31" t="inlineStr">
        <is>
          <t>Three Installments of 50k</t>
        </is>
      </c>
      <c r="B31" t="n">
        <v>13250</v>
      </c>
      <c r="C31" t="n">
        <v>13250</v>
      </c>
      <c r="D31" t="n">
        <v>13250</v>
      </c>
      <c r="E31" t="n">
        <v>13250</v>
      </c>
      <c r="F31" t="n">
        <v>13250</v>
      </c>
      <c r="G31" t="n">
        <v>12230.769</v>
      </c>
      <c r="H31" t="n">
        <v>13250</v>
      </c>
    </row>
    <row r="32">
      <c r="A32" t="inlineStr">
        <is>
          <t>Grand Total</t>
        </is>
      </c>
      <c r="B32" t="n">
        <v>4257582.237000001</v>
      </c>
      <c r="C32" t="n">
        <v>1814919.918</v>
      </c>
      <c r="D32" t="n">
        <v>2351983.675</v>
      </c>
      <c r="E32" t="n">
        <v>3379511.801281159</v>
      </c>
      <c r="F32" t="n">
        <v>2732851.701754385</v>
      </c>
      <c r="G32" t="n">
        <v>5737386.256</v>
      </c>
      <c r="H32" t="n">
        <v>5109487.715000001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500" t="inlineStr">
        <is>
          <t>Coresphere100 Technologies Pvt. Ltd.</t>
        </is>
      </c>
      <c r="B1" s="500" t="inlineStr">
        <is>
          <t>Unnamed: 2</t>
        </is>
      </c>
      <c r="C1" s="500" t="inlineStr">
        <is>
          <t>Unnamed: 3</t>
        </is>
      </c>
      <c r="D1" s="500" t="inlineStr">
        <is>
          <t>Unnamed: 4</t>
        </is>
      </c>
      <c r="E1" s="500" t="inlineStr">
        <is>
          <t>Unnamed: 5</t>
        </is>
      </c>
      <c r="F1" s="500" t="inlineStr">
        <is>
          <t>Unnamed: 6</t>
        </is>
      </c>
      <c r="G1" s="500" t="inlineStr">
        <is>
          <t>Unnamed: 7</t>
        </is>
      </c>
      <c r="H1" s="500" t="inlineStr">
        <is>
          <t>Unnamed: 8</t>
        </is>
      </c>
      <c r="I1" s="500" t="inlineStr">
        <is>
          <t>Unnamed: 9</t>
        </is>
      </c>
      <c r="J1" s="500" t="inlineStr">
        <is>
          <t>Unnamed: 10</t>
        </is>
      </c>
      <c r="K1" s="500" t="inlineStr">
        <is>
          <t>Unnamed: 11</t>
        </is>
      </c>
      <c r="L1" s="500" t="inlineStr">
        <is>
          <t>Oct</t>
        </is>
      </c>
    </row>
    <row r="2">
      <c r="A2" t="inlineStr">
        <is>
          <t>S.No.</t>
        </is>
      </c>
      <c r="B2" s="502" t="n">
        <v>45658</v>
      </c>
      <c r="C2" s="502" t="n">
        <v>45689</v>
      </c>
      <c r="D2" s="502" t="n">
        <v>45717</v>
      </c>
      <c r="E2" s="502" t="n">
        <v>45748</v>
      </c>
      <c r="F2" s="502" t="n">
        <v>45778</v>
      </c>
      <c r="G2" s="502" t="n">
        <v>45809</v>
      </c>
      <c r="H2" s="502" t="n">
        <v>45839</v>
      </c>
      <c r="I2" s="502" t="n">
        <v>45870</v>
      </c>
      <c r="J2" s="502" t="n">
        <v>45901</v>
      </c>
      <c r="K2" s="502" t="n">
        <v>45931</v>
      </c>
      <c r="L2" t="inlineStr"/>
    </row>
    <row r="3">
      <c r="A3" t="n">
        <v>1</v>
      </c>
      <c r="B3" t="inlineStr">
        <is>
          <t>Agama Law Associates</t>
        </is>
      </c>
      <c r="C3" t="inlineStr">
        <is>
          <t>Abel Tom Benny // Thomas and Thomas Advocates</t>
        </is>
      </c>
      <c r="D3" t="inlineStr">
        <is>
          <t>Akriti Chaubey</t>
        </is>
      </c>
      <c r="E3" t="inlineStr">
        <is>
          <t>Touchstone Partners</t>
        </is>
      </c>
      <c r="F3" t="inlineStr">
        <is>
          <t>NC Legal</t>
        </is>
      </c>
      <c r="G3" t="inlineStr">
        <is>
          <t>Daswani &amp; Daswani</t>
        </is>
      </c>
      <c r="H3" t="inlineStr">
        <is>
          <t>Manini Brar</t>
        </is>
      </c>
      <c r="I3" t="inlineStr">
        <is>
          <t>Akkash Bhadana</t>
        </is>
      </c>
      <c r="J3" t="inlineStr">
        <is>
          <t>ZEUS Law Associates</t>
        </is>
      </c>
      <c r="K3" t="inlineStr">
        <is>
          <t>Pradeep Sancheti</t>
        </is>
      </c>
      <c r="L3" t="inlineStr">
        <is>
          <t>AKS Advocates</t>
        </is>
      </c>
    </row>
    <row r="4">
      <c r="A4" t="inlineStr"/>
      <c r="B4" t="inlineStr">
        <is>
          <t>Dipankar Majumdar</t>
        </is>
      </c>
      <c r="C4" t="inlineStr">
        <is>
          <t>Argus Partners</t>
        </is>
      </c>
      <c r="D4" t="inlineStr">
        <is>
          <t>Akshat Vachher</t>
        </is>
      </c>
      <c r="E4" t="inlineStr">
        <is>
          <t>Bimal Rajasekhar</t>
        </is>
      </c>
      <c r="F4" t="inlineStr">
        <is>
          <t>Saraf and Partners</t>
        </is>
      </c>
      <c r="G4" t="inlineStr">
        <is>
          <t>Shri Venkatesh , SKV law offices</t>
        </is>
      </c>
      <c r="H4" t="inlineStr">
        <is>
          <t>ZEUS Law Associates</t>
        </is>
      </c>
      <c r="I4" t="inlineStr">
        <is>
          <t>Amrit Grewal</t>
        </is>
      </c>
      <c r="J4" t="inlineStr">
        <is>
          <t>Saqeb Mahbub</t>
        </is>
      </c>
      <c r="K4" t="inlineStr">
        <is>
          <t>Akshat Vachher</t>
        </is>
      </c>
      <c r="L4" t="inlineStr">
        <is>
          <t>Akshat Vachher</t>
        </is>
      </c>
    </row>
    <row r="5">
      <c r="A5" t="inlineStr"/>
      <c r="B5" t="inlineStr">
        <is>
          <t xml:space="preserve">Farhan Dubash </t>
        </is>
      </c>
      <c r="C5" t="inlineStr">
        <is>
          <t>Asahi Legal LLP</t>
        </is>
      </c>
      <c r="D5" t="inlineStr">
        <is>
          <t>Amrita Panda / ADP Chambers- 62</t>
        </is>
      </c>
      <c r="E5" t="inlineStr">
        <is>
          <t>Veritas Legal Advocates and Solicitors</t>
        </is>
      </c>
      <c r="F5" t="inlineStr">
        <is>
          <t>Dua Associates</t>
        </is>
      </c>
      <c r="G5" t="inlineStr">
        <is>
          <t>Deep Cover Law- Chirag Narasimiah</t>
        </is>
      </c>
      <c r="H5" t="inlineStr">
        <is>
          <t>Apoorv Kurup</t>
        </is>
      </c>
      <c r="I5" t="inlineStr">
        <is>
          <t>Argus Partners</t>
        </is>
      </c>
      <c r="J5" t="inlineStr">
        <is>
          <t>Justice Ravindra Bhat</t>
        </is>
      </c>
      <c r="K5" t="inlineStr">
        <is>
          <t>Shrey Lodha</t>
        </is>
      </c>
      <c r="L5" t="inlineStr">
        <is>
          <t>Chambers of Pujari</t>
        </is>
      </c>
    </row>
    <row r="6">
      <c r="A6" t="inlineStr"/>
      <c r="B6" t="inlineStr">
        <is>
          <t>Gourab Banerji</t>
        </is>
      </c>
      <c r="C6" t="inlineStr">
        <is>
          <t>Chetan Dedhia</t>
        </is>
      </c>
      <c r="D6" t="inlineStr">
        <is>
          <t>Balbir Singh</t>
        </is>
      </c>
      <c r="E6" t="inlineStr">
        <is>
          <t>LEGALOGIC CONSULTING LLP</t>
        </is>
      </c>
      <c r="F6" t="inlineStr">
        <is>
          <t>Sarthak Advocates &amp; Solicitors</t>
        </is>
      </c>
      <c r="G6" t="inlineStr">
        <is>
          <t>NKR Law Offices</t>
        </is>
      </c>
      <c r="H6" t="inlineStr">
        <is>
          <t>Solaris Legal</t>
        </is>
      </c>
      <c r="I6" t="inlineStr">
        <is>
          <t>Bharat Chugh</t>
        </is>
      </c>
      <c r="J6" t="inlineStr">
        <is>
          <t>Gera Developments Pvt. Ltd.</t>
        </is>
      </c>
      <c r="K6" t="inlineStr">
        <is>
          <t>AKS Advocates</t>
        </is>
      </c>
      <c r="L6" t="inlineStr">
        <is>
          <t>Newton School - Incanus Technologies Private Limited</t>
        </is>
      </c>
    </row>
    <row r="7">
      <c r="A7" t="inlineStr"/>
      <c r="B7" t="inlineStr">
        <is>
          <t>Keystone Partners</t>
        </is>
      </c>
      <c r="C7" t="inlineStr">
        <is>
          <t>Darius J. Khambata</t>
        </is>
      </c>
      <c r="D7" t="inlineStr">
        <is>
          <t>Burgeon Law LLP</t>
        </is>
      </c>
      <c r="E7" t="inlineStr">
        <is>
          <t>VACUITAS COUNSELLOR LLP</t>
        </is>
      </c>
      <c r="F7" t="inlineStr">
        <is>
          <t>Gupta Law Associates</t>
        </is>
      </c>
      <c r="G7" t="inlineStr">
        <is>
          <t>Poovayya &amp; CO</t>
        </is>
      </c>
      <c r="H7" t="inlineStr">
        <is>
          <t>Surel Shah</t>
        </is>
      </c>
      <c r="I7" t="inlineStr">
        <is>
          <t>Brijesh Oberoi</t>
        </is>
      </c>
      <c r="J7" t="inlineStr">
        <is>
          <t>MEESHO LIMITED</t>
        </is>
      </c>
      <c r="K7" t="inlineStr">
        <is>
          <t>S Arjun Suresh</t>
        </is>
      </c>
      <c r="L7" t="inlineStr">
        <is>
          <t>Pradeep Sancheti</t>
        </is>
      </c>
    </row>
    <row r="8">
      <c r="A8" t="inlineStr"/>
      <c r="B8" t="inlineStr">
        <is>
          <t>Mustafa S Doctor</t>
        </is>
      </c>
      <c r="C8" t="inlineStr">
        <is>
          <t>Eternity Legal</t>
        </is>
      </c>
      <c r="D8" t="inlineStr">
        <is>
          <t>Chambers of Aman Vachher</t>
        </is>
      </c>
      <c r="E8" t="inlineStr">
        <is>
          <t>U. S. GANDHI &amp; CO.</t>
        </is>
      </c>
      <c r="F8" t="inlineStr">
        <is>
          <t>Kunal Kunango</t>
        </is>
      </c>
      <c r="G8" t="inlineStr">
        <is>
          <t>Sajan Poovayya</t>
        </is>
      </c>
      <c r="H8" t="inlineStr">
        <is>
          <t>MG Ramachandran</t>
        </is>
      </c>
      <c r="I8" t="inlineStr">
        <is>
          <t>Chirag shah, Advocate</t>
        </is>
      </c>
      <c r="J8" t="inlineStr">
        <is>
          <t>Consera Legal LLP</t>
        </is>
      </c>
      <c r="K8" t="inlineStr">
        <is>
          <t>Sourish Roy</t>
        </is>
      </c>
      <c r="L8" t="inlineStr">
        <is>
          <t>S Arjun Suresh</t>
        </is>
      </c>
    </row>
    <row r="9">
      <c r="A9" t="inlineStr"/>
      <c r="B9" t="inlineStr">
        <is>
          <t>Naushad Engineer</t>
        </is>
      </c>
      <c r="C9" t="inlineStr">
        <is>
          <t>Monalisa Kosaria</t>
        </is>
      </c>
      <c r="D9" t="inlineStr">
        <is>
          <t>Chambers of Justice Mohit S Shah (Retd.), Former Chief Justice of Bombay and Calcutta High Court</t>
        </is>
      </c>
      <c r="E9" t="inlineStr">
        <is>
          <t>Advocate Rohit Jaiswal</t>
        </is>
      </c>
      <c r="F9" t="inlineStr">
        <is>
          <t>Divyanshu Rai</t>
        </is>
      </c>
      <c r="G9" t="inlineStr">
        <is>
          <t>Vardharma Chambers</t>
        </is>
      </c>
      <c r="H9" t="inlineStr">
        <is>
          <t>Jade Lex Partners</t>
        </is>
      </c>
      <c r="I9" t="inlineStr">
        <is>
          <t>Devina Sehgal</t>
        </is>
      </c>
      <c r="J9" t="inlineStr">
        <is>
          <t>Udai V. S. Rathore</t>
        </is>
      </c>
      <c r="K9" t="inlineStr">
        <is>
          <t>Sarvottam Law Offices</t>
        </is>
      </c>
      <c r="L9" t="inlineStr">
        <is>
          <t>Shrey Lodha</t>
        </is>
      </c>
    </row>
    <row r="10">
      <c r="A10" t="inlineStr"/>
      <c r="B10" t="inlineStr">
        <is>
          <t>Parakram Legal</t>
        </is>
      </c>
      <c r="C10" t="inlineStr">
        <is>
          <t>Mr. Jehangir Jejeebhoy</t>
        </is>
      </c>
      <c r="D10" t="inlineStr">
        <is>
          <t>Federal &amp; Company</t>
        </is>
      </c>
      <c r="E10" t="inlineStr">
        <is>
          <t>Dileep Poolakkot</t>
        </is>
      </c>
      <c r="F10" t="inlineStr">
        <is>
          <t>Hamza mir</t>
        </is>
      </c>
      <c r="G10" t="inlineStr">
        <is>
          <t>Birendra Saraf</t>
        </is>
      </c>
      <c r="H10" t="inlineStr">
        <is>
          <t>Aanchal Basur</t>
        </is>
      </c>
      <c r="I10" t="inlineStr">
        <is>
          <t>Dharma Law Partners</t>
        </is>
      </c>
      <c r="J10" t="inlineStr">
        <is>
          <t>Yash Momaya</t>
        </is>
      </c>
      <c r="K10" t="inlineStr">
        <is>
          <t>SACH &amp; THARAAS ADVOCATES</t>
        </is>
      </c>
      <c r="L10" t="inlineStr"/>
    </row>
    <row r="11">
      <c r="A11" t="inlineStr"/>
      <c r="B11" t="inlineStr">
        <is>
          <t>Prantar</t>
        </is>
      </c>
      <c r="C11" t="inlineStr">
        <is>
          <t>MV Law Partners</t>
        </is>
      </c>
      <c r="D11" t="inlineStr">
        <is>
          <t>GM Legal</t>
        </is>
      </c>
      <c r="E11" t="inlineStr">
        <is>
          <t>Utkarsh Joshi</t>
        </is>
      </c>
      <c r="F11" t="inlineStr">
        <is>
          <t>Chambers of Ninad Laud</t>
        </is>
      </c>
      <c r="G11" t="inlineStr">
        <is>
          <t>IRIS LEGAL</t>
        </is>
      </c>
      <c r="H11" t="inlineStr">
        <is>
          <t>RUNWAL ENTERPRISES LIMITED</t>
        </is>
      </c>
      <c r="I11" t="inlineStr">
        <is>
          <t>Dhruve Liladhar &amp; Co</t>
        </is>
      </c>
      <c r="J11" t="inlineStr">
        <is>
          <t>MDP Legal</t>
        </is>
      </c>
      <c r="K11" t="inlineStr">
        <is>
          <t>Udyam Law Practice</t>
        </is>
      </c>
      <c r="L11" t="inlineStr"/>
    </row>
    <row r="12">
      <c r="A12" t="inlineStr"/>
      <c r="B12" t="inlineStr">
        <is>
          <t>Saswat Mohanty</t>
        </is>
      </c>
      <c r="C12" t="inlineStr">
        <is>
          <t>MZM Legal LLP</t>
        </is>
      </c>
      <c r="D12" t="inlineStr">
        <is>
          <t>Harshit Malik</t>
        </is>
      </c>
      <c r="E12" t="inlineStr">
        <is>
          <t>Karan Butalia</t>
        </is>
      </c>
      <c r="F12" t="inlineStr">
        <is>
          <t>Gera Developments Pvt. Ltd.</t>
        </is>
      </c>
      <c r="G12" t="inlineStr">
        <is>
          <t>JYOT-A Public Trust</t>
        </is>
      </c>
      <c r="H12" t="inlineStr">
        <is>
          <t>ANM Global Inc</t>
        </is>
      </c>
      <c r="I12" t="inlineStr">
        <is>
          <t>Foresight Law Offices</t>
        </is>
      </c>
      <c r="J12" t="inlineStr">
        <is>
          <t>RRG &amp; Associates</t>
        </is>
      </c>
      <c r="K12" t="inlineStr">
        <is>
          <t>Pioneer Legal</t>
        </is>
      </c>
      <c r="L12" t="inlineStr"/>
    </row>
    <row r="13">
      <c r="A13" t="inlineStr"/>
      <c r="B13" t="inlineStr">
        <is>
          <t>Shiraz Rustomjee</t>
        </is>
      </c>
      <c r="C13" t="inlineStr">
        <is>
          <t>Prompt Legal (Shared by Jayanth)</t>
        </is>
      </c>
      <c r="D13" t="inlineStr">
        <is>
          <t>Innovatus Law</t>
        </is>
      </c>
      <c r="E13" t="inlineStr">
        <is>
          <t>RAJANI ASSOCIATES</t>
        </is>
      </c>
      <c r="F13" t="inlineStr">
        <is>
          <t>Gaurav Mehta</t>
        </is>
      </c>
      <c r="G13" t="inlineStr">
        <is>
          <t>Yakshay Chheda</t>
        </is>
      </c>
      <c r="H13" t="inlineStr">
        <is>
          <t>Vikas Mehta</t>
        </is>
      </c>
      <c r="I13" t="inlineStr">
        <is>
          <t>Gaurav Gupta</t>
        </is>
      </c>
      <c r="J13" t="inlineStr">
        <is>
          <t>Dhru &amp; Co</t>
        </is>
      </c>
      <c r="K13" t="inlineStr">
        <is>
          <t>Lzafeer Ahmad B F</t>
        </is>
      </c>
      <c r="L13" t="inlineStr"/>
    </row>
    <row r="14">
      <c r="A14" t="inlineStr"/>
      <c r="B14" t="inlineStr">
        <is>
          <t>Shyam Kapadia</t>
        </is>
      </c>
      <c r="C14" t="inlineStr">
        <is>
          <t>Sanjay Udeshi &amp; Co.</t>
        </is>
      </c>
      <c r="D14" t="inlineStr">
        <is>
          <t>Justice (Retd.) AK Sikri</t>
        </is>
      </c>
      <c r="E14" t="inlineStr">
        <is>
          <t>PSN Legal Advocates and Legal Consultants</t>
        </is>
      </c>
      <c r="F14" t="inlineStr">
        <is>
          <t>MD&amp;T Partners</t>
        </is>
      </c>
      <c r="G14" t="inlineStr">
        <is>
          <t>Tipping Mr Pink Private Limited</t>
        </is>
      </c>
      <c r="H14" t="inlineStr">
        <is>
          <t>Swapnil Wagh</t>
        </is>
      </c>
      <c r="I14" t="inlineStr">
        <is>
          <t>Giriraj Subramanium</t>
        </is>
      </c>
      <c r="J14" t="inlineStr">
        <is>
          <t>Hiren Kamod</t>
        </is>
      </c>
      <c r="K14" t="inlineStr">
        <is>
          <t>Puneet Rathsharma</t>
        </is>
      </c>
      <c r="L14" t="inlineStr"/>
    </row>
    <row r="15">
      <c r="A15" t="inlineStr"/>
      <c r="B15" t="inlineStr">
        <is>
          <t>Tejas Bhide</t>
        </is>
      </c>
      <c r="C15" t="inlineStr">
        <is>
          <t>Vesta Legal</t>
        </is>
      </c>
      <c r="D15" t="inlineStr">
        <is>
          <t>Justice (Retd.) Kurian Joseph</t>
        </is>
      </c>
      <c r="E15" t="inlineStr">
        <is>
          <t>Swapna Sheshadri</t>
        </is>
      </c>
      <c r="F15" t="inlineStr">
        <is>
          <t>Kachwaha &amp; Partners</t>
        </is>
      </c>
      <c r="G15" t="inlineStr">
        <is>
          <t>KUAJ LEGAL</t>
        </is>
      </c>
      <c r="H15" t="inlineStr">
        <is>
          <t>Arpit Gupta</t>
        </is>
      </c>
      <c r="I15" t="inlineStr">
        <is>
          <t>J.R. LADDHA FINANCIAL SERVICES PRIVATE LIMITED</t>
        </is>
      </c>
      <c r="J15" t="inlineStr">
        <is>
          <t>Pravah Law</t>
        </is>
      </c>
      <c r="K15" t="inlineStr">
        <is>
          <t>Aarna Law LLP</t>
        </is>
      </c>
      <c r="L15" t="inlineStr"/>
    </row>
    <row r="16">
      <c r="A16" t="inlineStr"/>
      <c r="B16" t="inlineStr">
        <is>
          <t>Venkatesh Dhond</t>
        </is>
      </c>
      <c r="C16" t="inlineStr"/>
      <c r="D16" t="inlineStr">
        <is>
          <t>Megha Chandra</t>
        </is>
      </c>
      <c r="E16" t="inlineStr">
        <is>
          <t>Vutts &amp; Associates LLP</t>
        </is>
      </c>
      <c r="F16" t="inlineStr">
        <is>
          <t>Vishal Kanade</t>
        </is>
      </c>
      <c r="G16" t="inlineStr">
        <is>
          <t>AJNM LAW INDIA LLP</t>
        </is>
      </c>
      <c r="H16" t="inlineStr">
        <is>
          <t>Jayakar and Partners</t>
        </is>
      </c>
      <c r="I16" t="inlineStr">
        <is>
          <t>Jain and Talukdar</t>
        </is>
      </c>
      <c r="J16" t="inlineStr">
        <is>
          <t>AP &amp; Partners, Advocates</t>
        </is>
      </c>
      <c r="K16" t="inlineStr">
        <is>
          <t>Singularity Legal LLP</t>
        </is>
      </c>
      <c r="L16" t="inlineStr"/>
    </row>
    <row r="17">
      <c r="A17" t="inlineStr"/>
      <c r="B17" t="inlineStr">
        <is>
          <t>Victoram Legal / Mr. Sajal Awasthi</t>
        </is>
      </c>
      <c r="C17" t="inlineStr"/>
      <c r="D17" t="inlineStr">
        <is>
          <t>Mr Sudhanshu Kumar</t>
        </is>
      </c>
      <c r="E17" t="inlineStr">
        <is>
          <t>Miglani Varma &amp; Co.</t>
        </is>
      </c>
      <c r="F17" t="inlineStr">
        <is>
          <t>Vritti Law Partners</t>
        </is>
      </c>
      <c r="G17" t="inlineStr">
        <is>
          <t>Agraa Legal</t>
        </is>
      </c>
      <c r="H17" t="inlineStr">
        <is>
          <t>Rohan Shah</t>
        </is>
      </c>
      <c r="I17" t="inlineStr">
        <is>
          <t>JSM Law Partners</t>
        </is>
      </c>
      <c r="J17" t="inlineStr">
        <is>
          <t>Ajinkya Kurdukar</t>
        </is>
      </c>
      <c r="K17" t="inlineStr">
        <is>
          <t>Sir Sobha Singh &amp; Sons Pvt Ltd</t>
        </is>
      </c>
      <c r="L17" t="inlineStr"/>
    </row>
    <row r="18">
      <c r="A18" t="inlineStr"/>
      <c r="B18" t="inlineStr"/>
      <c r="C18" t="inlineStr"/>
      <c r="D18" t="inlineStr">
        <is>
          <t>NIKHIL DEELIP P</t>
        </is>
      </c>
      <c r="E18" t="inlineStr">
        <is>
          <t>Venkatesh Mohanraj</t>
        </is>
      </c>
      <c r="F18" t="inlineStr">
        <is>
          <t>C&amp;S Partners</t>
        </is>
      </c>
      <c r="G18" t="inlineStr">
        <is>
          <t>KINJAL CIVILCON LLP</t>
        </is>
      </c>
      <c r="H18" t="inlineStr">
        <is>
          <t>GM Legal</t>
        </is>
      </c>
      <c r="I18" t="inlineStr">
        <is>
          <t>Karthik Sundar</t>
        </is>
      </c>
      <c r="J18" t="inlineStr">
        <is>
          <t>Vijay Manjreka</t>
        </is>
      </c>
      <c r="K18" t="inlineStr">
        <is>
          <t>Laksha Kalappa B</t>
        </is>
      </c>
      <c r="L18" t="inlineStr"/>
    </row>
    <row r="19">
      <c r="A19" t="inlineStr"/>
      <c r="B19" t="inlineStr"/>
      <c r="C19" t="inlineStr"/>
      <c r="D19" t="inlineStr">
        <is>
          <t>Nora Legal Consultants LLP</t>
        </is>
      </c>
      <c r="E19" t="inlineStr">
        <is>
          <t>Jade Lex Partners</t>
        </is>
      </c>
      <c r="F19" t="inlineStr">
        <is>
          <t>Chambers of Moazzam Khan</t>
        </is>
      </c>
      <c r="G19" t="inlineStr">
        <is>
          <t>Shobit Phutela</t>
        </is>
      </c>
      <c r="H19" t="inlineStr">
        <is>
          <t>Rajeev K. Virmani</t>
        </is>
      </c>
      <c r="I19" t="inlineStr">
        <is>
          <t>KATARIYA CONSULTANCY INDIA LLP</t>
        </is>
      </c>
      <c r="J19" t="inlineStr">
        <is>
          <t>Ankur Mahindro</t>
        </is>
      </c>
      <c r="K19" t="inlineStr">
        <is>
          <t>Vaish Associates</t>
        </is>
      </c>
      <c r="L19" t="inlineStr"/>
    </row>
    <row r="20">
      <c r="A20" t="inlineStr"/>
      <c r="B20" t="inlineStr"/>
      <c r="C20" t="inlineStr"/>
      <c r="D20" t="inlineStr">
        <is>
          <t>Prantar</t>
        </is>
      </c>
      <c r="E20" t="inlineStr">
        <is>
          <t>Alankrit Bajpai</t>
        </is>
      </c>
      <c r="F20" t="inlineStr">
        <is>
          <t>Vis Legis Law Practice</t>
        </is>
      </c>
      <c r="G20" t="inlineStr">
        <is>
          <t>Narottam Sharma</t>
        </is>
      </c>
      <c r="H20" t="inlineStr">
        <is>
          <t>Vaish Associates</t>
        </is>
      </c>
      <c r="I20" t="inlineStr">
        <is>
          <t>Kevic Setalvad</t>
        </is>
      </c>
      <c r="J20" t="inlineStr">
        <is>
          <t>Pragati Law Chambers</t>
        </is>
      </c>
      <c r="K20" t="inlineStr">
        <is>
          <t>NINE PILLARS INFRATECH LLP</t>
        </is>
      </c>
      <c r="L20" t="inlineStr"/>
    </row>
    <row r="21">
      <c r="A21" t="inlineStr"/>
      <c r="B21" t="inlineStr"/>
      <c r="C21" t="inlineStr"/>
      <c r="D21" t="inlineStr">
        <is>
          <t>Rohit Sharma (lex Merita)</t>
        </is>
      </c>
      <c r="E21" t="inlineStr">
        <is>
          <t>Badar Durrez</t>
        </is>
      </c>
      <c r="F21" t="inlineStr">
        <is>
          <t>Phoenix Legal</t>
        </is>
      </c>
      <c r="G21" t="inlineStr">
        <is>
          <t>Rahul Saboo, Advocate</t>
        </is>
      </c>
      <c r="H21" t="inlineStr">
        <is>
          <t>Acuity Law LLP</t>
        </is>
      </c>
      <c r="I21" t="inlineStr">
        <is>
          <t>KRISH HOMES</t>
        </is>
      </c>
      <c r="J21" t="inlineStr">
        <is>
          <t>KK &amp; Co</t>
        </is>
      </c>
      <c r="K21" t="inlineStr">
        <is>
          <t>Dr Sanjay Jain</t>
        </is>
      </c>
      <c r="L21" t="inlineStr"/>
    </row>
    <row r="22">
      <c r="A22" t="inlineStr"/>
      <c r="B22" t="inlineStr"/>
      <c r="C22" t="inlineStr"/>
      <c r="D22" t="inlineStr">
        <is>
          <t>Santosh Kumar</t>
        </is>
      </c>
      <c r="E22" t="inlineStr">
        <is>
          <t>Rashmikant and Partners</t>
        </is>
      </c>
      <c r="F22" t="inlineStr">
        <is>
          <t>Nikhil Pai</t>
        </is>
      </c>
      <c r="G22" t="inlineStr">
        <is>
          <t>DSK Legal</t>
        </is>
      </c>
      <c r="H22" t="inlineStr">
        <is>
          <t>Trust Law</t>
        </is>
      </c>
      <c r="I22" t="inlineStr">
        <is>
          <t>Kushagra Shah</t>
        </is>
      </c>
      <c r="J22" t="inlineStr">
        <is>
          <t>Aditya Narayan Mahajan</t>
        </is>
      </c>
      <c r="K22" t="inlineStr">
        <is>
          <t>Arun Kumar P</t>
        </is>
      </c>
      <c r="L22" t="inlineStr"/>
    </row>
    <row r="23">
      <c r="A23" t="inlineStr"/>
      <c r="B23" t="inlineStr"/>
      <c r="C23" t="inlineStr"/>
      <c r="D23" t="inlineStr">
        <is>
          <t>SK Singhi and Partners</t>
        </is>
      </c>
      <c r="E23" t="inlineStr">
        <is>
          <t>TLH, Advocates &amp; Solicitors</t>
        </is>
      </c>
      <c r="F23" t="inlineStr">
        <is>
          <t>J INFRATECH LIMITED</t>
        </is>
      </c>
      <c r="G23" t="inlineStr">
        <is>
          <t>Meghna Talwar</t>
        </is>
      </c>
      <c r="H23" t="inlineStr">
        <is>
          <t>Priyanshi Kholia</t>
        </is>
      </c>
      <c r="I23" t="inlineStr">
        <is>
          <t>Malak Bhatt</t>
        </is>
      </c>
      <c r="J23" t="inlineStr">
        <is>
          <t>Prateek Rath</t>
        </is>
      </c>
      <c r="K23" t="inlineStr">
        <is>
          <t>Ahan Gadkari</t>
        </is>
      </c>
      <c r="L23" t="inlineStr"/>
    </row>
    <row r="24">
      <c r="A24" t="inlineStr"/>
      <c r="B24" t="inlineStr"/>
      <c r="C24" t="inlineStr"/>
      <c r="D24" t="inlineStr">
        <is>
          <t>Solaris Legal</t>
        </is>
      </c>
      <c r="E24" t="inlineStr">
        <is>
          <t>Shreeyash Lalit</t>
        </is>
      </c>
      <c r="F24" t="inlineStr">
        <is>
          <t>Vyom Shah</t>
        </is>
      </c>
      <c r="G24" t="inlineStr">
        <is>
          <t>S Priya</t>
        </is>
      </c>
      <c r="H24" t="inlineStr">
        <is>
          <t>Khaitan Legal Associates</t>
        </is>
      </c>
      <c r="I24" t="inlineStr">
        <is>
          <t>Mukul Sharma and Company</t>
        </is>
      </c>
      <c r="J24" t="inlineStr">
        <is>
          <t>OASIS REALTY</t>
        </is>
      </c>
      <c r="K24" t="inlineStr">
        <is>
          <t>ASREC India Ltd</t>
        </is>
      </c>
      <c r="L24" t="inlineStr"/>
    </row>
    <row r="25">
      <c r="A25" t="inlineStr"/>
      <c r="B25" t="inlineStr"/>
      <c r="C25" t="inlineStr"/>
      <c r="D25" t="inlineStr">
        <is>
          <t>Wadia Ghandy &amp; Co.</t>
        </is>
      </c>
      <c r="E25" t="inlineStr">
        <is>
          <t>Dewani Associates</t>
        </is>
      </c>
      <c r="F25" t="inlineStr">
        <is>
          <t>Zubin Behramkamdin</t>
        </is>
      </c>
      <c r="G25" t="inlineStr">
        <is>
          <t>Joy Baxi &amp; Associates</t>
        </is>
      </c>
      <c r="H25" t="inlineStr">
        <is>
          <t>Bishwajit Dubey</t>
        </is>
      </c>
      <c r="I25" t="inlineStr">
        <is>
          <t>Parul Sharma</t>
        </is>
      </c>
      <c r="J25" t="inlineStr">
        <is>
          <t>Jehangir Jeejeebhoy</t>
        </is>
      </c>
      <c r="K25" t="inlineStr">
        <is>
          <t>Chavi V Jain</t>
        </is>
      </c>
      <c r="L25" t="inlineStr"/>
    </row>
    <row r="26">
      <c r="A26" t="inlineStr"/>
      <c r="B26" t="inlineStr"/>
      <c r="C26" t="inlineStr"/>
      <c r="D26" t="inlineStr">
        <is>
          <t>Yash Momaya</t>
        </is>
      </c>
      <c r="E26" t="inlineStr">
        <is>
          <t>R. Vishnu Kumar, Advocate</t>
        </is>
      </c>
      <c r="F26" t="inlineStr">
        <is>
          <t>Jennifer Michael</t>
        </is>
      </c>
      <c r="G26" t="inlineStr">
        <is>
          <t>Ganesh &amp; Co.</t>
        </is>
      </c>
      <c r="H26" t="inlineStr">
        <is>
          <t>Krati Gupta</t>
        </is>
      </c>
      <c r="I26" t="inlineStr">
        <is>
          <t>Pranav Badheka</t>
        </is>
      </c>
      <c r="J26" t="inlineStr">
        <is>
          <t>Samar Bansal</t>
        </is>
      </c>
      <c r="K26" t="inlineStr">
        <is>
          <t>Mahadeshwara. D</t>
        </is>
      </c>
      <c r="L26" t="inlineStr"/>
    </row>
    <row r="27">
      <c r="A27" t="inlineStr"/>
      <c r="B27" t="inlineStr"/>
      <c r="C27" t="inlineStr"/>
      <c r="D27" t="inlineStr"/>
      <c r="E27" t="inlineStr">
        <is>
          <t>Chetan Dedhia</t>
        </is>
      </c>
      <c r="F27" t="inlineStr">
        <is>
          <t>SomÂ Sinha &amp; Associates</t>
        </is>
      </c>
      <c r="G27" t="inlineStr">
        <is>
          <t>AMS Legal</t>
        </is>
      </c>
      <c r="H27" t="inlineStr">
        <is>
          <t>S C Sharada &amp; Associates| Company Secretaries</t>
        </is>
      </c>
      <c r="I27" t="inlineStr">
        <is>
          <t>Reliance Corporate Advisors (R)</t>
        </is>
      </c>
      <c r="J27" t="inlineStr">
        <is>
          <t>Law office of Amrita Sarkar</t>
        </is>
      </c>
      <c r="K27" t="inlineStr">
        <is>
          <t>Pramit Mohanty</t>
        </is>
      </c>
      <c r="L27" t="inlineStr"/>
    </row>
    <row r="28">
      <c r="A28" t="inlineStr"/>
      <c r="B28" t="inlineStr"/>
      <c r="C28" t="inlineStr"/>
      <c r="D28" t="inlineStr"/>
      <c r="E28" t="inlineStr">
        <is>
          <t>Aakash Sharma</t>
        </is>
      </c>
      <c r="F28" t="inlineStr">
        <is>
          <t>Stride Legal</t>
        </is>
      </c>
      <c r="G28" t="inlineStr">
        <is>
          <t>Gauri Puri</t>
        </is>
      </c>
      <c r="H28" t="inlineStr">
        <is>
          <t>Hamsaanandini Nanduri</t>
        </is>
      </c>
      <c r="I28" t="inlineStr">
        <is>
          <t>SAGA LEGAL</t>
        </is>
      </c>
      <c r="J28" t="inlineStr">
        <is>
          <t>Ankita Sharma</t>
        </is>
      </c>
      <c r="K28" t="inlineStr">
        <is>
          <t>Manaswi Agrawal</t>
        </is>
      </c>
      <c r="L28" t="inlineStr"/>
    </row>
    <row r="29">
      <c r="A29" t="inlineStr"/>
      <c r="B29" t="inlineStr"/>
      <c r="C29" t="inlineStr"/>
      <c r="D29" t="inlineStr"/>
      <c r="E29" t="inlineStr">
        <is>
          <t>Saga Legal</t>
        </is>
      </c>
      <c r="F29" t="inlineStr">
        <is>
          <t>Rithin Rai</t>
        </is>
      </c>
      <c r="G29" t="inlineStr">
        <is>
          <t>Amit Bhagat</t>
        </is>
      </c>
      <c r="H29" t="inlineStr">
        <is>
          <t>Monalisa Kosaria</t>
        </is>
      </c>
      <c r="I29" t="inlineStr">
        <is>
          <t>Saraf and Partners</t>
        </is>
      </c>
      <c r="J29" t="inlineStr">
        <is>
          <t>Mihir Desai</t>
        </is>
      </c>
      <c r="K29" t="inlineStr">
        <is>
          <t>Parekh Legal Proprieter Ami Parekh</t>
        </is>
      </c>
      <c r="L29" t="inlineStr"/>
    </row>
    <row r="30">
      <c r="A30" t="inlineStr"/>
      <c r="B30" t="inlineStr"/>
      <c r="C30" t="inlineStr"/>
      <c r="D30" t="inlineStr"/>
      <c r="E30" t="inlineStr">
        <is>
          <t>RPV LEGAL</t>
        </is>
      </c>
      <c r="F30" t="inlineStr">
        <is>
          <t>Meghav Gupta</t>
        </is>
      </c>
      <c r="G30" t="inlineStr">
        <is>
          <t>Sundeep Karnik</t>
        </is>
      </c>
      <c r="H30" t="inlineStr">
        <is>
          <t>Krishnan Venugopal</t>
        </is>
      </c>
      <c r="I30" t="inlineStr">
        <is>
          <t>Shreya Desai</t>
        </is>
      </c>
      <c r="J30" t="inlineStr">
        <is>
          <t>Kunal Vaishnav</t>
        </is>
      </c>
      <c r="K30" t="inlineStr">
        <is>
          <t>AKS LAW ASSOCIATES</t>
        </is>
      </c>
      <c r="L30" t="inlineStr"/>
    </row>
    <row r="31">
      <c r="A31" t="inlineStr"/>
      <c r="B31" t="inlineStr"/>
      <c r="C31" t="inlineStr"/>
      <c r="D31" t="inlineStr"/>
      <c r="E31" t="inlineStr">
        <is>
          <t>AP &amp; Partners, Advocates</t>
        </is>
      </c>
      <c r="F31" t="inlineStr">
        <is>
          <t>Shashwat Bajpai</t>
        </is>
      </c>
      <c r="G31" t="inlineStr">
        <is>
          <t>Rohan Talwar</t>
        </is>
      </c>
      <c r="H31" t="inlineStr">
        <is>
          <t>GC Legal</t>
        </is>
      </c>
      <c r="I31" t="inlineStr">
        <is>
          <t>Svarniti Law Offices</t>
        </is>
      </c>
      <c r="J31" t="inlineStr">
        <is>
          <t>Rajdeep Panda</t>
        </is>
      </c>
      <c r="K31" t="inlineStr">
        <is>
          <t>Aravindakshan Nair</t>
        </is>
      </c>
      <c r="L31" t="inlineStr"/>
    </row>
    <row r="32">
      <c r="A32" t="inlineStr"/>
      <c r="B32" t="inlineStr"/>
      <c r="C32" t="inlineStr"/>
      <c r="D32" t="inlineStr"/>
      <c r="E32" t="inlineStr">
        <is>
          <t>Pranay Chitale</t>
        </is>
      </c>
      <c r="F32" t="inlineStr">
        <is>
          <t>Nitish Raj</t>
        </is>
      </c>
      <c r="G32" t="inlineStr">
        <is>
          <t>Aurtus Consulting LLP</t>
        </is>
      </c>
      <c r="H32" t="inlineStr">
        <is>
          <t>Anush Raajan</t>
        </is>
      </c>
      <c r="I32" t="inlineStr">
        <is>
          <t>Talha Abdul Rahman</t>
        </is>
      </c>
      <c r="J32" t="inlineStr">
        <is>
          <t>Hammurabi &amp; Solomon Partner</t>
        </is>
      </c>
      <c r="K32" t="inlineStr">
        <is>
          <t>Nyayosh Bharucha</t>
        </is>
      </c>
      <c r="L32" t="inlineStr"/>
    </row>
    <row r="33">
      <c r="A33" t="inlineStr"/>
      <c r="B33" t="inlineStr"/>
      <c r="C33" t="inlineStr"/>
      <c r="D33" t="inlineStr"/>
      <c r="E33" t="inlineStr">
        <is>
          <t>Spark Legal</t>
        </is>
      </c>
      <c r="F33" t="inlineStr">
        <is>
          <t>Aquilaw</t>
        </is>
      </c>
      <c r="G33" t="inlineStr">
        <is>
          <t>Tejeshwar Singh</t>
        </is>
      </c>
      <c r="H33" t="inlineStr">
        <is>
          <t>Philips India Limited</t>
        </is>
      </c>
      <c r="I33" t="inlineStr">
        <is>
          <t>Touchstone Partners</t>
        </is>
      </c>
      <c r="J33" t="inlineStr">
        <is>
          <t>Prerit Goyal</t>
        </is>
      </c>
      <c r="K33" t="inlineStr">
        <is>
          <t>Sahil Singh</t>
        </is>
      </c>
      <c r="L33" t="inlineStr"/>
    </row>
    <row r="34">
      <c r="A34" t="inlineStr"/>
      <c r="B34" t="inlineStr"/>
      <c r="C34" t="inlineStr"/>
      <c r="D34" t="inlineStr"/>
      <c r="E34" t="inlineStr">
        <is>
          <t>Bathiya Legal</t>
        </is>
      </c>
      <c r="F34" t="inlineStr">
        <is>
          <t>Svarniti Law Offices</t>
        </is>
      </c>
      <c r="G34" t="inlineStr">
        <is>
          <t>Elixir Legal Services</t>
        </is>
      </c>
      <c r="H34" t="inlineStr">
        <is>
          <t>Nayana Tara BG</t>
        </is>
      </c>
      <c r="I34" t="inlineStr">
        <is>
          <t>TREELIFE VENTURES SERVICES PRIVATE LIMITED</t>
        </is>
      </c>
      <c r="J34" t="inlineStr">
        <is>
          <t>Shamik Sanjanwala</t>
        </is>
      </c>
      <c r="K34" t="inlineStr">
        <is>
          <t>Mohammed Moin</t>
        </is>
      </c>
      <c r="L34" t="inlineStr"/>
    </row>
    <row r="35">
      <c r="A35" t="inlineStr"/>
      <c r="B35" t="inlineStr"/>
      <c r="C35" t="inlineStr"/>
      <c r="D35" t="inlineStr"/>
      <c r="E35" t="inlineStr">
        <is>
          <t xml:space="preserve">SINHA &amp; COMPANY
</t>
        </is>
      </c>
      <c r="F35" t="inlineStr">
        <is>
          <t>Khaitan Legal Asscoiates</t>
        </is>
      </c>
      <c r="G35" t="inlineStr"/>
      <c r="H35" t="inlineStr">
        <is>
          <t>PSP Legal</t>
        </is>
      </c>
      <c r="I35" t="inlineStr">
        <is>
          <t>TRILOK POWER AND CABLES PRIVATE LIMITED</t>
        </is>
      </c>
      <c r="J35" t="inlineStr">
        <is>
          <t>Adarsh Ramakrishnan</t>
        </is>
      </c>
      <c r="K35" t="inlineStr">
        <is>
          <t>Amicus Lex &amp; Associates</t>
        </is>
      </c>
      <c r="L35" t="inlineStr"/>
    </row>
    <row r="36">
      <c r="A36" t="inlineStr"/>
      <c r="B36" t="inlineStr"/>
      <c r="C36" t="inlineStr"/>
      <c r="D36" t="inlineStr"/>
      <c r="E36" t="inlineStr">
        <is>
          <t>Darshit Jain</t>
        </is>
      </c>
      <c r="F36" t="inlineStr">
        <is>
          <t>Samya Law Chambers</t>
        </is>
      </c>
      <c r="G36" t="inlineStr"/>
      <c r="H36" t="inlineStr">
        <is>
          <t>Vivek Anand Anthony Britto</t>
        </is>
      </c>
      <c r="I36" t="inlineStr">
        <is>
          <t>Tuli &amp; Co.</t>
        </is>
      </c>
      <c r="J36" t="inlineStr">
        <is>
          <t>Aditya S Puar</t>
        </is>
      </c>
      <c r="K36" t="inlineStr">
        <is>
          <t>Arvind Menon</t>
        </is>
      </c>
      <c r="L36" t="inlineStr"/>
    </row>
    <row r="37">
      <c r="A37" t="inlineStr"/>
      <c r="B37" t="inlineStr"/>
      <c r="C37" t="inlineStr"/>
      <c r="D37" t="inlineStr"/>
      <c r="E37" t="inlineStr">
        <is>
          <t>Sagar Ghogre</t>
        </is>
      </c>
      <c r="F37" t="inlineStr">
        <is>
          <t>Parakram Legal</t>
        </is>
      </c>
      <c r="G37" t="inlineStr"/>
      <c r="H37" t="inlineStr">
        <is>
          <t>Parinam Law Associates</t>
        </is>
      </c>
      <c r="I37" t="inlineStr">
        <is>
          <t>Tushar Jarwal</t>
        </is>
      </c>
      <c r="J37" t="inlineStr">
        <is>
          <t>Debopriyo Moulik</t>
        </is>
      </c>
      <c r="K37" t="inlineStr">
        <is>
          <t>Kaizen Law</t>
        </is>
      </c>
      <c r="L37" t="inlineStr"/>
    </row>
    <row r="38">
      <c r="A38" t="inlineStr"/>
      <c r="B38" t="inlineStr"/>
      <c r="C38" t="inlineStr"/>
      <c r="D38" t="inlineStr"/>
      <c r="E38" t="inlineStr">
        <is>
          <t>Chetan shah</t>
        </is>
      </c>
      <c r="F38" t="inlineStr">
        <is>
          <t>IndusLaw</t>
        </is>
      </c>
      <c r="G38" t="inlineStr"/>
      <c r="H38" t="inlineStr">
        <is>
          <t>Roshan Santhalia</t>
        </is>
      </c>
      <c r="I38" t="inlineStr">
        <is>
          <t>Ujjwal Sharma</t>
        </is>
      </c>
      <c r="J38" t="inlineStr">
        <is>
          <t>REMFRY &amp; SAGAR CONSULTANT PVT LTD</t>
        </is>
      </c>
      <c r="K38" t="inlineStr">
        <is>
          <t>Vrinda Taneja</t>
        </is>
      </c>
      <c r="L38" t="inlineStr"/>
    </row>
    <row r="39">
      <c r="A39" t="inlineStr"/>
      <c r="B39" t="inlineStr"/>
      <c r="C39" t="inlineStr"/>
      <c r="D39" t="inlineStr"/>
      <c r="E39" t="inlineStr">
        <is>
          <t>Sneha Phene</t>
        </is>
      </c>
      <c r="F39" t="inlineStr">
        <is>
          <t>Shrey Lodha</t>
        </is>
      </c>
      <c r="G39" t="inlineStr"/>
      <c r="H39" t="inlineStr">
        <is>
          <t>RHP Partners</t>
        </is>
      </c>
      <c r="I39" t="inlineStr">
        <is>
          <t>Vidhii Partners</t>
        </is>
      </c>
      <c r="J39" t="inlineStr">
        <is>
          <t>Anirban Bhattacharya</t>
        </is>
      </c>
      <c r="K39" t="inlineStr">
        <is>
          <t>Precinct Legal</t>
        </is>
      </c>
      <c r="L39" t="inlineStr"/>
    </row>
    <row r="40">
      <c r="A40" t="inlineStr"/>
      <c r="B40" t="inlineStr"/>
      <c r="C40" t="inlineStr"/>
      <c r="D40" t="inlineStr"/>
      <c r="E40" t="inlineStr">
        <is>
          <t>Gunjan Mangla</t>
        </is>
      </c>
      <c r="F40" t="inlineStr"/>
      <c r="G40" t="inlineStr"/>
      <c r="H40" t="inlineStr">
        <is>
          <t>Ankit Talsania</t>
        </is>
      </c>
      <c r="I40" t="inlineStr">
        <is>
          <t>Virmani &amp; Virmani</t>
        </is>
      </c>
      <c r="J40" t="inlineStr">
        <is>
          <t xml:space="preserve">Jayant Mehta 
</t>
        </is>
      </c>
      <c r="K40" t="inlineStr">
        <is>
          <t>Major Nirvikar Singh (Retd.)</t>
        </is>
      </c>
      <c r="L40" t="inlineStr"/>
    </row>
    <row r="41">
      <c r="A41" t="inlineStr"/>
      <c r="B41" t="inlineStr"/>
      <c r="C41" t="inlineStr"/>
      <c r="D41" t="inlineStr"/>
      <c r="E41" t="inlineStr">
        <is>
          <t>Zulfiqar Jariwala</t>
        </is>
      </c>
      <c r="F41" t="inlineStr"/>
      <c r="G41" t="inlineStr"/>
      <c r="H41" t="inlineStr">
        <is>
          <t>ASV Legal LLP</t>
        </is>
      </c>
      <c r="I41" t="inlineStr"/>
      <c r="J41" t="inlineStr">
        <is>
          <t>Rohit Sharma</t>
        </is>
      </c>
      <c r="K41" t="inlineStr">
        <is>
          <t>Sandip Agarwal and Co.</t>
        </is>
      </c>
      <c r="L41" t="inlineStr"/>
    </row>
    <row r="42">
      <c r="A42" t="inlineStr"/>
      <c r="B42" t="inlineStr"/>
      <c r="C42" t="inlineStr"/>
      <c r="D42" t="inlineStr"/>
      <c r="E42" t="inlineStr">
        <is>
          <t>Manjari Shah</t>
        </is>
      </c>
      <c r="F42" t="inlineStr"/>
      <c r="G42" t="inlineStr"/>
      <c r="H42" t="inlineStr">
        <is>
          <t>Tarun G Reddy</t>
        </is>
      </c>
      <c r="I42" t="inlineStr"/>
      <c r="J42" t="inlineStr"/>
      <c r="K42" t="inlineStr">
        <is>
          <t>Vinayak Sharma</t>
        </is>
      </c>
      <c r="L42" t="inlineStr"/>
    </row>
    <row r="43">
      <c r="A43" t="inlineStr"/>
      <c r="B43" t="inlineStr"/>
      <c r="C43" t="inlineStr"/>
      <c r="D43" t="inlineStr"/>
      <c r="E43" t="inlineStr">
        <is>
          <t>Sagar Sheth</t>
        </is>
      </c>
      <c r="F43" t="inlineStr"/>
      <c r="G43" t="inlineStr"/>
      <c r="H43" t="inlineStr">
        <is>
          <t>Karanjawala &amp; Company Advocates</t>
        </is>
      </c>
      <c r="I43" t="inlineStr"/>
      <c r="J43" t="inlineStr"/>
      <c r="K43" t="inlineStr">
        <is>
          <t>Lighthouse Legal</t>
        </is>
      </c>
      <c r="L43" t="inlineStr"/>
    </row>
    <row r="44">
      <c r="A44" t="inlineStr"/>
      <c r="B44" t="inlineStr"/>
      <c r="C44" t="inlineStr"/>
      <c r="D44" t="inlineStr"/>
      <c r="E44" t="inlineStr">
        <is>
          <t>Mahek Bookwala</t>
        </is>
      </c>
      <c r="F44" t="inlineStr"/>
      <c r="G44" t="inlineStr"/>
      <c r="H44" t="inlineStr">
        <is>
          <t>Clavius Legal</t>
        </is>
      </c>
      <c r="I44" t="inlineStr"/>
      <c r="J44" t="inlineStr"/>
      <c r="K44" t="inlineStr">
        <is>
          <t>AL- Fanar Closed Joint Stock Company</t>
        </is>
      </c>
      <c r="L44" t="inlineStr"/>
    </row>
    <row r="45">
      <c r="A45" t="inlineStr"/>
      <c r="B45" t="inlineStr"/>
      <c r="C45" t="inlineStr"/>
      <c r="D45" t="inlineStr"/>
      <c r="E45" t="inlineStr">
        <is>
          <t>Pradeep Sancheti</t>
        </is>
      </c>
      <c r="F45" t="inlineStr"/>
      <c r="G45" t="inlineStr"/>
      <c r="H45" t="inlineStr">
        <is>
          <t>Krishna Dev Jagarlamudi</t>
        </is>
      </c>
      <c r="I45" t="inlineStr"/>
      <c r="J45" t="inlineStr"/>
      <c r="K45" t="inlineStr">
        <is>
          <t>Diya Kapur</t>
        </is>
      </c>
      <c r="L45" t="inlineStr"/>
    </row>
    <row r="46">
      <c r="A46" t="inlineStr"/>
      <c r="B46" t="inlineStr"/>
      <c r="C46" t="inlineStr"/>
      <c r="D46" t="inlineStr"/>
      <c r="E46" t="inlineStr">
        <is>
          <t>AHUJA VALECHA &amp; ASSOCIATES LLP</t>
        </is>
      </c>
      <c r="F46" t="inlineStr"/>
      <c r="G46" t="inlineStr"/>
      <c r="H46" t="inlineStr">
        <is>
          <t>Gaurav Ray, Advocate on Record</t>
        </is>
      </c>
      <c r="I46" t="inlineStr"/>
      <c r="J46" t="inlineStr"/>
      <c r="K46" t="inlineStr">
        <is>
          <t>Optimus Legal</t>
        </is>
      </c>
      <c r="L46" t="inlineStr"/>
    </row>
    <row r="47">
      <c r="A47" t="inlineStr"/>
      <c r="B47" t="inlineStr"/>
      <c r="C47" t="inlineStr"/>
      <c r="D47" t="inlineStr"/>
      <c r="E47" t="inlineStr">
        <is>
          <t>ICL CORPORATE ADVISORY PRIVATE LIMITED</t>
        </is>
      </c>
      <c r="F47" t="inlineStr"/>
      <c r="G47" t="inlineStr"/>
      <c r="H47" t="inlineStr">
        <is>
          <t>R. Ginodia &amp; Co. LLP</t>
        </is>
      </c>
      <c r="I47" t="inlineStr"/>
      <c r="J47" t="inlineStr"/>
      <c r="K47" t="inlineStr">
        <is>
          <t>Vidhittas Legal</t>
        </is>
      </c>
      <c r="L47" t="inlineStr"/>
    </row>
    <row r="48">
      <c r="A48" t="inlineStr"/>
      <c r="B48" t="inlineStr"/>
      <c r="C48" t="inlineStr"/>
      <c r="D48" t="inlineStr"/>
      <c r="E48" t="inlineStr">
        <is>
          <t>Pratik Patnaik</t>
        </is>
      </c>
      <c r="F48" t="inlineStr"/>
      <c r="G48" t="inlineStr"/>
      <c r="H48" t="inlineStr">
        <is>
          <t>Saurabh Prakash</t>
        </is>
      </c>
      <c r="I48" t="inlineStr"/>
      <c r="J48" t="inlineStr"/>
      <c r="K48" t="inlineStr">
        <is>
          <t>Solicitors India Law Offices</t>
        </is>
      </c>
      <c r="L48" t="inlineStr"/>
    </row>
    <row r="49">
      <c r="A49" t="inlineStr"/>
      <c r="B49" t="inlineStr"/>
      <c r="C49" t="inlineStr"/>
      <c r="D49" t="inlineStr"/>
      <c r="E49" t="inlineStr">
        <is>
          <t>Centre for Law and Policy Research Trust</t>
        </is>
      </c>
      <c r="F49" t="inlineStr"/>
      <c r="G49" t="inlineStr"/>
      <c r="H49" t="inlineStr">
        <is>
          <t>Ecclesia Advocates and Solicitors</t>
        </is>
      </c>
      <c r="I49" t="inlineStr"/>
      <c r="J49" t="inlineStr"/>
      <c r="K49" t="inlineStr">
        <is>
          <t>Jani &amp; Parikh, Advocates and Solicitors</t>
        </is>
      </c>
      <c r="L49" t="inlineStr"/>
    </row>
    <row r="50">
      <c r="A50" t="inlineStr"/>
      <c r="B50" t="inlineStr"/>
      <c r="C50" t="inlineStr"/>
      <c r="D50" t="inlineStr"/>
      <c r="E50" t="inlineStr">
        <is>
          <t>SKR &amp; associates</t>
        </is>
      </c>
      <c r="F50" t="inlineStr"/>
      <c r="G50" t="inlineStr"/>
      <c r="H50" t="inlineStr">
        <is>
          <t>Jaiveer Shergil</t>
        </is>
      </c>
      <c r="I50" t="inlineStr"/>
      <c r="J50" t="inlineStr"/>
      <c r="K50" t="inlineStr">
        <is>
          <t>Siddhant Makkar</t>
        </is>
      </c>
      <c r="L50" t="inlineStr"/>
    </row>
    <row r="51">
      <c r="A51" t="inlineStr"/>
      <c r="B51" t="inlineStr"/>
      <c r="C51" t="inlineStr"/>
      <c r="D51" t="inlineStr"/>
      <c r="E51" t="inlineStr">
        <is>
          <t>Srivastava &amp; Company</t>
        </is>
      </c>
      <c r="F51" t="inlineStr"/>
      <c r="G51" t="inlineStr"/>
      <c r="H51" t="inlineStr"/>
      <c r="I51" t="inlineStr"/>
      <c r="J51" t="inlineStr"/>
      <c r="K51" t="inlineStr">
        <is>
          <t>Astik Vaid</t>
        </is>
      </c>
      <c r="L51" t="inlineStr"/>
    </row>
    <row r="52">
      <c r="A52" t="inlineStr"/>
      <c r="B52" t="inlineStr"/>
      <c r="C52" t="inlineStr"/>
      <c r="D52" t="inlineStr"/>
      <c r="E52" t="inlineStr">
        <is>
          <t>Piyush Raheja</t>
        </is>
      </c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/>
      <c r="E53" t="inlineStr">
        <is>
          <t>⁠Feroze Patel</t>
        </is>
      </c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inlineStr"/>
      <c r="E54" t="inlineStr">
        <is>
          <t>Kazan Shroff</t>
        </is>
      </c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inlineStr"/>
      <c r="E55" t="inlineStr">
        <is>
          <t>Kajol Punjabi</t>
        </is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inlineStr"/>
      <c r="E56" t="inlineStr">
        <is>
          <t>Neeta Jain</t>
        </is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inlineStr"/>
      <c r="E57" t="inlineStr">
        <is>
          <t>Amrut Joshi</t>
        </is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inlineStr"/>
      <c r="E58" t="inlineStr">
        <is>
          <t>Gaurav Joshi</t>
        </is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inlineStr"/>
      <c r="E59" t="inlineStr">
        <is>
          <t>Kamaljeet Singh</t>
        </is>
      </c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inlineStr"/>
      <c r="E60" t="inlineStr">
        <is>
          <t>Pioneer Legal</t>
        </is>
      </c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inlineStr"/>
      <c r="D61" t="inlineStr"/>
      <c r="E61" t="inlineStr">
        <is>
          <t>Zoheb Hossain</t>
        </is>
      </c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inlineStr">
        <is>
          <t>Mr Rohit Gupta</t>
        </is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inlineStr">
        <is>
          <t>Hiresh Chaudhary</t>
        </is>
      </c>
      <c r="F63" t="inlineStr"/>
      <c r="G63" t="inlineStr"/>
      <c r="H63" t="inlineStr"/>
      <c r="I63" t="inlineStr"/>
      <c r="J63" t="inlineStr"/>
      <c r="K63" t="inlineStr"/>
      <c r="L6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500" t="inlineStr">
        <is>
          <t>Coresphere100 Technologies Pvt. Ltd.</t>
        </is>
      </c>
      <c r="B1" s="500" t="inlineStr">
        <is>
          <t>Unnamed: 2</t>
        </is>
      </c>
      <c r="C1" s="500" t="inlineStr">
        <is>
          <t>Unnamed: 3</t>
        </is>
      </c>
      <c r="D1" s="500" t="inlineStr">
        <is>
          <t>Unnamed: 4</t>
        </is>
      </c>
      <c r="E1" s="500" t="inlineStr">
        <is>
          <t>Unnamed: 5</t>
        </is>
      </c>
      <c r="F1" s="500" t="inlineStr">
        <is>
          <t>Unnamed: 6</t>
        </is>
      </c>
      <c r="G1" s="500" t="inlineStr">
        <is>
          <t>Unnamed: 7</t>
        </is>
      </c>
      <c r="H1" s="500" t="inlineStr">
        <is>
          <t>Unnamed: 8</t>
        </is>
      </c>
      <c r="I1" s="500" t="inlineStr">
        <is>
          <t>Unnamed: 9</t>
        </is>
      </c>
      <c r="J1" s="500" t="inlineStr">
        <is>
          <t>Unnamed: 10</t>
        </is>
      </c>
      <c r="K1" s="500" t="inlineStr">
        <is>
          <t>Unnamed: 11</t>
        </is>
      </c>
      <c r="L1" s="500" t="inlineStr">
        <is>
          <t>Oct</t>
        </is>
      </c>
    </row>
    <row r="2">
      <c r="A2" t="inlineStr">
        <is>
          <t>S.No.</t>
        </is>
      </c>
      <c r="B2" s="502" t="n">
        <v>45658</v>
      </c>
      <c r="C2" s="502" t="n">
        <v>45689</v>
      </c>
      <c r="D2" s="502" t="n">
        <v>45717</v>
      </c>
      <c r="E2" s="502" t="n">
        <v>45748</v>
      </c>
      <c r="F2" s="502" t="n">
        <v>45778</v>
      </c>
      <c r="G2" s="502" t="n">
        <v>45809</v>
      </c>
      <c r="H2" s="502" t="n">
        <v>45839</v>
      </c>
      <c r="I2" s="502" t="n">
        <v>45870</v>
      </c>
      <c r="J2" s="502" t="n">
        <v>45901</v>
      </c>
      <c r="K2" s="502" t="n">
        <v>45931</v>
      </c>
      <c r="L2" t="inlineStr"/>
    </row>
    <row r="3">
      <c r="A3" t="n">
        <v>1</v>
      </c>
      <c r="B3" t="inlineStr">
        <is>
          <t>Solaris Legal</t>
        </is>
      </c>
      <c r="C3" t="inlineStr">
        <is>
          <t>Tejas Bhide</t>
        </is>
      </c>
      <c r="D3" t="inlineStr">
        <is>
          <t>Chetan Dedhia</t>
        </is>
      </c>
      <c r="E3" t="inlineStr">
        <is>
          <t>Akshat Vachher</t>
        </is>
      </c>
      <c r="F3" t="inlineStr">
        <is>
          <t>Balbir Singh</t>
        </is>
      </c>
      <c r="G3" t="inlineStr">
        <is>
          <t>Bimal Rajasekhar</t>
        </is>
      </c>
      <c r="H3" t="inlineStr">
        <is>
          <t>Touchstone Partners</t>
        </is>
      </c>
      <c r="I3" t="inlineStr">
        <is>
          <t>Vutts &amp; Associates LLP</t>
        </is>
      </c>
      <c r="J3" t="inlineStr">
        <is>
          <t>Ankit Talsania</t>
        </is>
      </c>
      <c r="K3" t="inlineStr">
        <is>
          <t>Vesta Legal</t>
        </is>
      </c>
      <c r="L3" t="inlineStr">
        <is>
          <t>Acuity Law LLP</t>
        </is>
      </c>
    </row>
    <row r="4">
      <c r="A4" t="inlineStr"/>
      <c r="B4" t="inlineStr">
        <is>
          <t>Incanus Technologies Private Limited</t>
        </is>
      </c>
      <c r="C4" t="inlineStr">
        <is>
          <t>Amrita Panda / ADP Chambers- 5</t>
        </is>
      </c>
      <c r="D4" t="inlineStr">
        <is>
          <t>ANG</t>
        </is>
      </c>
      <c r="E4" t="inlineStr"/>
      <c r="F4" t="inlineStr">
        <is>
          <t>Federal &amp; Company</t>
        </is>
      </c>
      <c r="G4" t="inlineStr">
        <is>
          <t>Advocate Rohit Jaiswal</t>
        </is>
      </c>
      <c r="H4" t="inlineStr">
        <is>
          <t>Utkarsh Joshi</t>
        </is>
      </c>
      <c r="I4" t="inlineStr">
        <is>
          <t>AP &amp; Partners, Advocates</t>
        </is>
      </c>
      <c r="J4" t="inlineStr">
        <is>
          <t>ANM Global Inc</t>
        </is>
      </c>
      <c r="K4" t="inlineStr">
        <is>
          <t>Karanjawala &amp; Company Advocates</t>
        </is>
      </c>
      <c r="L4" t="inlineStr">
        <is>
          <t>Consera Legal LLP</t>
        </is>
      </c>
    </row>
    <row r="5">
      <c r="A5" t="inlineStr"/>
      <c r="B5" t="inlineStr">
        <is>
          <t>Chambers of Pujari</t>
        </is>
      </c>
      <c r="C5" t="inlineStr">
        <is>
          <t>Parakram Legal</t>
        </is>
      </c>
      <c r="D5" t="inlineStr"/>
      <c r="E5" t="inlineStr"/>
      <c r="F5" t="inlineStr">
        <is>
          <t>Akriti Chaubey</t>
        </is>
      </c>
      <c r="G5" t="inlineStr">
        <is>
          <t>Venkatesh Mohanraj</t>
        </is>
      </c>
      <c r="H5" t="inlineStr">
        <is>
          <t>Karan Butalia</t>
        </is>
      </c>
      <c r="I5" t="inlineStr">
        <is>
          <t>Bathiya Legal</t>
        </is>
      </c>
      <c r="J5" t="inlineStr">
        <is>
          <t>Deep Cover Law- Chirag Narasimiah</t>
        </is>
      </c>
      <c r="K5" t="inlineStr">
        <is>
          <t>J.R. LADDHA FINANCIAL SERVICES PRIVATE LIMITED</t>
        </is>
      </c>
      <c r="L5" t="inlineStr">
        <is>
          <t>J.R. LADDHA FINANCIAL SERVICES PRIVATE LIMITED</t>
        </is>
      </c>
    </row>
    <row r="6">
      <c r="A6" t="inlineStr"/>
      <c r="B6" t="inlineStr">
        <is>
          <t>Talha Abdul Rahman</t>
        </is>
      </c>
      <c r="C6" t="inlineStr">
        <is>
          <t>Kanungo &amp; Co.</t>
        </is>
      </c>
      <c r="D6" t="inlineStr"/>
      <c r="E6" t="inlineStr"/>
      <c r="F6" t="inlineStr">
        <is>
          <t>GM Legal</t>
        </is>
      </c>
      <c r="G6" t="inlineStr">
        <is>
          <t>Jade Lex Partners</t>
        </is>
      </c>
      <c r="H6" t="inlineStr">
        <is>
          <t>Dua Associates</t>
        </is>
      </c>
      <c r="I6" t="inlineStr">
        <is>
          <t>Manini Brar</t>
        </is>
      </c>
      <c r="J6" t="inlineStr">
        <is>
          <t>Gaurav Mehta</t>
        </is>
      </c>
      <c r="K6" t="inlineStr">
        <is>
          <t>Shreya Desai</t>
        </is>
      </c>
      <c r="L6" t="inlineStr">
        <is>
          <t>Karanjawala &amp; Company Advocates</t>
        </is>
      </c>
    </row>
    <row r="7">
      <c r="A7" t="inlineStr"/>
      <c r="B7" t="inlineStr"/>
      <c r="C7" t="inlineStr">
        <is>
          <t>Prantar</t>
        </is>
      </c>
      <c r="D7" t="inlineStr"/>
      <c r="E7" t="inlineStr"/>
      <c r="F7" t="inlineStr">
        <is>
          <t>Prantar</t>
        </is>
      </c>
      <c r="G7" t="inlineStr">
        <is>
          <t>Alankrit Bajpai</t>
        </is>
      </c>
      <c r="H7" t="inlineStr">
        <is>
          <t>Gera Developments Pvt. Ltd.</t>
        </is>
      </c>
      <c r="I7" t="inlineStr">
        <is>
          <t>Centre for Law and Policy Research Trust</t>
        </is>
      </c>
      <c r="J7" t="inlineStr">
        <is>
          <t>Jayakar and Partners</t>
        </is>
      </c>
      <c r="K7" t="inlineStr">
        <is>
          <t>MEESHO LIMITED</t>
        </is>
      </c>
      <c r="L7" t="inlineStr">
        <is>
          <t>MEESHO LIMITED</t>
        </is>
      </c>
    </row>
    <row r="8">
      <c r="A8" t="inlineStr"/>
      <c r="B8" t="inlineStr"/>
      <c r="C8" t="inlineStr"/>
      <c r="D8" t="inlineStr"/>
      <c r="E8" t="inlineStr"/>
      <c r="F8" t="inlineStr">
        <is>
          <t>Rohit Sharma (lex Merita)</t>
        </is>
      </c>
      <c r="G8" t="inlineStr">
        <is>
          <t>Badar Durrez</t>
        </is>
      </c>
      <c r="H8" t="inlineStr">
        <is>
          <t>MD&amp;T Partners</t>
        </is>
      </c>
      <c r="I8" t="inlineStr">
        <is>
          <t>Sajan Poovayya</t>
        </is>
      </c>
      <c r="J8" t="inlineStr">
        <is>
          <t>Parakram Legal</t>
        </is>
      </c>
      <c r="K8" t="inlineStr">
        <is>
          <t>Consera Legal LLP</t>
        </is>
      </c>
      <c r="L8" t="inlineStr">
        <is>
          <t>Rohit Sharma</t>
        </is>
      </c>
    </row>
    <row r="9">
      <c r="A9" t="inlineStr"/>
      <c r="B9" t="inlineStr"/>
      <c r="C9" t="inlineStr"/>
      <c r="D9" t="inlineStr"/>
      <c r="E9" t="inlineStr"/>
      <c r="F9" t="inlineStr">
        <is>
          <t>Mr Sudhanshu Kumar</t>
        </is>
      </c>
      <c r="G9" t="inlineStr">
        <is>
          <t>Aakash Sharma</t>
        </is>
      </c>
      <c r="H9" t="inlineStr">
        <is>
          <t>Vritti Law Partners</t>
        </is>
      </c>
      <c r="I9" t="inlineStr">
        <is>
          <t>AJNM LAW INDIA LLP</t>
        </is>
      </c>
      <c r="J9" t="inlineStr">
        <is>
          <t>Parinam Law Associates</t>
        </is>
      </c>
      <c r="K9" t="inlineStr"/>
      <c r="L9" t="inlineStr">
        <is>
          <t>Shreya Desai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Santosh Kumar</t>
        </is>
      </c>
      <c r="G10" t="inlineStr">
        <is>
          <t>Saga Legal</t>
        </is>
      </c>
      <c r="H10" t="inlineStr">
        <is>
          <t>Aquilaw</t>
        </is>
      </c>
      <c r="I10" t="inlineStr">
        <is>
          <t>KINJAL CIVILCON LLP</t>
        </is>
      </c>
      <c r="J10" t="inlineStr">
        <is>
          <t>Pradeep Sancheti</t>
        </is>
      </c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>
        <is>
          <t>NIKHIL DEELIP P</t>
        </is>
      </c>
      <c r="G11" t="inlineStr">
        <is>
          <t>Pranay Chitale</t>
        </is>
      </c>
      <c r="H11" t="inlineStr">
        <is>
          <t>Svarniti Law Offices</t>
        </is>
      </c>
      <c r="I11" t="inlineStr">
        <is>
          <t>DSK Legal</t>
        </is>
      </c>
      <c r="J11" t="inlineStr">
        <is>
          <t>Rajeev K. Virmani</t>
        </is>
      </c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>
        <is>
          <t>Hiresh Chaudhary</t>
        </is>
      </c>
      <c r="G12" t="inlineStr">
        <is>
          <t>Spark Legal</t>
        </is>
      </c>
      <c r="H12" t="inlineStr">
        <is>
          <t>Khaitan Legal Asscoiates</t>
        </is>
      </c>
      <c r="I12" t="inlineStr">
        <is>
          <t>AMS Legal</t>
        </is>
      </c>
      <c r="J12" t="inlineStr">
        <is>
          <t>Rithin Rai</t>
        </is>
      </c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>
        <is>
          <t>Victoram Legal / Mr. Sajal Awasthi</t>
        </is>
      </c>
      <c r="G13" t="inlineStr">
        <is>
          <t>Argus Partners</t>
        </is>
      </c>
      <c r="H13" t="inlineStr">
        <is>
          <t>Burgeon Law LLP</t>
        </is>
      </c>
      <c r="I13" t="inlineStr">
        <is>
          <t>ZEUS Law Associates</t>
        </is>
      </c>
      <c r="J13" t="inlineStr">
        <is>
          <t>Stride Legal</t>
        </is>
      </c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Saraf and Partners</t>
        </is>
      </c>
      <c r="H14" t="inlineStr"/>
      <c r="I14" t="inlineStr">
        <is>
          <t>Tejeshwar Singh</t>
        </is>
      </c>
      <c r="J14" t="inlineStr">
        <is>
          <t>Vaish Associates</t>
        </is>
      </c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Pioneer Legal</t>
        </is>
      </c>
      <c r="H15" t="inlineStr"/>
      <c r="I15" t="inlineStr">
        <is>
          <t>Shrey Lodha</t>
        </is>
      </c>
      <c r="J15" t="inlineStr">
        <is>
          <t>Venkatesh Dhond</t>
        </is>
      </c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Solaris Legal</t>
        </is>
      </c>
      <c r="H16" t="inlineStr"/>
      <c r="I16" t="inlineStr">
        <is>
          <t>C&amp;S Partners</t>
        </is>
      </c>
      <c r="J16" t="inlineStr"/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Mr. Jehangir Jejeebhoy</t>
        </is>
      </c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Monalisa Kosaria</t>
        </is>
      </c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Yash Momaya</t>
        </is>
      </c>
      <c r="H19" t="inlineStr"/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500" t="inlineStr">
        <is>
          <t>Unnamed: 1</t>
        </is>
      </c>
      <c r="B1" s="501" t="n">
        <v>45658</v>
      </c>
      <c r="C1" s="501" t="n">
        <v>45689</v>
      </c>
      <c r="D1" s="501" t="n">
        <v>45717</v>
      </c>
      <c r="E1" s="501" t="n">
        <v>45748</v>
      </c>
      <c r="F1" s="501" t="n">
        <v>45778</v>
      </c>
      <c r="G1" s="501" t="n">
        <v>45809</v>
      </c>
      <c r="H1" s="501" t="n">
        <v>45839</v>
      </c>
      <c r="I1" s="501" t="n">
        <v>45870</v>
      </c>
      <c r="J1" s="501" t="n">
        <v>45901</v>
      </c>
      <c r="K1" s="500" t="inlineStr">
        <is>
          <t>Oct</t>
        </is>
      </c>
    </row>
    <row r="2">
      <c r="A2" t="inlineStr">
        <is>
          <t xml:space="preserve">No. of active subscriber at beginning of month </t>
        </is>
      </c>
      <c r="B2" t="n">
        <v>16</v>
      </c>
      <c r="C2" t="n">
        <v>27</v>
      </c>
      <c r="D2" t="n">
        <v>35</v>
      </c>
      <c r="E2" t="n">
        <v>57</v>
      </c>
      <c r="F2" t="n">
        <v>117</v>
      </c>
      <c r="G2" t="n">
        <v>143</v>
      </c>
      <c r="H2" t="n">
        <v>158</v>
      </c>
      <c r="I2" t="n">
        <v>195</v>
      </c>
      <c r="J2" t="n">
        <v>219</v>
      </c>
      <c r="K2" t="n">
        <v>245</v>
      </c>
    </row>
    <row r="3">
      <c r="A3" t="inlineStr">
        <is>
          <t>Add: New additions</t>
        </is>
      </c>
      <c r="B3" t="n">
        <v>15</v>
      </c>
      <c r="C3" t="n">
        <v>13</v>
      </c>
      <c r="D3" t="n">
        <v>24</v>
      </c>
      <c r="E3" t="n">
        <v>61</v>
      </c>
      <c r="F3" t="n">
        <v>37</v>
      </c>
      <c r="G3" t="n">
        <v>32</v>
      </c>
      <c r="H3" t="n">
        <v>48</v>
      </c>
      <c r="I3" t="n">
        <v>38</v>
      </c>
      <c r="J3" t="n">
        <v>39</v>
      </c>
      <c r="K3" t="n">
        <v>7</v>
      </c>
    </row>
    <row r="4">
      <c r="A4" t="inlineStr">
        <is>
          <t>Less: Deletions</t>
        </is>
      </c>
      <c r="B4" t="n">
        <v>4</v>
      </c>
      <c r="C4" t="n">
        <v>5</v>
      </c>
      <c r="D4" t="n">
        <v>2</v>
      </c>
      <c r="E4" t="n">
        <v>1</v>
      </c>
      <c r="F4" t="n">
        <v>11</v>
      </c>
      <c r="G4" t="n">
        <v>17</v>
      </c>
      <c r="H4" t="n">
        <v>11</v>
      </c>
      <c r="I4" t="n">
        <v>14</v>
      </c>
      <c r="J4" t="n">
        <v>13</v>
      </c>
      <c r="K4" t="n">
        <v>7</v>
      </c>
    </row>
    <row r="5">
      <c r="A5" t="inlineStr">
        <is>
          <t>No. of active subscribers at end of month</t>
        </is>
      </c>
      <c r="B5" t="n">
        <v>27</v>
      </c>
      <c r="C5" t="n">
        <v>35</v>
      </c>
      <c r="D5" t="n">
        <v>57</v>
      </c>
      <c r="E5" t="n">
        <v>117</v>
      </c>
      <c r="F5" t="n">
        <v>143</v>
      </c>
      <c r="G5" t="n">
        <v>158</v>
      </c>
      <c r="H5" t="n">
        <v>195</v>
      </c>
      <c r="I5" t="n">
        <v>219</v>
      </c>
      <c r="J5" t="n">
        <v>245</v>
      </c>
      <c r="K5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Govind Singh</dc:creator>
  <dc:language>en-US</dc:language>
  <dcterms:created xsi:type="dcterms:W3CDTF">2025-04-16T09:24:00Z</dcterms:created>
  <dcterms:modified xsi:type="dcterms:W3CDTF">2025-12-04T14:51:21Z</dcterms:modified>
  <cp:revision>3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0F6E473EFAEC4F95B3EDBEB934FE922E_12</vt:lpwstr>
  </property>
  <property name="KSOProductBuildVer" fmtid="{D5CDD505-2E9C-101B-9397-08002B2CF9AE}" pid="3">
    <vt:lpwstr>2057-12.2.0.20795</vt:lpwstr>
  </property>
</Properties>
</file>